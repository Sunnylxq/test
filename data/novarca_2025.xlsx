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30.事業推進課\★★直轄事業チーム\越境EC\NOVARCA\"/>
    </mc:Choice>
  </mc:AlternateContent>
  <xr:revisionPtr revIDLastSave="0" documentId="13_ncr:1_{E9CB76BC-0CD0-40B2-9FB4-399768D92E58}" xr6:coauthVersionLast="36" xr6:coauthVersionMax="36" xr10:uidLastSave="{00000000-0000-0000-0000-000000000000}"/>
  <bookViews>
    <workbookView xWindow="0" yWindow="0" windowWidth="19200" windowHeight="7720" activeTab="2" xr2:uid="{00000000-000D-0000-FFFF-FFFF00000000}"/>
  </bookViews>
  <sheets>
    <sheet name="アイテム別実績" sheetId="1" r:id="rId1"/>
    <sheet name="TOP１０" sheetId="2" r:id="rId2"/>
    <sheet name="ブランド別" sheetId="3" r:id="rId3"/>
    <sheet name="月別ブランド別" sheetId="4" r:id="rId4"/>
  </sheets>
  <definedNames>
    <definedName name="_xlnm._FilterDatabase" localSheetId="0" hidden="1">アイテム別実績!$B$1:$C$433</definedName>
  </definedNames>
  <calcPr calcId="191029"/>
</workbook>
</file>

<file path=xl/calcChain.xml><?xml version="1.0" encoding="utf-8"?>
<calcChain xmlns="http://schemas.openxmlformats.org/spreadsheetml/2006/main">
  <c r="N3" i="4" l="1"/>
  <c r="K9" i="4"/>
  <c r="J9" i="4"/>
  <c r="N8" i="4"/>
  <c r="N4" i="4"/>
  <c r="N5" i="4"/>
  <c r="N6" i="4"/>
  <c r="N7" i="4"/>
  <c r="B9" i="4"/>
  <c r="C9" i="4"/>
  <c r="D9" i="4"/>
  <c r="E9" i="4"/>
  <c r="F9" i="4"/>
  <c r="H9" i="4"/>
  <c r="I9" i="4"/>
  <c r="M9" i="4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D435" i="1"/>
  <c r="L9" i="4" l="1"/>
  <c r="G9" i="4"/>
  <c r="N9" i="4"/>
  <c r="H8" i="3"/>
  <c r="G8" i="3"/>
  <c r="P4" i="4" l="1"/>
  <c r="P5" i="4"/>
  <c r="P8" i="4"/>
  <c r="P6" i="4"/>
  <c r="P7" i="4"/>
  <c r="P3" i="4"/>
  <c r="P9" i="4" s="1"/>
  <c r="D8" i="3"/>
  <c r="E8" i="3" s="1"/>
  <c r="B8" i="3"/>
  <c r="C8" i="3" s="1"/>
  <c r="C7" i="3"/>
  <c r="C3" i="3"/>
  <c r="C2" i="3"/>
  <c r="E3" i="3" l="1"/>
  <c r="E2" i="3"/>
  <c r="E4" i="3"/>
  <c r="E5" i="3"/>
  <c r="E6" i="3"/>
  <c r="E7" i="3"/>
  <c r="C4" i="3"/>
  <c r="C5" i="3"/>
  <c r="C6" i="3"/>
  <c r="E433" i="1" l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D433" i="1"/>
  <c r="AC13" i="1"/>
  <c r="AC10" i="1"/>
  <c r="AC63" i="1"/>
  <c r="AC40" i="1"/>
  <c r="AC380" i="1"/>
  <c r="AC260" i="1"/>
  <c r="AC251" i="1"/>
  <c r="AC236" i="1"/>
  <c r="AC261" i="1"/>
  <c r="AC195" i="1"/>
  <c r="AC139" i="1"/>
  <c r="AC216" i="1"/>
  <c r="AC293" i="1"/>
  <c r="AC397" i="1"/>
  <c r="AC425" i="1"/>
  <c r="AC117" i="1"/>
  <c r="AC52" i="1"/>
  <c r="AC207" i="1"/>
  <c r="AC219" i="1"/>
  <c r="AC56" i="1"/>
  <c r="AC204" i="1"/>
  <c r="AC360" i="1"/>
  <c r="AC302" i="1"/>
  <c r="AC107" i="1"/>
  <c r="AC110" i="1"/>
  <c r="AC178" i="1"/>
  <c r="AC73" i="1"/>
  <c r="AC213" i="1"/>
  <c r="AC94" i="1"/>
  <c r="AC214" i="1"/>
  <c r="AC92" i="1"/>
  <c r="AC119" i="1"/>
  <c r="AC121" i="1"/>
  <c r="AC249" i="1"/>
  <c r="AC86" i="1"/>
  <c r="AC91" i="1"/>
  <c r="AC133" i="1"/>
  <c r="AC55" i="1"/>
  <c r="AC220" i="1"/>
  <c r="AC57" i="1"/>
  <c r="AC144" i="1"/>
  <c r="AC77" i="1"/>
  <c r="AC151" i="1"/>
  <c r="AC183" i="1"/>
  <c r="AC413" i="1"/>
  <c r="AC269" i="1"/>
  <c r="AC108" i="1"/>
  <c r="AC145" i="1"/>
  <c r="AC222" i="1"/>
  <c r="AC126" i="1"/>
  <c r="AC205" i="1"/>
  <c r="AC100" i="1"/>
  <c r="AC135" i="1"/>
  <c r="AC327" i="1"/>
  <c r="AC36" i="1"/>
  <c r="AC361" i="1"/>
  <c r="AC339" i="1"/>
  <c r="AC309" i="1"/>
  <c r="AC264" i="1"/>
  <c r="AC155" i="1"/>
  <c r="AC294" i="1"/>
  <c r="AC185" i="1"/>
  <c r="AC289" i="1"/>
  <c r="AC381" i="1"/>
  <c r="AC122" i="1"/>
  <c r="AC202" i="1"/>
  <c r="AC235" i="1"/>
  <c r="AC347" i="1"/>
  <c r="AC398" i="1"/>
  <c r="AC17" i="1"/>
  <c r="AC21" i="1"/>
  <c r="AC61" i="1"/>
  <c r="AC125" i="1"/>
  <c r="AC191" i="1"/>
  <c r="AC225" i="1"/>
  <c r="AC217" i="1"/>
  <c r="AC258" i="1"/>
  <c r="AC118" i="1"/>
  <c r="AC265" i="1"/>
  <c r="AC382" i="1"/>
  <c r="AC284" i="1"/>
  <c r="AC255" i="1"/>
  <c r="AC303" i="1"/>
  <c r="AC93" i="1"/>
  <c r="AC30" i="1"/>
  <c r="AC33" i="1"/>
  <c r="AC128" i="1"/>
  <c r="AC127" i="1"/>
  <c r="AC270" i="1"/>
  <c r="AC38" i="1"/>
  <c r="AC256" i="1"/>
  <c r="AC223" i="1"/>
  <c r="AC242" i="1"/>
  <c r="AC362" i="1"/>
  <c r="AC271" i="1"/>
  <c r="AC50" i="1"/>
  <c r="AC115" i="1"/>
  <c r="AC279" i="1"/>
  <c r="AC59" i="1"/>
  <c r="AC237" i="1"/>
  <c r="AC320" i="1"/>
  <c r="AC285" i="1"/>
  <c r="AC290" i="1"/>
  <c r="AC295" i="1"/>
  <c r="AC35" i="1"/>
  <c r="AC82" i="1"/>
  <c r="AC27" i="1"/>
  <c r="AC81" i="1"/>
  <c r="AC54" i="1"/>
  <c r="AC46" i="1"/>
  <c r="AC88" i="1"/>
  <c r="AC363" i="1"/>
  <c r="AC364" i="1"/>
  <c r="AC218" i="1"/>
  <c r="AC130" i="1"/>
  <c r="AC136" i="1"/>
  <c r="AC272" i="1"/>
  <c r="AC76" i="1"/>
  <c r="AC44" i="1"/>
  <c r="AC62" i="1"/>
  <c r="AC197" i="1"/>
  <c r="AC240" i="1"/>
  <c r="AC296" i="1"/>
  <c r="AC241" i="1"/>
  <c r="AC266" i="1"/>
  <c r="AC304" i="1"/>
  <c r="AC146" i="1"/>
  <c r="AC162" i="1"/>
  <c r="AC114" i="1"/>
  <c r="AC186" i="1"/>
  <c r="AC198" i="1"/>
  <c r="AC273" i="1"/>
  <c r="AC297" i="1"/>
  <c r="AC254" i="1"/>
  <c r="AC243" i="1"/>
  <c r="AC201" i="1"/>
  <c r="AC193" i="1"/>
  <c r="AC365" i="1"/>
  <c r="AC366" i="1"/>
  <c r="AC169" i="1"/>
  <c r="AC229" i="1"/>
  <c r="AC274" i="1"/>
  <c r="AC340" i="1"/>
  <c r="AC367" i="1"/>
  <c r="AC368" i="1"/>
  <c r="AC369" i="1"/>
  <c r="AC370" i="1"/>
  <c r="AC371" i="1"/>
  <c r="AC194" i="1"/>
  <c r="AC105" i="1"/>
  <c r="AC172" i="1"/>
  <c r="AC187" i="1"/>
  <c r="AC157" i="1"/>
  <c r="AC134" i="1"/>
  <c r="AC111" i="1"/>
  <c r="AC124" i="1"/>
  <c r="AC154" i="1"/>
  <c r="AC173" i="1"/>
  <c r="AC142" i="1"/>
  <c r="AC188" i="1"/>
  <c r="AC31" i="1"/>
  <c r="AC87" i="1"/>
  <c r="AC102" i="1"/>
  <c r="AC192" i="1"/>
  <c r="AC189" i="1"/>
  <c r="AC160" i="1"/>
  <c r="AC180" i="1"/>
  <c r="AC147" i="1"/>
  <c r="AC168" i="1"/>
  <c r="AC80" i="1"/>
  <c r="AC181" i="1"/>
  <c r="AC131" i="1"/>
  <c r="AC89" i="1"/>
  <c r="AC8" i="1"/>
  <c r="AC328" i="1"/>
  <c r="AC348" i="1"/>
  <c r="AC329" i="1"/>
  <c r="AC305" i="1"/>
  <c r="AC330" i="1"/>
  <c r="AC331" i="1"/>
  <c r="AC399" i="1"/>
  <c r="AC332" i="1"/>
  <c r="AC306" i="1"/>
  <c r="AC400" i="1"/>
  <c r="AC333" i="1"/>
  <c r="AC307" i="1"/>
  <c r="AC308" i="1"/>
  <c r="AC334" i="1"/>
  <c r="AC401" i="1"/>
  <c r="AC402" i="1"/>
  <c r="AC403" i="1"/>
  <c r="AC404" i="1"/>
  <c r="AC372" i="1"/>
  <c r="AC335" i="1"/>
  <c r="AC349" i="1"/>
  <c r="AC350" i="1"/>
  <c r="AC276" i="1"/>
  <c r="AC257" i="1"/>
  <c r="AC277" i="1"/>
  <c r="AC351" i="1"/>
  <c r="AC199" i="1"/>
  <c r="AC221" i="1"/>
  <c r="AC140" i="1"/>
  <c r="AC74" i="1"/>
  <c r="AC95" i="1"/>
  <c r="AC161" i="1"/>
  <c r="AC280" i="1"/>
  <c r="AC262" i="1"/>
  <c r="AC227" i="1"/>
  <c r="AC245" i="1"/>
  <c r="AC234" i="1"/>
  <c r="AC275" i="1"/>
  <c r="AC267" i="1"/>
  <c r="AC23" i="1"/>
  <c r="AC373" i="1"/>
  <c r="AC374" i="1"/>
  <c r="AC19" i="1"/>
  <c r="AC375" i="1"/>
  <c r="AC53" i="1"/>
  <c r="AC281" i="1"/>
  <c r="AC184" i="1"/>
  <c r="AC414" i="1"/>
  <c r="AC310" i="1"/>
  <c r="AC252" i="1"/>
  <c r="AC238" i="1"/>
  <c r="AC311" i="1"/>
  <c r="AC426" i="1"/>
  <c r="AC123" i="1"/>
  <c r="AC41" i="1"/>
  <c r="AC141" i="1"/>
  <c r="AC298" i="1"/>
  <c r="AC97" i="1"/>
  <c r="AC405" i="1"/>
  <c r="AC148" i="1"/>
  <c r="AC246" i="1"/>
  <c r="AC49" i="1"/>
  <c r="AC106" i="1"/>
  <c r="AC427" i="1"/>
  <c r="AC37" i="1"/>
  <c r="AC150" i="1"/>
  <c r="AC230" i="1"/>
  <c r="AC321" i="1"/>
  <c r="AC78" i="1"/>
  <c r="AC109" i="1"/>
  <c r="AC84" i="1"/>
  <c r="AC137" i="1"/>
  <c r="AC79" i="1"/>
  <c r="AC208" i="1"/>
  <c r="AC67" i="1"/>
  <c r="AC72" i="1"/>
  <c r="AC39" i="1"/>
  <c r="AC43" i="1"/>
  <c r="AC3" i="1"/>
  <c r="AC5" i="1"/>
  <c r="AC174" i="1"/>
  <c r="AC233" i="1"/>
  <c r="AC47" i="1"/>
  <c r="AC66" i="1"/>
  <c r="AC166" i="1"/>
  <c r="AC415" i="1"/>
  <c r="AC416" i="1"/>
  <c r="AC417" i="1"/>
  <c r="AC312" i="1"/>
  <c r="AC226" i="1"/>
  <c r="AC113" i="1"/>
  <c r="AC12" i="1"/>
  <c r="AC341" i="1"/>
  <c r="AC75" i="1"/>
  <c r="AC268" i="1"/>
  <c r="AC352" i="1"/>
  <c r="AC322" i="1"/>
  <c r="AC112" i="1"/>
  <c r="AC65" i="1"/>
  <c r="AC71" i="1"/>
  <c r="AC85" i="1"/>
  <c r="AC282" i="1"/>
  <c r="AC99" i="1"/>
  <c r="AC6" i="1"/>
  <c r="AC428" i="1"/>
  <c r="AC248" i="1"/>
  <c r="AC26" i="1"/>
  <c r="AC179" i="1"/>
  <c r="AC418" i="1"/>
  <c r="AC247" i="1"/>
  <c r="AC286" i="1"/>
  <c r="AC51" i="1"/>
  <c r="AC42" i="1"/>
  <c r="AC48" i="1"/>
  <c r="AC313" i="1"/>
  <c r="AC64" i="1"/>
  <c r="AC314" i="1"/>
  <c r="AC315" i="1"/>
  <c r="AC316" i="1"/>
  <c r="AC239" i="1"/>
  <c r="AC90" i="1"/>
  <c r="AC129" i="1"/>
  <c r="AC383" i="1"/>
  <c r="AC384" i="1"/>
  <c r="AC101" i="1"/>
  <c r="AC103" i="1"/>
  <c r="AC34" i="1"/>
  <c r="AC45" i="1"/>
  <c r="AC190" i="1"/>
  <c r="AC96" i="1"/>
  <c r="AC158" i="1"/>
  <c r="AC20" i="1"/>
  <c r="AC7" i="1"/>
  <c r="AC104" i="1"/>
  <c r="AC32" i="1"/>
  <c r="AC15" i="1"/>
  <c r="AC24" i="1"/>
  <c r="AC69" i="1"/>
  <c r="AC196" i="1"/>
  <c r="AC406" i="1"/>
  <c r="AC376" i="1"/>
  <c r="AC200" i="1"/>
  <c r="AC11" i="1"/>
  <c r="AC29" i="1"/>
  <c r="AC18" i="1"/>
  <c r="AC163" i="1"/>
  <c r="AC68" i="1"/>
  <c r="AC9" i="1"/>
  <c r="AC16" i="1"/>
  <c r="AC278" i="1"/>
  <c r="AC291" i="1"/>
  <c r="AC299" i="1"/>
  <c r="AC149" i="1"/>
  <c r="AC353" i="1"/>
  <c r="AC244" i="1"/>
  <c r="AC83" i="1"/>
  <c r="AC70" i="1"/>
  <c r="AC407" i="1"/>
  <c r="AC419" i="1"/>
  <c r="AC429" i="1"/>
  <c r="AC4" i="1"/>
  <c r="AC420" i="1"/>
  <c r="AC408" i="1"/>
  <c r="AC409" i="1"/>
  <c r="AC410" i="1"/>
  <c r="AC430" i="1"/>
  <c r="AC385" i="1"/>
  <c r="AC342" i="1"/>
  <c r="AC287" i="1"/>
  <c r="AC250" i="1"/>
  <c r="AC421" i="1"/>
  <c r="AC431" i="1"/>
  <c r="AC224" i="1"/>
  <c r="AC411" i="1"/>
  <c r="AC432" i="1"/>
  <c r="AC300" i="1"/>
  <c r="AC116" i="1"/>
  <c r="AC263" i="1"/>
  <c r="AC132" i="1"/>
  <c r="AC354" i="1"/>
  <c r="AC177" i="1"/>
  <c r="AC253" i="1"/>
  <c r="AC422" i="1"/>
  <c r="AC343" i="1"/>
  <c r="AC288" i="1"/>
  <c r="AC292" i="1"/>
  <c r="AC344" i="1"/>
  <c r="AC423" i="1"/>
  <c r="AC424" i="1"/>
  <c r="AC317" i="1"/>
  <c r="AC259" i="1"/>
  <c r="AC301" i="1"/>
  <c r="AC318" i="1"/>
  <c r="AC345" i="1"/>
  <c r="AC231" i="1"/>
  <c r="AC386" i="1"/>
  <c r="AC206" i="1"/>
  <c r="AC323" i="1"/>
  <c r="AC387" i="1"/>
  <c r="AC388" i="1"/>
  <c r="AC336" i="1"/>
  <c r="AC389" i="1"/>
  <c r="AC324" i="1"/>
  <c r="AC390" i="1"/>
  <c r="AC391" i="1"/>
  <c r="AC392" i="1"/>
  <c r="AC393" i="1"/>
  <c r="AC394" i="1"/>
  <c r="AC377" i="1"/>
  <c r="AC378" i="1"/>
  <c r="AC395" i="1"/>
  <c r="AC412" i="1"/>
  <c r="AC355" i="1"/>
  <c r="AC337" i="1"/>
  <c r="AC346" i="1"/>
  <c r="AC396" i="1"/>
  <c r="AC356" i="1"/>
  <c r="AC357" i="1"/>
  <c r="AC319" i="1"/>
  <c r="AC338" i="1"/>
  <c r="AC358" i="1"/>
  <c r="AC28" i="1"/>
  <c r="AC25" i="1"/>
  <c r="AC98" i="1"/>
  <c r="AC182" i="1"/>
  <c r="AC175" i="1"/>
  <c r="AC379" i="1"/>
  <c r="AC325" i="1"/>
  <c r="AC283" i="1"/>
  <c r="AC215" i="1"/>
  <c r="AC176" i="1"/>
  <c r="AC359" i="1"/>
  <c r="AC326" i="1"/>
  <c r="AC232" i="1"/>
  <c r="AC143" i="1"/>
  <c r="AC164" i="1"/>
  <c r="AC228" i="1"/>
  <c r="AC152" i="1"/>
  <c r="AC120" i="1"/>
  <c r="AC170" i="1"/>
  <c r="AC14" i="1"/>
  <c r="AC159" i="1"/>
  <c r="AC58" i="1"/>
  <c r="AC60" i="1"/>
  <c r="AC167" i="1"/>
  <c r="AC211" i="1"/>
  <c r="AC212" i="1"/>
  <c r="AC203" i="1"/>
  <c r="AC153" i="1"/>
  <c r="AC165" i="1"/>
  <c r="AC210" i="1"/>
  <c r="AC209" i="1"/>
  <c r="AC138" i="1"/>
  <c r="AC171" i="1"/>
  <c r="AC156" i="1"/>
  <c r="AC22" i="1"/>
  <c r="AB260" i="1"/>
  <c r="AB251" i="1"/>
  <c r="AB236" i="1"/>
  <c r="AB261" i="1"/>
  <c r="AB195" i="1"/>
  <c r="AB139" i="1"/>
  <c r="AB216" i="1"/>
  <c r="AB293" i="1"/>
  <c r="AB397" i="1"/>
  <c r="AB425" i="1"/>
  <c r="AB117" i="1"/>
  <c r="AB52" i="1"/>
  <c r="AB207" i="1"/>
  <c r="AB219" i="1"/>
  <c r="AB56" i="1"/>
  <c r="AB204" i="1"/>
  <c r="AB360" i="1"/>
  <c r="AB302" i="1"/>
  <c r="AB107" i="1"/>
  <c r="AB110" i="1"/>
  <c r="AB178" i="1"/>
  <c r="AB73" i="1"/>
  <c r="AB213" i="1"/>
  <c r="AB94" i="1"/>
  <c r="AB214" i="1"/>
  <c r="AB92" i="1"/>
  <c r="AB119" i="1"/>
  <c r="AB121" i="1"/>
  <c r="AB249" i="1"/>
  <c r="AB86" i="1"/>
  <c r="AB91" i="1"/>
  <c r="AB133" i="1"/>
  <c r="AB55" i="1"/>
  <c r="AB220" i="1"/>
  <c r="AB57" i="1"/>
  <c r="AB144" i="1"/>
  <c r="AB77" i="1"/>
  <c r="AB151" i="1"/>
  <c r="AB183" i="1"/>
  <c r="AB413" i="1"/>
  <c r="AB269" i="1"/>
  <c r="AB108" i="1"/>
  <c r="AB145" i="1"/>
  <c r="AB222" i="1"/>
  <c r="AB126" i="1"/>
  <c r="AB205" i="1"/>
  <c r="AB100" i="1"/>
  <c r="AB135" i="1"/>
  <c r="AB327" i="1"/>
  <c r="AB36" i="1"/>
  <c r="AB361" i="1"/>
  <c r="AB339" i="1"/>
  <c r="AB309" i="1"/>
  <c r="AB264" i="1"/>
  <c r="AB155" i="1"/>
  <c r="AB294" i="1"/>
  <c r="AB185" i="1"/>
  <c r="AB289" i="1"/>
  <c r="AB381" i="1"/>
  <c r="AB122" i="1"/>
  <c r="AB202" i="1"/>
  <c r="AB235" i="1"/>
  <c r="AB347" i="1"/>
  <c r="AB398" i="1"/>
  <c r="AB17" i="1"/>
  <c r="AB21" i="1"/>
  <c r="AB61" i="1"/>
  <c r="AB125" i="1"/>
  <c r="AB191" i="1"/>
  <c r="AB225" i="1"/>
  <c r="AB217" i="1"/>
  <c r="AB258" i="1"/>
  <c r="AB118" i="1"/>
  <c r="AB265" i="1"/>
  <c r="AB382" i="1"/>
  <c r="AB284" i="1"/>
  <c r="AB255" i="1"/>
  <c r="AB303" i="1"/>
  <c r="AB93" i="1"/>
  <c r="AB30" i="1"/>
  <c r="AB33" i="1"/>
  <c r="AB128" i="1"/>
  <c r="AB127" i="1"/>
  <c r="AB270" i="1"/>
  <c r="AB38" i="1"/>
  <c r="AB256" i="1"/>
  <c r="AB223" i="1"/>
  <c r="AB242" i="1"/>
  <c r="AB362" i="1"/>
  <c r="AB271" i="1"/>
  <c r="AB50" i="1"/>
  <c r="AB115" i="1"/>
  <c r="AB279" i="1"/>
  <c r="AB59" i="1"/>
  <c r="AB237" i="1"/>
  <c r="AB320" i="1"/>
  <c r="AB285" i="1"/>
  <c r="AB290" i="1"/>
  <c r="AB295" i="1"/>
  <c r="AB35" i="1"/>
  <c r="AB82" i="1"/>
  <c r="AB27" i="1"/>
  <c r="AB81" i="1"/>
  <c r="AB54" i="1"/>
  <c r="AB46" i="1"/>
  <c r="AB88" i="1"/>
  <c r="AB363" i="1"/>
  <c r="AB364" i="1"/>
  <c r="AB218" i="1"/>
  <c r="AB130" i="1"/>
  <c r="AB136" i="1"/>
  <c r="AB272" i="1"/>
  <c r="AB76" i="1"/>
  <c r="AB44" i="1"/>
  <c r="AB62" i="1"/>
  <c r="AB197" i="1"/>
  <c r="AB240" i="1"/>
  <c r="AB296" i="1"/>
  <c r="AB241" i="1"/>
  <c r="AB266" i="1"/>
  <c r="AB304" i="1"/>
  <c r="AB146" i="1"/>
  <c r="AB162" i="1"/>
  <c r="AB114" i="1"/>
  <c r="AB186" i="1"/>
  <c r="AB198" i="1"/>
  <c r="AB273" i="1"/>
  <c r="AB297" i="1"/>
  <c r="AB254" i="1"/>
  <c r="AB243" i="1"/>
  <c r="AB201" i="1"/>
  <c r="AB193" i="1"/>
  <c r="AB365" i="1"/>
  <c r="AB366" i="1"/>
  <c r="AB169" i="1"/>
  <c r="AB229" i="1"/>
  <c r="AB274" i="1"/>
  <c r="AB340" i="1"/>
  <c r="AB367" i="1"/>
  <c r="AB368" i="1"/>
  <c r="AB369" i="1"/>
  <c r="AB370" i="1"/>
  <c r="AB371" i="1"/>
  <c r="AB194" i="1"/>
  <c r="AB105" i="1"/>
  <c r="AB172" i="1"/>
  <c r="AB187" i="1"/>
  <c r="AB157" i="1"/>
  <c r="AB134" i="1"/>
  <c r="AB111" i="1"/>
  <c r="AB124" i="1"/>
  <c r="AB154" i="1"/>
  <c r="AB173" i="1"/>
  <c r="AB142" i="1"/>
  <c r="AB188" i="1"/>
  <c r="AB31" i="1"/>
  <c r="AB87" i="1"/>
  <c r="AB102" i="1"/>
  <c r="AB192" i="1"/>
  <c r="AB189" i="1"/>
  <c r="AB160" i="1"/>
  <c r="AB180" i="1"/>
  <c r="AB147" i="1"/>
  <c r="AB168" i="1"/>
  <c r="AB80" i="1"/>
  <c r="AB181" i="1"/>
  <c r="AB131" i="1"/>
  <c r="AB89" i="1"/>
  <c r="AB8" i="1"/>
  <c r="AB328" i="1"/>
  <c r="AB348" i="1"/>
  <c r="AB329" i="1"/>
  <c r="AB305" i="1"/>
  <c r="AB330" i="1"/>
  <c r="AB331" i="1"/>
  <c r="AB399" i="1"/>
  <c r="AB332" i="1"/>
  <c r="AB306" i="1"/>
  <c r="AB400" i="1"/>
  <c r="AB333" i="1"/>
  <c r="AB307" i="1"/>
  <c r="AB308" i="1"/>
  <c r="AB334" i="1"/>
  <c r="AB401" i="1"/>
  <c r="AB402" i="1"/>
  <c r="AB403" i="1"/>
  <c r="AB404" i="1"/>
  <c r="AB372" i="1"/>
  <c r="AB335" i="1"/>
  <c r="AB349" i="1"/>
  <c r="AB350" i="1"/>
  <c r="AB276" i="1"/>
  <c r="AB257" i="1"/>
  <c r="AB277" i="1"/>
  <c r="AB351" i="1"/>
  <c r="AB199" i="1"/>
  <c r="AB221" i="1"/>
  <c r="AB140" i="1"/>
  <c r="AB74" i="1"/>
  <c r="AB95" i="1"/>
  <c r="AB161" i="1"/>
  <c r="AB280" i="1"/>
  <c r="AB262" i="1"/>
  <c r="AB227" i="1"/>
  <c r="AB245" i="1"/>
  <c r="AB234" i="1"/>
  <c r="AB275" i="1"/>
  <c r="AB267" i="1"/>
  <c r="AB23" i="1"/>
  <c r="AB373" i="1"/>
  <c r="AB374" i="1"/>
  <c r="AB19" i="1"/>
  <c r="AB375" i="1"/>
  <c r="AB53" i="1"/>
  <c r="AB281" i="1"/>
  <c r="AB184" i="1"/>
  <c r="AB414" i="1"/>
  <c r="AB310" i="1"/>
  <c r="AB252" i="1"/>
  <c r="AB238" i="1"/>
  <c r="AB311" i="1"/>
  <c r="AB426" i="1"/>
  <c r="AB123" i="1"/>
  <c r="AB41" i="1"/>
  <c r="AB141" i="1"/>
  <c r="AB298" i="1"/>
  <c r="AB97" i="1"/>
  <c r="AB405" i="1"/>
  <c r="AB148" i="1"/>
  <c r="AB246" i="1"/>
  <c r="AB49" i="1"/>
  <c r="AB106" i="1"/>
  <c r="AB427" i="1"/>
  <c r="AB37" i="1"/>
  <c r="AB150" i="1"/>
  <c r="AB230" i="1"/>
  <c r="AB321" i="1"/>
  <c r="AB78" i="1"/>
  <c r="AB109" i="1"/>
  <c r="AB84" i="1"/>
  <c r="AB137" i="1"/>
  <c r="AB79" i="1"/>
  <c r="AB208" i="1"/>
  <c r="AB67" i="1"/>
  <c r="AB72" i="1"/>
  <c r="AB39" i="1"/>
  <c r="AB43" i="1"/>
  <c r="AB3" i="1"/>
  <c r="AB5" i="1"/>
  <c r="AB174" i="1"/>
  <c r="AB233" i="1"/>
  <c r="AB47" i="1"/>
  <c r="AB66" i="1"/>
  <c r="AB166" i="1"/>
  <c r="AB415" i="1"/>
  <c r="AB416" i="1"/>
  <c r="AB417" i="1"/>
  <c r="AB312" i="1"/>
  <c r="AB226" i="1"/>
  <c r="AB113" i="1"/>
  <c r="AB12" i="1"/>
  <c r="AB341" i="1"/>
  <c r="AB75" i="1"/>
  <c r="AB268" i="1"/>
  <c r="AB352" i="1"/>
  <c r="AB322" i="1"/>
  <c r="AB112" i="1"/>
  <c r="AB65" i="1"/>
  <c r="AB71" i="1"/>
  <c r="AB85" i="1"/>
  <c r="AB282" i="1"/>
  <c r="AB99" i="1"/>
  <c r="AB6" i="1"/>
  <c r="AB428" i="1"/>
  <c r="AB248" i="1"/>
  <c r="AB26" i="1"/>
  <c r="AB179" i="1"/>
  <c r="AB418" i="1"/>
  <c r="AB247" i="1"/>
  <c r="AB286" i="1"/>
  <c r="AB51" i="1"/>
  <c r="AB42" i="1"/>
  <c r="AB48" i="1"/>
  <c r="AB313" i="1"/>
  <c r="AB64" i="1"/>
  <c r="AB314" i="1"/>
  <c r="AB315" i="1"/>
  <c r="AB316" i="1"/>
  <c r="AB239" i="1"/>
  <c r="AB90" i="1"/>
  <c r="AB129" i="1"/>
  <c r="AB383" i="1"/>
  <c r="AB384" i="1"/>
  <c r="AB101" i="1"/>
  <c r="AB103" i="1"/>
  <c r="AB34" i="1"/>
  <c r="AB45" i="1"/>
  <c r="AB190" i="1"/>
  <c r="AB96" i="1"/>
  <c r="AB158" i="1"/>
  <c r="AB20" i="1"/>
  <c r="AB7" i="1"/>
  <c r="AB104" i="1"/>
  <c r="AB32" i="1"/>
  <c r="AB15" i="1"/>
  <c r="AB24" i="1"/>
  <c r="AB69" i="1"/>
  <c r="AB196" i="1"/>
  <c r="AB406" i="1"/>
  <c r="AB376" i="1"/>
  <c r="AB200" i="1"/>
  <c r="AB11" i="1"/>
  <c r="AB29" i="1"/>
  <c r="AB18" i="1"/>
  <c r="AB163" i="1"/>
  <c r="AB68" i="1"/>
  <c r="AB9" i="1"/>
  <c r="AB16" i="1"/>
  <c r="AB278" i="1"/>
  <c r="AB291" i="1"/>
  <c r="AB299" i="1"/>
  <c r="AB149" i="1"/>
  <c r="AB353" i="1"/>
  <c r="AB244" i="1"/>
  <c r="AB83" i="1"/>
  <c r="AB70" i="1"/>
  <c r="AB407" i="1"/>
  <c r="AB419" i="1"/>
  <c r="AB429" i="1"/>
  <c r="AB4" i="1"/>
  <c r="AB420" i="1"/>
  <c r="AB408" i="1"/>
  <c r="AB409" i="1"/>
  <c r="AB410" i="1"/>
  <c r="AB430" i="1"/>
  <c r="AB385" i="1"/>
  <c r="AB342" i="1"/>
  <c r="AB287" i="1"/>
  <c r="AB250" i="1"/>
  <c r="AB421" i="1"/>
  <c r="AB431" i="1"/>
  <c r="AB224" i="1"/>
  <c r="AB411" i="1"/>
  <c r="AB432" i="1"/>
  <c r="AB300" i="1"/>
  <c r="AB116" i="1"/>
  <c r="AB263" i="1"/>
  <c r="AB132" i="1"/>
  <c r="AB354" i="1"/>
  <c r="AB177" i="1"/>
  <c r="AB253" i="1"/>
  <c r="AB422" i="1"/>
  <c r="AB343" i="1"/>
  <c r="AB288" i="1"/>
  <c r="AB292" i="1"/>
  <c r="AB344" i="1"/>
  <c r="AB423" i="1"/>
  <c r="AB424" i="1"/>
  <c r="AB317" i="1"/>
  <c r="AB259" i="1"/>
  <c r="AB301" i="1"/>
  <c r="AB318" i="1"/>
  <c r="AB345" i="1"/>
  <c r="AB231" i="1"/>
  <c r="AB386" i="1"/>
  <c r="AB206" i="1"/>
  <c r="AB323" i="1"/>
  <c r="AB387" i="1"/>
  <c r="AB388" i="1"/>
  <c r="AB336" i="1"/>
  <c r="AB389" i="1"/>
  <c r="AB324" i="1"/>
  <c r="AB390" i="1"/>
  <c r="AB391" i="1"/>
  <c r="AB392" i="1"/>
  <c r="AB393" i="1"/>
  <c r="AB394" i="1"/>
  <c r="AB377" i="1"/>
  <c r="AB378" i="1"/>
  <c r="AB395" i="1"/>
  <c r="AB412" i="1"/>
  <c r="AB355" i="1"/>
  <c r="AB337" i="1"/>
  <c r="AB346" i="1"/>
  <c r="AB396" i="1"/>
  <c r="AB356" i="1"/>
  <c r="AB357" i="1"/>
  <c r="AB319" i="1"/>
  <c r="AB338" i="1"/>
  <c r="AB358" i="1"/>
  <c r="AB28" i="1"/>
  <c r="AB25" i="1"/>
  <c r="AB98" i="1"/>
  <c r="AB182" i="1"/>
  <c r="AB175" i="1"/>
  <c r="AB379" i="1"/>
  <c r="AB325" i="1"/>
  <c r="AB283" i="1"/>
  <c r="AB215" i="1"/>
  <c r="AB176" i="1"/>
  <c r="AB359" i="1"/>
  <c r="AB326" i="1"/>
  <c r="AB232" i="1"/>
  <c r="AB143" i="1"/>
  <c r="AB164" i="1"/>
  <c r="AB228" i="1"/>
  <c r="AB152" i="1"/>
  <c r="AB120" i="1"/>
  <c r="AB170" i="1"/>
  <c r="AB14" i="1"/>
  <c r="AB159" i="1"/>
  <c r="AB58" i="1"/>
  <c r="AB60" i="1"/>
  <c r="AB167" i="1"/>
  <c r="AB211" i="1"/>
  <c r="AB212" i="1"/>
  <c r="AB203" i="1"/>
  <c r="AB153" i="1"/>
  <c r="AB165" i="1"/>
  <c r="AB210" i="1"/>
  <c r="AB209" i="1"/>
  <c r="AB138" i="1"/>
  <c r="AB171" i="1"/>
  <c r="AB156" i="1"/>
  <c r="AB13" i="1"/>
  <c r="AB10" i="1"/>
  <c r="AB63" i="1"/>
  <c r="AB40" i="1"/>
  <c r="AB380" i="1"/>
  <c r="AB22" i="1"/>
  <c r="AB435" i="1" l="1"/>
  <c r="AC435" i="1"/>
  <c r="AB433" i="1"/>
  <c r="AC433" i="1"/>
</calcChain>
</file>

<file path=xl/sharedStrings.xml><?xml version="1.0" encoding="utf-8"?>
<sst xmlns="http://schemas.openxmlformats.org/spreadsheetml/2006/main" count="965" uniqueCount="490">
  <si>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</si>
  <si>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</si>
  <si>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</si>
  <si>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</si>
  <si>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</si>
  <si>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</si>
  <si>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</si>
  <si>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</si>
  <si>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</si>
  <si>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</si>
  <si>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</si>
  <si>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</si>
  <si>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JEAI011-CDｾﾞﾝｳｪｱﾌﾙｲﾄﾞFD #011</t>
  </si>
  <si>
    <t>JEAI012-CDｾﾞﾝｳｪｱﾌﾙｲﾄﾞFD #012</t>
  </si>
  <si>
    <t>JEAI016-CDｾﾞﾝｳｪｱﾌﾙｲﾄﾞFD #016</t>
  </si>
  <si>
    <t>JEAI022-CDｾﾞﾝｳｪｱﾌﾙｲﾄﾞFD #022</t>
  </si>
  <si>
    <t>JEAI026-CDｾﾞﾝｳｪｱﾌﾙｲﾄﾞFD #026</t>
  </si>
  <si>
    <t>JEAK-CDｽｷﾝﾐﾆﾏﾘｽﾄ</t>
  </si>
  <si>
    <t>JEAP011-CDｾﾞﾝｳｪｱﾊﾟｳﾀﾞｰFD#011</t>
  </si>
  <si>
    <t>JEAP012-CDｾﾞﾝｳｪｱﾊﾟｳﾀﾞｰFD#012</t>
  </si>
  <si>
    <t>JEAP013-CDｾﾞﾝｳｪｱﾊﾟｳﾀﾞｰFD#013</t>
  </si>
  <si>
    <t>JEAP016-CDｾﾞﾝｳｪｱﾊﾟｳﾀﾞｰFD#016</t>
  </si>
  <si>
    <t>JEAP021-CDｾﾞﾝｳｪｱﾊﾟｳﾀﾞｰFD#021</t>
  </si>
  <si>
    <t>JEAP022-CDｾﾞﾝｳｪｱﾊﾟｳﾀﾞｰFD#022</t>
  </si>
  <si>
    <t>JEAP024-CDｾﾞﾝｳｪｱﾊﾟｳﾀﾞｰFD#024</t>
  </si>
  <si>
    <t>JEAP026-CDｾﾞﾝｳｪｱﾊﾟｳﾀﾞｰFD#026</t>
  </si>
  <si>
    <t>JEAP031-CDｾﾞﾝｳｪｱﾊﾟｳﾀﾞｰFD#031</t>
  </si>
  <si>
    <t>JEAP034-CDｾﾞﾝｳｪｱﾊﾟｳﾀﾞｰFD#034</t>
  </si>
  <si>
    <t>JEGG001-CDｱｲｼﾞｪﾑｽｷﾝSｸﾞﾛｳ#001</t>
  </si>
  <si>
    <t>JEGG002-CDｱｲｼﾞｪﾑｽｷﾝSｸﾞﾛｳ#002</t>
  </si>
  <si>
    <t>JEGG003-CDｱｲｼﾞｪﾑｽｷﾝSｸﾞﾛｳ#003</t>
  </si>
  <si>
    <t>JEGG004-CDｱｲｼﾞｪﾑｽｷﾝSｸﾞﾛｳ#004</t>
  </si>
  <si>
    <t>JEGG005-CDｱｲｼﾞｪﾑｽｷﾝSｸﾞﾛｳ#005</t>
  </si>
  <si>
    <t>JEGG006-CDｱｲｼﾞｪﾑｽｷﾝSｸﾞﾛｳ#006</t>
  </si>
  <si>
    <t>JEGG007-CDｱｲｼﾞｪﾑｽｷﾝSｸﾞﾛｳ#007</t>
  </si>
  <si>
    <t>JEGG008-CDｱｲｼﾞｪﾑｽｷﾝSｸﾞﾛｳ#008</t>
  </si>
  <si>
    <t>JEGG009-CDｱｲｼﾞｪﾑｽｷﾝSｸﾞﾛｳ#009</t>
  </si>
  <si>
    <t>JEGG010-CDｱｲｼﾞｪﾑｽｷﾝSｸﾞﾛｳ#010</t>
  </si>
  <si>
    <t>JEGG011-CDｱｲｼﾞｪﾑｽｷﾝSｸﾞﾛｳ#011</t>
  </si>
  <si>
    <t>JEGG012-CDｱｲｼﾞｪﾑｽｷﾝSｸﾞﾛｳ#012</t>
  </si>
  <si>
    <t>JEGG013-CDｱｲｼﾞｪﾑｽｷﾝSｸﾞﾛｳ#013</t>
  </si>
  <si>
    <t>JEGG014-CDｱｲｼﾞｪﾑｽｷﾝSｸﾞﾛｳ#014</t>
  </si>
  <si>
    <t>JEGG015-CDｱｲｼﾞｪﾑｽｷﾝSｸﾞﾛｳ#015</t>
  </si>
  <si>
    <t>JEGG016-CDｱｲｼﾞｪﾑｽｷﾝSｸﾞﾛｳ#016</t>
  </si>
  <si>
    <t>JEGG017-CDｱｲｼﾞｪﾑｽｷﾝSｸﾞﾛｳ#017</t>
  </si>
  <si>
    <t>JEGG019-CDｱｲｼﾞｪﾑｽｷﾝSｸﾞﾛｳ#019</t>
  </si>
  <si>
    <t>JEGG020-CDｱｲｼﾞｪﾑｽｷﾝSｸﾞﾛｳ#020</t>
  </si>
  <si>
    <t>JEGH021-CDｱｲｼﾞｪﾑｽｷﾝSﾏｯﾄ #021</t>
  </si>
  <si>
    <t>JEGH022-CDｱｲｼﾞｪﾑｽｷﾝSﾏｯﾄ #022</t>
  </si>
  <si>
    <t>JEGH023-CDｱｲｼﾞｪﾑｽｷﾝSﾏｯﾄ #023</t>
  </si>
  <si>
    <t>JEGH024-CDｱｲｼﾞｪﾑｽｷﾝSﾏｯﾄ #024</t>
  </si>
  <si>
    <t>JEGH025-CDｱｲｼﾞｪﾑｽｷﾝSﾏｯﾄ #025</t>
  </si>
  <si>
    <t>JEGH026-CDｱｲｼﾞｪﾑｽｷﾝSﾏｯﾄ #026</t>
  </si>
  <si>
    <t>JEGH027-CDｱｲｼﾞｪﾑｽｷﾝSﾏｯﾄ #027</t>
  </si>
  <si>
    <t>JEGH028-CDｱｲｼﾞｪﾑｽｷﾝSﾏｯﾄ #028</t>
  </si>
  <si>
    <t>JEGH029-CDｱｲｼﾞｪﾑｽｷﾝSﾏｯﾄ #029</t>
  </si>
  <si>
    <t>JEGH030-CDｱｲｼﾞｪﾑｽｷﾝSﾏｯﾄ #030</t>
  </si>
  <si>
    <t>JEIB002-CDﾍﾟﾝｼﾙｱｲﾌﾞﾛｳ   #002</t>
  </si>
  <si>
    <t>JEIG001-CDｼﾞｪﾙｱｲﾗｲﾅｰ    #001</t>
  </si>
  <si>
    <t>JEIG301-CDｼﾞｪﾙｱｲﾗｲﾅｰ    #301</t>
  </si>
  <si>
    <t>JEJA002-CDﾌﾟﾗﾝﾋﾟﾝｸﾞLS02 #002</t>
  </si>
  <si>
    <t>JEJB001-CDﾌﾟﾗﾝﾋﾟﾝｸﾞLS01 #001</t>
  </si>
  <si>
    <t>JEJC003-CDﾌﾟﾗﾝﾋﾟﾝｸﾞLS03 #003</t>
  </si>
  <si>
    <t>JEJG007-CDﾙｰｼﾞｭLﾃﾞｭｰｲ   #007</t>
  </si>
  <si>
    <t>JEJG009-CDﾙｰｼﾞｭLﾃﾞｭｰｲ   #009</t>
  </si>
  <si>
    <t>JEJG010-CDﾙｰｼﾞｭLﾃﾞｭｰｲ   #010</t>
  </si>
  <si>
    <t>JEJG012-CDﾙｰｼﾞｭLﾃﾞｭｰｲ   #012</t>
  </si>
  <si>
    <t>JEJG013-CDﾙｰｼﾞｭLﾃﾞｭｰｲ   #013</t>
  </si>
  <si>
    <t>JEJM018-CDﾙｰｼﾞｭLﾌｫｷﾞｰ   #018</t>
  </si>
  <si>
    <t>JELT001-CDﾙｰｼﾞｭDｸﾘｰﾑG   #001</t>
  </si>
  <si>
    <t>JELT002-CDﾙｰｼﾞｭDｸﾘｰﾑG   #002</t>
  </si>
  <si>
    <t>JELT003-CDﾙｰｼﾞｭDｸﾘｰﾑG   #003</t>
  </si>
  <si>
    <t>JELT004-CDﾙｰｼﾞｭDｸﾘｰﾑG   #004</t>
  </si>
  <si>
    <t>JELT005-CDﾙｰｼﾞｭDｸﾘｰﾑG   #005</t>
  </si>
  <si>
    <t>JELT006-CDﾙｰｼﾞｭDｸﾘｰﾑG   #006</t>
  </si>
  <si>
    <t>JELT007-CDﾙｰｼﾞｭDｸﾘｰﾑG   #007</t>
  </si>
  <si>
    <t>JELT008-CDﾙｰｼﾞｭDｸﾘｰﾑG   #008</t>
  </si>
  <si>
    <t>JELT009-CDﾙｰｼﾞｭDｸﾘｰﾑG   #009</t>
  </si>
  <si>
    <t>JELT010-CDﾙｰｼﾞｭDｸﾘｰﾑG   #010</t>
  </si>
  <si>
    <t>JELT011-CDﾙｰｼﾞｭDｸﾘｰﾑG   #011</t>
  </si>
  <si>
    <t>JELT012-CDﾙｰｼﾞｭDｸﾘｰﾑG   #012</t>
  </si>
  <si>
    <t>JELT013-CDﾙｰｼﾞｭDｸﾘｰﾑG   #013</t>
  </si>
  <si>
    <t>JELT014-CDﾙｰｼﾞｭDｸﾘｰﾑG   #014</t>
  </si>
  <si>
    <t>JELT015-CDﾙｰｼﾞｭDｸﾘｰﾑG   #015</t>
  </si>
  <si>
    <t>JELT016-CDﾙｰｼﾞｭDｸﾘｰﾑG   #016</t>
  </si>
  <si>
    <t>JELT017-CDﾙｰｼﾞｭDｸﾘｰﾑG   #017</t>
  </si>
  <si>
    <t>JELT018-CDﾙｰｼﾞｭDｸﾘｰﾑG   #018</t>
  </si>
  <si>
    <t>JELT019-CDﾙｰｼﾞｭDｸﾘｰﾑG   #019</t>
  </si>
  <si>
    <t>JELT020-CDﾙｰｼﾞｭDｸﾘｰﾑG   #020</t>
  </si>
  <si>
    <t>JELT021-CDﾙｰｼﾞｭDｸﾘｰﾑG   #021</t>
  </si>
  <si>
    <t>JELT022-CDﾙｰｼﾞｭDｸﾘｰﾑG   #022</t>
  </si>
  <si>
    <t>JELT023-CDﾙｰｼﾞｭDｸﾘｰﾑG   #023</t>
  </si>
  <si>
    <t>JELT024-CDﾙｰｼﾞｭDｸﾘｰﾑG   #024</t>
  </si>
  <si>
    <t>JELT025-CDﾙｰｼﾞｭDｸﾘｰﾑG   #025</t>
  </si>
  <si>
    <t>JEPA201-CDｻﾞｽｷﾝﾊﾟｳﾀﾞｰFDa#201</t>
  </si>
  <si>
    <t>JEPA202-CDｻﾞｽｷﾝﾊﾟｳﾀﾞｰFDa#202</t>
  </si>
  <si>
    <t>JEPA300-CDｻﾞｽｷﾝﾊﾟｳﾀﾞｰFDa#300</t>
  </si>
  <si>
    <t>JEPA301-CDｻﾞｽｷﾝﾊﾟｳﾀﾞｰFDa#301</t>
  </si>
  <si>
    <t>JEPA302-CDｻﾞｽｷﾝﾊﾟｳﾀﾞｰFDa#302</t>
  </si>
  <si>
    <t>JETB001-CDﾃｨﾝﾄﾌﾟﾗﾝﾊﾟｰ   #001</t>
  </si>
  <si>
    <t>JETB002-CDﾃｨﾝﾄﾌﾟﾗﾝﾊﾟｰ   #002</t>
  </si>
  <si>
    <t>JETB003-CDﾃｨﾝﾄﾌﾟﾗﾝﾊﾟｰ   #003</t>
  </si>
  <si>
    <t>JETB004-CDﾃｨﾝﾄﾌﾟﾗﾝﾊﾟｰ   #004</t>
  </si>
  <si>
    <t>JETB005-CDﾃｨﾝﾄﾌﾟﾗﾝﾊﾟｰ   #005</t>
  </si>
  <si>
    <t>JEYP-CDｾﾞﾝｳｪｱPFDｹｰｽ</t>
  </si>
  <si>
    <t>JEZU-CDﾊﾟｳﾀﾞｰFDｹｰｽA</t>
  </si>
  <si>
    <t>JKFA-CD HCｿﾌﾅｰ</t>
  </si>
  <si>
    <t>JKFB-CD HCｿﾌﾅｰER</t>
  </si>
  <si>
    <t>JKFD-CD HCｸﾘｰﾑ</t>
  </si>
  <si>
    <t>JKFE-CDHCｸﾚﾝｼﾞﾝｸﾞEM</t>
  </si>
  <si>
    <t>JKFF-CD HCｼﾞｪﾙｳｫｯｼｭ</t>
  </si>
  <si>
    <t>JKFN-CD HCｴｯｾﾝｽﾏｽｸ</t>
  </si>
  <si>
    <t>JLAB-CDﾎﾜｲﾄﾛｼﾞｽﾄNBC40</t>
  </si>
  <si>
    <t>JLAD-CD Mﾊﾞｰﾑﾛｰｼｮﾝ</t>
  </si>
  <si>
    <t>JLAE-CD ｽﾉｰｸﾗﾘﾌｧｲｱ</t>
  </si>
  <si>
    <t>JLAK-CD ﾎﾜｲﾄﾛｼﾞｽﾄﾏｽｸ6</t>
  </si>
  <si>
    <t>JLAQ-CD MﾊﾞｰﾑLﾐｽﾄ</t>
  </si>
  <si>
    <t>JLMZ-CD ｸﾚｲﾌﾞﾗﾝ HC</t>
  </si>
  <si>
    <t>JQFH-AQ_ﾍｱﾐｽﾄ</t>
  </si>
  <si>
    <t>JQHG-AQｽﾑｰｽｼｬﾝﾌﾟｰ250</t>
  </si>
  <si>
    <t>JQHI-AQｽﾑｰｽｺﾝﾃﾞ250</t>
  </si>
  <si>
    <t>JQHO-AQｽﾑｰｽｼｬﾝﾌﾟｰ600</t>
  </si>
  <si>
    <t>JQHQ-AQﾌﾞｰｽﾃｨﾝｸﾞﾍｱｾﾗﾑ</t>
  </si>
  <si>
    <t>JQHV-AQｽﾑｰｽｺﾝﾃﾞ600</t>
  </si>
  <si>
    <t>JQIF-CDｷﾓﾉYUI_15n</t>
  </si>
  <si>
    <t>JQIG-CDｷﾓﾉKIHIN_15n</t>
  </si>
  <si>
    <t>JQIH-CDｷﾓﾉURARA_15n</t>
  </si>
  <si>
    <t>JQII-CDｷﾓﾉRIN_15n</t>
  </si>
  <si>
    <t>JQIW-CDｷﾓﾉYUI_edt</t>
  </si>
  <si>
    <t>JQKU-CDｷﾓﾉ ﾂﾔ_hc</t>
  </si>
  <si>
    <t>JQKW-CDｷﾓﾉ ﾕｲ_hc</t>
  </si>
  <si>
    <t>JQRO-CD23AQｹｱﾅﾋﾞﾖｳｴｷ</t>
  </si>
  <si>
    <t>JQVU-CDｷﾓﾉ ﾂﾔ_bl</t>
  </si>
  <si>
    <t>JQVW-CDｷﾓﾉ ﾕｲ_bl</t>
  </si>
  <si>
    <t>JQVX-CDｷﾓﾉ ｷﾋﾝ_bl</t>
  </si>
  <si>
    <t>JQVY-CDｷﾓﾉ ｳﾗﾗ_bl</t>
  </si>
  <si>
    <t>JQVZ-CDｷﾓﾉ ﾘﾝ_bl</t>
  </si>
  <si>
    <t>JSUL001-CDｻﾝｼｪﾙﾀｰMPCC   #001</t>
  </si>
  <si>
    <t>JSUL002-CDｻﾝｼｪﾙﾀｰMPCC   #002</t>
  </si>
  <si>
    <t>JSUL010-CDｻﾝｼｪﾙﾀｰMPCC   #010</t>
  </si>
  <si>
    <t>JVAE-CD ﾘﾎﾟｿｰﾑｱｲｾﾗﾑ</t>
  </si>
  <si>
    <t>JVAG-CD ﾘﾎﾟｿｰﾑｾﾗﾑ75</t>
  </si>
  <si>
    <t>JVAI-CD ﾘﾎﾟｿｰﾑｾﾗﾑ30</t>
  </si>
  <si>
    <t>JVAK-CD ﾘﾎﾟｿｰﾑﾘｯﾌﾟｾﾗﾑ</t>
  </si>
  <si>
    <t>JVAN-CD ﾘﾎﾟｿｰﾑｾﾗﾑ50</t>
  </si>
  <si>
    <t>JVAW-CD ﾘﾎﾟｿｰﾑｸﾘｰﾑ</t>
  </si>
  <si>
    <t>JVFT-CD Mﾘﾎﾟｿｰﾑ ﾏｽｸ</t>
  </si>
  <si>
    <t>JVJL-CD ﾘﾎﾟｿｰﾑTﾘｷｯﾄﾞ</t>
  </si>
  <si>
    <t>JVSF-CDｱｲﾋﾟｰｼｮｯﾄPYC</t>
  </si>
  <si>
    <t>JVXC-CD ﾕｰｽﾊﾟﾜｰｴｯｾﾝｽ</t>
  </si>
  <si>
    <t>MTAA-ｾｯｷｾｲﾊｰﾊﾞﾙｼﾞｪﾙ</t>
  </si>
  <si>
    <t>MTKT-SKCW UVｴｯｾﾝｽﾐﾙｸ</t>
  </si>
  <si>
    <t>MTKW-SKCW UVﾄｰﾝｱｯﾌﾟ</t>
  </si>
  <si>
    <t>SIBC019-JS ﾌﾞﾙｰﾑｸﾁｭｰﾙE  #019</t>
  </si>
  <si>
    <t>SIFD-JS CBﾎﾞﾃﾞｨｸﾘｰﾑ</t>
  </si>
  <si>
    <t>SIHF-JS ﾍｱﾌﾞﾗｼ</t>
  </si>
  <si>
    <t>SIRA003-JSﾊﾟｽﾃﾙﾍﾟﾀﾙ     #003</t>
  </si>
  <si>
    <t>SIRA005-JSﾊﾟｽﾃﾙﾍﾟﾀﾙ     #005</t>
  </si>
  <si>
    <t>SJFG-JS CBﾊﾝﾄﾞ</t>
  </si>
  <si>
    <t>SJFW-JS CBﾍｱﾐｽﾄ</t>
  </si>
  <si>
    <t>SJLP001-JS ｴｱﾘｰﾁｭｰﾙﾙｰｽP #001</t>
  </si>
  <si>
    <t>SJPK003-JS ﾌﾞﾙｰﾑﾐｯｸｽBC  #003</t>
  </si>
  <si>
    <t>SJPK030-JS ﾌﾞﾙｰﾑﾐｯｸｽBC  #030</t>
  </si>
  <si>
    <t>STFR-JS ｸﾘｽﾀﾙﾌﾞﾙｰﾑ30</t>
  </si>
  <si>
    <t>DLEA-ﾒｲｸｷｰﾌﾟﾐｽﾄEX+</t>
  </si>
  <si>
    <t>JEVN-CDｸﾞﾛｳｽﾎﾟﾝｼﾞ</t>
  </si>
  <si>
    <t>JQFA-AQ_EDP30</t>
  </si>
  <si>
    <t>JQFB-AQ_EDP100</t>
  </si>
  <si>
    <t>MTBD-SKｴｯｾﾝｽｿｰﾌﾟ</t>
  </si>
  <si>
    <t>JEGP001-CDｽｷﾝSｱｲﾊﾟﾚｯﾄ   #001</t>
  </si>
  <si>
    <t>JEGP002-CDｽｷﾝSｱｲﾊﾟﾚｯﾄ   #002</t>
  </si>
  <si>
    <t>JEGP003-CDｽｷﾝSｱｲﾊﾟﾚｯﾄ   #003</t>
  </si>
  <si>
    <t>JEGP004-CDｽｷﾝSｱｲﾊﾟﾚｯﾄ   #004</t>
  </si>
  <si>
    <t>JEGP005-CDｽｷﾝSｱｲﾊﾟﾚｯﾄ   #005</t>
  </si>
  <si>
    <t>JEGP006-CDｽｷﾝSｱｲﾊﾟﾚｯﾄ   #006</t>
  </si>
  <si>
    <t>JEGP007-CDｽｷﾝSｱｲﾊﾟﾚｯﾄ   #007</t>
  </si>
  <si>
    <t>JQHM-AQﾎﾞﾘｭﾑｼｬﾝﾌﾟｰ600</t>
  </si>
  <si>
    <t>JQHN-AQﾎﾞﾘｭﾑｼｬﾝﾌﾟｰ500</t>
  </si>
  <si>
    <t>JQHP-AQｽﾑｰｽｼｬﾝﾌﾟｰ500</t>
  </si>
  <si>
    <t>JQHT-AQﾎﾞﾘｭﾑｺﾝﾃﾞ600</t>
  </si>
  <si>
    <t>JQHU-AQﾎﾞﾘｭﾑｺﾝﾃﾞ600R</t>
  </si>
  <si>
    <t>JQHW-AQｽﾑｰｽｺﾝﾃﾞ600R</t>
  </si>
  <si>
    <t>MWMY-SKMｻｲｸﾚｲﾀｰB</t>
  </si>
  <si>
    <t>JEAI023-CDｾﾞﾝｳｪｱﾌﾙｲﾄﾞFD #023</t>
  </si>
  <si>
    <t>JEBP803-CDﾊﾟｳﾀﾞｰﾌﾞﾗｯｼｭ  #803</t>
  </si>
  <si>
    <t>JEBP807-CDﾊﾟｳﾀﾞｰﾌﾞﾗｯｼｭ  #807</t>
  </si>
  <si>
    <t>JEGG018-CDｱｲｼﾞｪﾑｽｷﾝSｸﾞﾛｳ#018</t>
  </si>
  <si>
    <t>JEIC002-CDﾍﾟﾝｼﾙｱｲﾌﾞﾛｳR  #002</t>
  </si>
  <si>
    <t>JEIC301-CDﾍﾟﾝｼﾙｱｲﾌﾞﾛｳR  #301</t>
  </si>
  <si>
    <t>JQHJ-AQｽｶﾙﾌﾟﾍｱｼｮｯﾄ</t>
  </si>
  <si>
    <t>JVAR-CD ﾘﾎﾟｿｰﾑｾﾗﾑ75R</t>
  </si>
  <si>
    <t>MTNA-SKｸﾚﾝｼﾞﾝｸﾞｵｲﾙ160</t>
  </si>
  <si>
    <t>MTNC-ｾｯｷｾｲｸﾘｰﾑｳｵｯｼｭ</t>
  </si>
  <si>
    <t>MUCF-OBKﾎﾟｱｸﾘｱSｳｫｯｼｭ</t>
  </si>
  <si>
    <t>MUCH-OBK ﾎﾟｱｸﾘｱｵｲﾙ</t>
  </si>
  <si>
    <t>MUSC-OBKｾﾗﾑｼｰﾙﾄﾞ</t>
  </si>
  <si>
    <t>MUXA-OBKｾﾗﾑVDRﾚｷﾞｭﾗｰ</t>
  </si>
  <si>
    <t>MWAF-SKMｱﾙﾃｨﾒｲﾄｴﾏﾙｼﾞｮ</t>
  </si>
  <si>
    <t>MWAJ-SKM UL Eｸﾘｰﾑ</t>
  </si>
  <si>
    <t>MWCO001-SKMｺﾝｼｰﾗｰ       #001</t>
  </si>
  <si>
    <t>MWGP-SKMｺﾞｰﾙﾃﾞﾝﾏｽｸ</t>
  </si>
  <si>
    <t>JEAI024-CDｾﾞﾝｳｪｱﾌﾙｲﾄﾞFD #024</t>
  </si>
  <si>
    <t>JEAI031-CDｾﾞﾝｳｪｱﾌﾙｲﾄﾞFD #031</t>
  </si>
  <si>
    <t>JEAI034-CDｾﾞﾝｳｪｱﾌﾙｲﾄﾞFD #034</t>
  </si>
  <si>
    <t>JEAT011-CDｾﾞﾝｳｪｱｸﾞﾛｳFD  #011</t>
  </si>
  <si>
    <t>JEAT016-CDｾﾞﾝｳｪｱｸﾞﾛｳFD  #016</t>
  </si>
  <si>
    <t>JEAT022-CDｾﾞﾝｳｪｱｸﾞﾛｳFD  #022</t>
  </si>
  <si>
    <t>JEAT026-CDｾﾞﾝｳｪｱｸﾞﾛｳFD  #026</t>
  </si>
  <si>
    <t>JEFC000-CDﾄｰﾝPﾊﾟﾚｯﾄ     #000</t>
  </si>
  <si>
    <t>JEFC001-CDﾄｰﾝPﾊﾟﾚｯﾄ     #001</t>
  </si>
  <si>
    <t>JEFC002-CDﾄｰﾝPﾊﾟﾚｯﾄ     #002</t>
  </si>
  <si>
    <t>JENE-CDﾛｰｼﾞｰﾌﾟﾗｲﾏｰ</t>
  </si>
  <si>
    <t>JETR-CDﾛｰｼﾞｰﾌﾟﾗｲﾏｰ+</t>
  </si>
  <si>
    <t>MERL-ﾔｸﾖｳｾｯｷｾｲ ER</t>
  </si>
  <si>
    <t>MEWV-ﾔｸﾖｳ ｾﾂｷｾｲ</t>
  </si>
  <si>
    <t>MTBL-SKCWﾓｲｽﾄﾘﾍﾟｱﾐﾙｸ</t>
  </si>
  <si>
    <t>MTEA-SKｱｲｸﾘｰﾑN</t>
  </si>
  <si>
    <t>MTKV-SKCW UVﾏｲﾙﾄﾞﾐﾙｸ</t>
  </si>
  <si>
    <t>MTOL-ｾｯｷｾｲ ｸﾘｰﾑｳｫｯｼｭN</t>
  </si>
  <si>
    <t>MTSC-ｾｯｷｾｲ ｹｼｮｳｽｲN</t>
  </si>
  <si>
    <t>MTSD-ｾｯｷｾｲ ﾆｭｳｴｷN</t>
  </si>
  <si>
    <t>MTSE-ｾｯｷｾｲ ｹｼｮｳｽｲBIG</t>
  </si>
  <si>
    <t>MTSU-ｾｯｷｾｲ ｸﾘｰﾑ N</t>
  </si>
  <si>
    <t>MTVT002-SKCWｴｱﾘｰBB      #002</t>
  </si>
  <si>
    <t>JEAI013-CDｾﾞﾝｳｪｱﾌﾙｲﾄﾞFD #013</t>
  </si>
  <si>
    <t>JEAI014-CDｾﾞﾝｳｪｱﾌﾙｲﾄﾞFD #014</t>
  </si>
  <si>
    <t>JEAI015-CDｾﾞﾝｳｪｱﾌﾙｲﾄﾞFD #015</t>
  </si>
  <si>
    <t>JEAI025-CDｾﾞﾝｳｪｱﾌﾙｲﾄﾞFD #025</t>
  </si>
  <si>
    <t>JEAI043-CDｾﾞﾝｳｪｱﾌﾙｲﾄﾞFD #043</t>
  </si>
  <si>
    <t>JEAT010-CDｾﾞﾝｳｪｱｸﾞﾛｳFD  #010</t>
  </si>
  <si>
    <t>JEAT012-CDｾﾞﾝｳｪｱｸﾞﾛｳFD  #012</t>
  </si>
  <si>
    <t>JEAT013-CDｾﾞﾝｳｪｱｸﾞﾛｳFD  #013</t>
  </si>
  <si>
    <t>JEAT021-CDｾﾞﾝｳｪｱｸﾞﾛｳFD  #021</t>
  </si>
  <si>
    <t>JEAT024-CDｾﾞﾝｳｪｱｸﾞﾛｳFD  #024</t>
  </si>
  <si>
    <t>JEAT031-CDｾﾞﾝｳｪｱｸﾞﾛｳFD  #031</t>
  </si>
  <si>
    <t>JEAT034-CDｾﾞﾝｳｪｱｸﾞﾛｳFD  #034</t>
  </si>
  <si>
    <t>JEBP808-CDﾊﾟｳﾀﾞｰﾌﾞﾗｯｼｭ  #808</t>
  </si>
  <si>
    <t>JEIB302-CDﾍﾟﾝｼﾙｱｲﾌﾞﾛｳ   #302</t>
  </si>
  <si>
    <t>JEIC302-CDﾍﾟﾝｼﾙｱｲﾌﾞﾛｳR  #302</t>
  </si>
  <si>
    <t>JEIH001-CDｼﾞｪﾙｱｲﾗｲﾅｰR   #001</t>
  </si>
  <si>
    <t>JEIH301-CDｼﾞｪﾙｱｲﾗｲﾅｰR   #301</t>
  </si>
  <si>
    <t>JEIL001-CDﾘｷｯﾄﾞｱｲﾗｲﾅｰ   #001</t>
  </si>
  <si>
    <t>JEIL301-CDﾘｷｯﾄﾞｱｲﾗｲﾅｰ   #301</t>
  </si>
  <si>
    <t>JEVO-CDﾒｲｸﾂｰﾙﾄﾚｰ</t>
  </si>
  <si>
    <t>JQHF-AQﾎﾞﾘｭﾑｼｬﾝﾌﾟｰ250</t>
  </si>
  <si>
    <t>JQHH-AQﾎﾞﾘｭﾑｺﾝﾃﾞ250</t>
  </si>
  <si>
    <t>MTLD-SKｽｷﾝｹｱUVｼﾞｪﾙN</t>
  </si>
  <si>
    <t>MTLE-SKｽｷﾝｹｱUVﾐﾙｸN</t>
  </si>
  <si>
    <t>MTVT001-SKCWｴｱﾘｰBB      #001</t>
  </si>
  <si>
    <t>MUPD-OBKｸﾘｱﾋﾟｰﾙｾﾗﾑ</t>
  </si>
  <si>
    <t>JEAI021-CDｾﾞﾝｳｪｱﾌﾙｲﾄﾞFD #021</t>
  </si>
  <si>
    <t>SIBC003-JS ﾌﾞﾙｰﾑｸﾁｭｰﾙE  #003</t>
  </si>
  <si>
    <t>SIBC007-JS ﾌﾞﾙｰﾑｸﾁｭｰﾙE  #007</t>
  </si>
  <si>
    <t>SIBC026-JS ﾌﾞﾙｰﾑｸﾁｭｰﾙE  #026</t>
  </si>
  <si>
    <t>SIED001-JS ﾌﾞﾙｰﾑCEﾌﾞｰｹ  #001</t>
  </si>
  <si>
    <t>SIED002-JS ﾌﾞﾙｰﾑCEﾌﾞｰｹ  #002</t>
  </si>
  <si>
    <t>SIED004-JS ﾌﾞﾙｰﾑCEﾌﾞｰｹ  #004</t>
  </si>
  <si>
    <t>SILD001-JS ﾘｯﾌﾟﾌﾞﾛｯｻﾑ24 #001</t>
  </si>
  <si>
    <t>SILD002-JS ﾘｯﾌﾟﾌﾞﾛｯｻﾑ24 #002</t>
  </si>
  <si>
    <t>SILD003-JS ﾘｯﾌﾟﾌﾞﾛｯｻﾑ24 #003</t>
  </si>
  <si>
    <t>SILD004-JS ﾘｯﾌﾟﾌﾞﾛｯｻﾑ24 #004</t>
  </si>
  <si>
    <t>SILD005-JS ﾘｯﾌﾟﾌﾞﾛｯｻﾑ24 #005</t>
  </si>
  <si>
    <t>SILD006-JS ﾘｯﾌﾟﾌﾞﾛｯｻﾑ24 #006</t>
  </si>
  <si>
    <t>SILD007-JS ﾘｯﾌﾟﾌﾞﾛｯｻﾑ24 #007</t>
  </si>
  <si>
    <t>SILD008-JS ﾘｯﾌﾟﾌﾞﾛｯｻﾑ24 #008</t>
  </si>
  <si>
    <t>SILD010-JS ﾘｯﾌﾟﾌﾞﾛｯｻﾑ24 #010</t>
  </si>
  <si>
    <t>SILD011-JS ﾘｯﾌﾟﾌﾞﾛｯｻﾑ24 #011</t>
  </si>
  <si>
    <t>SILD012-JS ﾘｯﾌﾟﾌﾞﾛｯｻﾑ24 #012</t>
  </si>
  <si>
    <t>SILD013-JS ﾘｯﾌﾟﾌﾞﾛｯｻﾑ24 #013</t>
  </si>
  <si>
    <t>SILD014-JS ﾘｯﾌﾟﾌﾞﾛｯｻﾑ24 #014</t>
  </si>
  <si>
    <t>SILD015-JS ﾘｯﾌﾟﾌﾞﾛｯｻﾑ24 #015</t>
  </si>
  <si>
    <t>SILD016-JS ﾘｯﾌﾟﾌﾞﾛｯｻﾑ24 #016</t>
  </si>
  <si>
    <t>SILD017-JS ﾘｯﾌﾟﾌﾞﾛｯｻﾑ24 #017</t>
  </si>
  <si>
    <t>SILD018-JS ﾘｯﾌﾟﾌﾞﾛｯｻﾑ24 #018</t>
  </si>
  <si>
    <t>SILD019-JS ﾘｯﾌﾟﾌﾞﾛｯｻﾑ24 #019</t>
  </si>
  <si>
    <t>SILD020-JS ﾘｯﾌﾟﾌﾞﾛｯｻﾑ24 #020</t>
  </si>
  <si>
    <t>SILD021-JS ﾘｯﾌﾟﾌﾞﾛｯｻﾑ24 #021</t>
  </si>
  <si>
    <t>SILD022-JS ﾘｯﾌﾟﾌﾞﾛｯｻﾑ24 #022</t>
  </si>
  <si>
    <t>SILD023-JS ﾘｯﾌﾟﾌﾞﾛｯｻﾑ24 #023</t>
  </si>
  <si>
    <t>SILD024-JS ﾘｯﾌﾟﾌﾞﾛｯｻﾑ24 #024</t>
  </si>
  <si>
    <t>SILD025-JS ﾘｯﾌﾟﾌﾞﾛｯｻﾑ24 #025</t>
  </si>
  <si>
    <t>SIOA001-JS ｲﾙﾐﾈｲﾃｨﾝｸﾞP  #001</t>
  </si>
  <si>
    <t>SIOA002-JS ｲﾙﾐﾈｲﾃｨﾝｸﾞP  #002</t>
  </si>
  <si>
    <t>SIOA003-JS ｲﾙﾐﾈｲﾃｨﾝｸﾞP  #003</t>
  </si>
  <si>
    <t>SION016-JS ｼﾞｭｴﾙﾄﾞﾌﾞｰｹLP#016</t>
  </si>
  <si>
    <t>SIRA001-JSﾊﾟｽﾃﾙﾍﾟﾀﾙ     #001</t>
  </si>
  <si>
    <t>SIRA002-JSﾊﾟｽﾃﾙﾍﾟﾀﾙ     #002</t>
  </si>
  <si>
    <t>SIRA004-JSﾊﾟｽﾃﾙﾍﾟﾀﾙ     #004</t>
  </si>
  <si>
    <t>SIRA006-JSﾊﾟｽﾃﾙﾍﾟﾀﾙ     #006</t>
  </si>
  <si>
    <t>SIRD-JSﾌﾗﾜｰﾊﾟﾌ</t>
  </si>
  <si>
    <t>SITM-JSUVﾌﾟﾛﾃｸﾀｰW</t>
  </si>
  <si>
    <t>SJFA-JS ｸﾘﾀﾙﾌﾞﾙｰﾑ10</t>
  </si>
  <si>
    <t>SJFD-JS CBﾎﾞﾃﾞｨL</t>
  </si>
  <si>
    <t>SJLP003-JS ｴｱﾘｰﾁｭｰﾙﾙｰｽP #003</t>
  </si>
  <si>
    <t>SJPK001-JS ﾌﾞﾙｰﾑﾐｯｸｽBC  #001</t>
  </si>
  <si>
    <t>SJPK002-JS ﾌﾞﾙｰﾑﾐｯｸｽBC  #002</t>
  </si>
  <si>
    <t>SJPK027-JS ﾌﾞﾙｰﾑﾐｯｸｽBC  #027</t>
  </si>
  <si>
    <t>SJPK028-JS ﾌﾞﾙｰﾑﾐｯｸｽBC  #028</t>
  </si>
  <si>
    <t>SJPN-JS ﾁｰｸｶﾗｰﾌﾞﾗｼ</t>
  </si>
  <si>
    <t>MTBM-SKCWﾓｲｽﾄﾘﾍﾟｱｸﾘｰﾑ</t>
  </si>
  <si>
    <t>MTPL-SKCWﾏｲﾙﾄﾞPｾﾗﾑ</t>
  </si>
  <si>
    <t>MELW-ｾｯｷｾｲﾐﾙｷｨｳｫｯｼｭ</t>
  </si>
  <si>
    <t>MTOE001-ｾｯｷｾｲBBｴｯｾﾝｽ    #001</t>
  </si>
  <si>
    <t>MTOE002-ｾｯｷｾｲBBｴｯｾﾝｽ    #002</t>
  </si>
  <si>
    <t>MTON-ｾｯｷｾｲ CｳｫｯｼｭN20</t>
  </si>
  <si>
    <t>JEVK-CDｱｲﾌﾞﾛｳﾌﾞﾗｼ1</t>
  </si>
  <si>
    <t>SIBC020-JS ﾌﾞﾙｰﾑｸﾁｭｰﾙE  #020</t>
  </si>
  <si>
    <t>SIBC025-JS ﾌﾞﾙｰﾑｸﾁｭｰﾙE  #025</t>
  </si>
  <si>
    <t>STAZ-JS ﾊﾝﾄﾞﾐﾗｰ</t>
  </si>
  <si>
    <t>STFQ-JS ｸﾘｽﾀﾙﾌﾞﾙｰﾑ50</t>
  </si>
  <si>
    <t>STMY-JS ｺﾝﾊﾟｸﾄﾐﾗｰ2</t>
  </si>
  <si>
    <t>JEDZ001-CDﾀﾞｽﾞﾘﾝｸﾞｼﾞｪﾑ  #001</t>
  </si>
  <si>
    <t>MWKI-SKMｱﾙﾃｨﾒｲﾄPG</t>
  </si>
  <si>
    <t>SIAU-JS MLBﾊﾝﾄﾞE30</t>
  </si>
  <si>
    <t>SIED013-JS ﾌﾞﾙｰﾑCEﾌﾞｰｹ  #013</t>
  </si>
  <si>
    <t>SIED014-JS ﾌﾞﾙｰﾑCEﾌﾞｰｹ  #014</t>
  </si>
  <si>
    <t>SIGN113-JS SB25ﾘｯﾌﾟﾌﾞｰｹ #113</t>
  </si>
  <si>
    <t>SJCN-JS ｺﾝﾊﾟｸﾄﾐﾗｰ4</t>
  </si>
  <si>
    <t>MWAG-SKMｱﾙﾃｨﾒｲﾄｸﾘｰﾑ</t>
  </si>
  <si>
    <t>MWBH-SKMｱﾙﾃｨﾒｲﾄﾏｽｸ</t>
  </si>
  <si>
    <t>JEAI033-CDｾﾞﾝｳｪｱﾌﾙｲﾄﾞFD #033</t>
  </si>
  <si>
    <t>JEBO150-CDｸﾘｰﾑﾌﾞﾗｯｼｭ    #150</t>
  </si>
  <si>
    <t>JEBO250-CDｸﾘｰﾑﾌﾞﾗｯｼｭ    #250</t>
  </si>
  <si>
    <t>JEBP400-CDﾊﾟｳﾀﾞｰﾌﾞﾗｯｼｭ  #400</t>
  </si>
  <si>
    <t>JEPA303-CDｻﾞｽｷﾝﾊﾟｳﾀﾞｰFDa#303</t>
  </si>
  <si>
    <t>JQHR-AQ Bﾍｱｾﾗﾑ ﾚﾌｨﾙ</t>
  </si>
  <si>
    <t>JCAZ-MX ﾌﾟﾛｽﾎﾟﾝｼﾞ</t>
  </si>
  <si>
    <t>JCFC301-MX ｶﾊﾞﾘﾝｸﾞFD    #301</t>
  </si>
  <si>
    <t>JCFC302-MX ｶﾊﾞﾘﾝｸﾞFD    #302</t>
  </si>
  <si>
    <t>JCFC401-MX ｶﾊﾞﾘﾝｸﾞFD    #401</t>
  </si>
  <si>
    <t>JEAI032-CDｾﾞﾝｳｪｱﾌﾙｲﾄﾞFD #032</t>
  </si>
  <si>
    <t>JEAI053-CDｾﾞﾝｳｪｱﾌﾙｲﾄﾞFD #053</t>
  </si>
  <si>
    <t>JEBM302-CDﾌﾞﾛｳｽﾀｲﾘﾝｸﾞC  #302</t>
  </si>
  <si>
    <t>JEBO001-CDｸﾘｰﾑﾌﾞﾗｯｼｭ    #001</t>
  </si>
  <si>
    <t>JEBO251-CDｸﾘｰﾑﾌﾞﾗｯｼｭ    #251</t>
  </si>
  <si>
    <t>JEBO350-CDｸﾘｰﾑﾌﾞﾗｯｼｭ    #350</t>
  </si>
  <si>
    <t>JEBO850-CDｸﾘｰﾑﾌﾞﾗｯｼｭ    #850</t>
  </si>
  <si>
    <t>JEBO851-CDｸﾘｰﾑﾌﾞﾗｯｼｭ    #851</t>
  </si>
  <si>
    <t>JEBO855-CDｸﾘｰﾑﾌﾞﾗｯｼｭ    #855</t>
  </si>
  <si>
    <t>JEBP202-CDﾊﾟｳﾀﾞｰﾌﾞﾗｯｼｭ  #202</t>
  </si>
  <si>
    <t>JEBP301-CDﾊﾟｳﾀﾞｰﾌﾞﾗｯｼｭ  #301</t>
  </si>
  <si>
    <t>JEBP402-CDﾊﾟｳﾀﾞｰﾌﾞﾗｯｼｭ  #402</t>
  </si>
  <si>
    <t>JEBP801-CDﾊﾟｳﾀﾞｰﾌﾞﾗｯｼｭ  #801</t>
  </si>
  <si>
    <t>JEEA011-CDｺﾝﾄｩｱﾘﾝｸﾞｱｲS  #011</t>
  </si>
  <si>
    <t>JEEA012-CDｺﾝﾄｩｱﾘﾝｸﾞｱｲS  #012</t>
  </si>
  <si>
    <t>JEEA013-CDｺﾝﾄｩｱﾘﾝｸﾞｱｲS  #013</t>
  </si>
  <si>
    <t>JEEA014-CDｺﾝﾄｩｱﾘﾝｸﾞｱｲS  #014</t>
  </si>
  <si>
    <t>JEEA015-CDｺﾝﾄｩｱﾘﾝｸﾞｱｲS  #015</t>
  </si>
  <si>
    <t>JEEA017-CDｺﾝﾄｩｱﾘﾝｸﾞｱｲS  #017</t>
  </si>
  <si>
    <t>JEEA018-CDｺﾝﾄｩｱﾘﾝｸﾞｱｲS  #018</t>
  </si>
  <si>
    <t>JEFF-CDTｾｯﾃｨﾝｸﾞﾊﾟｳﾀﾞｰ</t>
  </si>
  <si>
    <t>JEGG032-CDｱｲｼﾞｪﾑｽｷﾝSｸﾞﾛｳ#032</t>
  </si>
  <si>
    <t>JEGY-CDｱｲｼｬﾄﾞｳﾁｯﾌﾟﾐﾆ</t>
  </si>
  <si>
    <t>JEGZ-CDｱｲｼｬﾄﾞｳﾌﾞﾗｼﾐﾆ</t>
  </si>
  <si>
    <t>JEIB301-CDﾍﾟﾝｼﾙｱｲﾌﾞﾛｳ   #301</t>
  </si>
  <si>
    <t>JEIB303-CDﾍﾟﾝｼﾙｱｲﾌﾞﾛｳ   #303</t>
  </si>
  <si>
    <t>JEIC303-CDﾍﾟﾝｼﾙｱｲﾌﾞﾛｳR  #303</t>
  </si>
  <si>
    <t>JEIG101-CDｼﾞｪﾙｱｲﾗｲﾅｰ    #101</t>
  </si>
  <si>
    <t>JEIG401-CDｼﾞｪﾙｱｲﾗｲﾅｰ    #401</t>
  </si>
  <si>
    <t>JEIG901-CDｼﾞｪﾙｱｲﾗｲﾅｰ    #901</t>
  </si>
  <si>
    <t>JEIH101-CDｼﾞｪﾙｱｲﾗｲﾅｰR   #101</t>
  </si>
  <si>
    <t>JEIH401-CDｼﾞｪﾙｱｲﾗｲﾅｰR   #401</t>
  </si>
  <si>
    <t>JEIH901-CDｼﾞｪﾙｱｲﾗｲﾅｰR   #901</t>
  </si>
  <si>
    <t>JEIM001-CDﾘｷｯﾄﾞｱｲﾗｲﾅｰR  #001</t>
  </si>
  <si>
    <t>JEIM301-CDﾘｷｯﾄﾞｱｲﾗｲﾅｰR  #301</t>
  </si>
  <si>
    <t>JEIP301-CDﾊﾟｳﾀﾞｰｱｲﾌﾞﾛｳ  #301</t>
  </si>
  <si>
    <t>JEIP302-CDﾊﾟｳﾀﾞｰｱｲﾌﾞﾛｳ  #302</t>
  </si>
  <si>
    <t>JEIX-CDｱｲﾌﾞﾛｳﾌﾞﾗｼS</t>
  </si>
  <si>
    <t>JEIY-CDｱｲﾌﾞﾛｳﾌﾞﾗｼM</t>
  </si>
  <si>
    <t>JENQ001-CDｽｷﾆﾌｨｯｸﾈｲﾙｶﾗｰ #001</t>
  </si>
  <si>
    <t>JENQ002-CDｽｷﾆﾌｨｯｸﾈｲﾙｶﾗｰ #002</t>
  </si>
  <si>
    <t>JENQ003-CDｽｷﾆﾌｨｯｸﾈｲﾙｶﾗｰ #003</t>
  </si>
  <si>
    <t>JENQ004-CDｽｷﾆﾌｨｯｸﾈｲﾙｶﾗｰ #004</t>
  </si>
  <si>
    <t>JENQ005-CDｽｷﾆﾌｨｯｸﾈｲﾙｶﾗｰ #005</t>
  </si>
  <si>
    <t>JENQ006-CDｽｷﾆﾌｨｯｸﾈｲﾙｶﾗｰ #006</t>
  </si>
  <si>
    <t>JENQ007-CDｽｷﾆﾌｨｯｸﾈｲﾙｶﾗｰ #007</t>
  </si>
  <si>
    <t>JENQ008-CDｽｷﾆﾌｨｯｸﾈｲﾙｶﾗｰ #008</t>
  </si>
  <si>
    <t>JENQ009-CDｽｷﾆﾌｨｯｸﾈｲﾙｶﾗｰ #009</t>
  </si>
  <si>
    <t>JENQ010-CDｽｷﾆﾌｨｯｸﾈｲﾙｶﾗｰ #010</t>
  </si>
  <si>
    <t>JENQ011-CDｽｷﾆﾌｨｯｸﾈｲﾙｶﾗｰ #011</t>
  </si>
  <si>
    <t>JENQ012-CDｽｷﾆﾌｨｯｸﾈｲﾙｶﾗｰ #012</t>
  </si>
  <si>
    <t>JENQ013-CDｽｷﾆﾌｨｯｸﾈｲﾙｶﾗｰ #013</t>
  </si>
  <si>
    <t>JENQ014-CDｽｷﾆﾌｨｯｸﾈｲﾙｶﾗｰ #014</t>
  </si>
  <si>
    <t>JENQ015-CDｽｷﾆﾌｨｯｸﾈｲﾙｶﾗｰ #015</t>
  </si>
  <si>
    <t>JENQ016-CDｽｷﾆﾌｨｯｸﾈｲﾙｶﾗｰ #016</t>
  </si>
  <si>
    <t>JENQ017-CDｽｷﾆﾌｨｯｸﾈｲﾙｶﾗｰ #017</t>
  </si>
  <si>
    <t>JENQ018-CDｽｷﾆﾌｨｯｸﾈｲﾙｶﾗｰ #018</t>
  </si>
  <si>
    <t>JENQ019-CDｽｷﾆﾌｨｯｸﾈｲﾙｶﾗｰ #019</t>
  </si>
  <si>
    <t>JENQ020-CDｽｷﾆﾌｨｯｸﾈｲﾙｶﾗｰ #020</t>
  </si>
  <si>
    <t>JENQ021-CDｽｷﾆﾌｨｯｸﾈｲﾙｶﾗｰ #021</t>
  </si>
  <si>
    <t>JENQ022-CDｽｷﾆﾌｨｯｸﾈｲﾙｶﾗｰ #022</t>
  </si>
  <si>
    <t>JENR-CDﾛｰｼﾞｰﾄｯﾌﾟｺｰﾄ</t>
  </si>
  <si>
    <t>JENT-CDｸﾘｽﾀﾙﾄｯﾌﾟｺｰﾄ</t>
  </si>
  <si>
    <t>JENU-CDﾈｲﾙﾘﾑｰﾊﾞｰ</t>
  </si>
  <si>
    <t>JENW-CDﾘﾍﾟｱﾈｲﾙｾﾗﾑ</t>
  </si>
  <si>
    <t>JERT011-CDﾃｨﾝﾄﾘｯﾌﾟｸﾞﾛｽ  #011</t>
  </si>
  <si>
    <t>JERT012-CDﾃｨﾝﾄﾘｯﾌﾟｸﾞﾛｽ  #012</t>
  </si>
  <si>
    <t>JEVL-CDｱｲﾌﾞﾛｳﾌﾞﾗｼ2</t>
  </si>
  <si>
    <t>JEYX-CDｾﾞﾝPｽﾎﾟﾝｼﾞ</t>
  </si>
  <si>
    <t>JITF301-CDｴﾊﾞｰｸﾘｽﾀﾙPFD  #301</t>
  </si>
  <si>
    <t>JITF303-CDｴﾊﾞｰｸﾘｽﾀﾙPFD  #303</t>
  </si>
  <si>
    <t>JIVF301-CDｲｰﾌﾞﾝPﾊﾟｳﾀﾞｰFD#301</t>
  </si>
  <si>
    <t>JIVF302-CDｲｰﾌﾞﾝPﾊﾟｳﾀﾞｰFD#302</t>
  </si>
  <si>
    <t>JIVF303-CDｲｰﾌﾞﾝPﾊﾟｳﾀﾞｰFD#303</t>
  </si>
  <si>
    <t>JIVZ-CDﾌｧﾝﾃﾞｰｼｮﾝｹｰｽE</t>
  </si>
  <si>
    <t>JKFC-CD HC ﾔｸﾖｳﾛｰｼｮﾝ</t>
  </si>
  <si>
    <t>JSIB-CDｻﾝｼｪﾙﾀｰCap30</t>
  </si>
  <si>
    <t>MECB001-SK ﾎﾜｲﾄBB       #001</t>
  </si>
  <si>
    <t>MECB002-SK ﾎﾜｲﾄBB       #002</t>
  </si>
  <si>
    <t>MEFE-ﾔｸﾖｾｯｷｾｲﾆｭｳｴｷ</t>
  </si>
  <si>
    <t>MERM-ﾔｸﾖｳｾｯｷｾｲﾆｭｳｴｷER</t>
  </si>
  <si>
    <t>MEWZ-SK ｹｼｮｳｽｲｼﾀﾃｾｯｹﾝ</t>
  </si>
  <si>
    <t>MTCP-SKCWｼﾞｪﾝﾄﾙｳｫｯｼｭR</t>
  </si>
  <si>
    <t>MTEI-SKCWﾅﾁｭﾗﾙﾄﾞﾘｯﾌﾟR</t>
  </si>
  <si>
    <t>MTEL-SKCWｽﾑｰｼﾞﾝｸﾞR</t>
  </si>
  <si>
    <t>MTQF-SKCW Vｾﾗﾑ</t>
  </si>
  <si>
    <t>MTQT-SKﾄｰﾝｱｯﾌﾟUV</t>
  </si>
  <si>
    <t>MTSF-ｾｯｷｾｲ ｹｼｮｳｽｲN TR</t>
  </si>
  <si>
    <t>MTSW-ｾｯｷｾｲ ｹｼｮｳｽｲN R</t>
  </si>
  <si>
    <t>MTSX-ｾｯｷｾｲ ﾆｭｳｴｷN R</t>
  </si>
  <si>
    <t>MTSY-ｾｯｷｾｲ ｸﾘｰﾑN R</t>
  </si>
  <si>
    <t>MTWV-SKCWﾅﾁｭﾗﾙﾄﾞﾘｯﾌﾟ</t>
  </si>
  <si>
    <t>MTYM-SKCWﾋﾟｭｱｺﾝｸS</t>
  </si>
  <si>
    <t>MTYN-SKCWﾘﾌｧｲﾆﾝｸﾞﾐﾙｸS</t>
  </si>
  <si>
    <t>MTYO-SKCWﾋﾟｭｱｺﾝｸSR</t>
  </si>
  <si>
    <t>MTYP-SKCWﾘﾌｧｲﾆﾝｸﾞSR</t>
  </si>
  <si>
    <t>MWBI205-SKM ﾓﾃﾞﾘﾝｸﾞLFD  #205</t>
  </si>
  <si>
    <t>MWBI305-SKM ﾓﾃﾞﾘﾝｸﾞLFD  #305</t>
  </si>
  <si>
    <t>MWBI310-SKM ﾓﾃﾞﾘﾝｸﾞLFD  #310</t>
  </si>
  <si>
    <t>MWBI400-SKM ﾓﾃﾞﾘﾝｸﾞLFD  #400</t>
  </si>
  <si>
    <t>MWBI410-SKM ﾓﾃﾞﾘﾝｸﾞLFD  #410</t>
  </si>
  <si>
    <t>MWBI415-SKM ﾓﾃﾞﾘﾝｸﾞLFD  #415</t>
  </si>
  <si>
    <t>MWCM400-SKMULｸﾘｰﾑﾌｧﾝﾃﾞ  #400</t>
  </si>
  <si>
    <t>MWCM410-SKMULｸﾘｰﾑﾌｧﾝﾃﾞ  #410</t>
  </si>
  <si>
    <t>MWFA-SKMｱｸﾃｨﾛｰｼｮﾝ</t>
  </si>
  <si>
    <t>MWFP001-SKMﾌｪｲｽﾊﾟｳﾀﾞｰ   #001</t>
  </si>
  <si>
    <t>MWGA-SKMｱｸﾃｨｴﾏﾙｼﾞｮﾝ</t>
  </si>
  <si>
    <t>MWMZ-SKMｻｲｸﾚｲﾀｰBﾚﾌｨﾙ</t>
  </si>
  <si>
    <t>SINO001-JS ｱﾛﾏﾃｨｯｸﾈｲﾙｵｲﾙ#001</t>
  </si>
  <si>
    <t>SINO002-JS ｱﾛﾏﾃｨｯｸﾈｲﾙｵｲﾙ#002</t>
  </si>
  <si>
    <t>STMZ-JS ｺﾝﾊﾟｸﾄﾐﾗｰ</t>
  </si>
  <si>
    <t>YNPM001-VSﾘｯﾌﾟﾌﾟﾗﾝﾊﾟｰｾｯﾄ#001</t>
  </si>
  <si>
    <t>ブランド</t>
    <phoneticPr fontId="2"/>
  </si>
  <si>
    <t>商品</t>
    <rPh sb="0" eb="2">
      <t>ショウヒン</t>
    </rPh>
    <phoneticPr fontId="2"/>
  </si>
  <si>
    <t>数量</t>
    <rPh sb="0" eb="2">
      <t>スウリョウ</t>
    </rPh>
    <phoneticPr fontId="2"/>
  </si>
  <si>
    <t>金額</t>
    <rPh sb="0" eb="2">
      <t>キンガク</t>
    </rPh>
    <phoneticPr fontId="2"/>
  </si>
  <si>
    <t>MKM</t>
    <phoneticPr fontId="2"/>
  </si>
  <si>
    <t>CD</t>
    <phoneticPr fontId="2"/>
  </si>
  <si>
    <t>SEK</t>
    <phoneticPr fontId="2"/>
  </si>
  <si>
    <t>OBK</t>
    <phoneticPr fontId="2"/>
  </si>
  <si>
    <t>JS</t>
    <phoneticPr fontId="2"/>
  </si>
  <si>
    <t>VS</t>
    <phoneticPr fontId="2"/>
  </si>
  <si>
    <t>合計</t>
    <rPh sb="0" eb="2">
      <t>ゴウケイ</t>
    </rPh>
    <phoneticPr fontId="2"/>
  </si>
  <si>
    <t>累計</t>
    <rPh sb="0" eb="2">
      <t>ルイケイ</t>
    </rPh>
    <phoneticPr fontId="10"/>
  </si>
  <si>
    <t>No.</t>
    <phoneticPr fontId="10"/>
  </si>
  <si>
    <t>商品符号</t>
    <rPh sb="0" eb="4">
      <t>ショウヒンフゴウ</t>
    </rPh>
    <phoneticPr fontId="10"/>
  </si>
  <si>
    <t>商品名称</t>
    <rPh sb="0" eb="4">
      <t>ショウヒンメイショウ</t>
    </rPh>
    <phoneticPr fontId="10"/>
  </si>
  <si>
    <t>合計</t>
    <rPh sb="0" eb="2">
      <t>ゴウケイ</t>
    </rPh>
    <phoneticPr fontId="10"/>
  </si>
  <si>
    <t>数量</t>
    <phoneticPr fontId="10"/>
  </si>
  <si>
    <t>金額</t>
    <phoneticPr fontId="10"/>
  </si>
  <si>
    <t>JQHQ-AQﾌﾞｰｽﾃｨﾝｸﾞﾍｱｾﾗﾑ</t>
    <phoneticPr fontId="2"/>
  </si>
  <si>
    <t>JQHQ</t>
    <phoneticPr fontId="2"/>
  </si>
  <si>
    <t>MUSC-OBKｾﾗﾑｼｰﾙﾄﾞ</t>
    <phoneticPr fontId="2"/>
  </si>
  <si>
    <t>MUSC</t>
    <phoneticPr fontId="2"/>
  </si>
  <si>
    <t>JQHR-AQ Bﾍｱｾﾗﾑ ﾚﾌｨﾙ</t>
    <phoneticPr fontId="2"/>
  </si>
  <si>
    <t>JQHR</t>
    <phoneticPr fontId="2"/>
  </si>
  <si>
    <t>JVAI-CD ﾘﾎﾟｿｰﾑｾﾗﾑ30</t>
    <phoneticPr fontId="2"/>
  </si>
  <si>
    <t>JVAI</t>
    <phoneticPr fontId="2"/>
  </si>
  <si>
    <t>MTLE-SKｽｷﾝｹｱUVﾐﾙｸN</t>
    <phoneticPr fontId="2"/>
  </si>
  <si>
    <t>MTLE</t>
    <phoneticPr fontId="2"/>
  </si>
  <si>
    <t>JENE-CDﾛｰｼﾞｰﾌﾟﾗｲﾏｰ</t>
    <phoneticPr fontId="2"/>
  </si>
  <si>
    <t>JENE</t>
    <phoneticPr fontId="2"/>
  </si>
  <si>
    <t>MTSW-ｾｯｷｾｲ ｹｼｮｳｽｲN R</t>
    <phoneticPr fontId="2"/>
  </si>
  <si>
    <t>MTSW</t>
    <phoneticPr fontId="2"/>
  </si>
  <si>
    <t>JCFC301-MX ｶﾊﾞﾘﾝｸﾞFD    #301</t>
    <phoneticPr fontId="2"/>
  </si>
  <si>
    <t>JCFC301</t>
    <phoneticPr fontId="2"/>
  </si>
  <si>
    <t>MTSC-ｾｯｷｾｲ ｹｼｮｳｽｲN</t>
    <phoneticPr fontId="2"/>
  </si>
  <si>
    <t>MTSC</t>
    <phoneticPr fontId="2"/>
  </si>
  <si>
    <t>JQRO-CD23AQｹｱﾅﾋﾞﾖｳｴｷ</t>
    <phoneticPr fontId="2"/>
  </si>
  <si>
    <t>JQRO</t>
    <phoneticPr fontId="2"/>
  </si>
  <si>
    <t>ブランド</t>
    <phoneticPr fontId="10"/>
  </si>
  <si>
    <t>構成比</t>
    <rPh sb="0" eb="3">
      <t>コウセイヒ</t>
    </rPh>
    <phoneticPr fontId="10"/>
  </si>
  <si>
    <t>ONE  BY  KOSE</t>
    <phoneticPr fontId="10"/>
  </si>
  <si>
    <t>CCS</t>
    <phoneticPr fontId="10"/>
  </si>
  <si>
    <t>DECORTE</t>
    <phoneticPr fontId="2"/>
  </si>
  <si>
    <t>雪肌精</t>
    <rPh sb="0" eb="3">
      <t>セッキセイ</t>
    </rPh>
    <phoneticPr fontId="10"/>
  </si>
  <si>
    <t>VISEE</t>
    <phoneticPr fontId="10"/>
  </si>
  <si>
    <t>JILLSTUART</t>
    <phoneticPr fontId="10"/>
  </si>
  <si>
    <t>No</t>
    <phoneticPr fontId="2"/>
  </si>
  <si>
    <t>構成比</t>
    <rPh sb="0" eb="3">
      <t>コウセイヒ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</si>
</sst>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 x14ac:knownFonts="1">
    <font>
      <sz val="10"/>
      <color rgb="FF000000"/>
      <name val="Arial"/>
    </font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9"/>
      <color rgb="FF333333"/>
      <name val="UD デジタル 教科書体 NK"/>
      <family val="1"/>
      <charset val="128"/>
    </font>
    <font>
      <b/>
      <sz val="10"/>
      <color theme="0"/>
      <name val="UD デジタル 教科書体 NK"/>
      <family val="1"/>
      <charset val="128"/>
    </font>
    <font>
      <sz val="9"/>
      <color theme="0"/>
      <name val="UD デジタル 教科書体 NK"/>
      <family val="1"/>
      <charset val="128"/>
    </font>
    <font>
      <b/>
      <sz val="10"/>
      <color rgb="FFFFFFFF"/>
      <name val="UD デジタル 教科書体 NK"/>
      <family val="1"/>
      <charset val="128"/>
    </font>
    <font>
      <sz val="10"/>
      <color rgb="FF333333"/>
      <name val="UD デジタル 教科書体 NK"/>
      <family val="1"/>
      <charset val="128"/>
    </font>
    <font>
      <sz val="10"/>
      <color rgb="FF000000"/>
      <name val="UD デジタル 教科書体 NK"/>
      <family val="1"/>
      <charset val="128"/>
    </font>
    <font>
      <sz val="11"/>
      <color theme="1"/>
      <name val="UD デジタル 教科書体 NK"/>
      <family val="1"/>
      <charset val="128"/>
    </font>
    <font>
      <sz val="6"/>
      <name val="游ゴシック"/>
      <family val="3"/>
      <charset val="128"/>
      <scheme val="minor"/>
    </font>
    <font>
      <b/>
      <sz val="10"/>
      <color theme="1"/>
      <name val="UD デジタル 教科書体 NK"/>
      <family val="1"/>
      <charset val="128"/>
    </font>
    <font>
      <sz val="10"/>
      <color theme="1"/>
      <name val="UD デジタル 教科書体 NK"/>
      <family val="1"/>
      <charset val="128"/>
    </font>
    <font>
      <b/>
      <sz val="9"/>
      <color theme="1"/>
      <name val="UD デジタル 教科書体 NK"/>
      <family val="1"/>
      <charset val="128"/>
    </font>
    <font>
      <sz val="9"/>
      <color theme="1"/>
      <name val="UD デジタル 教科書体 NK"/>
      <family val="1"/>
      <charset val="128"/>
    </font>
    <font>
      <sz val="9"/>
      <name val="UD デジタル 教科書体 NK"/>
      <family val="1"/>
      <charset val="128"/>
    </font>
    <font>
      <b/>
      <sz val="10"/>
      <color theme="0"/>
      <name val="SimSun"/>
      <family val="1"/>
      <charset val="134"/>
    </font>
    <font>
      <sz val="9"/>
      <color rgb="FF000000"/>
      <name val="UD デジタル 教科書体 NK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256FA"/>
        <bgColor rgb="FFFFFFFF"/>
      </patternFill>
    </fill>
    <fill>
      <patternFill patternType="solid">
        <fgColor rgb="FFDEDEDE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424142"/>
      </left>
      <right style="thin">
        <color rgb="FF424142"/>
      </right>
      <top style="thin">
        <color rgb="FF424142"/>
      </top>
      <bottom style="thin">
        <color rgb="FF424142"/>
      </bottom>
      <diagonal/>
    </border>
    <border>
      <left style="thin">
        <color rgb="FF424142"/>
      </left>
      <right/>
      <top style="thin">
        <color rgb="FF424142"/>
      </top>
      <bottom style="thin">
        <color rgb="FF424142"/>
      </bottom>
      <diagonal/>
    </border>
    <border>
      <left/>
      <right style="thin">
        <color rgb="FF424142"/>
      </right>
      <top style="thin">
        <color rgb="FF424142"/>
      </top>
      <bottom style="thin">
        <color rgb="FF424142"/>
      </bottom>
      <diagonal/>
    </border>
    <border>
      <left style="thin">
        <color rgb="FF424142"/>
      </left>
      <right style="thin">
        <color rgb="FF424142"/>
      </right>
      <top style="thin">
        <color rgb="FF424142"/>
      </top>
      <bottom/>
      <diagonal/>
    </border>
    <border>
      <left style="thin">
        <color rgb="FF424142"/>
      </left>
      <right style="thin">
        <color rgb="FF424142"/>
      </right>
      <top/>
      <bottom style="thin">
        <color rgb="FF4241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38" fontId="3" fillId="2" borderId="0" xfId="1" applyFont="1" applyFill="1" applyAlignment="1">
      <alignment horizontal="left"/>
    </xf>
    <xf numFmtId="38" fontId="5" fillId="2" borderId="0" xfId="1" applyFont="1" applyFill="1" applyAlignment="1">
      <alignment horizontal="center" vertical="center"/>
    </xf>
    <xf numFmtId="38" fontId="4" fillId="3" borderId="1" xfId="1" applyFont="1" applyFill="1" applyBorder="1" applyAlignment="1">
      <alignment horizontal="center" vertical="center"/>
    </xf>
    <xf numFmtId="38" fontId="6" fillId="3" borderId="1" xfId="1" applyFont="1" applyFill="1" applyBorder="1" applyAlignment="1">
      <alignment horizontal="left"/>
    </xf>
    <xf numFmtId="38" fontId="6" fillId="3" borderId="1" xfId="1" applyFont="1" applyFill="1" applyBorder="1" applyAlignment="1">
      <alignment horizontal="center" vertical="center"/>
    </xf>
    <xf numFmtId="38" fontId="7" fillId="4" borderId="1" xfId="1" applyFont="1" applyFill="1" applyBorder="1" applyAlignment="1">
      <alignment horizontal="right"/>
    </xf>
    <xf numFmtId="38" fontId="7" fillId="2" borderId="1" xfId="1" applyFont="1" applyFill="1" applyBorder="1" applyAlignment="1">
      <alignment horizontal="right"/>
    </xf>
    <xf numFmtId="38" fontId="6" fillId="3" borderId="4" xfId="1" applyFont="1" applyFill="1" applyBorder="1" applyAlignment="1">
      <alignment horizontal="left"/>
    </xf>
    <xf numFmtId="38" fontId="6" fillId="3" borderId="4" xfId="1" applyFont="1" applyFill="1" applyBorder="1" applyAlignment="1">
      <alignment horizontal="center" vertical="center"/>
    </xf>
    <xf numFmtId="38" fontId="7" fillId="2" borderId="4" xfId="1" applyFont="1" applyFill="1" applyBorder="1" applyAlignment="1">
      <alignment horizontal="right"/>
    </xf>
    <xf numFmtId="38" fontId="7" fillId="4" borderId="4" xfId="1" applyFont="1" applyFill="1" applyBorder="1" applyAlignment="1">
      <alignment horizontal="right"/>
    </xf>
    <xf numFmtId="38" fontId="8" fillId="5" borderId="6" xfId="1" applyFont="1" applyFill="1" applyBorder="1">
      <alignment vertical="center"/>
    </xf>
    <xf numFmtId="38" fontId="8" fillId="0" borderId="0" xfId="1" applyFont="1">
      <alignment vertical="center"/>
    </xf>
    <xf numFmtId="38" fontId="8" fillId="0" borderId="0" xfId="1" applyFont="1" applyAlignment="1">
      <alignment horizontal="center" vertical="center"/>
    </xf>
    <xf numFmtId="38" fontId="3" fillId="2" borderId="1" xfId="1" applyFont="1" applyFill="1" applyBorder="1" applyAlignment="1">
      <alignment horizontal="left"/>
    </xf>
    <xf numFmtId="38" fontId="7" fillId="4" borderId="0" xfId="1" applyFont="1" applyFill="1" applyBorder="1" applyAlignment="1">
      <alignment horizontal="right"/>
    </xf>
    <xf numFmtId="0" fontId="9" fillId="0" borderId="0" xfId="0" applyFont="1" applyAlignment="1"/>
    <xf numFmtId="176" fontId="11" fillId="6" borderId="13" xfId="1" applyNumberFormat="1" applyFont="1" applyFill="1" applyBorder="1" applyAlignment="1">
      <alignment horizontal="center" vertical="top"/>
    </xf>
    <xf numFmtId="176" fontId="11" fillId="6" borderId="14" xfId="1" applyNumberFormat="1" applyFont="1" applyFill="1" applyBorder="1" applyAlignment="1">
      <alignment horizontal="center" vertical="top"/>
    </xf>
    <xf numFmtId="176" fontId="12" fillId="0" borderId="15" xfId="0" applyNumberFormat="1" applyFont="1" applyBorder="1" applyAlignment="1"/>
    <xf numFmtId="176" fontId="12" fillId="0" borderId="16" xfId="0" applyNumberFormat="1" applyFont="1" applyBorder="1" applyAlignment="1"/>
    <xf numFmtId="0" fontId="12" fillId="0" borderId="17" xfId="0" applyFont="1" applyBorder="1" applyAlignment="1"/>
    <xf numFmtId="38" fontId="12" fillId="6" borderId="18" xfId="1" applyFont="1" applyFill="1" applyBorder="1" applyAlignment="1"/>
    <xf numFmtId="38" fontId="12" fillId="6" borderId="19" xfId="1" applyFont="1" applyFill="1" applyBorder="1" applyAlignment="1"/>
    <xf numFmtId="176" fontId="12" fillId="0" borderId="20" xfId="0" applyNumberFormat="1" applyFont="1" applyBorder="1" applyAlignment="1"/>
    <xf numFmtId="176" fontId="12" fillId="0" borderId="21" xfId="0" applyNumberFormat="1" applyFont="1" applyBorder="1" applyAlignment="1"/>
    <xf numFmtId="0" fontId="12" fillId="0" borderId="22" xfId="0" applyFont="1" applyBorder="1" applyAlignment="1"/>
    <xf numFmtId="38" fontId="12" fillId="6" borderId="16" xfId="1" applyFont="1" applyFill="1" applyBorder="1" applyAlignment="1"/>
    <xf numFmtId="176" fontId="12" fillId="0" borderId="23" xfId="0" applyNumberFormat="1" applyFont="1" applyBorder="1" applyAlignment="1"/>
    <xf numFmtId="176" fontId="12" fillId="0" borderId="24" xfId="0" applyNumberFormat="1" applyFont="1" applyBorder="1" applyAlignment="1"/>
    <xf numFmtId="0" fontId="12" fillId="0" borderId="25" xfId="0" applyFont="1" applyBorder="1" applyAlignment="1"/>
    <xf numFmtId="38" fontId="12" fillId="6" borderId="26" xfId="1" applyFont="1" applyFill="1" applyBorder="1" applyAlignment="1"/>
    <xf numFmtId="38" fontId="12" fillId="6" borderId="27" xfId="1" applyFont="1" applyFill="1" applyBorder="1" applyAlignment="1"/>
    <xf numFmtId="0" fontId="13" fillId="0" borderId="6" xfId="0" applyFont="1" applyBorder="1" applyAlignment="1">
      <alignment horizontal="center" vertical="center"/>
    </xf>
    <xf numFmtId="176" fontId="13" fillId="7" borderId="6" xfId="1" applyNumberFormat="1" applyFont="1" applyFill="1" applyBorder="1" applyAlignment="1">
      <alignment horizontal="center" vertical="top"/>
    </xf>
    <xf numFmtId="176" fontId="13" fillId="7" borderId="28" xfId="1" applyNumberFormat="1" applyFont="1" applyFill="1" applyBorder="1" applyAlignment="1">
      <alignment horizontal="center" vertical="top"/>
    </xf>
    <xf numFmtId="176" fontId="13" fillId="7" borderId="29" xfId="1" applyNumberFormat="1" applyFont="1" applyFill="1" applyBorder="1" applyAlignment="1">
      <alignment horizontal="center" vertical="top"/>
    </xf>
    <xf numFmtId="0" fontId="0" fillId="0" borderId="0" xfId="0" applyAlignment="1"/>
    <xf numFmtId="38" fontId="14" fillId="7" borderId="18" xfId="1" applyFont="1" applyFill="1" applyBorder="1" applyAlignment="1"/>
    <xf numFmtId="9" fontId="14" fillId="7" borderId="18" xfId="2" applyFont="1" applyFill="1" applyBorder="1" applyAlignment="1"/>
    <xf numFmtId="38" fontId="14" fillId="7" borderId="17" xfId="1" applyFont="1" applyFill="1" applyBorder="1" applyAlignment="1"/>
    <xf numFmtId="9" fontId="14" fillId="7" borderId="17" xfId="2" applyFont="1" applyFill="1" applyBorder="1" applyAlignment="1"/>
    <xf numFmtId="38" fontId="14" fillId="7" borderId="16" xfId="1" applyFont="1" applyFill="1" applyBorder="1" applyAlignment="1"/>
    <xf numFmtId="9" fontId="14" fillId="7" borderId="16" xfId="2" applyFont="1" applyFill="1" applyBorder="1" applyAlignment="1"/>
    <xf numFmtId="38" fontId="15" fillId="7" borderId="16" xfId="1" applyFont="1" applyFill="1" applyBorder="1" applyAlignment="1"/>
    <xf numFmtId="176" fontId="12" fillId="0" borderId="12" xfId="0" applyNumberFormat="1" applyFont="1" applyFill="1" applyBorder="1" applyAlignment="1"/>
    <xf numFmtId="38" fontId="14" fillId="7" borderId="12" xfId="1" applyFont="1" applyFill="1" applyBorder="1" applyAlignment="1"/>
    <xf numFmtId="9" fontId="14" fillId="7" borderId="12" xfId="2" applyFont="1" applyFill="1" applyBorder="1" applyAlignment="1"/>
    <xf numFmtId="9" fontId="14" fillId="7" borderId="30" xfId="2" applyFont="1" applyFill="1" applyBorder="1" applyAlignment="1"/>
    <xf numFmtId="38" fontId="4" fillId="3" borderId="4" xfId="1" applyFont="1" applyFill="1" applyBorder="1" applyAlignment="1">
      <alignment horizontal="center" vertical="center"/>
    </xf>
    <xf numFmtId="38" fontId="4" fillId="3" borderId="3" xfId="1" applyFont="1" applyFill="1" applyBorder="1" applyAlignment="1">
      <alignment horizontal="center" vertical="center"/>
    </xf>
    <xf numFmtId="38" fontId="0" fillId="0" borderId="0" xfId="1" applyFont="1" applyAlignment="1"/>
    <xf numFmtId="38" fontId="8" fillId="0" borderId="0" xfId="1" applyFont="1" applyAlignment="1"/>
    <xf numFmtId="38" fontId="4" fillId="3" borderId="2" xfId="1" applyFont="1" applyFill="1" applyBorder="1" applyAlignment="1">
      <alignment horizontal="center" vertical="center"/>
    </xf>
    <xf numFmtId="38" fontId="4" fillId="3" borderId="3" xfId="1" applyFont="1" applyFill="1" applyBorder="1" applyAlignment="1">
      <alignment horizontal="center" vertical="center"/>
    </xf>
    <xf numFmtId="38" fontId="8" fillId="5" borderId="6" xfId="1" applyFont="1" applyFill="1" applyBorder="1" applyAlignment="1">
      <alignment horizontal="center" vertical="center"/>
    </xf>
    <xf numFmtId="38" fontId="4" fillId="3" borderId="4" xfId="1" applyFont="1" applyFill="1" applyBorder="1" applyAlignment="1">
      <alignment horizontal="center" vertical="center"/>
    </xf>
    <xf numFmtId="38" fontId="4" fillId="3" borderId="5" xfId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76" fontId="11" fillId="6" borderId="9" xfId="0" applyNumberFormat="1" applyFont="1" applyFill="1" applyBorder="1" applyAlignment="1">
      <alignment horizontal="center"/>
    </xf>
    <xf numFmtId="176" fontId="11" fillId="6" borderId="10" xfId="0" applyNumberFormat="1" applyFont="1" applyFill="1" applyBorder="1" applyAlignment="1">
      <alignment horizontal="center"/>
    </xf>
    <xf numFmtId="38" fontId="16" fillId="3" borderId="4" xfId="1" applyFont="1" applyFill="1" applyBorder="1" applyAlignment="1">
      <alignment horizontal="center" vertical="center"/>
    </xf>
    <xf numFmtId="38" fontId="16" fillId="3" borderId="5" xfId="1" applyFont="1" applyFill="1" applyBorder="1" applyAlignment="1">
      <alignment horizontal="center" vertical="center"/>
    </xf>
    <xf numFmtId="38" fontId="13" fillId="0" borderId="31" xfId="1" applyFont="1" applyBorder="1" applyAlignment="1">
      <alignment horizontal="center" vertical="center"/>
    </xf>
    <xf numFmtId="38" fontId="13" fillId="0" borderId="32" xfId="1" applyFont="1" applyBorder="1" applyAlignment="1">
      <alignment horizontal="center" vertical="center"/>
    </xf>
    <xf numFmtId="38" fontId="12" fillId="0" borderId="18" xfId="1" applyFont="1" applyBorder="1" applyAlignment="1"/>
    <xf numFmtId="38" fontId="12" fillId="0" borderId="21" xfId="1" applyFont="1" applyBorder="1" applyAlignment="1"/>
    <xf numFmtId="38" fontId="12" fillId="0" borderId="37" xfId="1" applyFont="1" applyFill="1" applyBorder="1" applyAlignment="1"/>
    <xf numFmtId="38" fontId="17" fillId="0" borderId="33" xfId="1" applyFont="1" applyBorder="1">
      <alignment vertical="center"/>
    </xf>
    <xf numFmtId="38" fontId="17" fillId="0" borderId="34" xfId="1" applyFont="1" applyBorder="1">
      <alignment vertical="center"/>
    </xf>
    <xf numFmtId="38" fontId="17" fillId="0" borderId="35" xfId="1" applyFont="1" applyBorder="1">
      <alignment vertical="center"/>
    </xf>
    <xf numFmtId="38" fontId="17" fillId="0" borderId="36" xfId="1" applyFont="1" applyBorder="1">
      <alignment vertical="center"/>
    </xf>
    <xf numFmtId="9" fontId="17" fillId="0" borderId="36" xfId="2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5"/>
  <sheetViews>
    <sheetView topLeftCell="K411" zoomScale="70" zoomScaleNormal="70" workbookViewId="0">
      <selection activeCell="AB14" sqref="AB14:AC14"/>
    </sheetView>
  </sheetViews>
  <sheetFormatPr defaultRowHeight="13.5" x14ac:dyDescent="0.25"/>
  <cols>
    <col min="1" max="2" width="10.54296875" style="14" customWidth="1"/>
    <col min="3" max="3" width="34.26953125" style="13" customWidth="1"/>
    <col min="4" max="4" width="10.7265625" style="13" customWidth="1"/>
    <col min="5" max="5" width="12.1796875" style="13" customWidth="1"/>
    <col min="6" max="6" width="10.7265625" style="13" customWidth="1"/>
    <col min="7" max="7" width="12.1796875" style="13" customWidth="1"/>
    <col min="8" max="8" width="10.7265625" style="13" customWidth="1"/>
    <col min="9" max="9" width="13.1796875" style="13" customWidth="1"/>
    <col min="10" max="10" width="10.7265625" style="13" customWidth="1"/>
    <col min="11" max="11" width="13.1796875" style="13" customWidth="1"/>
    <col min="12" max="12" width="10.7265625" style="13" customWidth="1"/>
    <col min="13" max="13" width="14.08984375" style="13" customWidth="1"/>
    <col min="14" max="14" width="10.7265625" style="13" customWidth="1"/>
    <col min="15" max="15" width="13.1796875" style="13" customWidth="1"/>
    <col min="16" max="16" width="10.7265625" style="13" customWidth="1"/>
    <col min="17" max="17" width="13.1796875" style="13" customWidth="1"/>
    <col min="18" max="18" width="10.7265625" style="13" customWidth="1"/>
    <col min="19" max="19" width="13.1796875" style="13" customWidth="1"/>
    <col min="20" max="20" width="10.7265625" style="13" customWidth="1"/>
    <col min="21" max="21" width="14.08984375" style="13" customWidth="1"/>
    <col min="22" max="22" width="10.7265625" style="13" customWidth="1"/>
    <col min="23" max="23" width="13.1796875" style="13" customWidth="1"/>
    <col min="24" max="24" width="10.7265625" style="13" customWidth="1"/>
    <col min="25" max="25" width="13.1796875" style="13" customWidth="1"/>
    <col min="26" max="26" width="10.7265625" style="13" customWidth="1"/>
    <col min="27" max="27" width="13.1796875" style="13" customWidth="1"/>
    <col min="28" max="28" width="10.7265625" style="13" customWidth="1"/>
    <col min="29" max="29" width="13.1796875" style="13" customWidth="1"/>
    <col min="30" max="16384" width="8.7265625" style="13"/>
  </cols>
  <sheetData>
    <row r="1" spans="1:29" s="2" customFormat="1" ht="25.5" customHeight="1" x14ac:dyDescent="0.25">
      <c r="A1" s="65" t="s">
        <v>488</v>
      </c>
      <c r="B1" s="57" t="s">
        <v>442</v>
      </c>
      <c r="C1" s="57" t="s">
        <v>443</v>
      </c>
      <c r="D1" s="54" t="s">
        <v>0</v>
      </c>
      <c r="E1" s="55"/>
      <c r="F1" s="54" t="s">
        <v>1</v>
      </c>
      <c r="G1" s="55"/>
      <c r="H1" s="54" t="s">
        <v>2</v>
      </c>
      <c r="I1" s="55"/>
      <c r="J1" s="54" t="s">
        <v>3</v>
      </c>
      <c r="K1" s="55"/>
      <c r="L1" s="54" t="s">
        <v>4</v>
      </c>
      <c r="M1" s="55"/>
      <c r="N1" s="54" t="s">
        <v>5</v>
      </c>
      <c r="O1" s="55"/>
      <c r="P1" s="54" t="s">
        <v>6</v>
      </c>
      <c r="Q1" s="55"/>
      <c r="R1" s="54" t="s">
        <v>7</v>
      </c>
      <c r="S1" s="55"/>
      <c r="T1" s="54" t="s">
        <v>8</v>
      </c>
      <c r="U1" s="55"/>
      <c r="V1" s="54" t="s">
        <v>9</v>
      </c>
      <c r="W1" s="55"/>
      <c r="X1" s="54" t="s">
        <v>10</v>
      </c>
      <c r="Y1" s="55"/>
      <c r="Z1" s="54" t="s">
        <v>11</v>
      </c>
      <c r="AA1" s="55"/>
      <c r="AB1" s="54" t="s">
        <v>452</v>
      </c>
      <c r="AC1" s="55"/>
    </row>
    <row r="2" spans="1:29" s="2" customFormat="1" ht="25.5" customHeight="1" x14ac:dyDescent="0.25">
      <c r="A2" s="66"/>
      <c r="B2" s="58"/>
      <c r="C2" s="58"/>
      <c r="D2" s="3" t="s">
        <v>444</v>
      </c>
      <c r="E2" s="3" t="s">
        <v>445</v>
      </c>
      <c r="F2" s="3" t="s">
        <v>444</v>
      </c>
      <c r="G2" s="3" t="s">
        <v>445</v>
      </c>
      <c r="H2" s="3" t="s">
        <v>444</v>
      </c>
      <c r="I2" s="3" t="s">
        <v>445</v>
      </c>
      <c r="J2" s="3" t="s">
        <v>444</v>
      </c>
      <c r="K2" s="3" t="s">
        <v>445</v>
      </c>
      <c r="L2" s="3" t="s">
        <v>444</v>
      </c>
      <c r="M2" s="3" t="s">
        <v>445</v>
      </c>
      <c r="N2" s="3" t="s">
        <v>444</v>
      </c>
      <c r="O2" s="3" t="s">
        <v>445</v>
      </c>
      <c r="P2" s="3" t="s">
        <v>444</v>
      </c>
      <c r="Q2" s="3" t="s">
        <v>445</v>
      </c>
      <c r="R2" s="3" t="s">
        <v>444</v>
      </c>
      <c r="S2" s="3" t="s">
        <v>445</v>
      </c>
      <c r="T2" s="3" t="s">
        <v>444</v>
      </c>
      <c r="U2" s="3" t="s">
        <v>445</v>
      </c>
      <c r="V2" s="3" t="s">
        <v>444</v>
      </c>
      <c r="W2" s="3" t="s">
        <v>445</v>
      </c>
      <c r="X2" s="3" t="s">
        <v>444</v>
      </c>
      <c r="Y2" s="3" t="s">
        <v>445</v>
      </c>
      <c r="Z2" s="3" t="s">
        <v>444</v>
      </c>
      <c r="AA2" s="3" t="s">
        <v>445</v>
      </c>
      <c r="AB2" s="3" t="s">
        <v>444</v>
      </c>
      <c r="AC2" s="3" t="s">
        <v>445</v>
      </c>
    </row>
    <row r="3" spans="1:29" s="1" customFormat="1" ht="21.25" customHeight="1" x14ac:dyDescent="0.35">
      <c r="A3" s="5">
        <v>1</v>
      </c>
      <c r="B3" s="5" t="s">
        <v>447</v>
      </c>
      <c r="C3" s="4" t="s">
        <v>122</v>
      </c>
      <c r="D3" s="7"/>
      <c r="E3" s="7"/>
      <c r="F3" s="7"/>
      <c r="G3" s="7"/>
      <c r="H3" s="7"/>
      <c r="I3" s="7"/>
      <c r="J3" s="7">
        <v>600</v>
      </c>
      <c r="K3" s="7">
        <v>1650000</v>
      </c>
      <c r="L3" s="7">
        <v>3760</v>
      </c>
      <c r="M3" s="7">
        <v>10340000</v>
      </c>
      <c r="N3" s="7">
        <v>1673</v>
      </c>
      <c r="O3" s="7">
        <v>4876795</v>
      </c>
      <c r="P3" s="7">
        <v>907</v>
      </c>
      <c r="Q3" s="7">
        <v>2643905</v>
      </c>
      <c r="R3" s="7">
        <v>2198</v>
      </c>
      <c r="S3" s="7">
        <v>6407170</v>
      </c>
      <c r="T3" s="7">
        <v>990</v>
      </c>
      <c r="U3" s="7">
        <v>2885850</v>
      </c>
      <c r="V3" s="7">
        <v>970</v>
      </c>
      <c r="W3" s="7">
        <v>2827550</v>
      </c>
      <c r="X3" s="7">
        <v>829</v>
      </c>
      <c r="Y3" s="7">
        <v>2416535</v>
      </c>
      <c r="Z3" s="7">
        <v>999</v>
      </c>
      <c r="AA3" s="7">
        <v>2912085</v>
      </c>
      <c r="AB3" s="6">
        <f t="shared" ref="AB3:AB66" si="0">D3+F3+H3+J3+L3+N3+P3+R3+T3+V3+X3+Z3</f>
        <v>12926</v>
      </c>
      <c r="AC3" s="6">
        <f t="shared" ref="AC3:AC66" si="1">E3+G3+I3+K3+M3+O3+Q3+S3+U3+W3+Y3+AA3</f>
        <v>36959890</v>
      </c>
    </row>
    <row r="4" spans="1:29" s="1" customFormat="1" ht="21.25" customHeight="1" x14ac:dyDescent="0.35">
      <c r="A4" s="5">
        <v>2</v>
      </c>
      <c r="B4" s="5" t="s">
        <v>449</v>
      </c>
      <c r="C4" s="4" t="s">
        <v>195</v>
      </c>
      <c r="D4" s="7"/>
      <c r="E4" s="7"/>
      <c r="F4" s="7"/>
      <c r="G4" s="7"/>
      <c r="H4" s="7"/>
      <c r="I4" s="7"/>
      <c r="J4" s="7"/>
      <c r="K4" s="7"/>
      <c r="L4" s="7">
        <v>56</v>
      </c>
      <c r="M4" s="7">
        <v>154000</v>
      </c>
      <c r="N4" s="7"/>
      <c r="O4" s="7"/>
      <c r="P4" s="7"/>
      <c r="Q4" s="7"/>
      <c r="R4" s="7"/>
      <c r="S4" s="7"/>
      <c r="T4" s="7"/>
      <c r="U4" s="7"/>
      <c r="V4" s="7">
        <v>1120</v>
      </c>
      <c r="W4" s="7">
        <v>3326400</v>
      </c>
      <c r="X4" s="7">
        <v>2794</v>
      </c>
      <c r="Y4" s="7">
        <v>8298180</v>
      </c>
      <c r="Z4" s="7">
        <v>6160</v>
      </c>
      <c r="AA4" s="7">
        <v>18295200</v>
      </c>
      <c r="AB4" s="6">
        <f t="shared" si="0"/>
        <v>10130</v>
      </c>
      <c r="AC4" s="6">
        <f t="shared" si="1"/>
        <v>30073780</v>
      </c>
    </row>
    <row r="5" spans="1:29" s="1" customFormat="1" ht="21.25" customHeight="1" x14ac:dyDescent="0.35">
      <c r="A5" s="5">
        <v>3</v>
      </c>
      <c r="B5" s="5" t="s">
        <v>447</v>
      </c>
      <c r="C5" s="4" t="s">
        <v>325</v>
      </c>
      <c r="D5" s="6"/>
      <c r="E5" s="6"/>
      <c r="F5" s="6"/>
      <c r="G5" s="6"/>
      <c r="H5" s="6"/>
      <c r="I5" s="6"/>
      <c r="J5" s="6"/>
      <c r="K5" s="6"/>
      <c r="L5" s="6">
        <v>2798</v>
      </c>
      <c r="M5" s="6">
        <v>6925050</v>
      </c>
      <c r="N5" s="6">
        <v>911</v>
      </c>
      <c r="O5" s="6">
        <v>2405040</v>
      </c>
      <c r="P5" s="6">
        <v>250</v>
      </c>
      <c r="Q5" s="6">
        <v>660000</v>
      </c>
      <c r="R5" s="6"/>
      <c r="S5" s="6"/>
      <c r="T5" s="6">
        <v>200</v>
      </c>
      <c r="U5" s="6">
        <v>528000</v>
      </c>
      <c r="V5" s="6">
        <v>220</v>
      </c>
      <c r="W5" s="6">
        <v>580800</v>
      </c>
      <c r="X5" s="6">
        <v>302</v>
      </c>
      <c r="Y5" s="6">
        <v>797280</v>
      </c>
      <c r="Z5" s="6">
        <v>357</v>
      </c>
      <c r="AA5" s="6">
        <v>942480</v>
      </c>
      <c r="AB5" s="6">
        <f t="shared" si="0"/>
        <v>5038</v>
      </c>
      <c r="AC5" s="6">
        <f t="shared" si="1"/>
        <v>12838650</v>
      </c>
    </row>
    <row r="6" spans="1:29" s="1" customFormat="1" ht="21.25" customHeight="1" x14ac:dyDescent="0.35">
      <c r="A6" s="5">
        <v>4</v>
      </c>
      <c r="B6" s="5" t="s">
        <v>447</v>
      </c>
      <c r="C6" s="4" t="s">
        <v>142</v>
      </c>
      <c r="D6" s="6"/>
      <c r="E6" s="6"/>
      <c r="F6" s="16"/>
      <c r="G6" s="6"/>
      <c r="H6" s="6"/>
      <c r="I6" s="6"/>
      <c r="J6" s="6">
        <v>500</v>
      </c>
      <c r="K6" s="6">
        <v>2062500</v>
      </c>
      <c r="L6" s="6">
        <v>3589</v>
      </c>
      <c r="M6" s="6">
        <v>14804625</v>
      </c>
      <c r="N6" s="6">
        <v>1</v>
      </c>
      <c r="O6" s="6">
        <v>4400</v>
      </c>
      <c r="P6" s="6"/>
      <c r="Q6" s="6"/>
      <c r="R6" s="6"/>
      <c r="S6" s="6"/>
      <c r="T6" s="6"/>
      <c r="U6" s="6"/>
      <c r="V6" s="6">
        <v>100</v>
      </c>
      <c r="W6" s="6">
        <v>440000</v>
      </c>
      <c r="X6" s="6"/>
      <c r="Y6" s="6"/>
      <c r="Z6" s="6">
        <v>128</v>
      </c>
      <c r="AA6" s="6">
        <v>563200</v>
      </c>
      <c r="AB6" s="6">
        <f t="shared" si="0"/>
        <v>4318</v>
      </c>
      <c r="AC6" s="6">
        <f t="shared" si="1"/>
        <v>17874725</v>
      </c>
    </row>
    <row r="7" spans="1:29" s="1" customFormat="1" ht="21.25" customHeight="1" x14ac:dyDescent="0.35">
      <c r="A7" s="5">
        <v>5</v>
      </c>
      <c r="B7" s="5" t="s">
        <v>448</v>
      </c>
      <c r="C7" s="4" t="s">
        <v>247</v>
      </c>
      <c r="D7" s="7"/>
      <c r="E7" s="7"/>
      <c r="F7" s="7"/>
      <c r="G7" s="7"/>
      <c r="H7" s="7"/>
      <c r="I7" s="7"/>
      <c r="J7" s="7">
        <v>2503</v>
      </c>
      <c r="K7" s="7">
        <v>3003600</v>
      </c>
      <c r="L7" s="7">
        <v>200</v>
      </c>
      <c r="M7" s="7">
        <v>240000</v>
      </c>
      <c r="N7" s="7"/>
      <c r="O7" s="7"/>
      <c r="P7" s="7">
        <v>874</v>
      </c>
      <c r="Q7" s="7">
        <v>1048800</v>
      </c>
      <c r="R7" s="7"/>
      <c r="S7" s="7"/>
      <c r="T7" s="7">
        <v>200</v>
      </c>
      <c r="U7" s="7">
        <v>240000</v>
      </c>
      <c r="V7" s="7"/>
      <c r="W7" s="7"/>
      <c r="X7" s="7">
        <v>235</v>
      </c>
      <c r="Y7" s="7">
        <v>282000</v>
      </c>
      <c r="Z7" s="7"/>
      <c r="AA7" s="7"/>
      <c r="AB7" s="6">
        <f t="shared" si="0"/>
        <v>4012</v>
      </c>
      <c r="AC7" s="6">
        <f t="shared" si="1"/>
        <v>4814400</v>
      </c>
    </row>
    <row r="8" spans="1:29" s="1" customFormat="1" ht="21.25" customHeight="1" x14ac:dyDescent="0.35">
      <c r="A8" s="5">
        <v>6</v>
      </c>
      <c r="B8" s="5" t="s">
        <v>447</v>
      </c>
      <c r="C8" s="4" t="s">
        <v>211</v>
      </c>
      <c r="D8" s="6"/>
      <c r="E8" s="6"/>
      <c r="F8" s="6"/>
      <c r="G8" s="6"/>
      <c r="H8" s="6"/>
      <c r="I8" s="6"/>
      <c r="J8" s="6"/>
      <c r="K8" s="6"/>
      <c r="L8" s="6">
        <v>1000</v>
      </c>
      <c r="M8" s="6">
        <v>1760000</v>
      </c>
      <c r="N8" s="6"/>
      <c r="O8" s="6"/>
      <c r="P8" s="6">
        <v>778</v>
      </c>
      <c r="Q8" s="6">
        <v>1369280</v>
      </c>
      <c r="R8" s="6"/>
      <c r="S8" s="6"/>
      <c r="T8" s="6"/>
      <c r="U8" s="6"/>
      <c r="V8" s="6">
        <v>62</v>
      </c>
      <c r="W8" s="6">
        <v>109120</v>
      </c>
      <c r="X8" s="6">
        <v>53</v>
      </c>
      <c r="Y8" s="6">
        <v>93280</v>
      </c>
      <c r="Z8" s="6">
        <v>1514</v>
      </c>
      <c r="AA8" s="6">
        <v>2664640</v>
      </c>
      <c r="AB8" s="6">
        <f t="shared" si="0"/>
        <v>3407</v>
      </c>
      <c r="AC8" s="6">
        <f t="shared" si="1"/>
        <v>5996320</v>
      </c>
    </row>
    <row r="9" spans="1:29" s="1" customFormat="1" ht="21.25" customHeight="1" x14ac:dyDescent="0.35">
      <c r="A9" s="5">
        <v>7</v>
      </c>
      <c r="B9" s="5" t="s">
        <v>448</v>
      </c>
      <c r="C9" s="4" t="s">
        <v>418</v>
      </c>
      <c r="D9" s="6"/>
      <c r="E9" s="6"/>
      <c r="F9" s="6"/>
      <c r="G9" s="6"/>
      <c r="H9" s="6"/>
      <c r="I9" s="6"/>
      <c r="J9" s="6"/>
      <c r="K9" s="6"/>
      <c r="L9" s="6">
        <v>80</v>
      </c>
      <c r="M9" s="6">
        <v>188000</v>
      </c>
      <c r="N9" s="6">
        <v>74</v>
      </c>
      <c r="O9" s="6">
        <v>173900</v>
      </c>
      <c r="P9" s="6">
        <v>50</v>
      </c>
      <c r="Q9" s="6">
        <v>117500</v>
      </c>
      <c r="R9" s="6">
        <v>292</v>
      </c>
      <c r="S9" s="6">
        <v>686200</v>
      </c>
      <c r="T9" s="6">
        <v>495</v>
      </c>
      <c r="U9" s="6">
        <v>1163250</v>
      </c>
      <c r="V9" s="6">
        <v>1044</v>
      </c>
      <c r="W9" s="6">
        <v>2557800</v>
      </c>
      <c r="X9" s="6"/>
      <c r="Y9" s="6"/>
      <c r="Z9" s="6">
        <v>541</v>
      </c>
      <c r="AA9" s="6">
        <v>1325450</v>
      </c>
      <c r="AB9" s="6">
        <f t="shared" si="0"/>
        <v>2576</v>
      </c>
      <c r="AC9" s="6">
        <f t="shared" si="1"/>
        <v>6212100</v>
      </c>
    </row>
    <row r="10" spans="1:29" s="1" customFormat="1" ht="21.25" customHeight="1" x14ac:dyDescent="0.35">
      <c r="A10" s="5">
        <v>8</v>
      </c>
      <c r="B10" s="5" t="s">
        <v>447</v>
      </c>
      <c r="C10" s="4" t="s">
        <v>327</v>
      </c>
      <c r="D10" s="6"/>
      <c r="E10" s="6"/>
      <c r="F10" s="6"/>
      <c r="G10" s="6"/>
      <c r="H10" s="6"/>
      <c r="I10" s="6"/>
      <c r="J10" s="6">
        <v>100</v>
      </c>
      <c r="K10" s="6">
        <v>275000</v>
      </c>
      <c r="L10" s="6">
        <v>754</v>
      </c>
      <c r="M10" s="6">
        <v>2073500</v>
      </c>
      <c r="N10" s="6"/>
      <c r="O10" s="6"/>
      <c r="P10" s="6">
        <v>890</v>
      </c>
      <c r="Q10" s="6">
        <v>2447500</v>
      </c>
      <c r="R10" s="6"/>
      <c r="S10" s="6"/>
      <c r="T10" s="6"/>
      <c r="U10" s="6"/>
      <c r="V10" s="6">
        <v>220</v>
      </c>
      <c r="W10" s="6">
        <v>605000</v>
      </c>
      <c r="X10" s="6"/>
      <c r="Y10" s="6"/>
      <c r="Z10" s="6">
        <v>513</v>
      </c>
      <c r="AA10" s="6">
        <v>1410750</v>
      </c>
      <c r="AB10" s="6">
        <f t="shared" si="0"/>
        <v>2477</v>
      </c>
      <c r="AC10" s="6">
        <f t="shared" si="1"/>
        <v>6811750</v>
      </c>
    </row>
    <row r="11" spans="1:29" s="1" customFormat="1" ht="21.25" customHeight="1" x14ac:dyDescent="0.35">
      <c r="A11" s="5">
        <v>9</v>
      </c>
      <c r="B11" s="5" t="s">
        <v>448</v>
      </c>
      <c r="C11" s="4" t="s">
        <v>219</v>
      </c>
      <c r="D11" s="7"/>
      <c r="E11" s="7"/>
      <c r="F11" s="7"/>
      <c r="G11" s="7"/>
      <c r="H11" s="7"/>
      <c r="I11" s="7"/>
      <c r="J11" s="7">
        <v>315</v>
      </c>
      <c r="K11" s="7">
        <v>551250</v>
      </c>
      <c r="L11" s="7">
        <v>50</v>
      </c>
      <c r="M11" s="7">
        <v>87500</v>
      </c>
      <c r="N11" s="7"/>
      <c r="O11" s="7"/>
      <c r="P11" s="7">
        <v>50</v>
      </c>
      <c r="Q11" s="7">
        <v>87500</v>
      </c>
      <c r="R11" s="7">
        <v>63</v>
      </c>
      <c r="S11" s="7">
        <v>110250</v>
      </c>
      <c r="T11" s="7">
        <v>291</v>
      </c>
      <c r="U11" s="7">
        <v>509250</v>
      </c>
      <c r="V11" s="7">
        <v>978</v>
      </c>
      <c r="W11" s="7">
        <v>1858200</v>
      </c>
      <c r="X11" s="7"/>
      <c r="Y11" s="7"/>
      <c r="Z11" s="7">
        <v>347</v>
      </c>
      <c r="AA11" s="7">
        <v>659300</v>
      </c>
      <c r="AB11" s="6">
        <f t="shared" si="0"/>
        <v>2094</v>
      </c>
      <c r="AC11" s="6">
        <f t="shared" si="1"/>
        <v>3863250</v>
      </c>
    </row>
    <row r="12" spans="1:29" s="1" customFormat="1" ht="21.25" customHeight="1" x14ac:dyDescent="0.35">
      <c r="A12" s="5">
        <v>10</v>
      </c>
      <c r="B12" s="5" t="s">
        <v>447</v>
      </c>
      <c r="C12" s="4" t="s">
        <v>131</v>
      </c>
      <c r="D12" s="6"/>
      <c r="E12" s="6"/>
      <c r="F12" s="6"/>
      <c r="G12" s="6"/>
      <c r="H12" s="6"/>
      <c r="I12" s="6"/>
      <c r="J12" s="6"/>
      <c r="K12" s="6"/>
      <c r="L12" s="6">
        <v>40</v>
      </c>
      <c r="M12" s="6">
        <v>220000</v>
      </c>
      <c r="N12" s="6">
        <v>120</v>
      </c>
      <c r="O12" s="6">
        <v>660000</v>
      </c>
      <c r="P12" s="6">
        <v>150</v>
      </c>
      <c r="Q12" s="6">
        <v>825000</v>
      </c>
      <c r="R12" s="6">
        <v>535</v>
      </c>
      <c r="S12" s="6">
        <v>2942500</v>
      </c>
      <c r="T12" s="6">
        <v>990</v>
      </c>
      <c r="U12" s="6">
        <v>5445000</v>
      </c>
      <c r="V12" s="6">
        <v>200</v>
      </c>
      <c r="W12" s="6">
        <v>1100000</v>
      </c>
      <c r="X12" s="6"/>
      <c r="Y12" s="6"/>
      <c r="Z12" s="6"/>
      <c r="AA12" s="6"/>
      <c r="AB12" s="6">
        <f t="shared" si="0"/>
        <v>2035</v>
      </c>
      <c r="AC12" s="6">
        <f t="shared" si="1"/>
        <v>11192500</v>
      </c>
    </row>
    <row r="13" spans="1:29" s="1" customFormat="1" ht="21.25" customHeight="1" x14ac:dyDescent="0.35">
      <c r="A13" s="5">
        <v>11</v>
      </c>
      <c r="B13" s="5" t="s">
        <v>447</v>
      </c>
      <c r="C13" s="4" t="s">
        <v>326</v>
      </c>
      <c r="D13" s="7"/>
      <c r="E13" s="7"/>
      <c r="F13" s="7"/>
      <c r="G13" s="7"/>
      <c r="H13" s="7"/>
      <c r="I13" s="7"/>
      <c r="J13" s="7"/>
      <c r="K13" s="7"/>
      <c r="L13" s="7">
        <v>864</v>
      </c>
      <c r="M13" s="7">
        <v>332640</v>
      </c>
      <c r="N13" s="7"/>
      <c r="O13" s="7"/>
      <c r="P13" s="7">
        <v>450</v>
      </c>
      <c r="Q13" s="7">
        <v>173250</v>
      </c>
      <c r="R13" s="7"/>
      <c r="S13" s="7"/>
      <c r="T13" s="7"/>
      <c r="U13" s="7"/>
      <c r="V13" s="7">
        <v>332</v>
      </c>
      <c r="W13" s="7">
        <v>127820</v>
      </c>
      <c r="X13" s="7"/>
      <c r="Y13" s="7"/>
      <c r="Z13" s="7">
        <v>350</v>
      </c>
      <c r="AA13" s="7">
        <v>134750</v>
      </c>
      <c r="AB13" s="6">
        <f t="shared" si="0"/>
        <v>1996</v>
      </c>
      <c r="AC13" s="6">
        <f t="shared" si="1"/>
        <v>768460</v>
      </c>
    </row>
    <row r="14" spans="1:29" s="1" customFormat="1" ht="21.25" customHeight="1" x14ac:dyDescent="0.35">
      <c r="A14" s="5">
        <v>12</v>
      </c>
      <c r="B14" s="5" t="s">
        <v>450</v>
      </c>
      <c r="C14" s="4" t="s">
        <v>160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22</v>
      </c>
      <c r="O14" s="7">
        <v>56430</v>
      </c>
      <c r="P14" s="7"/>
      <c r="Q14" s="7"/>
      <c r="R14" s="7">
        <v>10</v>
      </c>
      <c r="S14" s="7">
        <v>25650</v>
      </c>
      <c r="T14" s="7">
        <v>465</v>
      </c>
      <c r="U14" s="7">
        <v>1192725</v>
      </c>
      <c r="V14" s="7">
        <v>1271</v>
      </c>
      <c r="W14" s="7">
        <v>3260115</v>
      </c>
      <c r="X14" s="7"/>
      <c r="Y14" s="7"/>
      <c r="Z14" s="7">
        <v>200</v>
      </c>
      <c r="AA14" s="7">
        <v>513000</v>
      </c>
      <c r="AB14" s="6">
        <f t="shared" si="0"/>
        <v>1968</v>
      </c>
      <c r="AC14" s="6">
        <f t="shared" si="1"/>
        <v>5047920</v>
      </c>
    </row>
    <row r="15" spans="1:29" s="1" customFormat="1" ht="21.25" customHeight="1" x14ac:dyDescent="0.35">
      <c r="A15" s="5">
        <v>13</v>
      </c>
      <c r="B15" s="5" t="s">
        <v>448</v>
      </c>
      <c r="C15" s="4" t="s">
        <v>302</v>
      </c>
      <c r="D15" s="6"/>
      <c r="E15" s="6"/>
      <c r="F15" s="6"/>
      <c r="G15" s="6"/>
      <c r="H15" s="6"/>
      <c r="I15" s="6"/>
      <c r="J15" s="6">
        <v>1300</v>
      </c>
      <c r="K15" s="6">
        <v>1690000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517</v>
      </c>
      <c r="W15" s="6">
        <v>672100</v>
      </c>
      <c r="X15" s="6">
        <v>118</v>
      </c>
      <c r="Y15" s="6">
        <v>153400</v>
      </c>
      <c r="Z15" s="6"/>
      <c r="AA15" s="6"/>
      <c r="AB15" s="6">
        <f t="shared" si="0"/>
        <v>1935</v>
      </c>
      <c r="AC15" s="6">
        <f t="shared" si="1"/>
        <v>2515500</v>
      </c>
    </row>
    <row r="16" spans="1:29" s="1" customFormat="1" ht="21.25" customHeight="1" x14ac:dyDescent="0.35">
      <c r="A16" s="5">
        <v>14</v>
      </c>
      <c r="B16" s="5" t="s">
        <v>448</v>
      </c>
      <c r="C16" s="4" t="s">
        <v>419</v>
      </c>
      <c r="D16" s="7"/>
      <c r="E16" s="7"/>
      <c r="F16" s="7"/>
      <c r="G16" s="7"/>
      <c r="H16" s="7"/>
      <c r="I16" s="7"/>
      <c r="J16" s="7">
        <v>150</v>
      </c>
      <c r="K16" s="7">
        <v>240000</v>
      </c>
      <c r="L16" s="7"/>
      <c r="M16" s="7"/>
      <c r="N16" s="7">
        <v>50</v>
      </c>
      <c r="O16" s="7">
        <v>80000</v>
      </c>
      <c r="P16" s="7">
        <v>85</v>
      </c>
      <c r="Q16" s="7">
        <v>136000</v>
      </c>
      <c r="R16" s="7">
        <v>131</v>
      </c>
      <c r="S16" s="7">
        <v>209600</v>
      </c>
      <c r="T16" s="7">
        <v>921</v>
      </c>
      <c r="U16" s="7">
        <v>1473600</v>
      </c>
      <c r="V16" s="7">
        <v>417</v>
      </c>
      <c r="W16" s="7">
        <v>708900</v>
      </c>
      <c r="X16" s="7">
        <v>30</v>
      </c>
      <c r="Y16" s="7">
        <v>51000</v>
      </c>
      <c r="Z16" s="7">
        <v>80</v>
      </c>
      <c r="AA16" s="7">
        <v>136000</v>
      </c>
      <c r="AB16" s="6">
        <f t="shared" si="0"/>
        <v>1864</v>
      </c>
      <c r="AC16" s="6">
        <f t="shared" si="1"/>
        <v>3035100</v>
      </c>
    </row>
    <row r="17" spans="1:29" s="1" customFormat="1" ht="21.25" customHeight="1" x14ac:dyDescent="0.35">
      <c r="A17" s="5">
        <v>15</v>
      </c>
      <c r="B17" s="5" t="s">
        <v>447</v>
      </c>
      <c r="C17" s="4" t="s">
        <v>208</v>
      </c>
      <c r="D17" s="6"/>
      <c r="E17" s="6"/>
      <c r="F17" s="6"/>
      <c r="G17" s="6"/>
      <c r="H17" s="6"/>
      <c r="I17" s="6"/>
      <c r="J17" s="6">
        <v>100</v>
      </c>
      <c r="K17" s="6">
        <v>247500</v>
      </c>
      <c r="L17" s="6">
        <v>1100</v>
      </c>
      <c r="M17" s="6">
        <v>2722500</v>
      </c>
      <c r="N17" s="6"/>
      <c r="O17" s="6"/>
      <c r="P17" s="6">
        <v>4</v>
      </c>
      <c r="Q17" s="6">
        <v>10340</v>
      </c>
      <c r="R17" s="6">
        <v>20</v>
      </c>
      <c r="S17" s="6">
        <v>51700</v>
      </c>
      <c r="T17" s="6">
        <v>300</v>
      </c>
      <c r="U17" s="6">
        <v>775500</v>
      </c>
      <c r="V17" s="6">
        <v>80</v>
      </c>
      <c r="W17" s="6">
        <v>206800</v>
      </c>
      <c r="X17" s="6"/>
      <c r="Y17" s="6"/>
      <c r="Z17" s="6">
        <v>166</v>
      </c>
      <c r="AA17" s="6">
        <v>429110</v>
      </c>
      <c r="AB17" s="6">
        <f t="shared" si="0"/>
        <v>1770</v>
      </c>
      <c r="AC17" s="6">
        <f t="shared" si="1"/>
        <v>4443450</v>
      </c>
    </row>
    <row r="18" spans="1:29" s="1" customFormat="1" ht="21.25" customHeight="1" x14ac:dyDescent="0.35">
      <c r="A18" s="5">
        <v>16</v>
      </c>
      <c r="B18" s="5" t="s">
        <v>448</v>
      </c>
      <c r="C18" s="4" t="s">
        <v>221</v>
      </c>
      <c r="D18" s="7"/>
      <c r="E18" s="7"/>
      <c r="F18" s="7"/>
      <c r="G18" s="7"/>
      <c r="H18" s="7"/>
      <c r="I18" s="7"/>
      <c r="J18" s="7">
        <v>109</v>
      </c>
      <c r="K18" s="7">
        <v>294300</v>
      </c>
      <c r="L18" s="7">
        <v>60</v>
      </c>
      <c r="M18" s="7">
        <v>162000</v>
      </c>
      <c r="N18" s="7"/>
      <c r="O18" s="7"/>
      <c r="P18" s="7"/>
      <c r="Q18" s="7"/>
      <c r="R18" s="7">
        <v>227</v>
      </c>
      <c r="S18" s="7">
        <v>612900</v>
      </c>
      <c r="T18" s="7">
        <v>267</v>
      </c>
      <c r="U18" s="7">
        <v>720900</v>
      </c>
      <c r="V18" s="7">
        <v>724</v>
      </c>
      <c r="W18" s="7">
        <v>2099600</v>
      </c>
      <c r="X18" s="7"/>
      <c r="Y18" s="7"/>
      <c r="Z18" s="7">
        <v>365</v>
      </c>
      <c r="AA18" s="7">
        <v>1058500</v>
      </c>
      <c r="AB18" s="6">
        <f t="shared" si="0"/>
        <v>1752</v>
      </c>
      <c r="AC18" s="6">
        <f t="shared" si="1"/>
        <v>4948200</v>
      </c>
    </row>
    <row r="19" spans="1:29" s="1" customFormat="1" ht="21.25" customHeight="1" x14ac:dyDescent="0.35">
      <c r="A19" s="5">
        <v>17</v>
      </c>
      <c r="B19" s="5" t="s">
        <v>447</v>
      </c>
      <c r="C19" s="4" t="s">
        <v>165</v>
      </c>
      <c r="D19" s="7"/>
      <c r="E19" s="7"/>
      <c r="F19" s="7"/>
      <c r="G19" s="7"/>
      <c r="H19" s="7"/>
      <c r="I19" s="7"/>
      <c r="J19" s="7">
        <v>70</v>
      </c>
      <c r="K19" s="7">
        <v>38500</v>
      </c>
      <c r="L19" s="7">
        <v>629</v>
      </c>
      <c r="M19" s="7">
        <v>345950</v>
      </c>
      <c r="N19" s="7">
        <v>450</v>
      </c>
      <c r="O19" s="7">
        <v>247500</v>
      </c>
      <c r="P19" s="7">
        <v>360</v>
      </c>
      <c r="Q19" s="7">
        <v>198000</v>
      </c>
      <c r="R19" s="7"/>
      <c r="S19" s="7"/>
      <c r="T19" s="7"/>
      <c r="U19" s="7"/>
      <c r="V19" s="7"/>
      <c r="W19" s="7"/>
      <c r="X19" s="7">
        <v>214</v>
      </c>
      <c r="Y19" s="7">
        <v>117700</v>
      </c>
      <c r="Z19" s="7"/>
      <c r="AA19" s="7"/>
      <c r="AB19" s="6">
        <f t="shared" si="0"/>
        <v>1723</v>
      </c>
      <c r="AC19" s="6">
        <f t="shared" si="1"/>
        <v>947650</v>
      </c>
    </row>
    <row r="20" spans="1:29" s="1" customFormat="1" ht="21.25" customHeight="1" x14ac:dyDescent="0.35">
      <c r="A20" s="5">
        <v>18</v>
      </c>
      <c r="B20" s="5" t="s">
        <v>448</v>
      </c>
      <c r="C20" s="4" t="s">
        <v>246</v>
      </c>
      <c r="D20" s="6"/>
      <c r="E20" s="6"/>
      <c r="F20" s="6"/>
      <c r="G20" s="6"/>
      <c r="H20" s="6"/>
      <c r="I20" s="6"/>
      <c r="J20" s="6">
        <v>376</v>
      </c>
      <c r="K20" s="6">
        <v>394800</v>
      </c>
      <c r="L20" s="6">
        <v>212</v>
      </c>
      <c r="M20" s="6">
        <v>222600</v>
      </c>
      <c r="N20" s="6"/>
      <c r="O20" s="6"/>
      <c r="P20" s="6">
        <v>226</v>
      </c>
      <c r="Q20" s="6">
        <v>237300</v>
      </c>
      <c r="R20" s="6">
        <v>248</v>
      </c>
      <c r="S20" s="6">
        <v>260400</v>
      </c>
      <c r="T20" s="6">
        <v>309</v>
      </c>
      <c r="U20" s="6">
        <v>324450</v>
      </c>
      <c r="V20" s="6">
        <v>130</v>
      </c>
      <c r="W20" s="6">
        <v>136500</v>
      </c>
      <c r="X20" s="6">
        <v>143</v>
      </c>
      <c r="Y20" s="6">
        <v>150150</v>
      </c>
      <c r="Z20" s="6"/>
      <c r="AA20" s="6"/>
      <c r="AB20" s="6">
        <f t="shared" si="0"/>
        <v>1644</v>
      </c>
      <c r="AC20" s="6">
        <f t="shared" si="1"/>
        <v>1726200</v>
      </c>
    </row>
    <row r="21" spans="1:29" s="1" customFormat="1" ht="21.25" customHeight="1" x14ac:dyDescent="0.35">
      <c r="A21" s="5">
        <v>19</v>
      </c>
      <c r="B21" s="5" t="s">
        <v>447</v>
      </c>
      <c r="C21" s="4" t="s">
        <v>209</v>
      </c>
      <c r="D21" s="7"/>
      <c r="E21" s="7"/>
      <c r="F21" s="7"/>
      <c r="G21" s="7"/>
      <c r="H21" s="7"/>
      <c r="I21" s="7"/>
      <c r="J21" s="7">
        <v>380</v>
      </c>
      <c r="K21" s="7">
        <v>940500</v>
      </c>
      <c r="L21" s="7">
        <v>775</v>
      </c>
      <c r="M21" s="7">
        <v>1918125</v>
      </c>
      <c r="N21" s="7"/>
      <c r="O21" s="7"/>
      <c r="P21" s="7"/>
      <c r="Q21" s="7"/>
      <c r="R21" s="7">
        <v>20</v>
      </c>
      <c r="S21" s="7">
        <v>51700</v>
      </c>
      <c r="T21" s="7">
        <v>13</v>
      </c>
      <c r="U21" s="7">
        <v>33605</v>
      </c>
      <c r="V21" s="7">
        <v>90</v>
      </c>
      <c r="W21" s="7">
        <v>232650</v>
      </c>
      <c r="X21" s="7">
        <v>10</v>
      </c>
      <c r="Y21" s="7">
        <v>25850</v>
      </c>
      <c r="Z21" s="7">
        <v>303</v>
      </c>
      <c r="AA21" s="7">
        <v>783255</v>
      </c>
      <c r="AB21" s="6">
        <f t="shared" si="0"/>
        <v>1591</v>
      </c>
      <c r="AC21" s="6">
        <f t="shared" si="1"/>
        <v>3985685</v>
      </c>
    </row>
    <row r="22" spans="1:29" s="1" customFormat="1" ht="21.25" customHeight="1" x14ac:dyDescent="0.35">
      <c r="A22" s="5">
        <v>20</v>
      </c>
      <c r="B22" s="5" t="s">
        <v>446</v>
      </c>
      <c r="C22" s="4" t="s">
        <v>164</v>
      </c>
      <c r="D22" s="6"/>
      <c r="E22" s="6"/>
      <c r="F22" s="6"/>
      <c r="G22" s="6"/>
      <c r="H22" s="6"/>
      <c r="I22" s="6"/>
      <c r="J22" s="6">
        <v>72</v>
      </c>
      <c r="K22" s="6">
        <v>47520</v>
      </c>
      <c r="L22" s="6">
        <v>72</v>
      </c>
      <c r="M22" s="6">
        <v>47520</v>
      </c>
      <c r="N22" s="6"/>
      <c r="O22" s="6"/>
      <c r="P22" s="6">
        <v>1440</v>
      </c>
      <c r="Q22" s="6">
        <v>950400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f t="shared" si="0"/>
        <v>1584</v>
      </c>
      <c r="AC22" s="6">
        <f t="shared" si="1"/>
        <v>1045440</v>
      </c>
    </row>
    <row r="23" spans="1:29" s="1" customFormat="1" ht="21.25" customHeight="1" x14ac:dyDescent="0.35">
      <c r="A23" s="5">
        <v>21</v>
      </c>
      <c r="B23" s="5" t="s">
        <v>447</v>
      </c>
      <c r="C23" s="4" t="s">
        <v>212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438</v>
      </c>
      <c r="U23" s="6">
        <v>1084050</v>
      </c>
      <c r="V23" s="6">
        <v>140</v>
      </c>
      <c r="W23" s="6">
        <v>346500</v>
      </c>
      <c r="X23" s="6">
        <v>129</v>
      </c>
      <c r="Y23" s="6">
        <v>319275</v>
      </c>
      <c r="Z23" s="6">
        <v>630</v>
      </c>
      <c r="AA23" s="6">
        <v>1559250</v>
      </c>
      <c r="AB23" s="6">
        <f t="shared" si="0"/>
        <v>1337</v>
      </c>
      <c r="AC23" s="6">
        <f t="shared" si="1"/>
        <v>3309075</v>
      </c>
    </row>
    <row r="24" spans="1:29" s="1" customFormat="1" ht="21.25" customHeight="1" x14ac:dyDescent="0.35">
      <c r="A24" s="5">
        <v>22</v>
      </c>
      <c r="B24" s="5" t="s">
        <v>448</v>
      </c>
      <c r="C24" s="4" t="s">
        <v>303</v>
      </c>
      <c r="D24" s="7"/>
      <c r="E24" s="7"/>
      <c r="F24" s="7"/>
      <c r="G24" s="7"/>
      <c r="H24" s="7"/>
      <c r="I24" s="7"/>
      <c r="J24" s="7">
        <v>350</v>
      </c>
      <c r="K24" s="7">
        <v>455000</v>
      </c>
      <c r="L24" s="7">
        <v>300</v>
      </c>
      <c r="M24" s="7">
        <v>390000</v>
      </c>
      <c r="N24" s="7"/>
      <c r="O24" s="7"/>
      <c r="P24" s="7">
        <v>186</v>
      </c>
      <c r="Q24" s="7">
        <v>241800</v>
      </c>
      <c r="R24" s="7"/>
      <c r="S24" s="7"/>
      <c r="T24" s="7">
        <v>80</v>
      </c>
      <c r="U24" s="7">
        <v>104000</v>
      </c>
      <c r="V24" s="7">
        <v>350</v>
      </c>
      <c r="W24" s="7">
        <v>455000</v>
      </c>
      <c r="X24" s="7"/>
      <c r="Y24" s="7"/>
      <c r="Z24" s="7"/>
      <c r="AA24" s="7"/>
      <c r="AB24" s="6">
        <f t="shared" si="0"/>
        <v>1266</v>
      </c>
      <c r="AC24" s="6">
        <f t="shared" si="1"/>
        <v>1645800</v>
      </c>
    </row>
    <row r="25" spans="1:29" s="1" customFormat="1" ht="21.25" customHeight="1" x14ac:dyDescent="0.35">
      <c r="A25" s="5">
        <v>23</v>
      </c>
      <c r="B25" s="5" t="s">
        <v>450</v>
      </c>
      <c r="C25" s="4" t="s">
        <v>439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513</v>
      </c>
      <c r="Q25" s="7">
        <v>584820</v>
      </c>
      <c r="R25" s="7">
        <v>15</v>
      </c>
      <c r="S25" s="7">
        <v>17100</v>
      </c>
      <c r="T25" s="7">
        <v>727</v>
      </c>
      <c r="U25" s="7">
        <v>828780</v>
      </c>
      <c r="V25" s="7"/>
      <c r="W25" s="7"/>
      <c r="X25" s="7"/>
      <c r="Y25" s="7"/>
      <c r="Z25" s="7"/>
      <c r="AA25" s="7"/>
      <c r="AB25" s="6">
        <f t="shared" si="0"/>
        <v>1255</v>
      </c>
      <c r="AC25" s="6">
        <f t="shared" si="1"/>
        <v>1430700</v>
      </c>
    </row>
    <row r="26" spans="1:29" s="1" customFormat="1" ht="21.25" customHeight="1" x14ac:dyDescent="0.35">
      <c r="A26" s="5">
        <v>24</v>
      </c>
      <c r="B26" s="5" t="s">
        <v>447</v>
      </c>
      <c r="C26" s="4" t="s">
        <v>190</v>
      </c>
      <c r="D26" s="7"/>
      <c r="E26" s="7"/>
      <c r="F26" s="7"/>
      <c r="G26" s="7"/>
      <c r="H26" s="7"/>
      <c r="I26" s="7"/>
      <c r="J26" s="7"/>
      <c r="K26" s="7"/>
      <c r="L26" s="7">
        <v>180</v>
      </c>
      <c r="M26" s="7">
        <v>1435500</v>
      </c>
      <c r="N26" s="7">
        <v>40</v>
      </c>
      <c r="O26" s="7">
        <v>330000</v>
      </c>
      <c r="P26" s="7"/>
      <c r="Q26" s="7"/>
      <c r="R26" s="7"/>
      <c r="S26" s="7"/>
      <c r="T26" s="7"/>
      <c r="U26" s="7"/>
      <c r="V26" s="7">
        <v>842</v>
      </c>
      <c r="W26" s="7">
        <v>6946500</v>
      </c>
      <c r="X26" s="7"/>
      <c r="Y26" s="7"/>
      <c r="Z26" s="7">
        <v>175</v>
      </c>
      <c r="AA26" s="7">
        <v>1443750</v>
      </c>
      <c r="AB26" s="6">
        <f t="shared" si="0"/>
        <v>1237</v>
      </c>
      <c r="AC26" s="6">
        <f t="shared" si="1"/>
        <v>10155750</v>
      </c>
    </row>
    <row r="27" spans="1:29" s="1" customFormat="1" ht="21.25" customHeight="1" x14ac:dyDescent="0.35">
      <c r="A27" s="5">
        <v>25</v>
      </c>
      <c r="B27" s="5" t="s">
        <v>447</v>
      </c>
      <c r="C27" s="4" t="s">
        <v>171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v>306</v>
      </c>
      <c r="U27" s="7">
        <v>1178100</v>
      </c>
      <c r="V27" s="7">
        <v>567</v>
      </c>
      <c r="W27" s="7">
        <v>2182950</v>
      </c>
      <c r="X27" s="7">
        <v>337</v>
      </c>
      <c r="Y27" s="7">
        <v>1297450</v>
      </c>
      <c r="Z27" s="7"/>
      <c r="AA27" s="7"/>
      <c r="AB27" s="6">
        <f t="shared" si="0"/>
        <v>1210</v>
      </c>
      <c r="AC27" s="6">
        <f t="shared" si="1"/>
        <v>4658500</v>
      </c>
    </row>
    <row r="28" spans="1:29" s="1" customFormat="1" ht="21.25" customHeight="1" x14ac:dyDescent="0.35">
      <c r="A28" s="5">
        <v>26</v>
      </c>
      <c r="B28" s="5" t="s">
        <v>450</v>
      </c>
      <c r="C28" s="4" t="s">
        <v>438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>
        <v>231</v>
      </c>
      <c r="Q28" s="6">
        <v>263340</v>
      </c>
      <c r="R28" s="6">
        <v>72</v>
      </c>
      <c r="S28" s="6">
        <v>82080</v>
      </c>
      <c r="T28" s="6">
        <v>428</v>
      </c>
      <c r="U28" s="6">
        <v>487920</v>
      </c>
      <c r="V28" s="6">
        <v>177</v>
      </c>
      <c r="W28" s="6">
        <v>201780</v>
      </c>
      <c r="X28" s="6">
        <v>122</v>
      </c>
      <c r="Y28" s="6">
        <v>139080</v>
      </c>
      <c r="Z28" s="6">
        <v>144</v>
      </c>
      <c r="AA28" s="6">
        <v>164160</v>
      </c>
      <c r="AB28" s="6">
        <f t="shared" si="0"/>
        <v>1174</v>
      </c>
      <c r="AC28" s="6">
        <f t="shared" si="1"/>
        <v>1338360</v>
      </c>
    </row>
    <row r="29" spans="1:29" s="1" customFormat="1" ht="21.25" customHeight="1" x14ac:dyDescent="0.35">
      <c r="A29" s="5">
        <v>27</v>
      </c>
      <c r="B29" s="5" t="s">
        <v>448</v>
      </c>
      <c r="C29" s="4" t="s">
        <v>220</v>
      </c>
      <c r="D29" s="6"/>
      <c r="E29" s="6"/>
      <c r="F29" s="6"/>
      <c r="G29" s="6"/>
      <c r="H29" s="6"/>
      <c r="I29" s="6"/>
      <c r="J29" s="6">
        <v>322</v>
      </c>
      <c r="K29" s="6">
        <v>611800</v>
      </c>
      <c r="L29" s="6">
        <v>50</v>
      </c>
      <c r="M29" s="6">
        <v>95000</v>
      </c>
      <c r="N29" s="6">
        <v>20</v>
      </c>
      <c r="O29" s="6">
        <v>38000</v>
      </c>
      <c r="P29" s="6">
        <v>20</v>
      </c>
      <c r="Q29" s="6">
        <v>38000</v>
      </c>
      <c r="R29" s="6">
        <v>40</v>
      </c>
      <c r="S29" s="6">
        <v>76000</v>
      </c>
      <c r="T29" s="6">
        <v>35</v>
      </c>
      <c r="U29" s="6">
        <v>66500</v>
      </c>
      <c r="V29" s="6">
        <v>1</v>
      </c>
      <c r="W29" s="6">
        <v>2050</v>
      </c>
      <c r="X29" s="6">
        <v>70</v>
      </c>
      <c r="Y29" s="6">
        <v>143500</v>
      </c>
      <c r="Z29" s="6">
        <v>610</v>
      </c>
      <c r="AA29" s="6">
        <v>1250500</v>
      </c>
      <c r="AB29" s="6">
        <f t="shared" si="0"/>
        <v>1168</v>
      </c>
      <c r="AC29" s="6">
        <f t="shared" si="1"/>
        <v>2321350</v>
      </c>
    </row>
    <row r="30" spans="1:29" s="1" customFormat="1" ht="21.25" customHeight="1" x14ac:dyDescent="0.35">
      <c r="A30" s="5">
        <v>28</v>
      </c>
      <c r="B30" s="5" t="s">
        <v>447</v>
      </c>
      <c r="C30" s="4" t="s">
        <v>39</v>
      </c>
      <c r="D30" s="7"/>
      <c r="E30" s="7"/>
      <c r="F30" s="7"/>
      <c r="G30" s="7"/>
      <c r="H30" s="7"/>
      <c r="I30" s="7"/>
      <c r="J30" s="7"/>
      <c r="K30" s="7"/>
      <c r="L30" s="7">
        <v>825</v>
      </c>
      <c r="M30" s="7">
        <v>1225125</v>
      </c>
      <c r="N30" s="7"/>
      <c r="O30" s="7"/>
      <c r="P30" s="7"/>
      <c r="Q30" s="7"/>
      <c r="R30" s="7"/>
      <c r="S30" s="7"/>
      <c r="T30" s="7">
        <v>57</v>
      </c>
      <c r="U30" s="7">
        <v>94050</v>
      </c>
      <c r="V30" s="7">
        <v>49</v>
      </c>
      <c r="W30" s="7">
        <v>80850</v>
      </c>
      <c r="X30" s="7">
        <v>100</v>
      </c>
      <c r="Y30" s="7">
        <v>165000</v>
      </c>
      <c r="Z30" s="7">
        <v>81</v>
      </c>
      <c r="AA30" s="7">
        <v>133650</v>
      </c>
      <c r="AB30" s="6">
        <f t="shared" si="0"/>
        <v>1112</v>
      </c>
      <c r="AC30" s="6">
        <f t="shared" si="1"/>
        <v>1698675</v>
      </c>
    </row>
    <row r="31" spans="1:29" s="1" customFormat="1" ht="21.25" customHeight="1" x14ac:dyDescent="0.35">
      <c r="A31" s="5">
        <v>29</v>
      </c>
      <c r="B31" s="5" t="s">
        <v>447</v>
      </c>
      <c r="C31" s="4" t="s">
        <v>81</v>
      </c>
      <c r="D31" s="7"/>
      <c r="E31" s="7"/>
      <c r="F31" s="7"/>
      <c r="G31" s="7"/>
      <c r="H31" s="7"/>
      <c r="I31" s="7"/>
      <c r="J31" s="7"/>
      <c r="K31" s="7"/>
      <c r="L31" s="7">
        <v>625</v>
      </c>
      <c r="M31" s="7">
        <v>1718750</v>
      </c>
      <c r="N31" s="7">
        <v>60</v>
      </c>
      <c r="O31" s="7">
        <v>165000</v>
      </c>
      <c r="P31" s="7">
        <v>288</v>
      </c>
      <c r="Q31" s="7">
        <v>792000</v>
      </c>
      <c r="R31" s="7"/>
      <c r="S31" s="7"/>
      <c r="T31" s="7"/>
      <c r="U31" s="7"/>
      <c r="V31" s="7">
        <v>60</v>
      </c>
      <c r="W31" s="7">
        <v>165000</v>
      </c>
      <c r="X31" s="7"/>
      <c r="Y31" s="7"/>
      <c r="Z31" s="7">
        <v>48</v>
      </c>
      <c r="AA31" s="7">
        <v>132000</v>
      </c>
      <c r="AB31" s="6">
        <f t="shared" si="0"/>
        <v>1081</v>
      </c>
      <c r="AC31" s="6">
        <f t="shared" si="1"/>
        <v>2972750</v>
      </c>
    </row>
    <row r="32" spans="1:29" s="1" customFormat="1" ht="21.25" customHeight="1" x14ac:dyDescent="0.35">
      <c r="A32" s="5">
        <v>30</v>
      </c>
      <c r="B32" s="5" t="s">
        <v>448</v>
      </c>
      <c r="C32" s="4" t="s">
        <v>192</v>
      </c>
      <c r="D32" s="7"/>
      <c r="E32" s="7"/>
      <c r="F32" s="7"/>
      <c r="G32" s="7"/>
      <c r="H32" s="7"/>
      <c r="I32" s="7"/>
      <c r="J32" s="7">
        <v>131</v>
      </c>
      <c r="K32" s="7">
        <v>131000</v>
      </c>
      <c r="L32" s="7">
        <v>180</v>
      </c>
      <c r="M32" s="7">
        <v>180000</v>
      </c>
      <c r="N32" s="7">
        <v>115</v>
      </c>
      <c r="O32" s="7">
        <v>115000</v>
      </c>
      <c r="P32" s="7">
        <v>256</v>
      </c>
      <c r="Q32" s="7">
        <v>256000</v>
      </c>
      <c r="R32" s="7">
        <v>30</v>
      </c>
      <c r="S32" s="7">
        <v>30000</v>
      </c>
      <c r="T32" s="7">
        <v>220</v>
      </c>
      <c r="U32" s="7">
        <v>220000</v>
      </c>
      <c r="V32" s="7"/>
      <c r="W32" s="7"/>
      <c r="X32" s="7"/>
      <c r="Y32" s="7"/>
      <c r="Z32" s="7">
        <v>75</v>
      </c>
      <c r="AA32" s="7">
        <v>75000</v>
      </c>
      <c r="AB32" s="6">
        <f t="shared" si="0"/>
        <v>1007</v>
      </c>
      <c r="AC32" s="6">
        <f t="shared" si="1"/>
        <v>1007000</v>
      </c>
    </row>
    <row r="33" spans="1:29" s="1" customFormat="1" ht="21.25" customHeight="1" x14ac:dyDescent="0.35">
      <c r="A33" s="5">
        <v>31</v>
      </c>
      <c r="B33" s="5" t="s">
        <v>447</v>
      </c>
      <c r="C33" s="4" t="s">
        <v>40</v>
      </c>
      <c r="D33" s="6"/>
      <c r="E33" s="6"/>
      <c r="F33" s="6"/>
      <c r="G33" s="6"/>
      <c r="H33" s="6"/>
      <c r="I33" s="6"/>
      <c r="J33" s="6"/>
      <c r="K33" s="6"/>
      <c r="L33" s="6">
        <v>694</v>
      </c>
      <c r="M33" s="6">
        <v>1030590</v>
      </c>
      <c r="N33" s="6"/>
      <c r="O33" s="6"/>
      <c r="P33" s="6">
        <v>11</v>
      </c>
      <c r="Q33" s="6">
        <v>18150</v>
      </c>
      <c r="R33" s="6"/>
      <c r="S33" s="6"/>
      <c r="T33" s="6">
        <v>21</v>
      </c>
      <c r="U33" s="6">
        <v>34650</v>
      </c>
      <c r="V33" s="6">
        <v>26</v>
      </c>
      <c r="W33" s="6">
        <v>42900</v>
      </c>
      <c r="X33" s="6">
        <v>213</v>
      </c>
      <c r="Y33" s="6">
        <v>351450</v>
      </c>
      <c r="Z33" s="6">
        <v>24</v>
      </c>
      <c r="AA33" s="6">
        <v>39600</v>
      </c>
      <c r="AB33" s="6">
        <f t="shared" si="0"/>
        <v>989</v>
      </c>
      <c r="AC33" s="6">
        <f t="shared" si="1"/>
        <v>1517340</v>
      </c>
    </row>
    <row r="34" spans="1:29" s="1" customFormat="1" ht="21.25" customHeight="1" x14ac:dyDescent="0.35">
      <c r="A34" s="5">
        <v>32</v>
      </c>
      <c r="B34" s="5" t="s">
        <v>448</v>
      </c>
      <c r="C34" s="4" t="s">
        <v>413</v>
      </c>
      <c r="D34" s="7"/>
      <c r="E34" s="7"/>
      <c r="F34" s="7"/>
      <c r="G34" s="7"/>
      <c r="H34" s="7"/>
      <c r="I34" s="7"/>
      <c r="J34" s="7">
        <v>115</v>
      </c>
      <c r="K34" s="7">
        <v>161000</v>
      </c>
      <c r="L34" s="7">
        <v>70</v>
      </c>
      <c r="M34" s="7">
        <v>98000</v>
      </c>
      <c r="N34" s="7"/>
      <c r="O34" s="7"/>
      <c r="P34" s="7">
        <v>70</v>
      </c>
      <c r="Q34" s="7">
        <v>98000</v>
      </c>
      <c r="R34" s="7">
        <v>50</v>
      </c>
      <c r="S34" s="7">
        <v>70000</v>
      </c>
      <c r="T34" s="7">
        <v>250</v>
      </c>
      <c r="U34" s="7">
        <v>350000</v>
      </c>
      <c r="V34" s="7">
        <v>70</v>
      </c>
      <c r="W34" s="7">
        <v>98000</v>
      </c>
      <c r="X34" s="7">
        <v>322</v>
      </c>
      <c r="Y34" s="7">
        <v>450800</v>
      </c>
      <c r="Z34" s="7">
        <v>17</v>
      </c>
      <c r="AA34" s="7">
        <v>23800</v>
      </c>
      <c r="AB34" s="6">
        <f t="shared" si="0"/>
        <v>964</v>
      </c>
      <c r="AC34" s="6">
        <f t="shared" si="1"/>
        <v>1349600</v>
      </c>
    </row>
    <row r="35" spans="1:29" s="1" customFormat="1" ht="21.25" customHeight="1" x14ac:dyDescent="0.35">
      <c r="A35" s="5">
        <v>33</v>
      </c>
      <c r="B35" s="5" t="s">
        <v>447</v>
      </c>
      <c r="C35" s="4" t="s">
        <v>169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189</v>
      </c>
      <c r="U35" s="7">
        <v>727650</v>
      </c>
      <c r="V35" s="7">
        <v>425</v>
      </c>
      <c r="W35" s="7">
        <v>1636250</v>
      </c>
      <c r="X35" s="7">
        <v>260</v>
      </c>
      <c r="Y35" s="7">
        <v>1001000</v>
      </c>
      <c r="Z35" s="7">
        <v>85</v>
      </c>
      <c r="AA35" s="7">
        <v>327250</v>
      </c>
      <c r="AB35" s="6">
        <f t="shared" si="0"/>
        <v>959</v>
      </c>
      <c r="AC35" s="6">
        <f t="shared" si="1"/>
        <v>3692150</v>
      </c>
    </row>
    <row r="36" spans="1:29" s="1" customFormat="1" ht="21.25" customHeight="1" x14ac:dyDescent="0.35">
      <c r="A36" s="5">
        <v>34</v>
      </c>
      <c r="B36" s="5" t="s">
        <v>447</v>
      </c>
      <c r="C36" s="4" t="s">
        <v>340</v>
      </c>
      <c r="D36" s="7"/>
      <c r="E36" s="7"/>
      <c r="F36" s="7"/>
      <c r="G36" s="7"/>
      <c r="H36" s="7"/>
      <c r="I36" s="7"/>
      <c r="J36" s="7"/>
      <c r="K36" s="7"/>
      <c r="L36" s="7">
        <v>550</v>
      </c>
      <c r="M36" s="7">
        <v>1512500</v>
      </c>
      <c r="N36" s="7">
        <v>140</v>
      </c>
      <c r="O36" s="7">
        <v>400400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>
        <v>225</v>
      </c>
      <c r="AA36" s="7">
        <v>643500</v>
      </c>
      <c r="AB36" s="6">
        <f t="shared" si="0"/>
        <v>915</v>
      </c>
      <c r="AC36" s="6">
        <f t="shared" si="1"/>
        <v>2556400</v>
      </c>
    </row>
    <row r="37" spans="1:29" s="1" customFormat="1" ht="21.25" customHeight="1" x14ac:dyDescent="0.35">
      <c r="A37" s="5">
        <v>35</v>
      </c>
      <c r="B37" s="5" t="s">
        <v>447</v>
      </c>
      <c r="C37" s="4" t="s">
        <v>116</v>
      </c>
      <c r="D37" s="7"/>
      <c r="E37" s="7"/>
      <c r="F37" s="7"/>
      <c r="G37" s="7"/>
      <c r="H37" s="7"/>
      <c r="I37" s="7"/>
      <c r="J37" s="7"/>
      <c r="K37" s="7"/>
      <c r="L37" s="7">
        <v>900</v>
      </c>
      <c r="M37" s="7">
        <v>1732500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6">
        <f t="shared" si="0"/>
        <v>900</v>
      </c>
      <c r="AC37" s="6">
        <f t="shared" si="1"/>
        <v>1732500</v>
      </c>
    </row>
    <row r="38" spans="1:29" s="1" customFormat="1" ht="21.25" customHeight="1" x14ac:dyDescent="0.35">
      <c r="A38" s="5">
        <v>36</v>
      </c>
      <c r="B38" s="5" t="s">
        <v>447</v>
      </c>
      <c r="C38" s="4" t="s">
        <v>44</v>
      </c>
      <c r="D38" s="6"/>
      <c r="E38" s="6"/>
      <c r="F38" s="6"/>
      <c r="G38" s="6"/>
      <c r="H38" s="6"/>
      <c r="I38" s="6"/>
      <c r="J38" s="6">
        <v>10</v>
      </c>
      <c r="K38" s="6">
        <v>14850</v>
      </c>
      <c r="L38" s="6">
        <v>387</v>
      </c>
      <c r="M38" s="6">
        <v>574695</v>
      </c>
      <c r="N38" s="6">
        <v>70</v>
      </c>
      <c r="O38" s="6">
        <v>115500</v>
      </c>
      <c r="P38" s="6"/>
      <c r="Q38" s="6"/>
      <c r="R38" s="6"/>
      <c r="S38" s="6"/>
      <c r="T38" s="6">
        <v>40</v>
      </c>
      <c r="U38" s="6">
        <v>66000</v>
      </c>
      <c r="V38" s="6">
        <v>206</v>
      </c>
      <c r="W38" s="6">
        <v>339900</v>
      </c>
      <c r="X38" s="6">
        <v>90</v>
      </c>
      <c r="Y38" s="6">
        <v>148500</v>
      </c>
      <c r="Z38" s="6">
        <v>67</v>
      </c>
      <c r="AA38" s="6">
        <v>110550</v>
      </c>
      <c r="AB38" s="6">
        <f t="shared" si="0"/>
        <v>870</v>
      </c>
      <c r="AC38" s="6">
        <f t="shared" si="1"/>
        <v>1369995</v>
      </c>
    </row>
    <row r="39" spans="1:29" s="1" customFormat="1" ht="21.25" customHeight="1" x14ac:dyDescent="0.35">
      <c r="A39" s="5">
        <v>37</v>
      </c>
      <c r="B39" s="5" t="s">
        <v>447</v>
      </c>
      <c r="C39" s="4" t="s">
        <v>121</v>
      </c>
      <c r="D39" s="7"/>
      <c r="E39" s="7"/>
      <c r="F39" s="7"/>
      <c r="G39" s="7"/>
      <c r="H39" s="7"/>
      <c r="I39" s="7"/>
      <c r="J39" s="7"/>
      <c r="K39" s="7"/>
      <c r="L39" s="7">
        <v>412</v>
      </c>
      <c r="M39" s="7">
        <v>1359600</v>
      </c>
      <c r="N39" s="7">
        <v>280</v>
      </c>
      <c r="O39" s="7">
        <v>954800</v>
      </c>
      <c r="P39" s="7"/>
      <c r="Q39" s="7"/>
      <c r="R39" s="7"/>
      <c r="S39" s="7"/>
      <c r="T39" s="7"/>
      <c r="U39" s="7"/>
      <c r="V39" s="7">
        <v>20</v>
      </c>
      <c r="W39" s="7">
        <v>68200</v>
      </c>
      <c r="X39" s="7"/>
      <c r="Y39" s="7"/>
      <c r="Z39" s="7">
        <v>80</v>
      </c>
      <c r="AA39" s="7">
        <v>272800</v>
      </c>
      <c r="AB39" s="6">
        <f t="shared" si="0"/>
        <v>792</v>
      </c>
      <c r="AC39" s="6">
        <f t="shared" si="1"/>
        <v>2655400</v>
      </c>
    </row>
    <row r="40" spans="1:29" s="1" customFormat="1" ht="21.25" customHeight="1" x14ac:dyDescent="0.35">
      <c r="A40" s="5">
        <v>38</v>
      </c>
      <c r="B40" s="5" t="s">
        <v>447</v>
      </c>
      <c r="C40" s="4" t="s">
        <v>329</v>
      </c>
      <c r="D40" s="6"/>
      <c r="E40" s="6"/>
      <c r="F40" s="6"/>
      <c r="G40" s="6"/>
      <c r="H40" s="6"/>
      <c r="I40" s="6"/>
      <c r="J40" s="6"/>
      <c r="K40" s="6"/>
      <c r="L40" s="6">
        <v>310</v>
      </c>
      <c r="M40" s="6">
        <v>852500</v>
      </c>
      <c r="N40" s="6"/>
      <c r="O40" s="6"/>
      <c r="P40" s="6">
        <v>313</v>
      </c>
      <c r="Q40" s="6">
        <v>860750</v>
      </c>
      <c r="R40" s="6"/>
      <c r="S40" s="6"/>
      <c r="T40" s="6"/>
      <c r="U40" s="6"/>
      <c r="V40" s="6">
        <v>100</v>
      </c>
      <c r="W40" s="6">
        <v>275000</v>
      </c>
      <c r="X40" s="6"/>
      <c r="Y40" s="6"/>
      <c r="Z40" s="6">
        <v>51</v>
      </c>
      <c r="AA40" s="6">
        <v>140250</v>
      </c>
      <c r="AB40" s="6">
        <f t="shared" si="0"/>
        <v>774</v>
      </c>
      <c r="AC40" s="6">
        <f t="shared" si="1"/>
        <v>2128500</v>
      </c>
    </row>
    <row r="41" spans="1:29" s="1" customFormat="1" ht="21.25" customHeight="1" x14ac:dyDescent="0.35">
      <c r="A41" s="5">
        <v>39</v>
      </c>
      <c r="B41" s="5" t="s">
        <v>447</v>
      </c>
      <c r="C41" s="4" t="s">
        <v>107</v>
      </c>
      <c r="D41" s="7"/>
      <c r="E41" s="7"/>
      <c r="F41" s="7"/>
      <c r="G41" s="7"/>
      <c r="H41" s="7"/>
      <c r="I41" s="7"/>
      <c r="J41" s="7">
        <v>20</v>
      </c>
      <c r="K41" s="7">
        <v>55000</v>
      </c>
      <c r="L41" s="7">
        <v>170</v>
      </c>
      <c r="M41" s="7">
        <v>467500</v>
      </c>
      <c r="N41" s="7"/>
      <c r="O41" s="7"/>
      <c r="P41" s="7">
        <v>110</v>
      </c>
      <c r="Q41" s="7">
        <v>332750</v>
      </c>
      <c r="R41" s="7">
        <v>40</v>
      </c>
      <c r="S41" s="7">
        <v>121000</v>
      </c>
      <c r="T41" s="7"/>
      <c r="U41" s="7"/>
      <c r="V41" s="7">
        <v>70</v>
      </c>
      <c r="W41" s="7">
        <v>211750</v>
      </c>
      <c r="X41" s="7">
        <v>100</v>
      </c>
      <c r="Y41" s="7">
        <v>302500</v>
      </c>
      <c r="Z41" s="7">
        <v>219</v>
      </c>
      <c r="AA41" s="7">
        <v>662475</v>
      </c>
      <c r="AB41" s="6">
        <f t="shared" si="0"/>
        <v>729</v>
      </c>
      <c r="AC41" s="6">
        <f t="shared" si="1"/>
        <v>2152975</v>
      </c>
    </row>
    <row r="42" spans="1:29" s="1" customFormat="1" ht="21.25" customHeight="1" x14ac:dyDescent="0.35">
      <c r="A42" s="5">
        <v>40</v>
      </c>
      <c r="B42" s="5" t="s">
        <v>448</v>
      </c>
      <c r="C42" s="4" t="s">
        <v>407</v>
      </c>
      <c r="D42" s="7"/>
      <c r="E42" s="7"/>
      <c r="F42" s="7"/>
      <c r="G42" s="7"/>
      <c r="H42" s="7"/>
      <c r="I42" s="7"/>
      <c r="J42" s="7">
        <v>70</v>
      </c>
      <c r="K42" s="7">
        <v>91000</v>
      </c>
      <c r="L42" s="7">
        <v>120</v>
      </c>
      <c r="M42" s="7">
        <v>156000</v>
      </c>
      <c r="N42" s="7">
        <v>195</v>
      </c>
      <c r="O42" s="7">
        <v>253500</v>
      </c>
      <c r="P42" s="7">
        <v>210</v>
      </c>
      <c r="Q42" s="7">
        <v>273000</v>
      </c>
      <c r="R42" s="7">
        <v>130</v>
      </c>
      <c r="S42" s="7">
        <v>169000</v>
      </c>
      <c r="T42" s="7"/>
      <c r="U42" s="7"/>
      <c r="V42" s="7"/>
      <c r="W42" s="7"/>
      <c r="X42" s="7"/>
      <c r="Y42" s="7"/>
      <c r="Z42" s="7"/>
      <c r="AA42" s="7"/>
      <c r="AB42" s="6">
        <f t="shared" si="0"/>
        <v>725</v>
      </c>
      <c r="AC42" s="6">
        <f t="shared" si="1"/>
        <v>942500</v>
      </c>
    </row>
    <row r="43" spans="1:29" s="1" customFormat="1" ht="21.25" customHeight="1" x14ac:dyDescent="0.35">
      <c r="A43" s="5">
        <v>41</v>
      </c>
      <c r="B43" s="5" t="s">
        <v>447</v>
      </c>
      <c r="C43" s="4" t="s">
        <v>178</v>
      </c>
      <c r="D43" s="6"/>
      <c r="E43" s="6"/>
      <c r="F43" s="6"/>
      <c r="G43" s="6"/>
      <c r="H43" s="6"/>
      <c r="I43" s="6"/>
      <c r="J43" s="6"/>
      <c r="K43" s="6"/>
      <c r="L43" s="6">
        <v>515</v>
      </c>
      <c r="M43" s="6">
        <v>1274625</v>
      </c>
      <c r="N43" s="6"/>
      <c r="O43" s="6"/>
      <c r="P43" s="6"/>
      <c r="Q43" s="6"/>
      <c r="R43" s="6"/>
      <c r="S43" s="6"/>
      <c r="T43" s="6">
        <v>40</v>
      </c>
      <c r="U43" s="6">
        <v>103400</v>
      </c>
      <c r="V43" s="6">
        <v>110</v>
      </c>
      <c r="W43" s="6">
        <v>284350</v>
      </c>
      <c r="X43" s="6"/>
      <c r="Y43" s="6"/>
      <c r="Z43" s="6">
        <v>37</v>
      </c>
      <c r="AA43" s="6">
        <v>95645</v>
      </c>
      <c r="AB43" s="6">
        <f t="shared" si="0"/>
        <v>702</v>
      </c>
      <c r="AC43" s="6">
        <f t="shared" si="1"/>
        <v>1758020</v>
      </c>
    </row>
    <row r="44" spans="1:29" s="1" customFormat="1" ht="21.25" customHeight="1" x14ac:dyDescent="0.35">
      <c r="A44" s="5">
        <v>42</v>
      </c>
      <c r="B44" s="5" t="s">
        <v>447</v>
      </c>
      <c r="C44" s="4" t="s">
        <v>188</v>
      </c>
      <c r="D44" s="7"/>
      <c r="E44" s="7"/>
      <c r="F44" s="7"/>
      <c r="G44" s="7"/>
      <c r="H44" s="7"/>
      <c r="I44" s="7"/>
      <c r="J44" s="7">
        <v>50</v>
      </c>
      <c r="K44" s="7">
        <v>55000</v>
      </c>
      <c r="L44" s="7">
        <v>290</v>
      </c>
      <c r="M44" s="7">
        <v>319000</v>
      </c>
      <c r="N44" s="7"/>
      <c r="O44" s="7"/>
      <c r="P44" s="7">
        <v>220</v>
      </c>
      <c r="Q44" s="7">
        <v>242000</v>
      </c>
      <c r="R44" s="7"/>
      <c r="S44" s="7"/>
      <c r="T44" s="7"/>
      <c r="U44" s="7"/>
      <c r="V44" s="7"/>
      <c r="W44" s="7"/>
      <c r="X44" s="7">
        <v>110</v>
      </c>
      <c r="Y44" s="7">
        <v>121000</v>
      </c>
      <c r="Z44" s="7">
        <v>30</v>
      </c>
      <c r="AA44" s="7">
        <v>33000</v>
      </c>
      <c r="AB44" s="6">
        <f t="shared" si="0"/>
        <v>700</v>
      </c>
      <c r="AC44" s="6">
        <f t="shared" si="1"/>
        <v>770000</v>
      </c>
    </row>
    <row r="45" spans="1:29" s="1" customFormat="1" ht="21.25" customHeight="1" x14ac:dyDescent="0.35">
      <c r="A45" s="5">
        <v>43</v>
      </c>
      <c r="B45" s="5" t="s">
        <v>448</v>
      </c>
      <c r="C45" s="4" t="s">
        <v>414</v>
      </c>
      <c r="D45" s="6"/>
      <c r="E45" s="6"/>
      <c r="F45" s="6"/>
      <c r="G45" s="6"/>
      <c r="H45" s="6"/>
      <c r="I45" s="6"/>
      <c r="J45" s="6">
        <v>140</v>
      </c>
      <c r="K45" s="6">
        <v>210000</v>
      </c>
      <c r="L45" s="6">
        <v>70</v>
      </c>
      <c r="M45" s="6">
        <v>105000</v>
      </c>
      <c r="N45" s="6"/>
      <c r="O45" s="6"/>
      <c r="P45" s="6">
        <v>70</v>
      </c>
      <c r="Q45" s="6">
        <v>105000</v>
      </c>
      <c r="R45" s="6"/>
      <c r="S45" s="6"/>
      <c r="T45" s="6">
        <v>225</v>
      </c>
      <c r="U45" s="6">
        <v>337500</v>
      </c>
      <c r="V45" s="6">
        <v>60</v>
      </c>
      <c r="W45" s="6">
        <v>90000</v>
      </c>
      <c r="X45" s="6">
        <v>135</v>
      </c>
      <c r="Y45" s="6">
        <v>202500</v>
      </c>
      <c r="Z45" s="6"/>
      <c r="AA45" s="6"/>
      <c r="AB45" s="6">
        <f t="shared" si="0"/>
        <v>700</v>
      </c>
      <c r="AC45" s="6">
        <f t="shared" si="1"/>
        <v>1050000</v>
      </c>
    </row>
    <row r="46" spans="1:29" s="1" customFormat="1" ht="21.25" customHeight="1" x14ac:dyDescent="0.35">
      <c r="A46" s="5">
        <v>44</v>
      </c>
      <c r="B46" s="5" t="s">
        <v>447</v>
      </c>
      <c r="C46" s="4" t="s">
        <v>174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168</v>
      </c>
      <c r="U46" s="6">
        <v>646800</v>
      </c>
      <c r="V46" s="6">
        <v>221</v>
      </c>
      <c r="W46" s="6">
        <v>850850</v>
      </c>
      <c r="X46" s="6"/>
      <c r="Y46" s="6"/>
      <c r="Z46" s="6">
        <v>215</v>
      </c>
      <c r="AA46" s="6">
        <v>827750</v>
      </c>
      <c r="AB46" s="6">
        <f t="shared" si="0"/>
        <v>604</v>
      </c>
      <c r="AC46" s="6">
        <f t="shared" si="1"/>
        <v>2325400</v>
      </c>
    </row>
    <row r="47" spans="1:29" s="1" customFormat="1" ht="21.25" customHeight="1" x14ac:dyDescent="0.35">
      <c r="A47" s="5">
        <v>45</v>
      </c>
      <c r="B47" s="5" t="s">
        <v>447</v>
      </c>
      <c r="C47" s="4" t="s">
        <v>123</v>
      </c>
      <c r="D47" s="7"/>
      <c r="E47" s="7"/>
      <c r="F47" s="7"/>
      <c r="G47" s="7"/>
      <c r="H47" s="7"/>
      <c r="I47" s="7"/>
      <c r="J47" s="7">
        <v>80</v>
      </c>
      <c r="K47" s="7">
        <v>286000</v>
      </c>
      <c r="L47" s="7">
        <v>200</v>
      </c>
      <c r="M47" s="7">
        <v>715000</v>
      </c>
      <c r="N47" s="7">
        <v>190</v>
      </c>
      <c r="O47" s="7">
        <v>700150</v>
      </c>
      <c r="P47" s="7"/>
      <c r="Q47" s="7"/>
      <c r="R47" s="7"/>
      <c r="S47" s="7"/>
      <c r="T47" s="7"/>
      <c r="U47" s="7"/>
      <c r="V47" s="7">
        <v>40</v>
      </c>
      <c r="W47" s="7">
        <v>147400</v>
      </c>
      <c r="X47" s="7">
        <v>53</v>
      </c>
      <c r="Y47" s="7">
        <v>195305</v>
      </c>
      <c r="Z47" s="7">
        <v>22</v>
      </c>
      <c r="AA47" s="7">
        <v>81070</v>
      </c>
      <c r="AB47" s="6">
        <f t="shared" si="0"/>
        <v>585</v>
      </c>
      <c r="AC47" s="6">
        <f t="shared" si="1"/>
        <v>2124925</v>
      </c>
    </row>
    <row r="48" spans="1:29" s="1" customFormat="1" ht="21.25" customHeight="1" x14ac:dyDescent="0.35">
      <c r="A48" s="5">
        <v>46</v>
      </c>
      <c r="B48" s="5" t="s">
        <v>448</v>
      </c>
      <c r="C48" s="4" t="s">
        <v>408</v>
      </c>
      <c r="D48" s="6"/>
      <c r="E48" s="6"/>
      <c r="F48" s="6"/>
      <c r="G48" s="6"/>
      <c r="H48" s="6"/>
      <c r="I48" s="6"/>
      <c r="J48" s="6">
        <v>160</v>
      </c>
      <c r="K48" s="6">
        <v>208000</v>
      </c>
      <c r="L48" s="6"/>
      <c r="M48" s="6"/>
      <c r="N48" s="6">
        <v>45</v>
      </c>
      <c r="O48" s="6">
        <v>58500</v>
      </c>
      <c r="P48" s="6">
        <v>199</v>
      </c>
      <c r="Q48" s="6">
        <v>258700</v>
      </c>
      <c r="R48" s="6">
        <v>105</v>
      </c>
      <c r="S48" s="6">
        <v>136500</v>
      </c>
      <c r="T48" s="6">
        <v>40</v>
      </c>
      <c r="U48" s="6">
        <v>52000</v>
      </c>
      <c r="V48" s="6">
        <v>30</v>
      </c>
      <c r="W48" s="6">
        <v>39000</v>
      </c>
      <c r="X48" s="6"/>
      <c r="Y48" s="6"/>
      <c r="Z48" s="6"/>
      <c r="AA48" s="6"/>
      <c r="AB48" s="6">
        <f t="shared" si="0"/>
        <v>579</v>
      </c>
      <c r="AC48" s="6">
        <f t="shared" si="1"/>
        <v>752700</v>
      </c>
    </row>
    <row r="49" spans="1:29" s="1" customFormat="1" ht="21.25" customHeight="1" x14ac:dyDescent="0.35">
      <c r="A49" s="5">
        <v>47</v>
      </c>
      <c r="B49" s="5" t="s">
        <v>447</v>
      </c>
      <c r="C49" s="4" t="s">
        <v>113</v>
      </c>
      <c r="D49" s="6"/>
      <c r="E49" s="6"/>
      <c r="F49" s="6"/>
      <c r="G49" s="6"/>
      <c r="H49" s="6"/>
      <c r="I49" s="6"/>
      <c r="J49" s="6">
        <v>30</v>
      </c>
      <c r="K49" s="6">
        <v>79200</v>
      </c>
      <c r="L49" s="6">
        <v>412</v>
      </c>
      <c r="M49" s="6">
        <v>1087680</v>
      </c>
      <c r="N49" s="6"/>
      <c r="O49" s="6"/>
      <c r="P49" s="6"/>
      <c r="Q49" s="6"/>
      <c r="R49" s="6">
        <v>60</v>
      </c>
      <c r="S49" s="6">
        <v>165000</v>
      </c>
      <c r="T49" s="6">
        <v>60</v>
      </c>
      <c r="U49" s="6">
        <v>165000</v>
      </c>
      <c r="V49" s="6"/>
      <c r="W49" s="6"/>
      <c r="X49" s="6"/>
      <c r="Y49" s="6"/>
      <c r="Z49" s="6"/>
      <c r="AA49" s="6"/>
      <c r="AB49" s="6">
        <f t="shared" si="0"/>
        <v>562</v>
      </c>
      <c r="AC49" s="6">
        <f t="shared" si="1"/>
        <v>1496880</v>
      </c>
    </row>
    <row r="50" spans="1:29" s="1" customFormat="1" ht="21.25" customHeight="1" x14ac:dyDescent="0.35">
      <c r="A50" s="5">
        <v>48</v>
      </c>
      <c r="B50" s="5" t="s">
        <v>447</v>
      </c>
      <c r="C50" s="4" t="s">
        <v>48</v>
      </c>
      <c r="D50" s="6"/>
      <c r="E50" s="6"/>
      <c r="F50" s="6"/>
      <c r="G50" s="6"/>
      <c r="H50" s="6"/>
      <c r="I50" s="6"/>
      <c r="J50" s="6"/>
      <c r="K50" s="6"/>
      <c r="L50" s="6">
        <v>286</v>
      </c>
      <c r="M50" s="6">
        <v>424710</v>
      </c>
      <c r="N50" s="6"/>
      <c r="O50" s="6"/>
      <c r="P50" s="6"/>
      <c r="Q50" s="6"/>
      <c r="R50" s="6"/>
      <c r="S50" s="6"/>
      <c r="T50" s="6">
        <v>172</v>
      </c>
      <c r="U50" s="6">
        <v>283800</v>
      </c>
      <c r="V50" s="6">
        <v>40</v>
      </c>
      <c r="W50" s="6">
        <v>66000</v>
      </c>
      <c r="X50" s="6"/>
      <c r="Y50" s="6"/>
      <c r="Z50" s="6"/>
      <c r="AA50" s="6"/>
      <c r="AB50" s="6">
        <f t="shared" si="0"/>
        <v>498</v>
      </c>
      <c r="AC50" s="6">
        <f t="shared" si="1"/>
        <v>774510</v>
      </c>
    </row>
    <row r="51" spans="1:29" s="1" customFormat="1" ht="21.25" customHeight="1" x14ac:dyDescent="0.35">
      <c r="A51" s="5">
        <v>49</v>
      </c>
      <c r="B51" s="5" t="s">
        <v>447</v>
      </c>
      <c r="C51" s="4" t="s">
        <v>149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315</v>
      </c>
      <c r="W51" s="6">
        <v>2598750</v>
      </c>
      <c r="X51" s="6">
        <v>116</v>
      </c>
      <c r="Y51" s="6">
        <v>957000</v>
      </c>
      <c r="Z51" s="6">
        <v>60</v>
      </c>
      <c r="AA51" s="6">
        <v>495000</v>
      </c>
      <c r="AB51" s="6">
        <f t="shared" si="0"/>
        <v>491</v>
      </c>
      <c r="AC51" s="6">
        <f t="shared" si="1"/>
        <v>4050750</v>
      </c>
    </row>
    <row r="52" spans="1:29" s="1" customFormat="1" ht="21.25" customHeight="1" x14ac:dyDescent="0.35">
      <c r="A52" s="5">
        <v>50</v>
      </c>
      <c r="B52" s="5" t="s">
        <v>447</v>
      </c>
      <c r="C52" s="4" t="s">
        <v>202</v>
      </c>
      <c r="D52" s="7"/>
      <c r="E52" s="7"/>
      <c r="F52" s="7"/>
      <c r="G52" s="7"/>
      <c r="H52" s="7"/>
      <c r="I52" s="7"/>
      <c r="J52" s="7">
        <v>10</v>
      </c>
      <c r="K52" s="7">
        <v>33000</v>
      </c>
      <c r="L52" s="7">
        <v>209</v>
      </c>
      <c r="M52" s="7">
        <v>689700</v>
      </c>
      <c r="N52" s="7">
        <v>70</v>
      </c>
      <c r="O52" s="7">
        <v>250250</v>
      </c>
      <c r="P52" s="7"/>
      <c r="Q52" s="7"/>
      <c r="R52" s="7"/>
      <c r="S52" s="7"/>
      <c r="T52" s="7">
        <v>10</v>
      </c>
      <c r="U52" s="7">
        <v>35750</v>
      </c>
      <c r="V52" s="7">
        <v>80</v>
      </c>
      <c r="W52" s="7">
        <v>286000</v>
      </c>
      <c r="X52" s="7">
        <v>80</v>
      </c>
      <c r="Y52" s="7">
        <v>286000</v>
      </c>
      <c r="Z52" s="7">
        <v>11</v>
      </c>
      <c r="AA52" s="7">
        <v>39325</v>
      </c>
      <c r="AB52" s="6">
        <f t="shared" si="0"/>
        <v>470</v>
      </c>
      <c r="AC52" s="6">
        <f t="shared" si="1"/>
        <v>1620025</v>
      </c>
    </row>
    <row r="53" spans="1:29" s="1" customFormat="1" ht="21.25" customHeight="1" x14ac:dyDescent="0.35">
      <c r="A53" s="5">
        <v>51</v>
      </c>
      <c r="B53" s="5" t="s">
        <v>447</v>
      </c>
      <c r="C53" s="4" t="s">
        <v>104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>
        <v>250</v>
      </c>
      <c r="U53" s="7">
        <v>206250</v>
      </c>
      <c r="V53" s="7">
        <v>31</v>
      </c>
      <c r="W53" s="7">
        <v>25575</v>
      </c>
      <c r="X53" s="7">
        <v>132</v>
      </c>
      <c r="Y53" s="7">
        <v>108900</v>
      </c>
      <c r="Z53" s="7">
        <v>50</v>
      </c>
      <c r="AA53" s="7">
        <v>41250</v>
      </c>
      <c r="AB53" s="6">
        <f t="shared" si="0"/>
        <v>463</v>
      </c>
      <c r="AC53" s="6">
        <f t="shared" si="1"/>
        <v>381975</v>
      </c>
    </row>
    <row r="54" spans="1:29" s="1" customFormat="1" ht="21.25" customHeight="1" x14ac:dyDescent="0.35">
      <c r="A54" s="5">
        <v>52</v>
      </c>
      <c r="B54" s="5" t="s">
        <v>447</v>
      </c>
      <c r="C54" s="4" t="s">
        <v>173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v>134</v>
      </c>
      <c r="U54" s="7">
        <v>515900</v>
      </c>
      <c r="V54" s="7">
        <v>200</v>
      </c>
      <c r="W54" s="7">
        <v>770000</v>
      </c>
      <c r="X54" s="7">
        <v>123</v>
      </c>
      <c r="Y54" s="7">
        <v>473550</v>
      </c>
      <c r="Z54" s="7">
        <v>1</v>
      </c>
      <c r="AA54" s="7">
        <v>3850</v>
      </c>
      <c r="AB54" s="6">
        <f t="shared" si="0"/>
        <v>458</v>
      </c>
      <c r="AC54" s="6">
        <f t="shared" si="1"/>
        <v>1763300</v>
      </c>
    </row>
    <row r="55" spans="1:29" s="1" customFormat="1" ht="21.25" customHeight="1" x14ac:dyDescent="0.35">
      <c r="A55" s="5">
        <v>53</v>
      </c>
      <c r="B55" s="5" t="s">
        <v>447</v>
      </c>
      <c r="C55" s="4" t="s">
        <v>205</v>
      </c>
      <c r="D55" s="6"/>
      <c r="E55" s="6"/>
      <c r="F55" s="6"/>
      <c r="G55" s="6"/>
      <c r="H55" s="6"/>
      <c r="I55" s="6"/>
      <c r="J55" s="6"/>
      <c r="K55" s="6"/>
      <c r="L55" s="6">
        <v>40</v>
      </c>
      <c r="M55" s="6">
        <v>154000</v>
      </c>
      <c r="N55" s="6">
        <v>105</v>
      </c>
      <c r="O55" s="6">
        <v>404250</v>
      </c>
      <c r="P55" s="6"/>
      <c r="Q55" s="6"/>
      <c r="R55" s="6">
        <v>40</v>
      </c>
      <c r="S55" s="6">
        <v>154000</v>
      </c>
      <c r="T55" s="6">
        <v>23</v>
      </c>
      <c r="U55" s="6">
        <v>88550</v>
      </c>
      <c r="V55" s="6">
        <v>100</v>
      </c>
      <c r="W55" s="6">
        <v>385000</v>
      </c>
      <c r="X55" s="6">
        <v>68</v>
      </c>
      <c r="Y55" s="6">
        <v>261800</v>
      </c>
      <c r="Z55" s="6">
        <v>81</v>
      </c>
      <c r="AA55" s="6">
        <v>311850</v>
      </c>
      <c r="AB55" s="6">
        <f t="shared" si="0"/>
        <v>457</v>
      </c>
      <c r="AC55" s="6">
        <f t="shared" si="1"/>
        <v>1759450</v>
      </c>
    </row>
    <row r="56" spans="1:29" s="1" customFormat="1" ht="21.25" customHeight="1" x14ac:dyDescent="0.35">
      <c r="A56" s="5">
        <v>54</v>
      </c>
      <c r="B56" s="5" t="s">
        <v>447</v>
      </c>
      <c r="C56" s="4" t="s">
        <v>203</v>
      </c>
      <c r="D56" s="6"/>
      <c r="E56" s="6"/>
      <c r="F56" s="6"/>
      <c r="G56" s="6"/>
      <c r="H56" s="6"/>
      <c r="I56" s="6"/>
      <c r="J56" s="6">
        <v>10</v>
      </c>
      <c r="K56" s="6">
        <v>33000</v>
      </c>
      <c r="L56" s="6">
        <v>237</v>
      </c>
      <c r="M56" s="6">
        <v>782100</v>
      </c>
      <c r="N56" s="6"/>
      <c r="O56" s="6"/>
      <c r="P56" s="6"/>
      <c r="Q56" s="6"/>
      <c r="R56" s="6">
        <v>33</v>
      </c>
      <c r="S56" s="6">
        <v>117975</v>
      </c>
      <c r="T56" s="6"/>
      <c r="U56" s="6"/>
      <c r="V56" s="6">
        <v>80</v>
      </c>
      <c r="W56" s="6">
        <v>286000</v>
      </c>
      <c r="X56" s="6">
        <v>20</v>
      </c>
      <c r="Y56" s="6">
        <v>71500</v>
      </c>
      <c r="Z56" s="6">
        <v>70</v>
      </c>
      <c r="AA56" s="6">
        <v>250250</v>
      </c>
      <c r="AB56" s="6">
        <f t="shared" si="0"/>
        <v>450</v>
      </c>
      <c r="AC56" s="6">
        <f t="shared" si="1"/>
        <v>1540825</v>
      </c>
    </row>
    <row r="57" spans="1:29" s="1" customFormat="1" ht="21.25" customHeight="1" x14ac:dyDescent="0.35">
      <c r="A57" s="5">
        <v>55</v>
      </c>
      <c r="B57" s="5" t="s">
        <v>447</v>
      </c>
      <c r="C57" s="4" t="s">
        <v>206</v>
      </c>
      <c r="D57" s="6"/>
      <c r="E57" s="6"/>
      <c r="F57" s="6"/>
      <c r="G57" s="6"/>
      <c r="H57" s="6"/>
      <c r="I57" s="6"/>
      <c r="J57" s="6"/>
      <c r="K57" s="6"/>
      <c r="L57" s="6">
        <v>162</v>
      </c>
      <c r="M57" s="6">
        <v>623700</v>
      </c>
      <c r="N57" s="6"/>
      <c r="O57" s="6"/>
      <c r="P57" s="6">
        <v>40</v>
      </c>
      <c r="Q57" s="6">
        <v>154000</v>
      </c>
      <c r="R57" s="6"/>
      <c r="S57" s="6"/>
      <c r="T57" s="6">
        <v>10</v>
      </c>
      <c r="U57" s="6">
        <v>38500</v>
      </c>
      <c r="V57" s="6">
        <v>110</v>
      </c>
      <c r="W57" s="6">
        <v>423500</v>
      </c>
      <c r="X57" s="6"/>
      <c r="Y57" s="6"/>
      <c r="Z57" s="6">
        <v>128</v>
      </c>
      <c r="AA57" s="6">
        <v>492800</v>
      </c>
      <c r="AB57" s="6">
        <f t="shared" si="0"/>
        <v>450</v>
      </c>
      <c r="AC57" s="6">
        <f t="shared" si="1"/>
        <v>1732500</v>
      </c>
    </row>
    <row r="58" spans="1:29" s="1" customFormat="1" ht="21.25" customHeight="1" x14ac:dyDescent="0.35">
      <c r="A58" s="5">
        <v>56</v>
      </c>
      <c r="B58" s="5" t="s">
        <v>450</v>
      </c>
      <c r="C58" s="4" t="s">
        <v>294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>
        <v>241</v>
      </c>
      <c r="U58" s="7">
        <v>576954</v>
      </c>
      <c r="V58" s="7">
        <v>200</v>
      </c>
      <c r="W58" s="7">
        <v>478800</v>
      </c>
      <c r="X58" s="7"/>
      <c r="Y58" s="7"/>
      <c r="Z58" s="7"/>
      <c r="AA58" s="7"/>
      <c r="AB58" s="6">
        <f t="shared" si="0"/>
        <v>441</v>
      </c>
      <c r="AC58" s="6">
        <f t="shared" si="1"/>
        <v>1055754</v>
      </c>
    </row>
    <row r="59" spans="1:29" s="1" customFormat="1" ht="21.25" customHeight="1" x14ac:dyDescent="0.35">
      <c r="A59" s="5">
        <v>57</v>
      </c>
      <c r="B59" s="5" t="s">
        <v>447</v>
      </c>
      <c r="C59" s="4" t="s">
        <v>51</v>
      </c>
      <c r="D59" s="7"/>
      <c r="E59" s="7"/>
      <c r="F59" s="7"/>
      <c r="G59" s="7"/>
      <c r="H59" s="7"/>
      <c r="I59" s="7"/>
      <c r="J59" s="7">
        <v>50</v>
      </c>
      <c r="K59" s="7">
        <v>74250</v>
      </c>
      <c r="L59" s="7">
        <v>144</v>
      </c>
      <c r="M59" s="7">
        <v>213840</v>
      </c>
      <c r="N59" s="7">
        <v>30</v>
      </c>
      <c r="O59" s="7">
        <v>49500</v>
      </c>
      <c r="P59" s="7"/>
      <c r="Q59" s="7"/>
      <c r="R59" s="7"/>
      <c r="S59" s="7"/>
      <c r="T59" s="7"/>
      <c r="U59" s="7"/>
      <c r="V59" s="7">
        <v>191</v>
      </c>
      <c r="W59" s="7">
        <v>315150</v>
      </c>
      <c r="X59" s="7"/>
      <c r="Y59" s="7"/>
      <c r="Z59" s="7">
        <v>21</v>
      </c>
      <c r="AA59" s="7">
        <v>34650</v>
      </c>
      <c r="AB59" s="6">
        <f t="shared" si="0"/>
        <v>436</v>
      </c>
      <c r="AC59" s="6">
        <f t="shared" si="1"/>
        <v>687390</v>
      </c>
    </row>
    <row r="60" spans="1:29" s="1" customFormat="1" ht="21.25" customHeight="1" x14ac:dyDescent="0.35">
      <c r="A60" s="5">
        <v>58</v>
      </c>
      <c r="B60" s="5" t="s">
        <v>450</v>
      </c>
      <c r="C60" s="4" t="s">
        <v>295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431</v>
      </c>
      <c r="U60" s="6">
        <v>1031814</v>
      </c>
      <c r="V60" s="6">
        <v>5</v>
      </c>
      <c r="W60" s="6">
        <v>11970</v>
      </c>
      <c r="X60" s="6"/>
      <c r="Y60" s="6"/>
      <c r="Z60" s="6"/>
      <c r="AA60" s="6"/>
      <c r="AB60" s="6">
        <f t="shared" si="0"/>
        <v>436</v>
      </c>
      <c r="AC60" s="6">
        <f t="shared" si="1"/>
        <v>1043784</v>
      </c>
    </row>
    <row r="61" spans="1:29" s="1" customFormat="1" ht="21.25" customHeight="1" x14ac:dyDescent="0.35">
      <c r="A61" s="5">
        <v>59</v>
      </c>
      <c r="B61" s="5" t="s">
        <v>447</v>
      </c>
      <c r="C61" s="4" t="s">
        <v>210</v>
      </c>
      <c r="D61" s="6"/>
      <c r="E61" s="6"/>
      <c r="F61" s="6"/>
      <c r="G61" s="6"/>
      <c r="H61" s="6"/>
      <c r="I61" s="6"/>
      <c r="J61" s="6"/>
      <c r="K61" s="6"/>
      <c r="L61" s="6">
        <v>348</v>
      </c>
      <c r="M61" s="6">
        <v>861300</v>
      </c>
      <c r="N61" s="6"/>
      <c r="O61" s="6"/>
      <c r="P61" s="6">
        <v>2</v>
      </c>
      <c r="Q61" s="6">
        <v>5170</v>
      </c>
      <c r="R61" s="6"/>
      <c r="S61" s="6"/>
      <c r="T61" s="6"/>
      <c r="U61" s="6"/>
      <c r="V61" s="6">
        <v>4</v>
      </c>
      <c r="W61" s="6">
        <v>10340</v>
      </c>
      <c r="X61" s="6"/>
      <c r="Y61" s="6"/>
      <c r="Z61" s="6">
        <v>81</v>
      </c>
      <c r="AA61" s="6">
        <v>209385</v>
      </c>
      <c r="AB61" s="6">
        <f t="shared" si="0"/>
        <v>435</v>
      </c>
      <c r="AC61" s="6">
        <f t="shared" si="1"/>
        <v>1086195</v>
      </c>
    </row>
    <row r="62" spans="1:29" s="1" customFormat="1" ht="21.25" customHeight="1" x14ac:dyDescent="0.35">
      <c r="A62" s="5">
        <v>60</v>
      </c>
      <c r="B62" s="5" t="s">
        <v>447</v>
      </c>
      <c r="C62" s="4" t="s">
        <v>238</v>
      </c>
      <c r="D62" s="6"/>
      <c r="E62" s="6"/>
      <c r="F62" s="6"/>
      <c r="G62" s="6"/>
      <c r="H62" s="6"/>
      <c r="I62" s="6"/>
      <c r="J62" s="6">
        <v>50</v>
      </c>
      <c r="K62" s="6">
        <v>55000</v>
      </c>
      <c r="L62" s="6">
        <v>80</v>
      </c>
      <c r="M62" s="6">
        <v>88000</v>
      </c>
      <c r="N62" s="6">
        <v>51</v>
      </c>
      <c r="O62" s="6">
        <v>56100</v>
      </c>
      <c r="P62" s="6">
        <v>99</v>
      </c>
      <c r="Q62" s="6">
        <v>108900</v>
      </c>
      <c r="R62" s="6">
        <v>30</v>
      </c>
      <c r="S62" s="6">
        <v>33000</v>
      </c>
      <c r="T62" s="6"/>
      <c r="U62" s="6"/>
      <c r="V62" s="6">
        <v>90</v>
      </c>
      <c r="W62" s="6">
        <v>99000</v>
      </c>
      <c r="X62" s="6"/>
      <c r="Y62" s="6"/>
      <c r="Z62" s="6">
        <v>35</v>
      </c>
      <c r="AA62" s="6">
        <v>38500</v>
      </c>
      <c r="AB62" s="6">
        <f t="shared" si="0"/>
        <v>435</v>
      </c>
      <c r="AC62" s="6">
        <f t="shared" si="1"/>
        <v>478500</v>
      </c>
    </row>
    <row r="63" spans="1:29" s="1" customFormat="1" ht="21.25" customHeight="1" x14ac:dyDescent="0.35">
      <c r="A63" s="5">
        <v>61</v>
      </c>
      <c r="B63" s="5" t="s">
        <v>447</v>
      </c>
      <c r="C63" s="4" t="s">
        <v>328</v>
      </c>
      <c r="D63" s="7"/>
      <c r="E63" s="7"/>
      <c r="F63" s="15"/>
      <c r="G63" s="7"/>
      <c r="H63" s="7"/>
      <c r="I63" s="7"/>
      <c r="J63" s="7"/>
      <c r="K63" s="7"/>
      <c r="L63" s="7">
        <v>10</v>
      </c>
      <c r="M63" s="7">
        <v>27500</v>
      </c>
      <c r="N63" s="7">
        <v>30</v>
      </c>
      <c r="O63" s="7">
        <v>82500</v>
      </c>
      <c r="P63" s="7">
        <v>56</v>
      </c>
      <c r="Q63" s="7">
        <v>154000</v>
      </c>
      <c r="R63" s="7">
        <v>20</v>
      </c>
      <c r="S63" s="7">
        <v>55000</v>
      </c>
      <c r="T63" s="7">
        <v>49</v>
      </c>
      <c r="U63" s="7">
        <v>134750</v>
      </c>
      <c r="V63" s="7"/>
      <c r="W63" s="7"/>
      <c r="X63" s="7">
        <v>77</v>
      </c>
      <c r="Y63" s="7">
        <v>211750</v>
      </c>
      <c r="Z63" s="7">
        <v>191</v>
      </c>
      <c r="AA63" s="7">
        <v>525250</v>
      </c>
      <c r="AB63" s="6">
        <f t="shared" si="0"/>
        <v>433</v>
      </c>
      <c r="AC63" s="6">
        <f t="shared" si="1"/>
        <v>1190750</v>
      </c>
    </row>
    <row r="64" spans="1:29" s="1" customFormat="1" ht="21.25" customHeight="1" x14ac:dyDescent="0.35">
      <c r="A64" s="5">
        <v>62</v>
      </c>
      <c r="B64" s="5" t="s">
        <v>448</v>
      </c>
      <c r="C64" s="4" t="s">
        <v>301</v>
      </c>
      <c r="D64" s="6"/>
      <c r="E64" s="6"/>
      <c r="F64" s="6"/>
      <c r="G64" s="6"/>
      <c r="H64" s="6"/>
      <c r="I64" s="6"/>
      <c r="J64" s="6">
        <v>48</v>
      </c>
      <c r="K64" s="6">
        <v>72000</v>
      </c>
      <c r="L64" s="6"/>
      <c r="M64" s="6"/>
      <c r="N64" s="6"/>
      <c r="O64" s="6"/>
      <c r="P64" s="6">
        <v>70</v>
      </c>
      <c r="Q64" s="6">
        <v>105000</v>
      </c>
      <c r="R64" s="6"/>
      <c r="S64" s="6"/>
      <c r="T64" s="6">
        <v>237</v>
      </c>
      <c r="U64" s="6">
        <v>355500</v>
      </c>
      <c r="V64" s="6">
        <v>70</v>
      </c>
      <c r="W64" s="6">
        <v>105000</v>
      </c>
      <c r="X64" s="6"/>
      <c r="Y64" s="6"/>
      <c r="Z64" s="6"/>
      <c r="AA64" s="6"/>
      <c r="AB64" s="6">
        <f t="shared" si="0"/>
        <v>425</v>
      </c>
      <c r="AC64" s="6">
        <f t="shared" si="1"/>
        <v>637500</v>
      </c>
    </row>
    <row r="65" spans="1:29" s="1" customFormat="1" ht="21.25" customHeight="1" x14ac:dyDescent="0.35">
      <c r="A65" s="5">
        <v>63</v>
      </c>
      <c r="B65" s="5" t="s">
        <v>447</v>
      </c>
      <c r="C65" s="4" t="s">
        <v>137</v>
      </c>
      <c r="D65" s="7"/>
      <c r="E65" s="7"/>
      <c r="F65" s="7"/>
      <c r="G65" s="7"/>
      <c r="H65" s="7"/>
      <c r="I65" s="7"/>
      <c r="J65" s="7"/>
      <c r="K65" s="7"/>
      <c r="L65" s="7">
        <v>400</v>
      </c>
      <c r="M65" s="7">
        <v>660000</v>
      </c>
      <c r="N65" s="7">
        <v>5</v>
      </c>
      <c r="O65" s="7">
        <v>8800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6">
        <f t="shared" si="0"/>
        <v>405</v>
      </c>
      <c r="AC65" s="6">
        <f t="shared" si="1"/>
        <v>668800</v>
      </c>
    </row>
    <row r="66" spans="1:29" s="1" customFormat="1" ht="21.25" customHeight="1" x14ac:dyDescent="0.35">
      <c r="A66" s="5">
        <v>64</v>
      </c>
      <c r="B66" s="5" t="s">
        <v>447</v>
      </c>
      <c r="C66" s="4" t="s">
        <v>181</v>
      </c>
      <c r="D66" s="6"/>
      <c r="E66" s="6"/>
      <c r="F66" s="6"/>
      <c r="G66" s="6"/>
      <c r="H66" s="6"/>
      <c r="I66" s="6"/>
      <c r="J66" s="6"/>
      <c r="K66" s="6"/>
      <c r="L66" s="6">
        <v>169</v>
      </c>
      <c r="M66" s="6">
        <v>511225</v>
      </c>
      <c r="N66" s="6">
        <v>20</v>
      </c>
      <c r="O66" s="6">
        <v>62700</v>
      </c>
      <c r="P66" s="6"/>
      <c r="Q66" s="6"/>
      <c r="R66" s="6"/>
      <c r="S66" s="6"/>
      <c r="T66" s="6">
        <v>30</v>
      </c>
      <c r="U66" s="6">
        <v>94050</v>
      </c>
      <c r="V66" s="6">
        <v>135</v>
      </c>
      <c r="W66" s="6">
        <v>423225</v>
      </c>
      <c r="X66" s="6"/>
      <c r="Y66" s="6"/>
      <c r="Z66" s="6">
        <v>43</v>
      </c>
      <c r="AA66" s="6">
        <v>134805</v>
      </c>
      <c r="AB66" s="6">
        <f t="shared" si="0"/>
        <v>397</v>
      </c>
      <c r="AC66" s="6">
        <f t="shared" si="1"/>
        <v>1226005</v>
      </c>
    </row>
    <row r="67" spans="1:29" s="1" customFormat="1" ht="21.25" customHeight="1" x14ac:dyDescent="0.35">
      <c r="A67" s="5">
        <v>65</v>
      </c>
      <c r="B67" s="5" t="s">
        <v>447</v>
      </c>
      <c r="C67" s="4" t="s">
        <v>176</v>
      </c>
      <c r="D67" s="7"/>
      <c r="E67" s="7"/>
      <c r="F67" s="7"/>
      <c r="G67" s="7"/>
      <c r="H67" s="7"/>
      <c r="I67" s="7"/>
      <c r="J67" s="7">
        <v>127</v>
      </c>
      <c r="K67" s="7">
        <v>419100</v>
      </c>
      <c r="L67" s="7">
        <v>20</v>
      </c>
      <c r="M67" s="7">
        <v>66000</v>
      </c>
      <c r="N67" s="7">
        <v>60</v>
      </c>
      <c r="O67" s="7">
        <v>204600</v>
      </c>
      <c r="P67" s="7"/>
      <c r="Q67" s="7"/>
      <c r="R67" s="7"/>
      <c r="S67" s="7"/>
      <c r="T67" s="7"/>
      <c r="U67" s="7"/>
      <c r="V67" s="7">
        <v>181</v>
      </c>
      <c r="W67" s="7">
        <v>617210</v>
      </c>
      <c r="X67" s="7"/>
      <c r="Y67" s="7"/>
      <c r="Z67" s="7"/>
      <c r="AA67" s="7"/>
      <c r="AB67" s="6">
        <f t="shared" ref="AB67:AB130" si="2">D67+F67+H67+J67+L67+N67+P67+R67+T67+V67+X67+Z67</f>
        <v>388</v>
      </c>
      <c r="AC67" s="6">
        <f t="shared" ref="AC67:AC130" si="3">E67+G67+I67+K67+M67+O67+Q67+S67+U67+W67+Y67+AA67</f>
        <v>1306910</v>
      </c>
    </row>
    <row r="68" spans="1:29" s="1" customFormat="1" ht="21.25" customHeight="1" x14ac:dyDescent="0.35">
      <c r="A68" s="5">
        <v>66</v>
      </c>
      <c r="B68" s="5" t="s">
        <v>448</v>
      </c>
      <c r="C68" s="4" t="s">
        <v>222</v>
      </c>
      <c r="D68" s="7"/>
      <c r="E68" s="7"/>
      <c r="F68" s="7"/>
      <c r="G68" s="7"/>
      <c r="H68" s="7"/>
      <c r="I68" s="7"/>
      <c r="J68" s="7">
        <v>285</v>
      </c>
      <c r="K68" s="7">
        <v>570000</v>
      </c>
      <c r="L68" s="7"/>
      <c r="M68" s="7"/>
      <c r="N68" s="7"/>
      <c r="O68" s="7"/>
      <c r="P68" s="7"/>
      <c r="Q68" s="7"/>
      <c r="R68" s="7"/>
      <c r="S68" s="7"/>
      <c r="T68" s="7">
        <v>14</v>
      </c>
      <c r="U68" s="7">
        <v>28000</v>
      </c>
      <c r="V68" s="7"/>
      <c r="W68" s="7"/>
      <c r="X68" s="7">
        <v>75</v>
      </c>
      <c r="Y68" s="7">
        <v>161250</v>
      </c>
      <c r="Z68" s="7"/>
      <c r="AA68" s="7"/>
      <c r="AB68" s="6">
        <f t="shared" si="2"/>
        <v>374</v>
      </c>
      <c r="AC68" s="6">
        <f t="shared" si="3"/>
        <v>759250</v>
      </c>
    </row>
    <row r="69" spans="1:29" s="1" customFormat="1" ht="21.25" customHeight="1" x14ac:dyDescent="0.35">
      <c r="A69" s="5">
        <v>67</v>
      </c>
      <c r="B69" s="5" t="s">
        <v>448</v>
      </c>
      <c r="C69" s="4" t="s">
        <v>218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10</v>
      </c>
      <c r="O69" s="6">
        <v>10000</v>
      </c>
      <c r="P69" s="6">
        <v>10</v>
      </c>
      <c r="Q69" s="6">
        <v>10000</v>
      </c>
      <c r="R69" s="6">
        <v>166</v>
      </c>
      <c r="S69" s="6">
        <v>166000</v>
      </c>
      <c r="T69" s="6">
        <v>55</v>
      </c>
      <c r="U69" s="6">
        <v>55000</v>
      </c>
      <c r="V69" s="6">
        <v>81</v>
      </c>
      <c r="W69" s="6">
        <v>93150</v>
      </c>
      <c r="X69" s="6">
        <v>7</v>
      </c>
      <c r="Y69" s="6">
        <v>8050</v>
      </c>
      <c r="Z69" s="6">
        <v>30</v>
      </c>
      <c r="AA69" s="6">
        <v>34500</v>
      </c>
      <c r="AB69" s="6">
        <f t="shared" si="2"/>
        <v>359</v>
      </c>
      <c r="AC69" s="6">
        <f t="shared" si="3"/>
        <v>376700</v>
      </c>
    </row>
    <row r="70" spans="1:29" s="1" customFormat="1" ht="21.25" customHeight="1" x14ac:dyDescent="0.35">
      <c r="A70" s="5">
        <v>68</v>
      </c>
      <c r="B70" s="5" t="s">
        <v>448</v>
      </c>
      <c r="C70" s="4" t="s">
        <v>425</v>
      </c>
      <c r="D70" s="7"/>
      <c r="E70" s="7"/>
      <c r="F70" s="7"/>
      <c r="G70" s="7"/>
      <c r="H70" s="7"/>
      <c r="I70" s="7"/>
      <c r="J70" s="7">
        <v>122</v>
      </c>
      <c r="K70" s="7">
        <v>176900</v>
      </c>
      <c r="L70" s="7"/>
      <c r="M70" s="7"/>
      <c r="N70" s="7"/>
      <c r="O70" s="7"/>
      <c r="P70" s="7">
        <v>30</v>
      </c>
      <c r="Q70" s="7">
        <v>43500</v>
      </c>
      <c r="R70" s="7">
        <v>40</v>
      </c>
      <c r="S70" s="7">
        <v>58000</v>
      </c>
      <c r="T70" s="7"/>
      <c r="U70" s="7"/>
      <c r="V70" s="7">
        <v>3</v>
      </c>
      <c r="W70" s="7">
        <v>4350</v>
      </c>
      <c r="X70" s="7">
        <v>107</v>
      </c>
      <c r="Y70" s="7">
        <v>155150</v>
      </c>
      <c r="Z70" s="7">
        <v>57</v>
      </c>
      <c r="AA70" s="7">
        <v>82650</v>
      </c>
      <c r="AB70" s="6">
        <f t="shared" si="2"/>
        <v>359</v>
      </c>
      <c r="AC70" s="6">
        <f t="shared" si="3"/>
        <v>520550</v>
      </c>
    </row>
    <row r="71" spans="1:29" s="1" customFormat="1" ht="21.25" customHeight="1" x14ac:dyDescent="0.35">
      <c r="A71" s="5">
        <v>69</v>
      </c>
      <c r="B71" s="5" t="s">
        <v>447</v>
      </c>
      <c r="C71" s="4" t="s">
        <v>138</v>
      </c>
      <c r="D71" s="6"/>
      <c r="E71" s="6"/>
      <c r="F71" s="6"/>
      <c r="G71" s="6"/>
      <c r="H71" s="6"/>
      <c r="I71" s="6"/>
      <c r="J71" s="6">
        <v>60</v>
      </c>
      <c r="K71" s="6">
        <v>99000</v>
      </c>
      <c r="L71" s="6">
        <v>289</v>
      </c>
      <c r="M71" s="6">
        <v>476850</v>
      </c>
      <c r="N71" s="6">
        <v>5</v>
      </c>
      <c r="O71" s="6">
        <v>8800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f t="shared" si="2"/>
        <v>354</v>
      </c>
      <c r="AC71" s="6">
        <f t="shared" si="3"/>
        <v>584650</v>
      </c>
    </row>
    <row r="72" spans="1:29" s="1" customFormat="1" ht="21.25" customHeight="1" x14ac:dyDescent="0.35">
      <c r="A72" s="5">
        <v>70</v>
      </c>
      <c r="B72" s="5" t="s">
        <v>447</v>
      </c>
      <c r="C72" s="4" t="s">
        <v>177</v>
      </c>
      <c r="D72" s="6"/>
      <c r="E72" s="6"/>
      <c r="F72" s="6"/>
      <c r="G72" s="6"/>
      <c r="H72" s="6"/>
      <c r="I72" s="6"/>
      <c r="J72" s="6">
        <v>40</v>
      </c>
      <c r="K72" s="6">
        <v>99000</v>
      </c>
      <c r="L72" s="6">
        <v>190</v>
      </c>
      <c r="M72" s="6">
        <v>470250</v>
      </c>
      <c r="N72" s="6">
        <v>121</v>
      </c>
      <c r="O72" s="6">
        <v>312785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f t="shared" si="2"/>
        <v>351</v>
      </c>
      <c r="AC72" s="6">
        <f t="shared" si="3"/>
        <v>882035</v>
      </c>
    </row>
    <row r="73" spans="1:29" s="1" customFormat="1" ht="21.25" customHeight="1" x14ac:dyDescent="0.35">
      <c r="A73" s="5">
        <v>71</v>
      </c>
      <c r="B73" s="5" t="s">
        <v>447</v>
      </c>
      <c r="C73" s="4" t="s">
        <v>21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70</v>
      </c>
      <c r="U73" s="7">
        <v>211750</v>
      </c>
      <c r="V73" s="7">
        <v>43</v>
      </c>
      <c r="W73" s="7">
        <v>130075</v>
      </c>
      <c r="X73" s="7">
        <v>203</v>
      </c>
      <c r="Y73" s="7">
        <v>614075</v>
      </c>
      <c r="Z73" s="7">
        <v>30</v>
      </c>
      <c r="AA73" s="7">
        <v>90750</v>
      </c>
      <c r="AB73" s="6">
        <f t="shared" si="2"/>
        <v>346</v>
      </c>
      <c r="AC73" s="6">
        <f t="shared" si="3"/>
        <v>1046650</v>
      </c>
    </row>
    <row r="74" spans="1:29" s="1" customFormat="1" ht="21.25" customHeight="1" x14ac:dyDescent="0.35">
      <c r="A74" s="5">
        <v>72</v>
      </c>
      <c r="B74" s="5" t="s">
        <v>447</v>
      </c>
      <c r="C74" s="4" t="s">
        <v>97</v>
      </c>
      <c r="D74" s="6"/>
      <c r="E74" s="6"/>
      <c r="F74" s="6"/>
      <c r="G74" s="6"/>
      <c r="H74" s="6"/>
      <c r="I74" s="6"/>
      <c r="J74" s="6">
        <v>20</v>
      </c>
      <c r="K74" s="6">
        <v>44000</v>
      </c>
      <c r="L74" s="6">
        <v>133</v>
      </c>
      <c r="M74" s="6">
        <v>292600</v>
      </c>
      <c r="N74" s="6"/>
      <c r="O74" s="6"/>
      <c r="P74" s="6">
        <v>80</v>
      </c>
      <c r="Q74" s="6">
        <v>176000</v>
      </c>
      <c r="R74" s="6"/>
      <c r="S74" s="6"/>
      <c r="T74" s="6"/>
      <c r="U74" s="6"/>
      <c r="V74" s="6">
        <v>20</v>
      </c>
      <c r="W74" s="6">
        <v>44000</v>
      </c>
      <c r="X74" s="6"/>
      <c r="Y74" s="6"/>
      <c r="Z74" s="6">
        <v>91</v>
      </c>
      <c r="AA74" s="6">
        <v>200200</v>
      </c>
      <c r="AB74" s="6">
        <f t="shared" si="2"/>
        <v>344</v>
      </c>
      <c r="AC74" s="6">
        <f t="shared" si="3"/>
        <v>756800</v>
      </c>
    </row>
    <row r="75" spans="1:29" s="1" customFormat="1" ht="21.25" customHeight="1" x14ac:dyDescent="0.35">
      <c r="A75" s="5">
        <v>73</v>
      </c>
      <c r="B75" s="5" t="s">
        <v>447</v>
      </c>
      <c r="C75" s="4" t="s">
        <v>133</v>
      </c>
      <c r="D75" s="6"/>
      <c r="E75" s="6"/>
      <c r="F75" s="6"/>
      <c r="G75" s="6"/>
      <c r="H75" s="6"/>
      <c r="I75" s="6"/>
      <c r="J75" s="6"/>
      <c r="K75" s="6"/>
      <c r="L75" s="6">
        <v>141</v>
      </c>
      <c r="M75" s="6">
        <v>387750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>
        <v>74</v>
      </c>
      <c r="Y75" s="6">
        <v>211640</v>
      </c>
      <c r="Z75" s="6">
        <v>128</v>
      </c>
      <c r="AA75" s="6">
        <v>366080</v>
      </c>
      <c r="AB75" s="6">
        <f t="shared" si="2"/>
        <v>343</v>
      </c>
      <c r="AC75" s="6">
        <f t="shared" si="3"/>
        <v>965470</v>
      </c>
    </row>
    <row r="76" spans="1:29" s="1" customFormat="1" ht="21.25" customHeight="1" x14ac:dyDescent="0.35">
      <c r="A76" s="5">
        <v>74</v>
      </c>
      <c r="B76" s="5" t="s">
        <v>447</v>
      </c>
      <c r="C76" s="4" t="s">
        <v>187</v>
      </c>
      <c r="D76" s="6"/>
      <c r="E76" s="6"/>
      <c r="F76" s="6"/>
      <c r="G76" s="6"/>
      <c r="H76" s="6"/>
      <c r="I76" s="6"/>
      <c r="J76" s="6">
        <v>56</v>
      </c>
      <c r="K76" s="6">
        <v>61600</v>
      </c>
      <c r="L76" s="6">
        <v>166</v>
      </c>
      <c r="M76" s="6">
        <v>182600</v>
      </c>
      <c r="N76" s="6"/>
      <c r="O76" s="6"/>
      <c r="P76" s="6">
        <v>100</v>
      </c>
      <c r="Q76" s="6">
        <v>110000</v>
      </c>
      <c r="R76" s="6"/>
      <c r="S76" s="6"/>
      <c r="T76" s="6"/>
      <c r="U76" s="6"/>
      <c r="V76" s="6"/>
      <c r="W76" s="6"/>
      <c r="X76" s="6"/>
      <c r="Y76" s="6"/>
      <c r="Z76" s="6">
        <v>20</v>
      </c>
      <c r="AA76" s="6">
        <v>22000</v>
      </c>
      <c r="AB76" s="6">
        <f t="shared" si="2"/>
        <v>342</v>
      </c>
      <c r="AC76" s="6">
        <f t="shared" si="3"/>
        <v>376200</v>
      </c>
    </row>
    <row r="77" spans="1:29" s="1" customFormat="1" ht="21.25" customHeight="1" x14ac:dyDescent="0.35">
      <c r="A77" s="5">
        <v>75</v>
      </c>
      <c r="B77" s="5" t="s">
        <v>447</v>
      </c>
      <c r="C77" s="4" t="s">
        <v>207</v>
      </c>
      <c r="D77" s="6"/>
      <c r="E77" s="6"/>
      <c r="F77" s="6"/>
      <c r="G77" s="6"/>
      <c r="H77" s="6"/>
      <c r="I77" s="6"/>
      <c r="J77" s="6"/>
      <c r="K77" s="6"/>
      <c r="L77" s="6">
        <v>80</v>
      </c>
      <c r="M77" s="6">
        <v>308000</v>
      </c>
      <c r="N77" s="6"/>
      <c r="O77" s="6"/>
      <c r="P77" s="6"/>
      <c r="Q77" s="6"/>
      <c r="R77" s="6">
        <v>36</v>
      </c>
      <c r="S77" s="6">
        <v>138600</v>
      </c>
      <c r="T77" s="6"/>
      <c r="U77" s="6"/>
      <c r="V77" s="6">
        <v>140</v>
      </c>
      <c r="W77" s="6">
        <v>539000</v>
      </c>
      <c r="X77" s="6"/>
      <c r="Y77" s="6"/>
      <c r="Z77" s="6">
        <v>85</v>
      </c>
      <c r="AA77" s="6">
        <v>327250</v>
      </c>
      <c r="AB77" s="6">
        <f t="shared" si="2"/>
        <v>341</v>
      </c>
      <c r="AC77" s="6">
        <f t="shared" si="3"/>
        <v>1312850</v>
      </c>
    </row>
    <row r="78" spans="1:29" s="1" customFormat="1" ht="21.25" customHeight="1" x14ac:dyDescent="0.35">
      <c r="A78" s="5">
        <v>76</v>
      </c>
      <c r="B78" s="5" t="s">
        <v>447</v>
      </c>
      <c r="C78" s="4" t="s">
        <v>118</v>
      </c>
      <c r="D78" s="7"/>
      <c r="E78" s="7"/>
      <c r="F78" s="7"/>
      <c r="G78" s="7"/>
      <c r="H78" s="7"/>
      <c r="I78" s="7"/>
      <c r="J78" s="7"/>
      <c r="K78" s="7"/>
      <c r="L78" s="7">
        <v>44</v>
      </c>
      <c r="M78" s="7">
        <v>169400</v>
      </c>
      <c r="N78" s="7">
        <v>3</v>
      </c>
      <c r="O78" s="7">
        <v>11550</v>
      </c>
      <c r="P78" s="7">
        <v>36</v>
      </c>
      <c r="Q78" s="7">
        <v>138600</v>
      </c>
      <c r="R78" s="7">
        <v>60</v>
      </c>
      <c r="S78" s="7">
        <v>231000</v>
      </c>
      <c r="T78" s="7">
        <v>107</v>
      </c>
      <c r="U78" s="7">
        <v>411950</v>
      </c>
      <c r="V78" s="7">
        <v>90</v>
      </c>
      <c r="W78" s="7">
        <v>346500</v>
      </c>
      <c r="X78" s="7"/>
      <c r="Y78" s="7"/>
      <c r="Z78" s="7"/>
      <c r="AA78" s="7"/>
      <c r="AB78" s="6">
        <f t="shared" si="2"/>
        <v>340</v>
      </c>
      <c r="AC78" s="6">
        <f t="shared" si="3"/>
        <v>1309000</v>
      </c>
    </row>
    <row r="79" spans="1:29" s="1" customFormat="1" ht="21.25" customHeight="1" x14ac:dyDescent="0.35">
      <c r="A79" s="5">
        <v>77</v>
      </c>
      <c r="B79" s="5" t="s">
        <v>447</v>
      </c>
      <c r="C79" s="4" t="s">
        <v>120</v>
      </c>
      <c r="D79" s="7"/>
      <c r="E79" s="7"/>
      <c r="F79" s="7"/>
      <c r="G79" s="7"/>
      <c r="H79" s="7"/>
      <c r="I79" s="7"/>
      <c r="J79" s="7">
        <v>40</v>
      </c>
      <c r="K79" s="7">
        <v>88000</v>
      </c>
      <c r="L79" s="7">
        <v>131</v>
      </c>
      <c r="M79" s="7">
        <v>288200</v>
      </c>
      <c r="N79" s="7"/>
      <c r="O79" s="7"/>
      <c r="P79" s="7">
        <v>15</v>
      </c>
      <c r="Q79" s="7">
        <v>34650</v>
      </c>
      <c r="R79" s="7"/>
      <c r="S79" s="7"/>
      <c r="T79" s="7">
        <v>15</v>
      </c>
      <c r="U79" s="7">
        <v>34650</v>
      </c>
      <c r="V79" s="7">
        <v>87</v>
      </c>
      <c r="W79" s="7">
        <v>200970</v>
      </c>
      <c r="X79" s="7">
        <v>38</v>
      </c>
      <c r="Y79" s="7">
        <v>87780</v>
      </c>
      <c r="Z79" s="7">
        <v>7</v>
      </c>
      <c r="AA79" s="7">
        <v>16170</v>
      </c>
      <c r="AB79" s="6">
        <f t="shared" si="2"/>
        <v>333</v>
      </c>
      <c r="AC79" s="6">
        <f t="shared" si="3"/>
        <v>750420</v>
      </c>
    </row>
    <row r="80" spans="1:29" s="1" customFormat="1" ht="21.25" customHeight="1" x14ac:dyDescent="0.35">
      <c r="A80" s="5">
        <v>78</v>
      </c>
      <c r="B80" s="5" t="s">
        <v>447</v>
      </c>
      <c r="C80" s="4" t="s">
        <v>90</v>
      </c>
      <c r="D80" s="6"/>
      <c r="E80" s="6"/>
      <c r="F80" s="6"/>
      <c r="G80" s="6"/>
      <c r="H80" s="6"/>
      <c r="I80" s="6"/>
      <c r="J80" s="6"/>
      <c r="K80" s="6"/>
      <c r="L80" s="6">
        <v>80</v>
      </c>
      <c r="M80" s="6">
        <v>220000</v>
      </c>
      <c r="N80" s="6"/>
      <c r="O80" s="6"/>
      <c r="P80" s="6">
        <v>55</v>
      </c>
      <c r="Q80" s="6">
        <v>151250</v>
      </c>
      <c r="R80" s="6">
        <v>10</v>
      </c>
      <c r="S80" s="6">
        <v>27500</v>
      </c>
      <c r="T80" s="6">
        <v>26</v>
      </c>
      <c r="U80" s="6">
        <v>71500</v>
      </c>
      <c r="V80" s="6">
        <v>79</v>
      </c>
      <c r="W80" s="6">
        <v>217250</v>
      </c>
      <c r="X80" s="6"/>
      <c r="Y80" s="6"/>
      <c r="Z80" s="6">
        <v>79</v>
      </c>
      <c r="AA80" s="6">
        <v>217250</v>
      </c>
      <c r="AB80" s="6">
        <f t="shared" si="2"/>
        <v>329</v>
      </c>
      <c r="AC80" s="6">
        <f t="shared" si="3"/>
        <v>904750</v>
      </c>
    </row>
    <row r="81" spans="1:29" s="1" customFormat="1" ht="21.25" customHeight="1" x14ac:dyDescent="0.35">
      <c r="A81" s="5">
        <v>79</v>
      </c>
      <c r="B81" s="5" t="s">
        <v>447</v>
      </c>
      <c r="C81" s="4" t="s">
        <v>172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130</v>
      </c>
      <c r="U81" s="6">
        <v>500500</v>
      </c>
      <c r="V81" s="6">
        <v>195</v>
      </c>
      <c r="W81" s="6">
        <v>750750</v>
      </c>
      <c r="X81" s="6"/>
      <c r="Y81" s="6"/>
      <c r="Z81" s="6"/>
      <c r="AA81" s="6"/>
      <c r="AB81" s="6">
        <f t="shared" si="2"/>
        <v>325</v>
      </c>
      <c r="AC81" s="6">
        <f t="shared" si="3"/>
        <v>1251250</v>
      </c>
    </row>
    <row r="82" spans="1:29" s="1" customFormat="1" ht="21.25" customHeight="1" x14ac:dyDescent="0.35">
      <c r="A82" s="5">
        <v>80</v>
      </c>
      <c r="B82" s="5" t="s">
        <v>447</v>
      </c>
      <c r="C82" s="4" t="s">
        <v>170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110</v>
      </c>
      <c r="U82" s="6">
        <v>423500</v>
      </c>
      <c r="V82" s="6">
        <v>206</v>
      </c>
      <c r="W82" s="6">
        <v>793100</v>
      </c>
      <c r="X82" s="6"/>
      <c r="Y82" s="6"/>
      <c r="Z82" s="6"/>
      <c r="AA82" s="6"/>
      <c r="AB82" s="6">
        <f t="shared" si="2"/>
        <v>316</v>
      </c>
      <c r="AC82" s="6">
        <f t="shared" si="3"/>
        <v>1216600</v>
      </c>
    </row>
    <row r="83" spans="1:29" s="1" customFormat="1" ht="21.25" customHeight="1" x14ac:dyDescent="0.35">
      <c r="A83" s="5">
        <v>81</v>
      </c>
      <c r="B83" s="5" t="s">
        <v>448</v>
      </c>
      <c r="C83" s="4" t="s">
        <v>424</v>
      </c>
      <c r="D83" s="6"/>
      <c r="E83" s="6"/>
      <c r="F83" s="6"/>
      <c r="G83" s="6"/>
      <c r="H83" s="6"/>
      <c r="I83" s="6"/>
      <c r="J83" s="6">
        <v>120</v>
      </c>
      <c r="K83" s="6">
        <v>162000</v>
      </c>
      <c r="L83" s="6"/>
      <c r="M83" s="6"/>
      <c r="N83" s="6"/>
      <c r="O83" s="6"/>
      <c r="P83" s="6">
        <v>35</v>
      </c>
      <c r="Q83" s="6">
        <v>47250</v>
      </c>
      <c r="R83" s="6">
        <v>20</v>
      </c>
      <c r="S83" s="6">
        <v>27000</v>
      </c>
      <c r="T83" s="6"/>
      <c r="U83" s="6"/>
      <c r="V83" s="6">
        <v>3</v>
      </c>
      <c r="W83" s="6">
        <v>4050</v>
      </c>
      <c r="X83" s="6">
        <v>129</v>
      </c>
      <c r="Y83" s="6">
        <v>174150</v>
      </c>
      <c r="Z83" s="6"/>
      <c r="AA83" s="6"/>
      <c r="AB83" s="6">
        <f t="shared" si="2"/>
        <v>307</v>
      </c>
      <c r="AC83" s="6">
        <f t="shared" si="3"/>
        <v>414450</v>
      </c>
    </row>
    <row r="84" spans="1:29" s="1" customFormat="1" ht="21.25" customHeight="1" x14ac:dyDescent="0.35">
      <c r="A84" s="5">
        <v>82</v>
      </c>
      <c r="B84" s="5" t="s">
        <v>447</v>
      </c>
      <c r="C84" s="4" t="s">
        <v>119</v>
      </c>
      <c r="D84" s="7"/>
      <c r="E84" s="7"/>
      <c r="F84" s="7"/>
      <c r="G84" s="7"/>
      <c r="H84" s="7"/>
      <c r="I84" s="7"/>
      <c r="J84" s="7">
        <v>40</v>
      </c>
      <c r="K84" s="7">
        <v>77000</v>
      </c>
      <c r="L84" s="7">
        <v>50</v>
      </c>
      <c r="M84" s="7">
        <v>96250</v>
      </c>
      <c r="N84" s="7">
        <v>70</v>
      </c>
      <c r="O84" s="7">
        <v>142450</v>
      </c>
      <c r="P84" s="7"/>
      <c r="Q84" s="7"/>
      <c r="R84" s="7"/>
      <c r="S84" s="7"/>
      <c r="T84" s="7"/>
      <c r="U84" s="7"/>
      <c r="V84" s="7">
        <v>62</v>
      </c>
      <c r="W84" s="7">
        <v>126170</v>
      </c>
      <c r="X84" s="7">
        <v>70</v>
      </c>
      <c r="Y84" s="7">
        <v>142450</v>
      </c>
      <c r="Z84" s="7">
        <v>13</v>
      </c>
      <c r="AA84" s="7">
        <v>26455</v>
      </c>
      <c r="AB84" s="6">
        <f t="shared" si="2"/>
        <v>305</v>
      </c>
      <c r="AC84" s="6">
        <f t="shared" si="3"/>
        <v>610775</v>
      </c>
    </row>
    <row r="85" spans="1:29" s="1" customFormat="1" ht="21.25" customHeight="1" x14ac:dyDescent="0.35">
      <c r="A85" s="5">
        <v>83</v>
      </c>
      <c r="B85" s="5" t="s">
        <v>447</v>
      </c>
      <c r="C85" s="4" t="s">
        <v>139</v>
      </c>
      <c r="D85" s="7"/>
      <c r="E85" s="7"/>
      <c r="F85" s="7"/>
      <c r="G85" s="7"/>
      <c r="H85" s="7"/>
      <c r="I85" s="7"/>
      <c r="J85" s="7"/>
      <c r="K85" s="7"/>
      <c r="L85" s="7">
        <v>200</v>
      </c>
      <c r="M85" s="7">
        <v>330000</v>
      </c>
      <c r="N85" s="7">
        <v>3</v>
      </c>
      <c r="O85" s="7">
        <v>5280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>
        <v>96</v>
      </c>
      <c r="AA85" s="7">
        <v>168960</v>
      </c>
      <c r="AB85" s="6">
        <f t="shared" si="2"/>
        <v>299</v>
      </c>
      <c r="AC85" s="6">
        <f t="shared" si="3"/>
        <v>504240</v>
      </c>
    </row>
    <row r="86" spans="1:29" s="1" customFormat="1" ht="21.25" customHeight="1" x14ac:dyDescent="0.35">
      <c r="A86" s="5">
        <v>84</v>
      </c>
      <c r="B86" s="5" t="s">
        <v>447</v>
      </c>
      <c r="C86" s="4" t="s">
        <v>204</v>
      </c>
      <c r="D86" s="7"/>
      <c r="E86" s="7"/>
      <c r="F86" s="7"/>
      <c r="G86" s="7"/>
      <c r="H86" s="7"/>
      <c r="I86" s="7"/>
      <c r="J86" s="7">
        <v>50</v>
      </c>
      <c r="K86" s="7">
        <v>192500</v>
      </c>
      <c r="L86" s="7"/>
      <c r="M86" s="7"/>
      <c r="N86" s="7">
        <v>75</v>
      </c>
      <c r="O86" s="7">
        <v>288750</v>
      </c>
      <c r="P86" s="7">
        <v>50</v>
      </c>
      <c r="Q86" s="7">
        <v>192500</v>
      </c>
      <c r="R86" s="7">
        <v>20</v>
      </c>
      <c r="S86" s="7">
        <v>77000</v>
      </c>
      <c r="T86" s="7"/>
      <c r="U86" s="7"/>
      <c r="V86" s="7">
        <v>91</v>
      </c>
      <c r="W86" s="7">
        <v>350350</v>
      </c>
      <c r="X86" s="7"/>
      <c r="Y86" s="7"/>
      <c r="Z86" s="7"/>
      <c r="AA86" s="7"/>
      <c r="AB86" s="6">
        <f t="shared" si="2"/>
        <v>286</v>
      </c>
      <c r="AC86" s="6">
        <f t="shared" si="3"/>
        <v>1101100</v>
      </c>
    </row>
    <row r="87" spans="1:29" s="1" customFormat="1" ht="21.25" customHeight="1" x14ac:dyDescent="0.35">
      <c r="A87" s="5">
        <v>85</v>
      </c>
      <c r="B87" s="5" t="s">
        <v>447</v>
      </c>
      <c r="C87" s="4" t="s">
        <v>82</v>
      </c>
      <c r="D87" s="6"/>
      <c r="E87" s="6"/>
      <c r="F87" s="6"/>
      <c r="G87" s="6"/>
      <c r="H87" s="6"/>
      <c r="I87" s="6"/>
      <c r="J87" s="6"/>
      <c r="K87" s="6"/>
      <c r="L87" s="6">
        <v>200</v>
      </c>
      <c r="M87" s="6">
        <v>550000</v>
      </c>
      <c r="N87" s="6">
        <v>20</v>
      </c>
      <c r="O87" s="6">
        <v>55000</v>
      </c>
      <c r="P87" s="6">
        <v>60</v>
      </c>
      <c r="Q87" s="6">
        <v>165000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f t="shared" si="2"/>
        <v>280</v>
      </c>
      <c r="AC87" s="6">
        <f t="shared" si="3"/>
        <v>770000</v>
      </c>
    </row>
    <row r="88" spans="1:29" s="1" customFormat="1" ht="21.25" customHeight="1" x14ac:dyDescent="0.35">
      <c r="A88" s="5">
        <v>86</v>
      </c>
      <c r="B88" s="5" t="s">
        <v>447</v>
      </c>
      <c r="C88" s="4" t="s">
        <v>175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>
        <v>128</v>
      </c>
      <c r="U88" s="7">
        <v>492800</v>
      </c>
      <c r="V88" s="7">
        <v>150</v>
      </c>
      <c r="W88" s="7">
        <v>577500</v>
      </c>
      <c r="X88" s="7"/>
      <c r="Y88" s="7"/>
      <c r="Z88" s="7"/>
      <c r="AA88" s="7"/>
      <c r="AB88" s="6">
        <f t="shared" si="2"/>
        <v>278</v>
      </c>
      <c r="AC88" s="6">
        <f t="shared" si="3"/>
        <v>1070300</v>
      </c>
    </row>
    <row r="89" spans="1:29" s="1" customFormat="1" ht="21.25" customHeight="1" x14ac:dyDescent="0.35">
      <c r="A89" s="5">
        <v>87</v>
      </c>
      <c r="B89" s="5" t="s">
        <v>447</v>
      </c>
      <c r="C89" s="4" t="s">
        <v>93</v>
      </c>
      <c r="D89" s="7"/>
      <c r="E89" s="7"/>
      <c r="F89" s="7"/>
      <c r="G89" s="7"/>
      <c r="H89" s="7"/>
      <c r="I89" s="7"/>
      <c r="J89" s="7"/>
      <c r="K89" s="7"/>
      <c r="L89" s="7">
        <v>20</v>
      </c>
      <c r="M89" s="7">
        <v>55000</v>
      </c>
      <c r="N89" s="7">
        <v>133</v>
      </c>
      <c r="O89" s="7">
        <v>365750</v>
      </c>
      <c r="P89" s="7"/>
      <c r="Q89" s="7"/>
      <c r="R89" s="7">
        <v>48</v>
      </c>
      <c r="S89" s="7">
        <v>132000</v>
      </c>
      <c r="T89" s="7"/>
      <c r="U89" s="7"/>
      <c r="V89" s="7"/>
      <c r="W89" s="7"/>
      <c r="X89" s="7"/>
      <c r="Y89" s="7"/>
      <c r="Z89" s="7">
        <v>70</v>
      </c>
      <c r="AA89" s="7">
        <v>192500</v>
      </c>
      <c r="AB89" s="6">
        <f t="shared" si="2"/>
        <v>271</v>
      </c>
      <c r="AC89" s="6">
        <f t="shared" si="3"/>
        <v>745250</v>
      </c>
    </row>
    <row r="90" spans="1:29" s="1" customFormat="1" ht="21.25" customHeight="1" x14ac:dyDescent="0.35">
      <c r="A90" s="5">
        <v>88</v>
      </c>
      <c r="B90" s="5" t="s">
        <v>448</v>
      </c>
      <c r="C90" s="4" t="s">
        <v>150</v>
      </c>
      <c r="D90" s="7"/>
      <c r="E90" s="7"/>
      <c r="F90" s="7"/>
      <c r="G90" s="7"/>
      <c r="H90" s="7"/>
      <c r="I90" s="7"/>
      <c r="J90" s="7">
        <v>20</v>
      </c>
      <c r="K90" s="7">
        <v>38000</v>
      </c>
      <c r="L90" s="7">
        <v>25</v>
      </c>
      <c r="M90" s="7">
        <v>47500</v>
      </c>
      <c r="N90" s="7"/>
      <c r="O90" s="7"/>
      <c r="P90" s="7">
        <v>117</v>
      </c>
      <c r="Q90" s="7">
        <v>222300</v>
      </c>
      <c r="R90" s="7"/>
      <c r="S90" s="7"/>
      <c r="T90" s="7"/>
      <c r="U90" s="7"/>
      <c r="V90" s="7"/>
      <c r="W90" s="7"/>
      <c r="X90" s="7">
        <v>76</v>
      </c>
      <c r="Y90" s="7">
        <v>144400</v>
      </c>
      <c r="Z90" s="7">
        <v>25</v>
      </c>
      <c r="AA90" s="7">
        <v>47500</v>
      </c>
      <c r="AB90" s="6">
        <f t="shared" si="2"/>
        <v>263</v>
      </c>
      <c r="AC90" s="6">
        <f t="shared" si="3"/>
        <v>499700</v>
      </c>
    </row>
    <row r="91" spans="1:29" s="1" customFormat="1" ht="21.25" customHeight="1" x14ac:dyDescent="0.35">
      <c r="A91" s="5">
        <v>89</v>
      </c>
      <c r="B91" s="5" t="s">
        <v>447</v>
      </c>
      <c r="C91" s="4" t="s">
        <v>230</v>
      </c>
      <c r="D91" s="6"/>
      <c r="E91" s="6"/>
      <c r="F91" s="6"/>
      <c r="G91" s="6"/>
      <c r="H91" s="6"/>
      <c r="I91" s="6"/>
      <c r="J91" s="6">
        <v>20</v>
      </c>
      <c r="K91" s="6">
        <v>77000</v>
      </c>
      <c r="L91" s="6">
        <v>82</v>
      </c>
      <c r="M91" s="6">
        <v>315700</v>
      </c>
      <c r="N91" s="6">
        <v>20</v>
      </c>
      <c r="O91" s="6">
        <v>77000</v>
      </c>
      <c r="P91" s="6">
        <v>10</v>
      </c>
      <c r="Q91" s="6">
        <v>38500</v>
      </c>
      <c r="R91" s="6">
        <v>50</v>
      </c>
      <c r="S91" s="6">
        <v>192500</v>
      </c>
      <c r="T91" s="6"/>
      <c r="U91" s="6"/>
      <c r="V91" s="6">
        <v>41</v>
      </c>
      <c r="W91" s="6">
        <v>157850</v>
      </c>
      <c r="X91" s="6"/>
      <c r="Y91" s="6"/>
      <c r="Z91" s="6">
        <v>35</v>
      </c>
      <c r="AA91" s="6">
        <v>134750</v>
      </c>
      <c r="AB91" s="6">
        <f t="shared" si="2"/>
        <v>258</v>
      </c>
      <c r="AC91" s="6">
        <f t="shared" si="3"/>
        <v>993300</v>
      </c>
    </row>
    <row r="92" spans="1:29" s="1" customFormat="1" ht="21.25" customHeight="1" x14ac:dyDescent="0.35">
      <c r="A92" s="5">
        <v>90</v>
      </c>
      <c r="B92" s="5" t="s">
        <v>447</v>
      </c>
      <c r="C92" s="4" t="s">
        <v>25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70</v>
      </c>
      <c r="U92" s="7">
        <v>211750</v>
      </c>
      <c r="V92" s="7">
        <v>40</v>
      </c>
      <c r="W92" s="7">
        <v>121000</v>
      </c>
      <c r="X92" s="7">
        <v>115</v>
      </c>
      <c r="Y92" s="7">
        <v>347875</v>
      </c>
      <c r="Z92" s="7">
        <v>30</v>
      </c>
      <c r="AA92" s="7">
        <v>90750</v>
      </c>
      <c r="AB92" s="6">
        <f t="shared" si="2"/>
        <v>255</v>
      </c>
      <c r="AC92" s="6">
        <f t="shared" si="3"/>
        <v>771375</v>
      </c>
    </row>
    <row r="93" spans="1:29" s="1" customFormat="1" ht="21.25" customHeight="1" x14ac:dyDescent="0.35">
      <c r="A93" s="5">
        <v>91</v>
      </c>
      <c r="B93" s="5" t="s">
        <v>447</v>
      </c>
      <c r="C93" s="4" t="s">
        <v>38</v>
      </c>
      <c r="D93" s="6"/>
      <c r="E93" s="6"/>
      <c r="F93" s="6"/>
      <c r="G93" s="6"/>
      <c r="H93" s="6"/>
      <c r="I93" s="6"/>
      <c r="J93" s="6">
        <v>10</v>
      </c>
      <c r="K93" s="6">
        <v>14850</v>
      </c>
      <c r="L93" s="6">
        <v>162</v>
      </c>
      <c r="M93" s="6">
        <v>240570</v>
      </c>
      <c r="N93" s="6"/>
      <c r="O93" s="6"/>
      <c r="P93" s="6"/>
      <c r="Q93" s="6"/>
      <c r="R93" s="6"/>
      <c r="S93" s="6"/>
      <c r="T93" s="6">
        <v>54</v>
      </c>
      <c r="U93" s="6">
        <v>89100</v>
      </c>
      <c r="V93" s="6"/>
      <c r="W93" s="6"/>
      <c r="X93" s="6"/>
      <c r="Y93" s="6"/>
      <c r="Z93" s="6">
        <v>23</v>
      </c>
      <c r="AA93" s="6">
        <v>37950</v>
      </c>
      <c r="AB93" s="6">
        <f t="shared" si="2"/>
        <v>249</v>
      </c>
      <c r="AC93" s="6">
        <f t="shared" si="3"/>
        <v>382470</v>
      </c>
    </row>
    <row r="94" spans="1:29" s="1" customFormat="1" ht="21.25" customHeight="1" x14ac:dyDescent="0.35">
      <c r="A94" s="5">
        <v>92</v>
      </c>
      <c r="B94" s="5" t="s">
        <v>447</v>
      </c>
      <c r="C94" s="4" t="s">
        <v>23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>
        <v>70</v>
      </c>
      <c r="U94" s="7">
        <v>211750</v>
      </c>
      <c r="V94" s="7">
        <v>41</v>
      </c>
      <c r="W94" s="7">
        <v>124025</v>
      </c>
      <c r="X94" s="7">
        <v>103</v>
      </c>
      <c r="Y94" s="7">
        <v>311575</v>
      </c>
      <c r="Z94" s="7">
        <v>30</v>
      </c>
      <c r="AA94" s="7">
        <v>90750</v>
      </c>
      <c r="AB94" s="6">
        <f t="shared" si="2"/>
        <v>244</v>
      </c>
      <c r="AC94" s="6">
        <f t="shared" si="3"/>
        <v>738100</v>
      </c>
    </row>
    <row r="95" spans="1:29" s="1" customFormat="1" ht="21.25" customHeight="1" x14ac:dyDescent="0.35">
      <c r="A95" s="5">
        <v>93</v>
      </c>
      <c r="B95" s="5" t="s">
        <v>447</v>
      </c>
      <c r="C95" s="4" t="s">
        <v>98</v>
      </c>
      <c r="D95" s="7"/>
      <c r="E95" s="7"/>
      <c r="F95" s="7"/>
      <c r="G95" s="7"/>
      <c r="H95" s="7"/>
      <c r="I95" s="7"/>
      <c r="J95" s="7">
        <v>22</v>
      </c>
      <c r="K95" s="7">
        <v>48400</v>
      </c>
      <c r="L95" s="7">
        <v>54</v>
      </c>
      <c r="M95" s="7">
        <v>118800</v>
      </c>
      <c r="N95" s="7">
        <v>20</v>
      </c>
      <c r="O95" s="7">
        <v>44000</v>
      </c>
      <c r="P95" s="7">
        <v>40</v>
      </c>
      <c r="Q95" s="7">
        <v>88000</v>
      </c>
      <c r="R95" s="7"/>
      <c r="S95" s="7"/>
      <c r="T95" s="7">
        <v>10</v>
      </c>
      <c r="U95" s="7">
        <v>22000</v>
      </c>
      <c r="V95" s="7">
        <v>50</v>
      </c>
      <c r="W95" s="7">
        <v>110000</v>
      </c>
      <c r="X95" s="7"/>
      <c r="Y95" s="7"/>
      <c r="Z95" s="7">
        <v>44</v>
      </c>
      <c r="AA95" s="7">
        <v>96800</v>
      </c>
      <c r="AB95" s="6">
        <f t="shared" si="2"/>
        <v>240</v>
      </c>
      <c r="AC95" s="6">
        <f t="shared" si="3"/>
        <v>528000</v>
      </c>
    </row>
    <row r="96" spans="1:29" s="1" customFormat="1" ht="21.25" customHeight="1" x14ac:dyDescent="0.35">
      <c r="A96" s="5">
        <v>94</v>
      </c>
      <c r="B96" s="5" t="s">
        <v>448</v>
      </c>
      <c r="C96" s="4" t="s">
        <v>217</v>
      </c>
      <c r="D96" s="6"/>
      <c r="E96" s="6"/>
      <c r="F96" s="6"/>
      <c r="G96" s="6"/>
      <c r="H96" s="6"/>
      <c r="I96" s="6"/>
      <c r="J96" s="6">
        <v>39</v>
      </c>
      <c r="K96" s="6">
        <v>40950</v>
      </c>
      <c r="L96" s="6">
        <v>20</v>
      </c>
      <c r="M96" s="6">
        <v>21000</v>
      </c>
      <c r="N96" s="6"/>
      <c r="O96" s="6"/>
      <c r="P96" s="6">
        <v>26</v>
      </c>
      <c r="Q96" s="6">
        <v>27300</v>
      </c>
      <c r="R96" s="6"/>
      <c r="S96" s="6"/>
      <c r="T96" s="6">
        <v>146</v>
      </c>
      <c r="U96" s="6">
        <v>153300</v>
      </c>
      <c r="V96" s="6"/>
      <c r="W96" s="6"/>
      <c r="X96" s="6"/>
      <c r="Y96" s="6"/>
      <c r="Z96" s="6"/>
      <c r="AA96" s="6"/>
      <c r="AB96" s="6">
        <f t="shared" si="2"/>
        <v>231</v>
      </c>
      <c r="AC96" s="6">
        <f t="shared" si="3"/>
        <v>242550</v>
      </c>
    </row>
    <row r="97" spans="1:29" s="1" customFormat="1" ht="21.25" customHeight="1" x14ac:dyDescent="0.35">
      <c r="A97" s="5">
        <v>95</v>
      </c>
      <c r="B97" s="5" t="s">
        <v>447</v>
      </c>
      <c r="C97" s="4" t="s">
        <v>109</v>
      </c>
      <c r="D97" s="6"/>
      <c r="E97" s="6"/>
      <c r="F97" s="6"/>
      <c r="G97" s="6"/>
      <c r="H97" s="6"/>
      <c r="I97" s="6"/>
      <c r="J97" s="6"/>
      <c r="K97" s="6"/>
      <c r="L97" s="6">
        <v>180</v>
      </c>
      <c r="M97" s="6">
        <v>346500</v>
      </c>
      <c r="N97" s="6"/>
      <c r="O97" s="6"/>
      <c r="P97" s="6"/>
      <c r="Q97" s="6"/>
      <c r="R97" s="6"/>
      <c r="S97" s="6"/>
      <c r="T97" s="6"/>
      <c r="U97" s="6"/>
      <c r="V97" s="6">
        <v>30</v>
      </c>
      <c r="W97" s="6">
        <v>62700</v>
      </c>
      <c r="X97" s="6"/>
      <c r="Y97" s="6"/>
      <c r="Z97" s="6"/>
      <c r="AA97" s="6"/>
      <c r="AB97" s="6">
        <f t="shared" si="2"/>
        <v>210</v>
      </c>
      <c r="AC97" s="6">
        <f t="shared" si="3"/>
        <v>409200</v>
      </c>
    </row>
    <row r="98" spans="1:29" s="1" customFormat="1" ht="21.25" customHeight="1" x14ac:dyDescent="0.35">
      <c r="A98" s="5">
        <v>96</v>
      </c>
      <c r="B98" s="5" t="s">
        <v>450</v>
      </c>
      <c r="C98" s="4" t="s">
        <v>281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25</v>
      </c>
      <c r="O98" s="6">
        <v>49875</v>
      </c>
      <c r="P98" s="6">
        <v>13</v>
      </c>
      <c r="Q98" s="6">
        <v>25935</v>
      </c>
      <c r="R98" s="6">
        <v>55</v>
      </c>
      <c r="S98" s="6">
        <v>109725</v>
      </c>
      <c r="T98" s="6"/>
      <c r="U98" s="6"/>
      <c r="V98" s="6">
        <v>60</v>
      </c>
      <c r="W98" s="6">
        <v>119700</v>
      </c>
      <c r="X98" s="6">
        <v>53</v>
      </c>
      <c r="Y98" s="6">
        <v>105735</v>
      </c>
      <c r="Z98" s="6">
        <v>2</v>
      </c>
      <c r="AA98" s="6">
        <v>3990</v>
      </c>
      <c r="AB98" s="6">
        <f t="shared" si="2"/>
        <v>208</v>
      </c>
      <c r="AC98" s="6">
        <f t="shared" si="3"/>
        <v>414960</v>
      </c>
    </row>
    <row r="99" spans="1:29" s="1" customFormat="1" ht="21.25" customHeight="1" x14ac:dyDescent="0.35">
      <c r="A99" s="5">
        <v>97</v>
      </c>
      <c r="B99" s="5" t="s">
        <v>447</v>
      </c>
      <c r="C99" s="4" t="s">
        <v>141</v>
      </c>
      <c r="D99" s="7"/>
      <c r="E99" s="7"/>
      <c r="F99" s="7"/>
      <c r="G99" s="7"/>
      <c r="H99" s="7"/>
      <c r="I99" s="7"/>
      <c r="J99" s="7">
        <v>20</v>
      </c>
      <c r="K99" s="7">
        <v>165000</v>
      </c>
      <c r="L99" s="7"/>
      <c r="M99" s="7"/>
      <c r="N99" s="7">
        <v>12</v>
      </c>
      <c r="O99" s="7">
        <v>102300</v>
      </c>
      <c r="P99" s="7">
        <v>12</v>
      </c>
      <c r="Q99" s="7">
        <v>102300</v>
      </c>
      <c r="R99" s="7">
        <v>3</v>
      </c>
      <c r="S99" s="7">
        <v>25575</v>
      </c>
      <c r="T99" s="7">
        <v>52</v>
      </c>
      <c r="U99" s="7">
        <v>443300</v>
      </c>
      <c r="V99" s="7">
        <v>98</v>
      </c>
      <c r="W99" s="7">
        <v>835450</v>
      </c>
      <c r="X99" s="7"/>
      <c r="Y99" s="7"/>
      <c r="Z99" s="7"/>
      <c r="AA99" s="7"/>
      <c r="AB99" s="6">
        <f t="shared" si="2"/>
        <v>197</v>
      </c>
      <c r="AC99" s="6">
        <f t="shared" si="3"/>
        <v>1673925</v>
      </c>
    </row>
    <row r="100" spans="1:29" s="1" customFormat="1" ht="21.25" customHeight="1" x14ac:dyDescent="0.35">
      <c r="A100" s="5">
        <v>98</v>
      </c>
      <c r="B100" s="5" t="s">
        <v>447</v>
      </c>
      <c r="C100" s="4" t="s">
        <v>337</v>
      </c>
      <c r="D100" s="6"/>
      <c r="E100" s="6"/>
      <c r="F100" s="6"/>
      <c r="G100" s="6"/>
      <c r="H100" s="6"/>
      <c r="I100" s="6"/>
      <c r="J100" s="6"/>
      <c r="K100" s="6"/>
      <c r="L100" s="6">
        <v>196</v>
      </c>
      <c r="M100" s="6">
        <v>377300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f t="shared" si="2"/>
        <v>196</v>
      </c>
      <c r="AC100" s="6">
        <f t="shared" si="3"/>
        <v>377300</v>
      </c>
    </row>
    <row r="101" spans="1:29" s="1" customFormat="1" ht="21.25" customHeight="1" x14ac:dyDescent="0.35">
      <c r="A101" s="5">
        <v>99</v>
      </c>
      <c r="B101" s="5" t="s">
        <v>448</v>
      </c>
      <c r="C101" s="4" t="s">
        <v>412</v>
      </c>
      <c r="D101" s="7"/>
      <c r="E101" s="7"/>
      <c r="F101" s="7"/>
      <c r="G101" s="7"/>
      <c r="H101" s="7"/>
      <c r="I101" s="7"/>
      <c r="J101" s="7">
        <v>20</v>
      </c>
      <c r="K101" s="7">
        <v>15500</v>
      </c>
      <c r="L101" s="7"/>
      <c r="M101" s="7"/>
      <c r="N101" s="7"/>
      <c r="O101" s="7"/>
      <c r="P101" s="7">
        <v>25</v>
      </c>
      <c r="Q101" s="7">
        <v>19375</v>
      </c>
      <c r="R101" s="7">
        <v>50</v>
      </c>
      <c r="S101" s="7">
        <v>38750</v>
      </c>
      <c r="T101" s="7">
        <v>100</v>
      </c>
      <c r="U101" s="7">
        <v>77500</v>
      </c>
      <c r="V101" s="7"/>
      <c r="W101" s="7"/>
      <c r="X101" s="7"/>
      <c r="Y101" s="7"/>
      <c r="Z101" s="7"/>
      <c r="AA101" s="7"/>
      <c r="AB101" s="6">
        <f t="shared" si="2"/>
        <v>195</v>
      </c>
      <c r="AC101" s="6">
        <f t="shared" si="3"/>
        <v>151125</v>
      </c>
    </row>
    <row r="102" spans="1:29" s="1" customFormat="1" ht="21.25" customHeight="1" x14ac:dyDescent="0.35">
      <c r="A102" s="5">
        <v>100</v>
      </c>
      <c r="B102" s="5" t="s">
        <v>447</v>
      </c>
      <c r="C102" s="4" t="s">
        <v>83</v>
      </c>
      <c r="D102" s="7"/>
      <c r="E102" s="7"/>
      <c r="F102" s="7"/>
      <c r="G102" s="7"/>
      <c r="H102" s="7"/>
      <c r="I102" s="7"/>
      <c r="J102" s="7"/>
      <c r="K102" s="7"/>
      <c r="L102" s="7">
        <v>68</v>
      </c>
      <c r="M102" s="7">
        <v>187000</v>
      </c>
      <c r="N102" s="7">
        <v>47</v>
      </c>
      <c r="O102" s="7">
        <v>129250</v>
      </c>
      <c r="P102" s="7">
        <v>56</v>
      </c>
      <c r="Q102" s="7">
        <v>154000</v>
      </c>
      <c r="R102" s="7">
        <v>20</v>
      </c>
      <c r="S102" s="7">
        <v>55000</v>
      </c>
      <c r="T102" s="7"/>
      <c r="U102" s="7"/>
      <c r="V102" s="7"/>
      <c r="W102" s="7"/>
      <c r="X102" s="7"/>
      <c r="Y102" s="7"/>
      <c r="Z102" s="7"/>
      <c r="AA102" s="7"/>
      <c r="AB102" s="6">
        <f t="shared" si="2"/>
        <v>191</v>
      </c>
      <c r="AC102" s="6">
        <f t="shared" si="3"/>
        <v>525250</v>
      </c>
    </row>
    <row r="103" spans="1:29" s="1" customFormat="1" ht="21.25" customHeight="1" x14ac:dyDescent="0.35">
      <c r="A103" s="5">
        <v>101</v>
      </c>
      <c r="B103" s="5" t="s">
        <v>448</v>
      </c>
      <c r="C103" s="4" t="s">
        <v>216</v>
      </c>
      <c r="D103" s="6"/>
      <c r="E103" s="6"/>
      <c r="F103" s="6"/>
      <c r="G103" s="6"/>
      <c r="H103" s="6"/>
      <c r="I103" s="6"/>
      <c r="J103" s="6">
        <v>98</v>
      </c>
      <c r="K103" s="6">
        <v>245000</v>
      </c>
      <c r="L103" s="6">
        <v>20</v>
      </c>
      <c r="M103" s="6">
        <v>50000</v>
      </c>
      <c r="N103" s="6">
        <v>25</v>
      </c>
      <c r="O103" s="6">
        <v>62500</v>
      </c>
      <c r="P103" s="6"/>
      <c r="Q103" s="6"/>
      <c r="R103" s="6"/>
      <c r="S103" s="6"/>
      <c r="T103" s="6"/>
      <c r="U103" s="6"/>
      <c r="V103" s="6">
        <v>46</v>
      </c>
      <c r="W103" s="6">
        <v>115000</v>
      </c>
      <c r="X103" s="6"/>
      <c r="Y103" s="6"/>
      <c r="Z103" s="6">
        <v>2</v>
      </c>
      <c r="AA103" s="6">
        <v>5000</v>
      </c>
      <c r="AB103" s="6">
        <f t="shared" si="2"/>
        <v>191</v>
      </c>
      <c r="AC103" s="6">
        <f t="shared" si="3"/>
        <v>477500</v>
      </c>
    </row>
    <row r="104" spans="1:29" s="1" customFormat="1" ht="21.25" customHeight="1" x14ac:dyDescent="0.35">
      <c r="A104" s="5">
        <v>102</v>
      </c>
      <c r="B104" s="5" t="s">
        <v>448</v>
      </c>
      <c r="C104" s="4" t="s">
        <v>191</v>
      </c>
      <c r="D104" s="6"/>
      <c r="E104" s="6"/>
      <c r="F104" s="6"/>
      <c r="G104" s="6"/>
      <c r="H104" s="6"/>
      <c r="I104" s="6"/>
      <c r="J104" s="6">
        <v>40</v>
      </c>
      <c r="K104" s="6">
        <v>40000</v>
      </c>
      <c r="L104" s="6"/>
      <c r="M104" s="6"/>
      <c r="N104" s="6">
        <v>60</v>
      </c>
      <c r="O104" s="6">
        <v>60000</v>
      </c>
      <c r="P104" s="6"/>
      <c r="Q104" s="6"/>
      <c r="R104" s="6">
        <v>20</v>
      </c>
      <c r="S104" s="6">
        <v>20000</v>
      </c>
      <c r="T104" s="6">
        <v>70</v>
      </c>
      <c r="U104" s="6">
        <v>70000</v>
      </c>
      <c r="V104" s="6"/>
      <c r="W104" s="6"/>
      <c r="X104" s="6"/>
      <c r="Y104" s="6"/>
      <c r="Z104" s="6"/>
      <c r="AA104" s="6"/>
      <c r="AB104" s="6">
        <f t="shared" si="2"/>
        <v>190</v>
      </c>
      <c r="AC104" s="6">
        <f t="shared" si="3"/>
        <v>190000</v>
      </c>
    </row>
    <row r="105" spans="1:29" s="1" customFormat="1" ht="21.25" customHeight="1" x14ac:dyDescent="0.35">
      <c r="A105" s="5">
        <v>103</v>
      </c>
      <c r="B105" s="5" t="s">
        <v>447</v>
      </c>
      <c r="C105" s="4" t="s">
        <v>70</v>
      </c>
      <c r="D105" s="6"/>
      <c r="E105" s="6"/>
      <c r="F105" s="6"/>
      <c r="G105" s="6"/>
      <c r="H105" s="6"/>
      <c r="I105" s="6"/>
      <c r="J105" s="6"/>
      <c r="K105" s="6"/>
      <c r="L105" s="6">
        <v>163</v>
      </c>
      <c r="M105" s="6">
        <v>448250</v>
      </c>
      <c r="N105" s="6"/>
      <c r="O105" s="6"/>
      <c r="P105" s="6"/>
      <c r="Q105" s="6"/>
      <c r="R105" s="6"/>
      <c r="S105" s="6"/>
      <c r="T105" s="6"/>
      <c r="U105" s="6"/>
      <c r="V105" s="6">
        <v>1</v>
      </c>
      <c r="W105" s="6">
        <v>2750</v>
      </c>
      <c r="X105" s="6">
        <v>6</v>
      </c>
      <c r="Y105" s="6">
        <v>16500</v>
      </c>
      <c r="Z105" s="6">
        <v>10</v>
      </c>
      <c r="AA105" s="6">
        <v>27500</v>
      </c>
      <c r="AB105" s="6">
        <f t="shared" si="2"/>
        <v>180</v>
      </c>
      <c r="AC105" s="6">
        <f t="shared" si="3"/>
        <v>495000</v>
      </c>
    </row>
    <row r="106" spans="1:29" s="1" customFormat="1" ht="21.25" customHeight="1" x14ac:dyDescent="0.35">
      <c r="A106" s="5">
        <v>104</v>
      </c>
      <c r="B106" s="5" t="s">
        <v>447</v>
      </c>
      <c r="C106" s="4" t="s">
        <v>114</v>
      </c>
      <c r="D106" s="7"/>
      <c r="E106" s="7"/>
      <c r="F106" s="7"/>
      <c r="G106" s="7"/>
      <c r="H106" s="7"/>
      <c r="I106" s="7"/>
      <c r="J106" s="7">
        <v>15</v>
      </c>
      <c r="K106" s="7">
        <v>33000</v>
      </c>
      <c r="L106" s="7">
        <v>160</v>
      </c>
      <c r="M106" s="7">
        <v>352000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>
        <v>5</v>
      </c>
      <c r="Y106" s="7">
        <v>11550</v>
      </c>
      <c r="Z106" s="7"/>
      <c r="AA106" s="7"/>
      <c r="AB106" s="6">
        <f t="shared" si="2"/>
        <v>180</v>
      </c>
      <c r="AC106" s="6">
        <f t="shared" si="3"/>
        <v>396550</v>
      </c>
    </row>
    <row r="107" spans="1:29" s="1" customFormat="1" ht="21.25" customHeight="1" x14ac:dyDescent="0.35">
      <c r="A107" s="5">
        <v>105</v>
      </c>
      <c r="B107" s="5" t="s">
        <v>447</v>
      </c>
      <c r="C107" s="4" t="s">
        <v>18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>
        <v>47</v>
      </c>
      <c r="U107" s="6">
        <v>142175</v>
      </c>
      <c r="V107" s="6"/>
      <c r="W107" s="6"/>
      <c r="X107" s="6">
        <v>128</v>
      </c>
      <c r="Y107" s="6">
        <v>387200</v>
      </c>
      <c r="Z107" s="6"/>
      <c r="AA107" s="6"/>
      <c r="AB107" s="6">
        <f t="shared" si="2"/>
        <v>175</v>
      </c>
      <c r="AC107" s="6">
        <f t="shared" si="3"/>
        <v>529375</v>
      </c>
    </row>
    <row r="108" spans="1:29" s="1" customFormat="1" ht="21.25" customHeight="1" x14ac:dyDescent="0.35">
      <c r="A108" s="5">
        <v>106</v>
      </c>
      <c r="B108" s="5" t="s">
        <v>447</v>
      </c>
      <c r="C108" s="4" t="s">
        <v>321</v>
      </c>
      <c r="D108" s="7"/>
      <c r="E108" s="7"/>
      <c r="F108" s="7"/>
      <c r="G108" s="7"/>
      <c r="H108" s="7"/>
      <c r="I108" s="7"/>
      <c r="J108" s="7">
        <v>5</v>
      </c>
      <c r="K108" s="7">
        <v>9625</v>
      </c>
      <c r="L108" s="7">
        <v>170</v>
      </c>
      <c r="M108" s="7">
        <v>327250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6">
        <f t="shared" si="2"/>
        <v>175</v>
      </c>
      <c r="AC108" s="6">
        <f t="shared" si="3"/>
        <v>336875</v>
      </c>
    </row>
    <row r="109" spans="1:29" s="1" customFormat="1" ht="21.25" customHeight="1" x14ac:dyDescent="0.35">
      <c r="A109" s="5">
        <v>107</v>
      </c>
      <c r="B109" s="5" t="s">
        <v>447</v>
      </c>
      <c r="C109" s="4" t="s">
        <v>244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>
        <v>13</v>
      </c>
      <c r="Q109" s="6">
        <v>26455</v>
      </c>
      <c r="R109" s="6"/>
      <c r="S109" s="6"/>
      <c r="T109" s="6">
        <v>44</v>
      </c>
      <c r="U109" s="6">
        <v>89540</v>
      </c>
      <c r="V109" s="6">
        <v>118</v>
      </c>
      <c r="W109" s="6">
        <v>240130</v>
      </c>
      <c r="X109" s="6"/>
      <c r="Y109" s="6"/>
      <c r="Z109" s="6"/>
      <c r="AA109" s="6"/>
      <c r="AB109" s="6">
        <f t="shared" si="2"/>
        <v>175</v>
      </c>
      <c r="AC109" s="6">
        <f t="shared" si="3"/>
        <v>356125</v>
      </c>
    </row>
    <row r="110" spans="1:29" s="1" customFormat="1" ht="21.25" customHeight="1" x14ac:dyDescent="0.35">
      <c r="A110" s="5">
        <v>108</v>
      </c>
      <c r="B110" s="5" t="s">
        <v>447</v>
      </c>
      <c r="C110" s="4" t="s">
        <v>19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>
        <v>70</v>
      </c>
      <c r="U110" s="7">
        <v>211750</v>
      </c>
      <c r="V110" s="7">
        <v>40</v>
      </c>
      <c r="W110" s="7">
        <v>121000</v>
      </c>
      <c r="X110" s="7">
        <v>52</v>
      </c>
      <c r="Y110" s="7">
        <v>157300</v>
      </c>
      <c r="Z110" s="7">
        <v>10</v>
      </c>
      <c r="AA110" s="7">
        <v>30250</v>
      </c>
      <c r="AB110" s="6">
        <f t="shared" si="2"/>
        <v>172</v>
      </c>
      <c r="AC110" s="6">
        <f t="shared" si="3"/>
        <v>520300</v>
      </c>
    </row>
    <row r="111" spans="1:29" s="1" customFormat="1" ht="21.25" customHeight="1" x14ac:dyDescent="0.35">
      <c r="A111" s="5">
        <v>109</v>
      </c>
      <c r="B111" s="5" t="s">
        <v>447</v>
      </c>
      <c r="C111" s="4" t="s">
        <v>75</v>
      </c>
      <c r="D111" s="7"/>
      <c r="E111" s="7"/>
      <c r="F111" s="7"/>
      <c r="G111" s="7"/>
      <c r="H111" s="7"/>
      <c r="I111" s="7"/>
      <c r="J111" s="7"/>
      <c r="K111" s="7"/>
      <c r="L111" s="7">
        <v>172</v>
      </c>
      <c r="M111" s="7">
        <v>473000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6">
        <f t="shared" si="2"/>
        <v>172</v>
      </c>
      <c r="AC111" s="6">
        <f t="shared" si="3"/>
        <v>473000</v>
      </c>
    </row>
    <row r="112" spans="1:29" s="1" customFormat="1" ht="21.25" customHeight="1" x14ac:dyDescent="0.35">
      <c r="A112" s="5">
        <v>110</v>
      </c>
      <c r="B112" s="5" t="s">
        <v>447</v>
      </c>
      <c r="C112" s="4" t="s">
        <v>406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>
        <v>46</v>
      </c>
      <c r="Q112" s="6">
        <v>151800</v>
      </c>
      <c r="R112" s="6">
        <v>80</v>
      </c>
      <c r="S112" s="6">
        <v>264000</v>
      </c>
      <c r="T112" s="6">
        <v>45</v>
      </c>
      <c r="U112" s="6">
        <v>148500</v>
      </c>
      <c r="V112" s="6"/>
      <c r="W112" s="6"/>
      <c r="X112" s="6"/>
      <c r="Y112" s="6"/>
      <c r="Z112" s="6"/>
      <c r="AA112" s="6"/>
      <c r="AB112" s="6">
        <f t="shared" si="2"/>
        <v>171</v>
      </c>
      <c r="AC112" s="6">
        <f t="shared" si="3"/>
        <v>564300</v>
      </c>
    </row>
    <row r="113" spans="1:29" s="1" customFormat="1" ht="21.25" customHeight="1" x14ac:dyDescent="0.35">
      <c r="A113" s="5">
        <v>111</v>
      </c>
      <c r="B113" s="5" t="s">
        <v>447</v>
      </c>
      <c r="C113" s="4" t="s">
        <v>130</v>
      </c>
      <c r="D113" s="7"/>
      <c r="E113" s="7"/>
      <c r="F113" s="7"/>
      <c r="G113" s="7"/>
      <c r="H113" s="7"/>
      <c r="I113" s="7"/>
      <c r="J113" s="7"/>
      <c r="K113" s="7"/>
      <c r="L113" s="7">
        <v>20</v>
      </c>
      <c r="M113" s="7">
        <v>33000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>
        <v>67</v>
      </c>
      <c r="Y113" s="7">
        <v>117920</v>
      </c>
      <c r="Z113" s="7">
        <v>83</v>
      </c>
      <c r="AA113" s="7">
        <v>146080</v>
      </c>
      <c r="AB113" s="6">
        <f t="shared" si="2"/>
        <v>170</v>
      </c>
      <c r="AC113" s="6">
        <f t="shared" si="3"/>
        <v>297000</v>
      </c>
    </row>
    <row r="114" spans="1:29" s="1" customFormat="1" ht="21.25" customHeight="1" x14ac:dyDescent="0.35">
      <c r="A114" s="5">
        <v>112</v>
      </c>
      <c r="B114" s="5" t="s">
        <v>447</v>
      </c>
      <c r="C114" s="4" t="s">
        <v>240</v>
      </c>
      <c r="D114" s="7"/>
      <c r="E114" s="7"/>
      <c r="F114" s="7"/>
      <c r="G114" s="7"/>
      <c r="H114" s="7"/>
      <c r="I114" s="7"/>
      <c r="J114" s="7">
        <v>3</v>
      </c>
      <c r="K114" s="7">
        <v>3300</v>
      </c>
      <c r="L114" s="7">
        <v>20</v>
      </c>
      <c r="M114" s="7">
        <v>22000</v>
      </c>
      <c r="N114" s="7">
        <v>16</v>
      </c>
      <c r="O114" s="7">
        <v>17600</v>
      </c>
      <c r="P114" s="7">
        <v>10</v>
      </c>
      <c r="Q114" s="7">
        <v>11000</v>
      </c>
      <c r="R114" s="7">
        <v>20</v>
      </c>
      <c r="S114" s="7">
        <v>22000</v>
      </c>
      <c r="T114" s="7">
        <v>42</v>
      </c>
      <c r="U114" s="7">
        <v>46200</v>
      </c>
      <c r="V114" s="7"/>
      <c r="W114" s="7"/>
      <c r="X114" s="7">
        <v>30</v>
      </c>
      <c r="Y114" s="7">
        <v>33000</v>
      </c>
      <c r="Z114" s="7">
        <v>23</v>
      </c>
      <c r="AA114" s="7">
        <v>25300</v>
      </c>
      <c r="AB114" s="6">
        <f t="shared" si="2"/>
        <v>164</v>
      </c>
      <c r="AC114" s="6">
        <f t="shared" si="3"/>
        <v>180400</v>
      </c>
    </row>
    <row r="115" spans="1:29" s="1" customFormat="1" ht="21.25" customHeight="1" x14ac:dyDescent="0.35">
      <c r="A115" s="5">
        <v>113</v>
      </c>
      <c r="B115" s="5" t="s">
        <v>447</v>
      </c>
      <c r="C115" s="4" t="s">
        <v>49</v>
      </c>
      <c r="D115" s="7"/>
      <c r="E115" s="7"/>
      <c r="F115" s="7"/>
      <c r="G115" s="7"/>
      <c r="H115" s="7"/>
      <c r="I115" s="7"/>
      <c r="J115" s="7"/>
      <c r="K115" s="7"/>
      <c r="L115" s="7">
        <v>118</v>
      </c>
      <c r="M115" s="7">
        <v>175230</v>
      </c>
      <c r="N115" s="7"/>
      <c r="O115" s="7"/>
      <c r="P115" s="7"/>
      <c r="Q115" s="7"/>
      <c r="R115" s="7"/>
      <c r="S115" s="7"/>
      <c r="T115" s="7">
        <v>2</v>
      </c>
      <c r="U115" s="7">
        <v>3300</v>
      </c>
      <c r="V115" s="7"/>
      <c r="W115" s="7"/>
      <c r="X115" s="7">
        <v>36</v>
      </c>
      <c r="Y115" s="7">
        <v>59400</v>
      </c>
      <c r="Z115" s="7">
        <v>5</v>
      </c>
      <c r="AA115" s="7">
        <v>8250</v>
      </c>
      <c r="AB115" s="6">
        <f t="shared" si="2"/>
        <v>161</v>
      </c>
      <c r="AC115" s="6">
        <f t="shared" si="3"/>
        <v>246180</v>
      </c>
    </row>
    <row r="116" spans="1:29" s="1" customFormat="1" ht="21.25" customHeight="1" x14ac:dyDescent="0.35">
      <c r="A116" s="5">
        <v>114</v>
      </c>
      <c r="B116" s="5" t="s">
        <v>448</v>
      </c>
      <c r="C116" s="4" t="s">
        <v>435</v>
      </c>
      <c r="D116" s="7"/>
      <c r="E116" s="7"/>
      <c r="F116" s="7"/>
      <c r="G116" s="7"/>
      <c r="H116" s="7"/>
      <c r="I116" s="7"/>
      <c r="J116" s="7">
        <v>160</v>
      </c>
      <c r="K116" s="7">
        <v>396000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6">
        <f t="shared" si="2"/>
        <v>160</v>
      </c>
      <c r="AC116" s="6">
        <f t="shared" si="3"/>
        <v>396000</v>
      </c>
    </row>
    <row r="117" spans="1:29" s="1" customFormat="1" ht="21.25" customHeight="1" x14ac:dyDescent="0.35">
      <c r="A117" s="5">
        <v>115</v>
      </c>
      <c r="B117" s="5" t="s">
        <v>447</v>
      </c>
      <c r="C117" s="4" t="s">
        <v>16</v>
      </c>
      <c r="D117" s="6"/>
      <c r="E117" s="6"/>
      <c r="F117" s="6"/>
      <c r="G117" s="6"/>
      <c r="H117" s="6"/>
      <c r="I117" s="6"/>
      <c r="J117" s="6"/>
      <c r="K117" s="6"/>
      <c r="L117" s="6">
        <v>146</v>
      </c>
      <c r="M117" s="6">
        <v>481800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>
        <v>11</v>
      </c>
      <c r="Y117" s="6">
        <v>39325</v>
      </c>
      <c r="Z117" s="6">
        <v>2</v>
      </c>
      <c r="AA117" s="6">
        <v>7150</v>
      </c>
      <c r="AB117" s="6">
        <f t="shared" si="2"/>
        <v>159</v>
      </c>
      <c r="AC117" s="6">
        <f t="shared" si="3"/>
        <v>528275</v>
      </c>
    </row>
    <row r="118" spans="1:29" s="1" customFormat="1" ht="21.25" customHeight="1" x14ac:dyDescent="0.35">
      <c r="A118" s="5">
        <v>116</v>
      </c>
      <c r="B118" s="5" t="s">
        <v>447</v>
      </c>
      <c r="C118" s="4" t="s">
        <v>32</v>
      </c>
      <c r="D118" s="6"/>
      <c r="E118" s="6"/>
      <c r="F118" s="6"/>
      <c r="G118" s="6"/>
      <c r="H118" s="6"/>
      <c r="I118" s="6"/>
      <c r="J118" s="6"/>
      <c r="K118" s="6"/>
      <c r="L118" s="6">
        <v>96</v>
      </c>
      <c r="M118" s="6">
        <v>142560</v>
      </c>
      <c r="N118" s="6"/>
      <c r="O118" s="6"/>
      <c r="P118" s="6"/>
      <c r="Q118" s="6"/>
      <c r="R118" s="6">
        <v>2</v>
      </c>
      <c r="S118" s="6">
        <v>3300</v>
      </c>
      <c r="T118" s="6">
        <v>2</v>
      </c>
      <c r="U118" s="6">
        <v>3300</v>
      </c>
      <c r="V118" s="6"/>
      <c r="W118" s="6"/>
      <c r="X118" s="6">
        <v>46</v>
      </c>
      <c r="Y118" s="6">
        <v>75900</v>
      </c>
      <c r="Z118" s="6">
        <v>12</v>
      </c>
      <c r="AA118" s="6">
        <v>19800</v>
      </c>
      <c r="AB118" s="6">
        <f t="shared" si="2"/>
        <v>158</v>
      </c>
      <c r="AC118" s="6">
        <f t="shared" si="3"/>
        <v>244860</v>
      </c>
    </row>
    <row r="119" spans="1:29" s="1" customFormat="1" ht="21.25" customHeight="1" x14ac:dyDescent="0.35">
      <c r="A119" s="5">
        <v>117</v>
      </c>
      <c r="B119" s="5" t="s">
        <v>447</v>
      </c>
      <c r="C119" s="4" t="s">
        <v>26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>
        <v>40</v>
      </c>
      <c r="U119" s="6">
        <v>121000</v>
      </c>
      <c r="V119" s="6"/>
      <c r="W119" s="6"/>
      <c r="X119" s="6">
        <v>97</v>
      </c>
      <c r="Y119" s="6">
        <v>293425</v>
      </c>
      <c r="Z119" s="6">
        <v>5</v>
      </c>
      <c r="AA119" s="6">
        <v>15125</v>
      </c>
      <c r="AB119" s="6">
        <f t="shared" si="2"/>
        <v>142</v>
      </c>
      <c r="AC119" s="6">
        <f t="shared" si="3"/>
        <v>429550</v>
      </c>
    </row>
    <row r="120" spans="1:29" s="1" customFormat="1" ht="21.25" customHeight="1" x14ac:dyDescent="0.35">
      <c r="A120" s="5">
        <v>118</v>
      </c>
      <c r="B120" s="5" t="s">
        <v>450</v>
      </c>
      <c r="C120" s="4" t="s">
        <v>158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>
        <v>12</v>
      </c>
      <c r="O120" s="7">
        <v>16416</v>
      </c>
      <c r="P120" s="7">
        <v>2</v>
      </c>
      <c r="Q120" s="7">
        <v>2736</v>
      </c>
      <c r="R120" s="7">
        <v>5</v>
      </c>
      <c r="S120" s="7">
        <v>6840</v>
      </c>
      <c r="T120" s="7">
        <v>39</v>
      </c>
      <c r="U120" s="7">
        <v>53352</v>
      </c>
      <c r="V120" s="7">
        <v>34</v>
      </c>
      <c r="W120" s="7">
        <v>46512</v>
      </c>
      <c r="X120" s="7">
        <v>42</v>
      </c>
      <c r="Y120" s="7">
        <v>57456</v>
      </c>
      <c r="Z120" s="7"/>
      <c r="AA120" s="7"/>
      <c r="AB120" s="6">
        <f t="shared" si="2"/>
        <v>134</v>
      </c>
      <c r="AC120" s="6">
        <f t="shared" si="3"/>
        <v>183312</v>
      </c>
    </row>
    <row r="121" spans="1:29" s="1" customFormat="1" ht="21.25" customHeight="1" x14ac:dyDescent="0.35">
      <c r="A121" s="5">
        <v>119</v>
      </c>
      <c r="B121" s="5" t="s">
        <v>447</v>
      </c>
      <c r="C121" s="4" t="s">
        <v>27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>
        <v>40</v>
      </c>
      <c r="U121" s="7">
        <v>121000</v>
      </c>
      <c r="V121" s="7"/>
      <c r="W121" s="7"/>
      <c r="X121" s="7">
        <v>85</v>
      </c>
      <c r="Y121" s="7">
        <v>257125</v>
      </c>
      <c r="Z121" s="7">
        <v>5</v>
      </c>
      <c r="AA121" s="7">
        <v>15125</v>
      </c>
      <c r="AB121" s="6">
        <f t="shared" si="2"/>
        <v>130</v>
      </c>
      <c r="AC121" s="6">
        <f t="shared" si="3"/>
        <v>393250</v>
      </c>
    </row>
    <row r="122" spans="1:29" s="1" customFormat="1" ht="21.25" customHeight="1" x14ac:dyDescent="0.35">
      <c r="A122" s="5">
        <v>120</v>
      </c>
      <c r="B122" s="5" t="s">
        <v>447</v>
      </c>
      <c r="C122" s="4" t="s">
        <v>345</v>
      </c>
      <c r="D122" s="7"/>
      <c r="E122" s="7"/>
      <c r="F122" s="7"/>
      <c r="G122" s="7"/>
      <c r="H122" s="7"/>
      <c r="I122" s="7"/>
      <c r="J122" s="7"/>
      <c r="K122" s="7"/>
      <c r="L122" s="7">
        <v>67</v>
      </c>
      <c r="M122" s="7">
        <v>202675</v>
      </c>
      <c r="N122" s="7">
        <v>26</v>
      </c>
      <c r="O122" s="7">
        <v>78650</v>
      </c>
      <c r="P122" s="7">
        <v>20</v>
      </c>
      <c r="Q122" s="7">
        <v>60500</v>
      </c>
      <c r="R122" s="7"/>
      <c r="S122" s="7"/>
      <c r="T122" s="7"/>
      <c r="U122" s="7"/>
      <c r="V122" s="7"/>
      <c r="W122" s="7"/>
      <c r="X122" s="7"/>
      <c r="Y122" s="7"/>
      <c r="Z122" s="7">
        <v>17</v>
      </c>
      <c r="AA122" s="7">
        <v>51425</v>
      </c>
      <c r="AB122" s="6">
        <f t="shared" si="2"/>
        <v>130</v>
      </c>
      <c r="AC122" s="6">
        <f t="shared" si="3"/>
        <v>393250</v>
      </c>
    </row>
    <row r="123" spans="1:29" s="1" customFormat="1" ht="21.25" customHeight="1" x14ac:dyDescent="0.35">
      <c r="A123" s="5">
        <v>121</v>
      </c>
      <c r="B123" s="5" t="s">
        <v>447</v>
      </c>
      <c r="C123" s="4" t="s">
        <v>106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>
        <v>1</v>
      </c>
      <c r="W123" s="6">
        <v>3025</v>
      </c>
      <c r="X123" s="6">
        <v>129</v>
      </c>
      <c r="Y123" s="6">
        <v>390225</v>
      </c>
      <c r="Z123" s="6"/>
      <c r="AA123" s="6"/>
      <c r="AB123" s="6">
        <f t="shared" si="2"/>
        <v>130</v>
      </c>
      <c r="AC123" s="6">
        <f t="shared" si="3"/>
        <v>393250</v>
      </c>
    </row>
    <row r="124" spans="1:29" s="1" customFormat="1" ht="21.25" customHeight="1" x14ac:dyDescent="0.35">
      <c r="A124" s="5">
        <v>122</v>
      </c>
      <c r="B124" s="5" t="s">
        <v>447</v>
      </c>
      <c r="C124" s="4" t="s">
        <v>76</v>
      </c>
      <c r="D124" s="6"/>
      <c r="E124" s="6"/>
      <c r="F124" s="6"/>
      <c r="G124" s="6"/>
      <c r="H124" s="6"/>
      <c r="I124" s="6"/>
      <c r="J124" s="6"/>
      <c r="K124" s="6"/>
      <c r="L124" s="6">
        <v>68</v>
      </c>
      <c r="M124" s="6">
        <v>187000</v>
      </c>
      <c r="N124" s="6">
        <v>18</v>
      </c>
      <c r="O124" s="6">
        <v>49500</v>
      </c>
      <c r="P124" s="6">
        <v>43</v>
      </c>
      <c r="Q124" s="6">
        <v>118250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>
        <f t="shared" si="2"/>
        <v>129</v>
      </c>
      <c r="AC124" s="6">
        <f t="shared" si="3"/>
        <v>354750</v>
      </c>
    </row>
    <row r="125" spans="1:29" s="1" customFormat="1" ht="21.25" customHeight="1" x14ac:dyDescent="0.35">
      <c r="A125" s="5">
        <v>123</v>
      </c>
      <c r="B125" s="5" t="s">
        <v>447</v>
      </c>
      <c r="C125" s="4" t="s">
        <v>350</v>
      </c>
      <c r="D125" s="7"/>
      <c r="E125" s="7"/>
      <c r="F125" s="7"/>
      <c r="G125" s="7"/>
      <c r="H125" s="7"/>
      <c r="I125" s="7"/>
      <c r="J125" s="7">
        <v>33</v>
      </c>
      <c r="K125" s="7">
        <v>90750</v>
      </c>
      <c r="L125" s="7">
        <v>40</v>
      </c>
      <c r="M125" s="7">
        <v>110000</v>
      </c>
      <c r="N125" s="7">
        <v>20</v>
      </c>
      <c r="O125" s="7">
        <v>57200</v>
      </c>
      <c r="P125" s="7"/>
      <c r="Q125" s="7"/>
      <c r="R125" s="7"/>
      <c r="S125" s="7"/>
      <c r="T125" s="7">
        <v>30</v>
      </c>
      <c r="U125" s="7">
        <v>85800</v>
      </c>
      <c r="V125" s="7"/>
      <c r="W125" s="7"/>
      <c r="X125" s="7">
        <v>5</v>
      </c>
      <c r="Y125" s="7">
        <v>14300</v>
      </c>
      <c r="Z125" s="7"/>
      <c r="AA125" s="7"/>
      <c r="AB125" s="6">
        <f t="shared" si="2"/>
        <v>128</v>
      </c>
      <c r="AC125" s="6">
        <f t="shared" si="3"/>
        <v>358050</v>
      </c>
    </row>
    <row r="126" spans="1:29" s="1" customFormat="1" ht="21.25" customHeight="1" x14ac:dyDescent="0.35">
      <c r="A126" s="5">
        <v>124</v>
      </c>
      <c r="B126" s="5" t="s">
        <v>447</v>
      </c>
      <c r="C126" s="4" t="s">
        <v>335</v>
      </c>
      <c r="D126" s="6"/>
      <c r="E126" s="6"/>
      <c r="F126" s="6"/>
      <c r="G126" s="6"/>
      <c r="H126" s="6"/>
      <c r="I126" s="6"/>
      <c r="J126" s="6"/>
      <c r="K126" s="6"/>
      <c r="L126" s="6">
        <v>124</v>
      </c>
      <c r="M126" s="6">
        <v>238700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>
        <v>2</v>
      </c>
      <c r="AA126" s="6">
        <v>4070</v>
      </c>
      <c r="AB126" s="6">
        <f t="shared" si="2"/>
        <v>126</v>
      </c>
      <c r="AC126" s="6">
        <f t="shared" si="3"/>
        <v>242770</v>
      </c>
    </row>
    <row r="127" spans="1:29" s="1" customFormat="1" ht="21.25" customHeight="1" x14ac:dyDescent="0.35">
      <c r="A127" s="5">
        <v>125</v>
      </c>
      <c r="B127" s="5" t="s">
        <v>447</v>
      </c>
      <c r="C127" s="4" t="s">
        <v>42</v>
      </c>
      <c r="D127" s="6"/>
      <c r="E127" s="6"/>
      <c r="F127" s="6"/>
      <c r="G127" s="6"/>
      <c r="H127" s="6"/>
      <c r="I127" s="6"/>
      <c r="J127" s="6">
        <v>1</v>
      </c>
      <c r="K127" s="6">
        <v>1485</v>
      </c>
      <c r="L127" s="6">
        <v>92</v>
      </c>
      <c r="M127" s="6">
        <v>136620</v>
      </c>
      <c r="N127" s="6"/>
      <c r="O127" s="6"/>
      <c r="P127" s="6"/>
      <c r="Q127" s="6"/>
      <c r="R127" s="6"/>
      <c r="S127" s="6"/>
      <c r="T127" s="6">
        <v>3</v>
      </c>
      <c r="U127" s="6">
        <v>4950</v>
      </c>
      <c r="V127" s="6"/>
      <c r="W127" s="6"/>
      <c r="X127" s="6">
        <v>6</v>
      </c>
      <c r="Y127" s="6">
        <v>9900</v>
      </c>
      <c r="Z127" s="6">
        <v>24</v>
      </c>
      <c r="AA127" s="6">
        <v>39600</v>
      </c>
      <c r="AB127" s="6">
        <f t="shared" si="2"/>
        <v>126</v>
      </c>
      <c r="AC127" s="6">
        <f t="shared" si="3"/>
        <v>192555</v>
      </c>
    </row>
    <row r="128" spans="1:29" s="1" customFormat="1" ht="21.25" customHeight="1" x14ac:dyDescent="0.35">
      <c r="A128" s="5">
        <v>126</v>
      </c>
      <c r="B128" s="5" t="s">
        <v>447</v>
      </c>
      <c r="C128" s="4" t="s">
        <v>41</v>
      </c>
      <c r="D128" s="7"/>
      <c r="E128" s="7"/>
      <c r="F128" s="7"/>
      <c r="G128" s="7"/>
      <c r="H128" s="7"/>
      <c r="I128" s="7"/>
      <c r="J128" s="7">
        <v>4</v>
      </c>
      <c r="K128" s="7">
        <v>5940</v>
      </c>
      <c r="L128" s="7">
        <v>32</v>
      </c>
      <c r="M128" s="7">
        <v>47520</v>
      </c>
      <c r="N128" s="7"/>
      <c r="O128" s="7"/>
      <c r="P128" s="7"/>
      <c r="Q128" s="7"/>
      <c r="R128" s="7"/>
      <c r="S128" s="7"/>
      <c r="T128" s="7">
        <v>45</v>
      </c>
      <c r="U128" s="7">
        <v>74250</v>
      </c>
      <c r="V128" s="7"/>
      <c r="W128" s="7"/>
      <c r="X128" s="7"/>
      <c r="Y128" s="7"/>
      <c r="Z128" s="7">
        <v>43</v>
      </c>
      <c r="AA128" s="7">
        <v>70950</v>
      </c>
      <c r="AB128" s="6">
        <f t="shared" si="2"/>
        <v>124</v>
      </c>
      <c r="AC128" s="6">
        <f t="shared" si="3"/>
        <v>198660</v>
      </c>
    </row>
    <row r="129" spans="1:29" s="1" customFormat="1" ht="21.25" customHeight="1" x14ac:dyDescent="0.35">
      <c r="A129" s="5">
        <v>127</v>
      </c>
      <c r="B129" s="5" t="s">
        <v>448</v>
      </c>
      <c r="C129" s="4" t="s">
        <v>168</v>
      </c>
      <c r="D129" s="6"/>
      <c r="E129" s="6"/>
      <c r="F129" s="6"/>
      <c r="G129" s="6"/>
      <c r="H129" s="6"/>
      <c r="I129" s="6"/>
      <c r="J129" s="6">
        <v>43</v>
      </c>
      <c r="K129" s="6">
        <v>30100</v>
      </c>
      <c r="L129" s="6">
        <v>10</v>
      </c>
      <c r="M129" s="6">
        <v>7000</v>
      </c>
      <c r="N129" s="6"/>
      <c r="O129" s="6"/>
      <c r="P129" s="6"/>
      <c r="Q129" s="6"/>
      <c r="R129" s="6">
        <v>6</v>
      </c>
      <c r="S129" s="6">
        <v>4200</v>
      </c>
      <c r="T129" s="6">
        <v>12</v>
      </c>
      <c r="U129" s="6">
        <v>8400</v>
      </c>
      <c r="V129" s="6">
        <v>53</v>
      </c>
      <c r="W129" s="6">
        <v>37100</v>
      </c>
      <c r="X129" s="6"/>
      <c r="Y129" s="6"/>
      <c r="Z129" s="6"/>
      <c r="AA129" s="6"/>
      <c r="AB129" s="6">
        <f t="shared" si="2"/>
        <v>124</v>
      </c>
      <c r="AC129" s="6">
        <f t="shared" si="3"/>
        <v>86800</v>
      </c>
    </row>
    <row r="130" spans="1:29" s="1" customFormat="1" ht="21.25" customHeight="1" x14ac:dyDescent="0.35">
      <c r="A130" s="5">
        <v>128</v>
      </c>
      <c r="B130" s="5" t="s">
        <v>447</v>
      </c>
      <c r="C130" s="4" t="s">
        <v>354</v>
      </c>
      <c r="D130" s="7"/>
      <c r="E130" s="7"/>
      <c r="F130" s="7"/>
      <c r="G130" s="7"/>
      <c r="H130" s="7"/>
      <c r="I130" s="7"/>
      <c r="J130" s="7">
        <v>15</v>
      </c>
      <c r="K130" s="7">
        <v>28875</v>
      </c>
      <c r="L130" s="7">
        <v>15</v>
      </c>
      <c r="M130" s="7">
        <v>28875</v>
      </c>
      <c r="N130" s="7"/>
      <c r="O130" s="7"/>
      <c r="P130" s="7"/>
      <c r="Q130" s="7"/>
      <c r="R130" s="7">
        <v>10</v>
      </c>
      <c r="S130" s="7">
        <v>19250</v>
      </c>
      <c r="T130" s="7"/>
      <c r="U130" s="7"/>
      <c r="V130" s="7">
        <v>5</v>
      </c>
      <c r="W130" s="7">
        <v>9625</v>
      </c>
      <c r="X130" s="7"/>
      <c r="Y130" s="7"/>
      <c r="Z130" s="7">
        <v>75</v>
      </c>
      <c r="AA130" s="7">
        <v>144375</v>
      </c>
      <c r="AB130" s="6">
        <f t="shared" si="2"/>
        <v>120</v>
      </c>
      <c r="AC130" s="6">
        <f t="shared" si="3"/>
        <v>231000</v>
      </c>
    </row>
    <row r="131" spans="1:29" s="1" customFormat="1" ht="21.25" customHeight="1" x14ac:dyDescent="0.35">
      <c r="A131" s="5">
        <v>129</v>
      </c>
      <c r="B131" s="5" t="s">
        <v>447</v>
      </c>
      <c r="C131" s="4" t="s">
        <v>92</v>
      </c>
      <c r="D131" s="6"/>
      <c r="E131" s="6"/>
      <c r="F131" s="6"/>
      <c r="G131" s="6"/>
      <c r="H131" s="6"/>
      <c r="I131" s="6"/>
      <c r="J131" s="6"/>
      <c r="K131" s="6"/>
      <c r="L131" s="6">
        <v>90</v>
      </c>
      <c r="M131" s="6">
        <v>247500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>
        <v>25</v>
      </c>
      <c r="Y131" s="6">
        <v>68750</v>
      </c>
      <c r="Z131" s="6">
        <v>4</v>
      </c>
      <c r="AA131" s="6">
        <v>11000</v>
      </c>
      <c r="AB131" s="6">
        <f t="shared" ref="AB131:AB194" si="4">D131+F131+H131+J131+L131+N131+P131+R131+T131+V131+X131+Z131</f>
        <v>119</v>
      </c>
      <c r="AC131" s="6">
        <f t="shared" ref="AC131:AC194" si="5">E131+G131+I131+K131+M131+O131+Q131+S131+U131+W131+Y131+AA131</f>
        <v>327250</v>
      </c>
    </row>
    <row r="132" spans="1:29" s="1" customFormat="1" ht="21.25" customHeight="1" x14ac:dyDescent="0.35">
      <c r="A132" s="5">
        <v>130</v>
      </c>
      <c r="B132" s="5" t="s">
        <v>448</v>
      </c>
      <c r="C132" s="4" t="s">
        <v>200</v>
      </c>
      <c r="D132" s="7"/>
      <c r="E132" s="7"/>
      <c r="F132" s="7"/>
      <c r="G132" s="7"/>
      <c r="H132" s="7"/>
      <c r="I132" s="7"/>
      <c r="J132" s="7">
        <v>31</v>
      </c>
      <c r="K132" s="7">
        <v>85250</v>
      </c>
      <c r="L132" s="7">
        <v>32</v>
      </c>
      <c r="M132" s="7">
        <v>88000</v>
      </c>
      <c r="N132" s="7"/>
      <c r="O132" s="7"/>
      <c r="P132" s="7">
        <v>5</v>
      </c>
      <c r="Q132" s="7">
        <v>13750</v>
      </c>
      <c r="R132" s="7">
        <v>3</v>
      </c>
      <c r="S132" s="7">
        <v>8250</v>
      </c>
      <c r="T132" s="7">
        <v>16</v>
      </c>
      <c r="U132" s="7">
        <v>44000</v>
      </c>
      <c r="V132" s="7">
        <v>5</v>
      </c>
      <c r="W132" s="7">
        <v>13750</v>
      </c>
      <c r="X132" s="7">
        <v>21</v>
      </c>
      <c r="Y132" s="7">
        <v>57750</v>
      </c>
      <c r="Z132" s="7">
        <v>6</v>
      </c>
      <c r="AA132" s="7">
        <v>16500</v>
      </c>
      <c r="AB132" s="6">
        <f t="shared" si="4"/>
        <v>119</v>
      </c>
      <c r="AC132" s="6">
        <f t="shared" si="5"/>
        <v>327250</v>
      </c>
    </row>
    <row r="133" spans="1:29" s="1" customFormat="1" ht="21.25" customHeight="1" x14ac:dyDescent="0.35">
      <c r="A133" s="5">
        <v>131</v>
      </c>
      <c r="B133" s="5" t="s">
        <v>447</v>
      </c>
      <c r="C133" s="4" t="s">
        <v>231</v>
      </c>
      <c r="D133" s="7"/>
      <c r="E133" s="7"/>
      <c r="F133" s="7"/>
      <c r="G133" s="7"/>
      <c r="H133" s="7"/>
      <c r="I133" s="7"/>
      <c r="J133" s="7">
        <v>10</v>
      </c>
      <c r="K133" s="7">
        <v>38500</v>
      </c>
      <c r="L133" s="7">
        <v>40</v>
      </c>
      <c r="M133" s="7">
        <v>154000</v>
      </c>
      <c r="N133" s="7"/>
      <c r="O133" s="7"/>
      <c r="P133" s="7">
        <v>30</v>
      </c>
      <c r="Q133" s="7">
        <v>115500</v>
      </c>
      <c r="R133" s="7"/>
      <c r="S133" s="7"/>
      <c r="T133" s="7"/>
      <c r="U133" s="7"/>
      <c r="V133" s="7"/>
      <c r="W133" s="7"/>
      <c r="X133" s="7">
        <v>38</v>
      </c>
      <c r="Y133" s="7">
        <v>146300</v>
      </c>
      <c r="Z133" s="7"/>
      <c r="AA133" s="7"/>
      <c r="AB133" s="6">
        <f t="shared" si="4"/>
        <v>118</v>
      </c>
      <c r="AC133" s="6">
        <f t="shared" si="5"/>
        <v>454300</v>
      </c>
    </row>
    <row r="134" spans="1:29" s="1" customFormat="1" ht="21.25" customHeight="1" x14ac:dyDescent="0.35">
      <c r="A134" s="5">
        <v>132</v>
      </c>
      <c r="B134" s="5" t="s">
        <v>447</v>
      </c>
      <c r="C134" s="4" t="s">
        <v>74</v>
      </c>
      <c r="D134" s="6"/>
      <c r="E134" s="6"/>
      <c r="F134" s="6"/>
      <c r="G134" s="6"/>
      <c r="H134" s="6"/>
      <c r="I134" s="6"/>
      <c r="J134" s="6"/>
      <c r="K134" s="6"/>
      <c r="L134" s="6">
        <v>68</v>
      </c>
      <c r="M134" s="6">
        <v>187000</v>
      </c>
      <c r="N134" s="6"/>
      <c r="O134" s="6"/>
      <c r="P134" s="6">
        <v>10</v>
      </c>
      <c r="Q134" s="6">
        <v>27500</v>
      </c>
      <c r="R134" s="6">
        <v>6</v>
      </c>
      <c r="S134" s="6">
        <v>16500</v>
      </c>
      <c r="T134" s="6">
        <v>30</v>
      </c>
      <c r="U134" s="6">
        <v>82500</v>
      </c>
      <c r="V134" s="6"/>
      <c r="W134" s="6"/>
      <c r="X134" s="6"/>
      <c r="Y134" s="6"/>
      <c r="Z134" s="6"/>
      <c r="AA134" s="6"/>
      <c r="AB134" s="6">
        <f t="shared" si="4"/>
        <v>114</v>
      </c>
      <c r="AC134" s="6">
        <f t="shared" si="5"/>
        <v>313500</v>
      </c>
    </row>
    <row r="135" spans="1:29" s="1" customFormat="1" ht="21.25" customHeight="1" x14ac:dyDescent="0.35">
      <c r="A135" s="5">
        <v>133</v>
      </c>
      <c r="B135" s="5" t="s">
        <v>447</v>
      </c>
      <c r="C135" s="4" t="s">
        <v>338</v>
      </c>
      <c r="D135" s="7"/>
      <c r="E135" s="7"/>
      <c r="F135" s="7"/>
      <c r="G135" s="7"/>
      <c r="H135" s="7"/>
      <c r="I135" s="7"/>
      <c r="J135" s="7"/>
      <c r="K135" s="7"/>
      <c r="L135" s="7">
        <v>93</v>
      </c>
      <c r="M135" s="7">
        <v>179025</v>
      </c>
      <c r="N135" s="7">
        <v>20</v>
      </c>
      <c r="O135" s="7">
        <v>40700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6">
        <f t="shared" si="4"/>
        <v>113</v>
      </c>
      <c r="AC135" s="6">
        <f t="shared" si="5"/>
        <v>219725</v>
      </c>
    </row>
    <row r="136" spans="1:29" s="1" customFormat="1" ht="21.25" customHeight="1" x14ac:dyDescent="0.35">
      <c r="A136" s="5">
        <v>134</v>
      </c>
      <c r="B136" s="5" t="s">
        <v>447</v>
      </c>
      <c r="C136" s="4" t="s">
        <v>237</v>
      </c>
      <c r="D136" s="6"/>
      <c r="E136" s="6"/>
      <c r="F136" s="6"/>
      <c r="G136" s="6"/>
      <c r="H136" s="6"/>
      <c r="I136" s="6"/>
      <c r="J136" s="6">
        <v>25</v>
      </c>
      <c r="K136" s="6">
        <v>48125</v>
      </c>
      <c r="L136" s="6">
        <v>20</v>
      </c>
      <c r="M136" s="6">
        <v>38500</v>
      </c>
      <c r="N136" s="6"/>
      <c r="O136" s="6"/>
      <c r="P136" s="6"/>
      <c r="Q136" s="6"/>
      <c r="R136" s="6"/>
      <c r="S136" s="6"/>
      <c r="T136" s="6"/>
      <c r="U136" s="6"/>
      <c r="V136" s="6">
        <v>8</v>
      </c>
      <c r="W136" s="6">
        <v>15400</v>
      </c>
      <c r="X136" s="6">
        <v>5</v>
      </c>
      <c r="Y136" s="6">
        <v>9625</v>
      </c>
      <c r="Z136" s="6">
        <v>55</v>
      </c>
      <c r="AA136" s="6">
        <v>105875</v>
      </c>
      <c r="AB136" s="6">
        <f t="shared" si="4"/>
        <v>113</v>
      </c>
      <c r="AC136" s="6">
        <f t="shared" si="5"/>
        <v>217525</v>
      </c>
    </row>
    <row r="137" spans="1:29" s="1" customFormat="1" ht="21.25" customHeight="1" x14ac:dyDescent="0.35">
      <c r="A137" s="5">
        <v>135</v>
      </c>
      <c r="B137" s="5" t="s">
        <v>447</v>
      </c>
      <c r="C137" s="4" t="s">
        <v>245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>
        <v>55</v>
      </c>
      <c r="U137" s="6">
        <v>127050</v>
      </c>
      <c r="V137" s="6">
        <v>57</v>
      </c>
      <c r="W137" s="6">
        <v>131670</v>
      </c>
      <c r="X137" s="6"/>
      <c r="Y137" s="6"/>
      <c r="Z137" s="6"/>
      <c r="AA137" s="6"/>
      <c r="AB137" s="6">
        <f t="shared" si="4"/>
        <v>112</v>
      </c>
      <c r="AC137" s="6">
        <f t="shared" si="5"/>
        <v>258720</v>
      </c>
    </row>
    <row r="138" spans="1:29" s="1" customFormat="1" ht="21.25" customHeight="1" x14ac:dyDescent="0.35">
      <c r="A138" s="5">
        <v>136</v>
      </c>
      <c r="B138" s="5" t="s">
        <v>450</v>
      </c>
      <c r="C138" s="4" t="s">
        <v>310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v>6</v>
      </c>
      <c r="O138" s="7">
        <v>8550</v>
      </c>
      <c r="P138" s="7">
        <v>6</v>
      </c>
      <c r="Q138" s="7">
        <v>8550</v>
      </c>
      <c r="R138" s="7"/>
      <c r="S138" s="7"/>
      <c r="T138" s="7">
        <v>2</v>
      </c>
      <c r="U138" s="7">
        <v>2850</v>
      </c>
      <c r="V138" s="7">
        <v>80</v>
      </c>
      <c r="W138" s="7">
        <v>114000</v>
      </c>
      <c r="X138" s="7">
        <v>15</v>
      </c>
      <c r="Y138" s="7">
        <v>21375</v>
      </c>
      <c r="Z138" s="7"/>
      <c r="AA138" s="7"/>
      <c r="AB138" s="6">
        <f t="shared" si="4"/>
        <v>109</v>
      </c>
      <c r="AC138" s="6">
        <f t="shared" si="5"/>
        <v>155325</v>
      </c>
    </row>
    <row r="139" spans="1:29" s="1" customFormat="1" ht="21.25" customHeight="1" x14ac:dyDescent="0.35">
      <c r="A139" s="5">
        <v>137</v>
      </c>
      <c r="B139" s="5" t="s">
        <v>447</v>
      </c>
      <c r="C139" s="4" t="s">
        <v>250</v>
      </c>
      <c r="D139" s="7"/>
      <c r="E139" s="7"/>
      <c r="F139" s="7"/>
      <c r="G139" s="7"/>
      <c r="H139" s="7"/>
      <c r="I139" s="7"/>
      <c r="J139" s="7">
        <v>13</v>
      </c>
      <c r="K139" s="7">
        <v>42900</v>
      </c>
      <c r="L139" s="7">
        <v>42</v>
      </c>
      <c r="M139" s="7">
        <v>138600</v>
      </c>
      <c r="N139" s="7">
        <v>20</v>
      </c>
      <c r="O139" s="7">
        <v>71500</v>
      </c>
      <c r="P139" s="7"/>
      <c r="Q139" s="7"/>
      <c r="R139" s="7">
        <v>10</v>
      </c>
      <c r="S139" s="7">
        <v>35750</v>
      </c>
      <c r="T139" s="7">
        <v>20</v>
      </c>
      <c r="U139" s="7">
        <v>71500</v>
      </c>
      <c r="V139" s="7"/>
      <c r="W139" s="7"/>
      <c r="X139" s="7"/>
      <c r="Y139" s="7"/>
      <c r="Z139" s="7"/>
      <c r="AA139" s="7"/>
      <c r="AB139" s="6">
        <f t="shared" si="4"/>
        <v>105</v>
      </c>
      <c r="AC139" s="6">
        <f t="shared" si="5"/>
        <v>360250</v>
      </c>
    </row>
    <row r="140" spans="1:29" s="1" customFormat="1" ht="21.25" customHeight="1" x14ac:dyDescent="0.35">
      <c r="A140" s="5">
        <v>138</v>
      </c>
      <c r="B140" s="5" t="s">
        <v>447</v>
      </c>
      <c r="C140" s="4" t="s">
        <v>96</v>
      </c>
      <c r="D140" s="7"/>
      <c r="E140" s="7"/>
      <c r="F140" s="7"/>
      <c r="G140" s="7"/>
      <c r="H140" s="7"/>
      <c r="I140" s="7"/>
      <c r="J140" s="7">
        <v>17</v>
      </c>
      <c r="K140" s="7">
        <v>37400</v>
      </c>
      <c r="L140" s="7">
        <v>16</v>
      </c>
      <c r="M140" s="7">
        <v>35200</v>
      </c>
      <c r="N140" s="7"/>
      <c r="O140" s="7"/>
      <c r="P140" s="7">
        <v>10</v>
      </c>
      <c r="Q140" s="7">
        <v>22000</v>
      </c>
      <c r="R140" s="7">
        <v>2</v>
      </c>
      <c r="S140" s="7">
        <v>4400</v>
      </c>
      <c r="T140" s="7"/>
      <c r="U140" s="7"/>
      <c r="V140" s="7">
        <v>3</v>
      </c>
      <c r="W140" s="7">
        <v>6600</v>
      </c>
      <c r="X140" s="7">
        <v>37</v>
      </c>
      <c r="Y140" s="7">
        <v>81400</v>
      </c>
      <c r="Z140" s="7">
        <v>20</v>
      </c>
      <c r="AA140" s="7">
        <v>44000</v>
      </c>
      <c r="AB140" s="6">
        <f t="shared" si="4"/>
        <v>105</v>
      </c>
      <c r="AC140" s="6">
        <f t="shared" si="5"/>
        <v>231000</v>
      </c>
    </row>
    <row r="141" spans="1:29" s="1" customFormat="1" ht="21.25" customHeight="1" x14ac:dyDescent="0.35">
      <c r="A141" s="5">
        <v>139</v>
      </c>
      <c r="B141" s="5" t="s">
        <v>447</v>
      </c>
      <c r="C141" s="4" t="s">
        <v>405</v>
      </c>
      <c r="D141" s="6"/>
      <c r="E141" s="6"/>
      <c r="F141" s="6"/>
      <c r="G141" s="6"/>
      <c r="H141" s="6"/>
      <c r="I141" s="6"/>
      <c r="J141" s="6">
        <v>5</v>
      </c>
      <c r="K141" s="6">
        <v>13750</v>
      </c>
      <c r="L141" s="6">
        <v>17</v>
      </c>
      <c r="M141" s="6">
        <v>46750</v>
      </c>
      <c r="N141" s="6"/>
      <c r="O141" s="6"/>
      <c r="P141" s="6"/>
      <c r="Q141" s="6"/>
      <c r="R141" s="6"/>
      <c r="S141" s="6"/>
      <c r="T141" s="6">
        <v>9</v>
      </c>
      <c r="U141" s="6">
        <v>27225</v>
      </c>
      <c r="V141" s="6">
        <v>2</v>
      </c>
      <c r="W141" s="6">
        <v>6050</v>
      </c>
      <c r="X141" s="6"/>
      <c r="Y141" s="6"/>
      <c r="Z141" s="6">
        <v>70</v>
      </c>
      <c r="AA141" s="6">
        <v>211750</v>
      </c>
      <c r="AB141" s="6">
        <f t="shared" si="4"/>
        <v>103</v>
      </c>
      <c r="AC141" s="6">
        <f t="shared" si="5"/>
        <v>305525</v>
      </c>
    </row>
    <row r="142" spans="1:29" s="1" customFormat="1" ht="21.25" customHeight="1" x14ac:dyDescent="0.35">
      <c r="A142" s="5">
        <v>140</v>
      </c>
      <c r="B142" s="5" t="s">
        <v>447</v>
      </c>
      <c r="C142" s="4" t="s">
        <v>79</v>
      </c>
      <c r="D142" s="7"/>
      <c r="E142" s="7"/>
      <c r="F142" s="7"/>
      <c r="G142" s="7"/>
      <c r="H142" s="7"/>
      <c r="I142" s="7"/>
      <c r="J142" s="7"/>
      <c r="K142" s="7"/>
      <c r="L142" s="7">
        <v>62</v>
      </c>
      <c r="M142" s="7">
        <v>170500</v>
      </c>
      <c r="N142" s="7"/>
      <c r="O142" s="7"/>
      <c r="P142" s="7"/>
      <c r="Q142" s="7"/>
      <c r="R142" s="7">
        <v>10</v>
      </c>
      <c r="S142" s="7">
        <v>27500</v>
      </c>
      <c r="T142" s="7"/>
      <c r="U142" s="7"/>
      <c r="V142" s="7"/>
      <c r="W142" s="7"/>
      <c r="X142" s="7">
        <v>28</v>
      </c>
      <c r="Y142" s="7">
        <v>77000</v>
      </c>
      <c r="Z142" s="7">
        <v>2</v>
      </c>
      <c r="AA142" s="7">
        <v>5500</v>
      </c>
      <c r="AB142" s="6">
        <f t="shared" si="4"/>
        <v>102</v>
      </c>
      <c r="AC142" s="6">
        <f t="shared" si="5"/>
        <v>280500</v>
      </c>
    </row>
    <row r="143" spans="1:29" s="1" customFormat="1" ht="21.25" customHeight="1" x14ac:dyDescent="0.35">
      <c r="A143" s="5">
        <v>141</v>
      </c>
      <c r="B143" s="5" t="s">
        <v>450</v>
      </c>
      <c r="C143" s="4" t="s">
        <v>290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>
        <v>39</v>
      </c>
      <c r="O143" s="7">
        <v>71136</v>
      </c>
      <c r="P143" s="7">
        <v>5</v>
      </c>
      <c r="Q143" s="7">
        <v>9120</v>
      </c>
      <c r="R143" s="7">
        <v>3</v>
      </c>
      <c r="S143" s="7">
        <v>5472</v>
      </c>
      <c r="T143" s="7">
        <v>41</v>
      </c>
      <c r="U143" s="7">
        <v>74784</v>
      </c>
      <c r="V143" s="7">
        <v>3</v>
      </c>
      <c r="W143" s="7">
        <v>5472</v>
      </c>
      <c r="X143" s="7">
        <v>10</v>
      </c>
      <c r="Y143" s="7">
        <v>18240</v>
      </c>
      <c r="Z143" s="7"/>
      <c r="AA143" s="7"/>
      <c r="AB143" s="6">
        <f t="shared" si="4"/>
        <v>101</v>
      </c>
      <c r="AC143" s="6">
        <f t="shared" si="5"/>
        <v>184224</v>
      </c>
    </row>
    <row r="144" spans="1:29" s="1" customFormat="1" ht="21.25" customHeight="1" x14ac:dyDescent="0.35">
      <c r="A144" s="5">
        <v>142</v>
      </c>
      <c r="B144" s="5" t="s">
        <v>447</v>
      </c>
      <c r="C144" s="4" t="s">
        <v>233</v>
      </c>
      <c r="D144" s="7"/>
      <c r="E144" s="7"/>
      <c r="F144" s="7"/>
      <c r="G144" s="7"/>
      <c r="H144" s="7"/>
      <c r="I144" s="7"/>
      <c r="J144" s="7">
        <v>30</v>
      </c>
      <c r="K144" s="7">
        <v>115500</v>
      </c>
      <c r="L144" s="7"/>
      <c r="M144" s="7"/>
      <c r="N144" s="7">
        <v>10</v>
      </c>
      <c r="O144" s="7">
        <v>38500</v>
      </c>
      <c r="P144" s="7"/>
      <c r="Q144" s="7"/>
      <c r="R144" s="7"/>
      <c r="S144" s="7"/>
      <c r="T144" s="7"/>
      <c r="U144" s="7"/>
      <c r="V144" s="7">
        <v>50</v>
      </c>
      <c r="W144" s="7">
        <v>192500</v>
      </c>
      <c r="X144" s="7">
        <v>5</v>
      </c>
      <c r="Y144" s="7">
        <v>19250</v>
      </c>
      <c r="Z144" s="7">
        <v>5</v>
      </c>
      <c r="AA144" s="7">
        <v>19250</v>
      </c>
      <c r="AB144" s="6">
        <f t="shared" si="4"/>
        <v>100</v>
      </c>
      <c r="AC144" s="6">
        <f t="shared" si="5"/>
        <v>385000</v>
      </c>
    </row>
    <row r="145" spans="1:29" s="1" customFormat="1" ht="21.25" customHeight="1" x14ac:dyDescent="0.35">
      <c r="A145" s="5">
        <v>143</v>
      </c>
      <c r="B145" s="5" t="s">
        <v>447</v>
      </c>
      <c r="C145" s="4" t="s">
        <v>322</v>
      </c>
      <c r="D145" s="6"/>
      <c r="E145" s="6"/>
      <c r="F145" s="6"/>
      <c r="G145" s="6"/>
      <c r="H145" s="6"/>
      <c r="I145" s="6"/>
      <c r="J145" s="6"/>
      <c r="K145" s="6"/>
      <c r="L145" s="6">
        <v>100</v>
      </c>
      <c r="M145" s="6">
        <v>192500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>
        <f t="shared" si="4"/>
        <v>100</v>
      </c>
      <c r="AC145" s="6">
        <f t="shared" si="5"/>
        <v>192500</v>
      </c>
    </row>
    <row r="146" spans="1:29" s="1" customFormat="1" ht="21.25" customHeight="1" x14ac:dyDescent="0.35">
      <c r="A146" s="5">
        <v>144</v>
      </c>
      <c r="B146" s="5" t="s">
        <v>447</v>
      </c>
      <c r="C146" s="4" t="s">
        <v>239</v>
      </c>
      <c r="D146" s="7"/>
      <c r="E146" s="7"/>
      <c r="F146" s="7"/>
      <c r="G146" s="7"/>
      <c r="H146" s="7"/>
      <c r="I146" s="7"/>
      <c r="J146" s="7">
        <v>1</v>
      </c>
      <c r="K146" s="7">
        <v>1100</v>
      </c>
      <c r="L146" s="7">
        <v>20</v>
      </c>
      <c r="M146" s="7">
        <v>22000</v>
      </c>
      <c r="N146" s="7"/>
      <c r="O146" s="7"/>
      <c r="P146" s="7"/>
      <c r="Q146" s="7"/>
      <c r="R146" s="7">
        <v>4</v>
      </c>
      <c r="S146" s="7">
        <v>4400</v>
      </c>
      <c r="T146" s="7">
        <v>30</v>
      </c>
      <c r="U146" s="7">
        <v>33000</v>
      </c>
      <c r="V146" s="7">
        <v>32</v>
      </c>
      <c r="W146" s="7">
        <v>35200</v>
      </c>
      <c r="X146" s="7"/>
      <c r="Y146" s="7"/>
      <c r="Z146" s="7">
        <v>13</v>
      </c>
      <c r="AA146" s="7">
        <v>14300</v>
      </c>
      <c r="AB146" s="6">
        <f t="shared" si="4"/>
        <v>100</v>
      </c>
      <c r="AC146" s="6">
        <f t="shared" si="5"/>
        <v>110000</v>
      </c>
    </row>
    <row r="147" spans="1:29" s="1" customFormat="1" ht="21.25" customHeight="1" x14ac:dyDescent="0.35">
      <c r="A147" s="5">
        <v>145</v>
      </c>
      <c r="B147" s="5" t="s">
        <v>447</v>
      </c>
      <c r="C147" s="4" t="s">
        <v>88</v>
      </c>
      <c r="D147" s="6"/>
      <c r="E147" s="6"/>
      <c r="F147" s="6"/>
      <c r="G147" s="6"/>
      <c r="H147" s="6"/>
      <c r="I147" s="6"/>
      <c r="J147" s="6"/>
      <c r="K147" s="6"/>
      <c r="L147" s="6">
        <v>62</v>
      </c>
      <c r="M147" s="6">
        <v>170500</v>
      </c>
      <c r="N147" s="6">
        <v>15</v>
      </c>
      <c r="O147" s="6">
        <v>41250</v>
      </c>
      <c r="P147" s="6">
        <v>20</v>
      </c>
      <c r="Q147" s="6">
        <v>55000</v>
      </c>
      <c r="R147" s="6"/>
      <c r="S147" s="6"/>
      <c r="T147" s="6"/>
      <c r="U147" s="6"/>
      <c r="V147" s="6"/>
      <c r="W147" s="6"/>
      <c r="X147" s="6">
        <v>1</v>
      </c>
      <c r="Y147" s="6">
        <v>2750</v>
      </c>
      <c r="Z147" s="6">
        <v>2</v>
      </c>
      <c r="AA147" s="6">
        <v>5500</v>
      </c>
      <c r="AB147" s="6">
        <f t="shared" si="4"/>
        <v>100</v>
      </c>
      <c r="AC147" s="6">
        <f t="shared" si="5"/>
        <v>275000</v>
      </c>
    </row>
    <row r="148" spans="1:29" s="1" customFormat="1" ht="21.25" customHeight="1" x14ac:dyDescent="0.35">
      <c r="A148" s="5">
        <v>146</v>
      </c>
      <c r="B148" s="5" t="s">
        <v>447</v>
      </c>
      <c r="C148" s="4" t="s">
        <v>111</v>
      </c>
      <c r="D148" s="6"/>
      <c r="E148" s="6"/>
      <c r="F148" s="6"/>
      <c r="G148" s="6"/>
      <c r="H148" s="6"/>
      <c r="I148" s="6"/>
      <c r="J148" s="6"/>
      <c r="K148" s="6"/>
      <c r="L148" s="6">
        <v>30</v>
      </c>
      <c r="M148" s="6">
        <v>74250</v>
      </c>
      <c r="N148" s="6">
        <v>15</v>
      </c>
      <c r="O148" s="6">
        <v>39600</v>
      </c>
      <c r="P148" s="6"/>
      <c r="Q148" s="6"/>
      <c r="R148" s="6">
        <v>50</v>
      </c>
      <c r="S148" s="6">
        <v>132000</v>
      </c>
      <c r="T148" s="6"/>
      <c r="U148" s="6"/>
      <c r="V148" s="6"/>
      <c r="W148" s="6"/>
      <c r="X148" s="6">
        <v>5</v>
      </c>
      <c r="Y148" s="6">
        <v>13200</v>
      </c>
      <c r="Z148" s="6"/>
      <c r="AA148" s="6"/>
      <c r="AB148" s="6">
        <f t="shared" si="4"/>
        <v>100</v>
      </c>
      <c r="AC148" s="6">
        <f t="shared" si="5"/>
        <v>259050</v>
      </c>
    </row>
    <row r="149" spans="1:29" s="1" customFormat="1" ht="21.25" customHeight="1" x14ac:dyDescent="0.35">
      <c r="A149" s="5">
        <v>147</v>
      </c>
      <c r="B149" s="5" t="s">
        <v>448</v>
      </c>
      <c r="C149" s="4" t="s">
        <v>421</v>
      </c>
      <c r="D149" s="7"/>
      <c r="E149" s="7"/>
      <c r="F149" s="7"/>
      <c r="G149" s="7"/>
      <c r="H149" s="7"/>
      <c r="I149" s="7"/>
      <c r="J149" s="7">
        <v>70</v>
      </c>
      <c r="K149" s="7">
        <v>126000</v>
      </c>
      <c r="L149" s="7"/>
      <c r="M149" s="7"/>
      <c r="N149" s="7"/>
      <c r="O149" s="7"/>
      <c r="P149" s="7"/>
      <c r="Q149" s="7"/>
      <c r="R149" s="7">
        <v>3</v>
      </c>
      <c r="S149" s="7">
        <v>5400</v>
      </c>
      <c r="T149" s="7"/>
      <c r="U149" s="7"/>
      <c r="V149" s="7">
        <v>3</v>
      </c>
      <c r="W149" s="7">
        <v>5400</v>
      </c>
      <c r="X149" s="7"/>
      <c r="Y149" s="7"/>
      <c r="Z149" s="7">
        <v>24</v>
      </c>
      <c r="AA149" s="7">
        <v>43200</v>
      </c>
      <c r="AB149" s="6">
        <f t="shared" si="4"/>
        <v>100</v>
      </c>
      <c r="AC149" s="6">
        <f t="shared" si="5"/>
        <v>180000</v>
      </c>
    </row>
    <row r="150" spans="1:29" s="1" customFormat="1" ht="21.25" customHeight="1" x14ac:dyDescent="0.35">
      <c r="A150" s="5">
        <v>148</v>
      </c>
      <c r="B150" s="5" t="s">
        <v>447</v>
      </c>
      <c r="C150" s="4" t="s">
        <v>117</v>
      </c>
      <c r="D150" s="6"/>
      <c r="E150" s="6"/>
      <c r="F150" s="6"/>
      <c r="G150" s="6"/>
      <c r="H150" s="6"/>
      <c r="I150" s="6"/>
      <c r="J150" s="6"/>
      <c r="K150" s="6"/>
      <c r="L150" s="6">
        <v>8</v>
      </c>
      <c r="M150" s="6">
        <v>13200</v>
      </c>
      <c r="N150" s="6"/>
      <c r="O150" s="6"/>
      <c r="P150" s="6">
        <v>2</v>
      </c>
      <c r="Q150" s="6">
        <v>3520</v>
      </c>
      <c r="R150" s="6"/>
      <c r="S150" s="6"/>
      <c r="T150" s="6">
        <v>67</v>
      </c>
      <c r="U150" s="6">
        <v>117920</v>
      </c>
      <c r="V150" s="6">
        <v>10</v>
      </c>
      <c r="W150" s="6">
        <v>17600</v>
      </c>
      <c r="X150" s="6">
        <v>10</v>
      </c>
      <c r="Y150" s="6">
        <v>17600</v>
      </c>
      <c r="Z150" s="6"/>
      <c r="AA150" s="6"/>
      <c r="AB150" s="6">
        <f t="shared" si="4"/>
        <v>97</v>
      </c>
      <c r="AC150" s="6">
        <f t="shared" si="5"/>
        <v>169840</v>
      </c>
    </row>
    <row r="151" spans="1:29" s="1" customFormat="1" ht="21.25" customHeight="1" x14ac:dyDescent="0.35">
      <c r="A151" s="5">
        <v>149</v>
      </c>
      <c r="B151" s="5" t="s">
        <v>447</v>
      </c>
      <c r="C151" s="4" t="s">
        <v>234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>
        <v>10</v>
      </c>
      <c r="U151" s="7">
        <v>38500</v>
      </c>
      <c r="V151" s="7">
        <v>75</v>
      </c>
      <c r="W151" s="7">
        <v>288750</v>
      </c>
      <c r="X151" s="7"/>
      <c r="Y151" s="7"/>
      <c r="Z151" s="7">
        <v>11</v>
      </c>
      <c r="AA151" s="7">
        <v>42350</v>
      </c>
      <c r="AB151" s="6">
        <f t="shared" si="4"/>
        <v>96</v>
      </c>
      <c r="AC151" s="6">
        <f t="shared" si="5"/>
        <v>369600</v>
      </c>
    </row>
    <row r="152" spans="1:29" s="1" customFormat="1" ht="21.25" customHeight="1" x14ac:dyDescent="0.35">
      <c r="A152" s="5">
        <v>150</v>
      </c>
      <c r="B152" s="5" t="s">
        <v>450</v>
      </c>
      <c r="C152" s="4" t="s">
        <v>292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>
        <v>7</v>
      </c>
      <c r="O152" s="6">
        <v>15960</v>
      </c>
      <c r="P152" s="6">
        <v>12</v>
      </c>
      <c r="Q152" s="6">
        <v>27360</v>
      </c>
      <c r="R152" s="6">
        <v>2</v>
      </c>
      <c r="S152" s="6">
        <v>4560</v>
      </c>
      <c r="T152" s="6">
        <v>59</v>
      </c>
      <c r="U152" s="6">
        <v>134520</v>
      </c>
      <c r="V152" s="6">
        <v>6</v>
      </c>
      <c r="W152" s="6">
        <v>13680</v>
      </c>
      <c r="X152" s="6">
        <v>2</v>
      </c>
      <c r="Y152" s="6">
        <v>4560</v>
      </c>
      <c r="Z152" s="6">
        <v>4</v>
      </c>
      <c r="AA152" s="6">
        <v>9120</v>
      </c>
      <c r="AB152" s="6">
        <f t="shared" si="4"/>
        <v>92</v>
      </c>
      <c r="AC152" s="6">
        <f t="shared" si="5"/>
        <v>209760</v>
      </c>
    </row>
    <row r="153" spans="1:29" s="1" customFormat="1" ht="21.25" customHeight="1" x14ac:dyDescent="0.35">
      <c r="A153" s="5">
        <v>151</v>
      </c>
      <c r="B153" s="5" t="s">
        <v>450</v>
      </c>
      <c r="C153" s="4" t="s">
        <v>298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>
        <v>12</v>
      </c>
      <c r="O153" s="7">
        <v>13680</v>
      </c>
      <c r="P153" s="7">
        <v>6</v>
      </c>
      <c r="Q153" s="7">
        <v>6840</v>
      </c>
      <c r="R153" s="7"/>
      <c r="S153" s="7"/>
      <c r="T153" s="7">
        <v>8</v>
      </c>
      <c r="U153" s="7">
        <v>9120</v>
      </c>
      <c r="V153" s="7">
        <v>22</v>
      </c>
      <c r="W153" s="7">
        <v>25080</v>
      </c>
      <c r="X153" s="7">
        <v>40</v>
      </c>
      <c r="Y153" s="7">
        <v>45600</v>
      </c>
      <c r="Z153" s="7">
        <v>4</v>
      </c>
      <c r="AA153" s="7">
        <v>4560</v>
      </c>
      <c r="AB153" s="6">
        <f t="shared" si="4"/>
        <v>92</v>
      </c>
      <c r="AC153" s="6">
        <f t="shared" si="5"/>
        <v>104880</v>
      </c>
    </row>
    <row r="154" spans="1:29" s="1" customFormat="1" ht="21.25" customHeight="1" x14ac:dyDescent="0.35">
      <c r="A154" s="5">
        <v>152</v>
      </c>
      <c r="B154" s="5" t="s">
        <v>447</v>
      </c>
      <c r="C154" s="4" t="s">
        <v>77</v>
      </c>
      <c r="D154" s="7"/>
      <c r="E154" s="7"/>
      <c r="F154" s="7"/>
      <c r="G154" s="7"/>
      <c r="H154" s="7"/>
      <c r="I154" s="7"/>
      <c r="J154" s="7"/>
      <c r="K154" s="7"/>
      <c r="L154" s="7">
        <v>62</v>
      </c>
      <c r="M154" s="7">
        <v>170500</v>
      </c>
      <c r="N154" s="7"/>
      <c r="O154" s="7"/>
      <c r="P154" s="7"/>
      <c r="Q154" s="7"/>
      <c r="R154" s="7">
        <v>1</v>
      </c>
      <c r="S154" s="7">
        <v>2750</v>
      </c>
      <c r="T154" s="7">
        <v>16</v>
      </c>
      <c r="U154" s="7">
        <v>44000</v>
      </c>
      <c r="V154" s="7"/>
      <c r="W154" s="7"/>
      <c r="X154" s="7">
        <v>12</v>
      </c>
      <c r="Y154" s="7">
        <v>33000</v>
      </c>
      <c r="Z154" s="7"/>
      <c r="AA154" s="7"/>
      <c r="AB154" s="6">
        <f t="shared" si="4"/>
        <v>91</v>
      </c>
      <c r="AC154" s="6">
        <f t="shared" si="5"/>
        <v>250250</v>
      </c>
    </row>
    <row r="155" spans="1:29" s="1" customFormat="1" ht="21.25" customHeight="1" x14ac:dyDescent="0.35">
      <c r="A155" s="5">
        <v>153</v>
      </c>
      <c r="B155" s="5" t="s">
        <v>447</v>
      </c>
      <c r="C155" s="4" t="s">
        <v>185</v>
      </c>
      <c r="D155" s="6"/>
      <c r="E155" s="6"/>
      <c r="F155" s="6"/>
      <c r="G155" s="6"/>
      <c r="H155" s="6"/>
      <c r="I155" s="6"/>
      <c r="J155" s="6"/>
      <c r="K155" s="6"/>
      <c r="L155" s="6">
        <v>17</v>
      </c>
      <c r="M155" s="6">
        <v>46750</v>
      </c>
      <c r="N155" s="6"/>
      <c r="O155" s="6"/>
      <c r="P155" s="6"/>
      <c r="Q155" s="6"/>
      <c r="R155" s="6"/>
      <c r="S155" s="6"/>
      <c r="T155" s="6">
        <v>50</v>
      </c>
      <c r="U155" s="6">
        <v>143000</v>
      </c>
      <c r="V155" s="6"/>
      <c r="W155" s="6"/>
      <c r="X155" s="6">
        <v>10</v>
      </c>
      <c r="Y155" s="6">
        <v>28600</v>
      </c>
      <c r="Z155" s="6">
        <v>13</v>
      </c>
      <c r="AA155" s="6">
        <v>37180</v>
      </c>
      <c r="AB155" s="6">
        <f t="shared" si="4"/>
        <v>90</v>
      </c>
      <c r="AC155" s="6">
        <f t="shared" si="5"/>
        <v>255530</v>
      </c>
    </row>
    <row r="156" spans="1:29" s="1" customFormat="1" ht="21.25" customHeight="1" x14ac:dyDescent="0.35">
      <c r="A156" s="5">
        <v>154</v>
      </c>
      <c r="B156" s="5" t="s">
        <v>451</v>
      </c>
      <c r="C156" s="4" t="s">
        <v>441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>
        <v>88</v>
      </c>
      <c r="O156" s="7">
        <v>87120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6">
        <f t="shared" si="4"/>
        <v>88</v>
      </c>
      <c r="AC156" s="6">
        <f t="shared" si="5"/>
        <v>87120</v>
      </c>
    </row>
    <row r="157" spans="1:29" s="1" customFormat="1" ht="21.25" customHeight="1" x14ac:dyDescent="0.35">
      <c r="A157" s="5">
        <v>155</v>
      </c>
      <c r="B157" s="5" t="s">
        <v>447</v>
      </c>
      <c r="C157" s="4" t="s">
        <v>73</v>
      </c>
      <c r="D157" s="7"/>
      <c r="E157" s="7"/>
      <c r="F157" s="7"/>
      <c r="G157" s="7"/>
      <c r="H157" s="7"/>
      <c r="I157" s="7"/>
      <c r="J157" s="7"/>
      <c r="K157" s="7"/>
      <c r="L157" s="7">
        <v>68</v>
      </c>
      <c r="M157" s="7">
        <v>187000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>
        <v>18</v>
      </c>
      <c r="Y157" s="7">
        <v>49500</v>
      </c>
      <c r="Z157" s="7"/>
      <c r="AA157" s="7"/>
      <c r="AB157" s="6">
        <f t="shared" si="4"/>
        <v>86</v>
      </c>
      <c r="AC157" s="6">
        <f t="shared" si="5"/>
        <v>236500</v>
      </c>
    </row>
    <row r="158" spans="1:29" s="1" customFormat="1" ht="21.25" customHeight="1" x14ac:dyDescent="0.35">
      <c r="A158" s="5">
        <v>156</v>
      </c>
      <c r="B158" s="5" t="s">
        <v>448</v>
      </c>
      <c r="C158" s="4" t="s">
        <v>152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>
        <v>6</v>
      </c>
      <c r="Q158" s="7">
        <v>5400</v>
      </c>
      <c r="R158" s="7"/>
      <c r="S158" s="7"/>
      <c r="T158" s="7">
        <v>80</v>
      </c>
      <c r="U158" s="7">
        <v>72000</v>
      </c>
      <c r="V158" s="7"/>
      <c r="W158" s="7"/>
      <c r="X158" s="7"/>
      <c r="Y158" s="7"/>
      <c r="Z158" s="7"/>
      <c r="AA158" s="7"/>
      <c r="AB158" s="6">
        <f t="shared" si="4"/>
        <v>86</v>
      </c>
      <c r="AC158" s="6">
        <f t="shared" si="5"/>
        <v>77400</v>
      </c>
    </row>
    <row r="159" spans="1:29" s="1" customFormat="1" ht="21.25" customHeight="1" x14ac:dyDescent="0.35">
      <c r="A159" s="5">
        <v>157</v>
      </c>
      <c r="B159" s="5" t="s">
        <v>450</v>
      </c>
      <c r="C159" s="4" t="s">
        <v>293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>
        <v>20</v>
      </c>
      <c r="O159" s="6">
        <v>51300</v>
      </c>
      <c r="P159" s="6"/>
      <c r="Q159" s="6"/>
      <c r="R159" s="6">
        <v>2</v>
      </c>
      <c r="S159" s="6">
        <v>5130</v>
      </c>
      <c r="T159" s="6">
        <v>22</v>
      </c>
      <c r="U159" s="6">
        <v>56430</v>
      </c>
      <c r="V159" s="6">
        <v>30</v>
      </c>
      <c r="W159" s="6">
        <v>76950</v>
      </c>
      <c r="X159" s="6">
        <v>11</v>
      </c>
      <c r="Y159" s="6">
        <v>28215</v>
      </c>
      <c r="Z159" s="6">
        <v>1</v>
      </c>
      <c r="AA159" s="6">
        <v>2565</v>
      </c>
      <c r="AB159" s="6">
        <f t="shared" si="4"/>
        <v>86</v>
      </c>
      <c r="AC159" s="6">
        <f t="shared" si="5"/>
        <v>220590</v>
      </c>
    </row>
    <row r="160" spans="1:29" s="1" customFormat="1" ht="21.25" customHeight="1" x14ac:dyDescent="0.35">
      <c r="A160" s="5">
        <v>158</v>
      </c>
      <c r="B160" s="5" t="s">
        <v>447</v>
      </c>
      <c r="C160" s="4" t="s">
        <v>86</v>
      </c>
      <c r="D160" s="6"/>
      <c r="E160" s="6"/>
      <c r="F160" s="6"/>
      <c r="G160" s="6"/>
      <c r="H160" s="6"/>
      <c r="I160" s="6"/>
      <c r="J160" s="6"/>
      <c r="K160" s="6"/>
      <c r="L160" s="6">
        <v>74</v>
      </c>
      <c r="M160" s="6">
        <v>203500</v>
      </c>
      <c r="N160" s="6"/>
      <c r="O160" s="6"/>
      <c r="P160" s="6"/>
      <c r="Q160" s="6"/>
      <c r="R160" s="6">
        <v>2</v>
      </c>
      <c r="S160" s="6">
        <v>5500</v>
      </c>
      <c r="T160" s="6"/>
      <c r="U160" s="6"/>
      <c r="V160" s="6">
        <v>1</v>
      </c>
      <c r="W160" s="6">
        <v>2750</v>
      </c>
      <c r="X160" s="6">
        <v>6</v>
      </c>
      <c r="Y160" s="6">
        <v>16500</v>
      </c>
      <c r="Z160" s="6">
        <v>1</v>
      </c>
      <c r="AA160" s="6">
        <v>2750</v>
      </c>
      <c r="AB160" s="6">
        <f t="shared" si="4"/>
        <v>84</v>
      </c>
      <c r="AC160" s="6">
        <f t="shared" si="5"/>
        <v>231000</v>
      </c>
    </row>
    <row r="161" spans="1:29" s="1" customFormat="1" ht="21.25" customHeight="1" x14ac:dyDescent="0.35">
      <c r="A161" s="5">
        <v>159</v>
      </c>
      <c r="B161" s="5" t="s">
        <v>447</v>
      </c>
      <c r="C161" s="4" t="s">
        <v>324</v>
      </c>
      <c r="D161" s="6"/>
      <c r="E161" s="6"/>
      <c r="F161" s="6"/>
      <c r="G161" s="6"/>
      <c r="H161" s="6"/>
      <c r="I161" s="6"/>
      <c r="J161" s="6">
        <v>5</v>
      </c>
      <c r="K161" s="6">
        <v>11000</v>
      </c>
      <c r="L161" s="6">
        <v>5</v>
      </c>
      <c r="M161" s="6">
        <v>11000</v>
      </c>
      <c r="N161" s="6"/>
      <c r="O161" s="6"/>
      <c r="P161" s="6"/>
      <c r="Q161" s="6"/>
      <c r="R161" s="6"/>
      <c r="S161" s="6"/>
      <c r="T161" s="6">
        <v>5</v>
      </c>
      <c r="U161" s="6">
        <v>11000</v>
      </c>
      <c r="V161" s="6"/>
      <c r="W161" s="6"/>
      <c r="X161" s="6">
        <v>15</v>
      </c>
      <c r="Y161" s="6">
        <v>33000</v>
      </c>
      <c r="Z161" s="6">
        <v>53</v>
      </c>
      <c r="AA161" s="6">
        <v>116600</v>
      </c>
      <c r="AB161" s="6">
        <f t="shared" si="4"/>
        <v>83</v>
      </c>
      <c r="AC161" s="6">
        <f t="shared" si="5"/>
        <v>182600</v>
      </c>
    </row>
    <row r="162" spans="1:29" s="1" customFormat="1" ht="21.25" customHeight="1" x14ac:dyDescent="0.35">
      <c r="A162" s="5">
        <v>160</v>
      </c>
      <c r="B162" s="5" t="s">
        <v>447</v>
      </c>
      <c r="C162" s="4" t="s">
        <v>360</v>
      </c>
      <c r="D162" s="6"/>
      <c r="E162" s="6"/>
      <c r="F162" s="6"/>
      <c r="G162" s="6"/>
      <c r="H162" s="6"/>
      <c r="I162" s="6"/>
      <c r="J162" s="6">
        <v>1</v>
      </c>
      <c r="K162" s="6">
        <v>1100</v>
      </c>
      <c r="L162" s="6">
        <v>20</v>
      </c>
      <c r="M162" s="6">
        <v>22000</v>
      </c>
      <c r="N162" s="6">
        <v>6</v>
      </c>
      <c r="O162" s="6">
        <v>6600</v>
      </c>
      <c r="P162" s="6"/>
      <c r="Q162" s="6"/>
      <c r="R162" s="6">
        <v>4</v>
      </c>
      <c r="S162" s="6">
        <v>4400</v>
      </c>
      <c r="T162" s="6">
        <v>30</v>
      </c>
      <c r="U162" s="6">
        <v>33000</v>
      </c>
      <c r="V162" s="6"/>
      <c r="W162" s="6"/>
      <c r="X162" s="6">
        <v>5</v>
      </c>
      <c r="Y162" s="6">
        <v>5500</v>
      </c>
      <c r="Z162" s="6">
        <v>16</v>
      </c>
      <c r="AA162" s="6">
        <v>17600</v>
      </c>
      <c r="AB162" s="6">
        <f t="shared" si="4"/>
        <v>82</v>
      </c>
      <c r="AC162" s="6">
        <f t="shared" si="5"/>
        <v>90200</v>
      </c>
    </row>
    <row r="163" spans="1:29" s="1" customFormat="1" ht="21.25" customHeight="1" x14ac:dyDescent="0.35">
      <c r="A163" s="5">
        <v>161</v>
      </c>
      <c r="B163" s="5" t="s">
        <v>448</v>
      </c>
      <c r="C163" s="4" t="s">
        <v>417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>
        <v>22</v>
      </c>
      <c r="Q163" s="6">
        <v>5940</v>
      </c>
      <c r="R163" s="6"/>
      <c r="S163" s="6"/>
      <c r="T163" s="6">
        <v>50</v>
      </c>
      <c r="U163" s="6">
        <v>13500</v>
      </c>
      <c r="V163" s="6">
        <v>10</v>
      </c>
      <c r="W163" s="6">
        <v>2900</v>
      </c>
      <c r="X163" s="6"/>
      <c r="Y163" s="6"/>
      <c r="Z163" s="6"/>
      <c r="AA163" s="6"/>
      <c r="AB163" s="6">
        <f t="shared" si="4"/>
        <v>82</v>
      </c>
      <c r="AC163" s="6">
        <f t="shared" si="5"/>
        <v>22340</v>
      </c>
    </row>
    <row r="164" spans="1:29" s="1" customFormat="1" ht="21.25" customHeight="1" x14ac:dyDescent="0.35">
      <c r="A164" s="5">
        <v>162</v>
      </c>
      <c r="B164" s="5" t="s">
        <v>450</v>
      </c>
      <c r="C164" s="4" t="s">
        <v>317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>
        <v>6</v>
      </c>
      <c r="O164" s="6">
        <v>8550</v>
      </c>
      <c r="P164" s="6">
        <v>6</v>
      </c>
      <c r="Q164" s="6">
        <v>8550</v>
      </c>
      <c r="R164" s="6"/>
      <c r="S164" s="6"/>
      <c r="T164" s="6"/>
      <c r="U164" s="6"/>
      <c r="V164" s="6">
        <v>65</v>
      </c>
      <c r="W164" s="6">
        <v>92625</v>
      </c>
      <c r="X164" s="6">
        <v>5</v>
      </c>
      <c r="Y164" s="6">
        <v>7125</v>
      </c>
      <c r="Z164" s="6"/>
      <c r="AA164" s="6"/>
      <c r="AB164" s="6">
        <f t="shared" si="4"/>
        <v>82</v>
      </c>
      <c r="AC164" s="6">
        <f t="shared" si="5"/>
        <v>116850</v>
      </c>
    </row>
    <row r="165" spans="1:29" s="1" customFormat="1" ht="21.25" customHeight="1" x14ac:dyDescent="0.35">
      <c r="A165" s="5">
        <v>163</v>
      </c>
      <c r="B165" s="5" t="s">
        <v>450</v>
      </c>
      <c r="C165" s="4" t="s">
        <v>308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>
        <v>30</v>
      </c>
      <c r="O165" s="6">
        <v>51300</v>
      </c>
      <c r="P165" s="6">
        <v>6</v>
      </c>
      <c r="Q165" s="6">
        <v>10260</v>
      </c>
      <c r="R165" s="6"/>
      <c r="S165" s="6"/>
      <c r="T165" s="6">
        <v>6</v>
      </c>
      <c r="U165" s="6">
        <v>10260</v>
      </c>
      <c r="V165" s="6">
        <v>34</v>
      </c>
      <c r="W165" s="6">
        <v>58140</v>
      </c>
      <c r="X165" s="6">
        <v>5</v>
      </c>
      <c r="Y165" s="6">
        <v>8550</v>
      </c>
      <c r="Z165" s="6">
        <v>1</v>
      </c>
      <c r="AA165" s="6">
        <v>1710</v>
      </c>
      <c r="AB165" s="6">
        <f t="shared" si="4"/>
        <v>82</v>
      </c>
      <c r="AC165" s="6">
        <f t="shared" si="5"/>
        <v>140220</v>
      </c>
    </row>
    <row r="166" spans="1:29" s="1" customFormat="1" ht="21.25" customHeight="1" x14ac:dyDescent="0.35">
      <c r="A166" s="5">
        <v>164</v>
      </c>
      <c r="B166" s="5" t="s">
        <v>447</v>
      </c>
      <c r="C166" s="4" t="s">
        <v>124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>
        <v>31</v>
      </c>
      <c r="Y166" s="7">
        <v>57970</v>
      </c>
      <c r="Z166" s="7">
        <v>50</v>
      </c>
      <c r="AA166" s="7">
        <v>93500</v>
      </c>
      <c r="AB166" s="6">
        <f t="shared" si="4"/>
        <v>81</v>
      </c>
      <c r="AC166" s="6">
        <f t="shared" si="5"/>
        <v>151470</v>
      </c>
    </row>
    <row r="167" spans="1:29" s="1" customFormat="1" ht="21.25" customHeight="1" x14ac:dyDescent="0.35">
      <c r="A167" s="5">
        <v>165</v>
      </c>
      <c r="B167" s="5" t="s">
        <v>450</v>
      </c>
      <c r="C167" s="4" t="s">
        <v>161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>
        <v>76</v>
      </c>
      <c r="U167" s="7">
        <v>181944</v>
      </c>
      <c r="V167" s="7">
        <v>5</v>
      </c>
      <c r="W167" s="7">
        <v>11970</v>
      </c>
      <c r="X167" s="7"/>
      <c r="Y167" s="7"/>
      <c r="Z167" s="7"/>
      <c r="AA167" s="7"/>
      <c r="AB167" s="6">
        <f t="shared" si="4"/>
        <v>81</v>
      </c>
      <c r="AC167" s="6">
        <f t="shared" si="5"/>
        <v>193914</v>
      </c>
    </row>
    <row r="168" spans="1:29" s="1" customFormat="1" ht="21.25" customHeight="1" x14ac:dyDescent="0.35">
      <c r="A168" s="5">
        <v>166</v>
      </c>
      <c r="B168" s="5" t="s">
        <v>447</v>
      </c>
      <c r="C168" s="4" t="s">
        <v>89</v>
      </c>
      <c r="D168" s="7"/>
      <c r="E168" s="7"/>
      <c r="F168" s="7"/>
      <c r="G168" s="7"/>
      <c r="H168" s="7"/>
      <c r="I168" s="7"/>
      <c r="J168" s="7"/>
      <c r="K168" s="7"/>
      <c r="L168" s="7">
        <v>64</v>
      </c>
      <c r="M168" s="7">
        <v>176000</v>
      </c>
      <c r="N168" s="7"/>
      <c r="O168" s="7"/>
      <c r="P168" s="7">
        <v>10</v>
      </c>
      <c r="Q168" s="7">
        <v>27500</v>
      </c>
      <c r="R168" s="7"/>
      <c r="S168" s="7"/>
      <c r="T168" s="7"/>
      <c r="U168" s="7"/>
      <c r="V168" s="7"/>
      <c r="W168" s="7"/>
      <c r="X168" s="7"/>
      <c r="Y168" s="7"/>
      <c r="Z168" s="7">
        <v>5</v>
      </c>
      <c r="AA168" s="7">
        <v>13750</v>
      </c>
      <c r="AB168" s="6">
        <f t="shared" si="4"/>
        <v>79</v>
      </c>
      <c r="AC168" s="6">
        <f t="shared" si="5"/>
        <v>217250</v>
      </c>
    </row>
    <row r="169" spans="1:29" s="1" customFormat="1" ht="21.25" customHeight="1" x14ac:dyDescent="0.35">
      <c r="A169" s="5">
        <v>167</v>
      </c>
      <c r="B169" s="5" t="s">
        <v>447</v>
      </c>
      <c r="C169" s="4" t="s">
        <v>60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>
        <v>5</v>
      </c>
      <c r="Q169" s="6">
        <v>11550</v>
      </c>
      <c r="R169" s="6">
        <v>21</v>
      </c>
      <c r="S169" s="6">
        <v>48510</v>
      </c>
      <c r="T169" s="6">
        <v>52</v>
      </c>
      <c r="U169" s="6">
        <v>120120</v>
      </c>
      <c r="V169" s="6"/>
      <c r="W169" s="6"/>
      <c r="X169" s="6"/>
      <c r="Y169" s="6"/>
      <c r="Z169" s="6"/>
      <c r="AA169" s="6"/>
      <c r="AB169" s="6">
        <f t="shared" si="4"/>
        <v>78</v>
      </c>
      <c r="AC169" s="6">
        <f t="shared" si="5"/>
        <v>180180</v>
      </c>
    </row>
    <row r="170" spans="1:29" s="1" customFormat="1" ht="21.25" customHeight="1" x14ac:dyDescent="0.35">
      <c r="A170" s="5">
        <v>168</v>
      </c>
      <c r="B170" s="5" t="s">
        <v>450</v>
      </c>
      <c r="C170" s="4" t="s">
        <v>159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>
        <v>12</v>
      </c>
      <c r="O170" s="6">
        <v>24624</v>
      </c>
      <c r="P170" s="6">
        <v>3</v>
      </c>
      <c r="Q170" s="6">
        <v>6156</v>
      </c>
      <c r="R170" s="6"/>
      <c r="S170" s="6"/>
      <c r="T170" s="6">
        <v>14</v>
      </c>
      <c r="U170" s="6">
        <v>28728</v>
      </c>
      <c r="V170" s="6">
        <v>28</v>
      </c>
      <c r="W170" s="6">
        <v>57456</v>
      </c>
      <c r="X170" s="6">
        <v>13</v>
      </c>
      <c r="Y170" s="6">
        <v>26676</v>
      </c>
      <c r="Z170" s="6">
        <v>8</v>
      </c>
      <c r="AA170" s="6">
        <v>16416</v>
      </c>
      <c r="AB170" s="6">
        <f t="shared" si="4"/>
        <v>78</v>
      </c>
      <c r="AC170" s="6">
        <f t="shared" si="5"/>
        <v>160056</v>
      </c>
    </row>
    <row r="171" spans="1:29" s="1" customFormat="1" ht="21.25" customHeight="1" x14ac:dyDescent="0.35">
      <c r="A171" s="5">
        <v>169</v>
      </c>
      <c r="B171" s="5" t="s">
        <v>450</v>
      </c>
      <c r="C171" s="4" t="s">
        <v>440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>
        <v>6</v>
      </c>
      <c r="O171" s="6">
        <v>8550</v>
      </c>
      <c r="P171" s="6">
        <v>6</v>
      </c>
      <c r="Q171" s="6">
        <v>8550</v>
      </c>
      <c r="R171" s="6"/>
      <c r="S171" s="6"/>
      <c r="T171" s="6">
        <v>3</v>
      </c>
      <c r="U171" s="6">
        <v>4275</v>
      </c>
      <c r="V171" s="6">
        <v>58</v>
      </c>
      <c r="W171" s="6">
        <v>82650</v>
      </c>
      <c r="X171" s="6">
        <v>5</v>
      </c>
      <c r="Y171" s="6">
        <v>7125</v>
      </c>
      <c r="Z171" s="6"/>
      <c r="AA171" s="6"/>
      <c r="AB171" s="6">
        <f t="shared" si="4"/>
        <v>78</v>
      </c>
      <c r="AC171" s="6">
        <f t="shared" si="5"/>
        <v>111150</v>
      </c>
    </row>
    <row r="172" spans="1:29" s="1" customFormat="1" ht="21.25" customHeight="1" x14ac:dyDescent="0.35">
      <c r="A172" s="5">
        <v>170</v>
      </c>
      <c r="B172" s="5" t="s">
        <v>447</v>
      </c>
      <c r="C172" s="4" t="s">
        <v>71</v>
      </c>
      <c r="D172" s="7"/>
      <c r="E172" s="7"/>
      <c r="F172" s="7"/>
      <c r="G172" s="7"/>
      <c r="H172" s="7"/>
      <c r="I172" s="7"/>
      <c r="J172" s="7"/>
      <c r="K172" s="7"/>
      <c r="L172" s="7">
        <v>63</v>
      </c>
      <c r="M172" s="7">
        <v>173250</v>
      </c>
      <c r="N172" s="7"/>
      <c r="O172" s="7"/>
      <c r="P172" s="7"/>
      <c r="Q172" s="7"/>
      <c r="R172" s="7">
        <v>7</v>
      </c>
      <c r="S172" s="7">
        <v>19250</v>
      </c>
      <c r="T172" s="7"/>
      <c r="U172" s="7"/>
      <c r="V172" s="7">
        <v>1</v>
      </c>
      <c r="W172" s="7">
        <v>2750</v>
      </c>
      <c r="X172" s="7"/>
      <c r="Y172" s="7"/>
      <c r="Z172" s="7">
        <v>4</v>
      </c>
      <c r="AA172" s="7">
        <v>11000</v>
      </c>
      <c r="AB172" s="6">
        <f t="shared" si="4"/>
        <v>75</v>
      </c>
      <c r="AC172" s="6">
        <f t="shared" si="5"/>
        <v>206250</v>
      </c>
    </row>
    <row r="173" spans="1:29" s="1" customFormat="1" ht="21.25" customHeight="1" x14ac:dyDescent="0.35">
      <c r="A173" s="5">
        <v>171</v>
      </c>
      <c r="B173" s="5" t="s">
        <v>447</v>
      </c>
      <c r="C173" s="4" t="s">
        <v>78</v>
      </c>
      <c r="D173" s="6"/>
      <c r="E173" s="6"/>
      <c r="F173" s="6"/>
      <c r="G173" s="6"/>
      <c r="H173" s="6"/>
      <c r="I173" s="6"/>
      <c r="J173" s="6"/>
      <c r="K173" s="6"/>
      <c r="L173" s="6">
        <v>64</v>
      </c>
      <c r="M173" s="6">
        <v>176000</v>
      </c>
      <c r="N173" s="6"/>
      <c r="O173" s="6"/>
      <c r="P173" s="6"/>
      <c r="Q173" s="6"/>
      <c r="R173" s="6">
        <v>2</v>
      </c>
      <c r="S173" s="6">
        <v>5500</v>
      </c>
      <c r="T173" s="6"/>
      <c r="U173" s="6"/>
      <c r="V173" s="6">
        <v>1</v>
      </c>
      <c r="W173" s="6">
        <v>2750</v>
      </c>
      <c r="X173" s="6">
        <v>6</v>
      </c>
      <c r="Y173" s="6">
        <v>16500</v>
      </c>
      <c r="Z173" s="6">
        <v>1</v>
      </c>
      <c r="AA173" s="6">
        <v>2750</v>
      </c>
      <c r="AB173" s="6">
        <f t="shared" si="4"/>
        <v>74</v>
      </c>
      <c r="AC173" s="6">
        <f t="shared" si="5"/>
        <v>203500</v>
      </c>
    </row>
    <row r="174" spans="1:29" s="1" customFormat="1" ht="21.25" customHeight="1" x14ac:dyDescent="0.35">
      <c r="A174" s="5">
        <v>172</v>
      </c>
      <c r="B174" s="5" t="s">
        <v>447</v>
      </c>
      <c r="C174" s="4" t="s">
        <v>179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>
        <v>15</v>
      </c>
      <c r="O174" s="7">
        <v>55275</v>
      </c>
      <c r="P174" s="7"/>
      <c r="Q174" s="7"/>
      <c r="R174" s="7">
        <v>20</v>
      </c>
      <c r="S174" s="7">
        <v>73700</v>
      </c>
      <c r="T174" s="7">
        <v>30</v>
      </c>
      <c r="U174" s="7">
        <v>110550</v>
      </c>
      <c r="V174" s="7"/>
      <c r="W174" s="7"/>
      <c r="X174" s="7">
        <v>3</v>
      </c>
      <c r="Y174" s="7">
        <v>11055</v>
      </c>
      <c r="Z174" s="7">
        <v>5</v>
      </c>
      <c r="AA174" s="7">
        <v>18425</v>
      </c>
      <c r="AB174" s="6">
        <f t="shared" si="4"/>
        <v>73</v>
      </c>
      <c r="AC174" s="6">
        <f t="shared" si="5"/>
        <v>269005</v>
      </c>
    </row>
    <row r="175" spans="1:29" s="1" customFormat="1" ht="21.25" customHeight="1" x14ac:dyDescent="0.35">
      <c r="A175" s="5">
        <v>173</v>
      </c>
      <c r="B175" s="5" t="s">
        <v>450</v>
      </c>
      <c r="C175" s="4" t="s">
        <v>283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>
        <v>21</v>
      </c>
      <c r="O175" s="6">
        <v>41895</v>
      </c>
      <c r="P175" s="6">
        <v>2</v>
      </c>
      <c r="Q175" s="6">
        <v>3990</v>
      </c>
      <c r="R175" s="6">
        <v>6</v>
      </c>
      <c r="S175" s="6">
        <v>11970</v>
      </c>
      <c r="T175" s="6"/>
      <c r="U175" s="6"/>
      <c r="V175" s="6">
        <v>30</v>
      </c>
      <c r="W175" s="6">
        <v>59850</v>
      </c>
      <c r="X175" s="6">
        <v>13</v>
      </c>
      <c r="Y175" s="6">
        <v>25935</v>
      </c>
      <c r="Z175" s="6"/>
      <c r="AA175" s="6"/>
      <c r="AB175" s="6">
        <f t="shared" si="4"/>
        <v>72</v>
      </c>
      <c r="AC175" s="6">
        <f t="shared" si="5"/>
        <v>143640</v>
      </c>
    </row>
    <row r="176" spans="1:29" s="1" customFormat="1" ht="21.25" customHeight="1" x14ac:dyDescent="0.35">
      <c r="A176" s="5">
        <v>174</v>
      </c>
      <c r="B176" s="5" t="s">
        <v>450</v>
      </c>
      <c r="C176" s="4" t="s">
        <v>287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>
        <v>24</v>
      </c>
      <c r="O176" s="7">
        <v>57456</v>
      </c>
      <c r="P176" s="7">
        <v>6</v>
      </c>
      <c r="Q176" s="7">
        <v>14364</v>
      </c>
      <c r="R176" s="7"/>
      <c r="S176" s="7"/>
      <c r="T176" s="7"/>
      <c r="U176" s="7"/>
      <c r="V176" s="7">
        <v>38</v>
      </c>
      <c r="W176" s="7">
        <v>90972</v>
      </c>
      <c r="X176" s="7"/>
      <c r="Y176" s="7"/>
      <c r="Z176" s="7">
        <v>4</v>
      </c>
      <c r="AA176" s="7">
        <v>9576</v>
      </c>
      <c r="AB176" s="6">
        <f t="shared" si="4"/>
        <v>72</v>
      </c>
      <c r="AC176" s="6">
        <f t="shared" si="5"/>
        <v>172368</v>
      </c>
    </row>
    <row r="177" spans="1:29" s="1" customFormat="1" ht="21.25" customHeight="1" x14ac:dyDescent="0.35">
      <c r="A177" s="5">
        <v>175</v>
      </c>
      <c r="B177" s="5" t="s">
        <v>448</v>
      </c>
      <c r="C177" s="4" t="s">
        <v>182</v>
      </c>
      <c r="D177" s="7"/>
      <c r="E177" s="7"/>
      <c r="F177" s="7"/>
      <c r="G177" s="7"/>
      <c r="H177" s="7"/>
      <c r="I177" s="7"/>
      <c r="J177" s="7">
        <v>30</v>
      </c>
      <c r="K177" s="7">
        <v>99000</v>
      </c>
      <c r="L177" s="7"/>
      <c r="M177" s="7"/>
      <c r="N177" s="7"/>
      <c r="O177" s="7"/>
      <c r="P177" s="7"/>
      <c r="Q177" s="7"/>
      <c r="R177" s="7">
        <v>18</v>
      </c>
      <c r="S177" s="7">
        <v>59400</v>
      </c>
      <c r="T177" s="7">
        <v>7</v>
      </c>
      <c r="U177" s="7">
        <v>23100</v>
      </c>
      <c r="V177" s="7">
        <v>15</v>
      </c>
      <c r="W177" s="7">
        <v>49500</v>
      </c>
      <c r="X177" s="7">
        <v>1</v>
      </c>
      <c r="Y177" s="7">
        <v>3300</v>
      </c>
      <c r="Z177" s="7"/>
      <c r="AA177" s="7"/>
      <c r="AB177" s="6">
        <f t="shared" si="4"/>
        <v>71</v>
      </c>
      <c r="AC177" s="6">
        <f t="shared" si="5"/>
        <v>234300</v>
      </c>
    </row>
    <row r="178" spans="1:29" s="1" customFormat="1" ht="21.25" customHeight="1" x14ac:dyDescent="0.35">
      <c r="A178" s="5">
        <v>176</v>
      </c>
      <c r="B178" s="5" t="s">
        <v>447</v>
      </c>
      <c r="C178" s="4" t="s">
        <v>20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>
        <v>40</v>
      </c>
      <c r="U178" s="6">
        <v>121000</v>
      </c>
      <c r="V178" s="6"/>
      <c r="W178" s="6"/>
      <c r="X178" s="6">
        <v>30</v>
      </c>
      <c r="Y178" s="6">
        <v>90750</v>
      </c>
      <c r="Z178" s="6"/>
      <c r="AA178" s="6"/>
      <c r="AB178" s="6">
        <f t="shared" si="4"/>
        <v>70</v>
      </c>
      <c r="AC178" s="6">
        <f t="shared" si="5"/>
        <v>211750</v>
      </c>
    </row>
    <row r="179" spans="1:29" s="1" customFormat="1" ht="21.25" customHeight="1" x14ac:dyDescent="0.35">
      <c r="A179" s="5">
        <v>177</v>
      </c>
      <c r="B179" s="5" t="s">
        <v>447</v>
      </c>
      <c r="C179" s="4" t="s">
        <v>145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>
        <v>2</v>
      </c>
      <c r="O179" s="6">
        <v>11550</v>
      </c>
      <c r="P179" s="6"/>
      <c r="Q179" s="6"/>
      <c r="R179" s="6">
        <v>1</v>
      </c>
      <c r="S179" s="6">
        <v>5775</v>
      </c>
      <c r="T179" s="6">
        <v>3</v>
      </c>
      <c r="U179" s="6">
        <v>17325</v>
      </c>
      <c r="V179" s="6">
        <v>9</v>
      </c>
      <c r="W179" s="6">
        <v>51975</v>
      </c>
      <c r="X179" s="6">
        <v>10</v>
      </c>
      <c r="Y179" s="6">
        <v>57750</v>
      </c>
      <c r="Z179" s="6">
        <v>45</v>
      </c>
      <c r="AA179" s="6">
        <v>259875</v>
      </c>
      <c r="AB179" s="6">
        <f t="shared" si="4"/>
        <v>70</v>
      </c>
      <c r="AC179" s="6">
        <f t="shared" si="5"/>
        <v>404250</v>
      </c>
    </row>
    <row r="180" spans="1:29" s="1" customFormat="1" ht="21.25" customHeight="1" x14ac:dyDescent="0.35">
      <c r="A180" s="5">
        <v>178</v>
      </c>
      <c r="B180" s="5" t="s">
        <v>447</v>
      </c>
      <c r="C180" s="4" t="s">
        <v>87</v>
      </c>
      <c r="D180" s="7"/>
      <c r="E180" s="7"/>
      <c r="F180" s="7"/>
      <c r="G180" s="7"/>
      <c r="H180" s="7"/>
      <c r="I180" s="7"/>
      <c r="J180" s="7"/>
      <c r="K180" s="7"/>
      <c r="L180" s="7">
        <v>60</v>
      </c>
      <c r="M180" s="7">
        <v>165000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>
        <v>9</v>
      </c>
      <c r="Y180" s="7">
        <v>24750</v>
      </c>
      <c r="Z180" s="7"/>
      <c r="AA180" s="7"/>
      <c r="AB180" s="6">
        <f t="shared" si="4"/>
        <v>69</v>
      </c>
      <c r="AC180" s="6">
        <f t="shared" si="5"/>
        <v>189750</v>
      </c>
    </row>
    <row r="181" spans="1:29" s="1" customFormat="1" ht="21.25" customHeight="1" x14ac:dyDescent="0.35">
      <c r="A181" s="5">
        <v>179</v>
      </c>
      <c r="B181" s="5" t="s">
        <v>447</v>
      </c>
      <c r="C181" s="4" t="s">
        <v>91</v>
      </c>
      <c r="D181" s="7"/>
      <c r="E181" s="7"/>
      <c r="F181" s="7"/>
      <c r="G181" s="7"/>
      <c r="H181" s="7"/>
      <c r="I181" s="7"/>
      <c r="J181" s="7"/>
      <c r="K181" s="7"/>
      <c r="L181" s="7">
        <v>64</v>
      </c>
      <c r="M181" s="7">
        <v>176000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>
        <v>5</v>
      </c>
      <c r="AA181" s="7">
        <v>13750</v>
      </c>
      <c r="AB181" s="6">
        <f t="shared" si="4"/>
        <v>69</v>
      </c>
      <c r="AC181" s="6">
        <f t="shared" si="5"/>
        <v>189750</v>
      </c>
    </row>
    <row r="182" spans="1:29" s="1" customFormat="1" ht="21.25" customHeight="1" x14ac:dyDescent="0.35">
      <c r="A182" s="5">
        <v>180</v>
      </c>
      <c r="B182" s="5" t="s">
        <v>450</v>
      </c>
      <c r="C182" s="4" t="s">
        <v>282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>
        <v>20</v>
      </c>
      <c r="O182" s="7">
        <v>39900</v>
      </c>
      <c r="P182" s="7">
        <v>7</v>
      </c>
      <c r="Q182" s="7">
        <v>13965</v>
      </c>
      <c r="R182" s="7"/>
      <c r="S182" s="7"/>
      <c r="T182" s="7">
        <v>2</v>
      </c>
      <c r="U182" s="7">
        <v>3990</v>
      </c>
      <c r="V182" s="7">
        <v>28</v>
      </c>
      <c r="W182" s="7">
        <v>55860</v>
      </c>
      <c r="X182" s="7">
        <v>12</v>
      </c>
      <c r="Y182" s="7">
        <v>23940</v>
      </c>
      <c r="Z182" s="7"/>
      <c r="AA182" s="7"/>
      <c r="AB182" s="6">
        <f t="shared" si="4"/>
        <v>69</v>
      </c>
      <c r="AC182" s="6">
        <f t="shared" si="5"/>
        <v>137655</v>
      </c>
    </row>
    <row r="183" spans="1:29" s="1" customFormat="1" ht="21.25" customHeight="1" x14ac:dyDescent="0.35">
      <c r="A183" s="5">
        <v>181</v>
      </c>
      <c r="B183" s="5" t="s">
        <v>447</v>
      </c>
      <c r="C183" s="4" t="s">
        <v>235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>
        <v>10</v>
      </c>
      <c r="U183" s="6">
        <v>38500</v>
      </c>
      <c r="V183" s="6">
        <v>52</v>
      </c>
      <c r="W183" s="6">
        <v>200200</v>
      </c>
      <c r="X183" s="6"/>
      <c r="Y183" s="6"/>
      <c r="Z183" s="6">
        <v>5</v>
      </c>
      <c r="AA183" s="6">
        <v>19250</v>
      </c>
      <c r="AB183" s="6">
        <f t="shared" si="4"/>
        <v>67</v>
      </c>
      <c r="AC183" s="6">
        <f t="shared" si="5"/>
        <v>257950</v>
      </c>
    </row>
    <row r="184" spans="1:29" s="1" customFormat="1" ht="21.25" customHeight="1" x14ac:dyDescent="0.35">
      <c r="A184" s="5">
        <v>182</v>
      </c>
      <c r="B184" s="5" t="s">
        <v>447</v>
      </c>
      <c r="C184" s="4" t="s">
        <v>105</v>
      </c>
      <c r="D184" s="7"/>
      <c r="E184" s="7"/>
      <c r="F184" s="7"/>
      <c r="G184" s="7"/>
      <c r="H184" s="7"/>
      <c r="I184" s="7"/>
      <c r="J184" s="7"/>
      <c r="K184" s="7"/>
      <c r="L184" s="7">
        <v>4</v>
      </c>
      <c r="M184" s="7">
        <v>2640</v>
      </c>
      <c r="N184" s="7"/>
      <c r="O184" s="7"/>
      <c r="P184" s="7">
        <v>20</v>
      </c>
      <c r="Q184" s="7">
        <v>13200</v>
      </c>
      <c r="R184" s="7"/>
      <c r="S184" s="7"/>
      <c r="T184" s="7">
        <v>10</v>
      </c>
      <c r="U184" s="7">
        <v>6600</v>
      </c>
      <c r="V184" s="7">
        <v>5</v>
      </c>
      <c r="W184" s="7">
        <v>3300</v>
      </c>
      <c r="X184" s="7">
        <v>2</v>
      </c>
      <c r="Y184" s="7">
        <v>1320</v>
      </c>
      <c r="Z184" s="7">
        <v>25</v>
      </c>
      <c r="AA184" s="7">
        <v>16500</v>
      </c>
      <c r="AB184" s="6">
        <f t="shared" si="4"/>
        <v>66</v>
      </c>
      <c r="AC184" s="6">
        <f t="shared" si="5"/>
        <v>43560</v>
      </c>
    </row>
    <row r="185" spans="1:29" s="1" customFormat="1" ht="21.25" customHeight="1" x14ac:dyDescent="0.35">
      <c r="A185" s="5">
        <v>183</v>
      </c>
      <c r="B185" s="5" t="s">
        <v>447</v>
      </c>
      <c r="C185" s="4" t="s">
        <v>311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>
        <v>65</v>
      </c>
      <c r="Q185" s="6">
        <v>114400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>
        <f t="shared" si="4"/>
        <v>65</v>
      </c>
      <c r="AC185" s="6">
        <f t="shared" si="5"/>
        <v>114400</v>
      </c>
    </row>
    <row r="186" spans="1:29" s="1" customFormat="1" ht="21.25" customHeight="1" x14ac:dyDescent="0.35">
      <c r="A186" s="5">
        <v>184</v>
      </c>
      <c r="B186" s="5" t="s">
        <v>447</v>
      </c>
      <c r="C186" s="4" t="s">
        <v>361</v>
      </c>
      <c r="D186" s="6"/>
      <c r="E186" s="6"/>
      <c r="F186" s="6"/>
      <c r="G186" s="6"/>
      <c r="H186" s="6"/>
      <c r="I186" s="6"/>
      <c r="J186" s="6">
        <v>3</v>
      </c>
      <c r="K186" s="6">
        <v>3300</v>
      </c>
      <c r="L186" s="6">
        <v>20</v>
      </c>
      <c r="M186" s="6">
        <v>22000</v>
      </c>
      <c r="N186" s="6"/>
      <c r="O186" s="6"/>
      <c r="P186" s="6"/>
      <c r="Q186" s="6"/>
      <c r="R186" s="6">
        <v>2</v>
      </c>
      <c r="S186" s="6">
        <v>2200</v>
      </c>
      <c r="T186" s="6">
        <v>30</v>
      </c>
      <c r="U186" s="6">
        <v>33000</v>
      </c>
      <c r="V186" s="6"/>
      <c r="W186" s="6"/>
      <c r="X186" s="6"/>
      <c r="Y186" s="6"/>
      <c r="Z186" s="6">
        <v>10</v>
      </c>
      <c r="AA186" s="6">
        <v>11000</v>
      </c>
      <c r="AB186" s="6">
        <f t="shared" si="4"/>
        <v>65</v>
      </c>
      <c r="AC186" s="6">
        <f t="shared" si="5"/>
        <v>71500</v>
      </c>
    </row>
    <row r="187" spans="1:29" s="1" customFormat="1" ht="21.25" customHeight="1" x14ac:dyDescent="0.35">
      <c r="A187" s="5">
        <v>185</v>
      </c>
      <c r="B187" s="5" t="s">
        <v>447</v>
      </c>
      <c r="C187" s="4" t="s">
        <v>72</v>
      </c>
      <c r="D187" s="6"/>
      <c r="E187" s="6"/>
      <c r="F187" s="6"/>
      <c r="G187" s="6"/>
      <c r="H187" s="6"/>
      <c r="I187" s="6"/>
      <c r="J187" s="6"/>
      <c r="K187" s="6"/>
      <c r="L187" s="6">
        <v>62</v>
      </c>
      <c r="M187" s="6">
        <v>170500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>
        <v>3</v>
      </c>
      <c r="Y187" s="6">
        <v>8250</v>
      </c>
      <c r="Z187" s="6"/>
      <c r="AA187" s="6"/>
      <c r="AB187" s="6">
        <f t="shared" si="4"/>
        <v>65</v>
      </c>
      <c r="AC187" s="6">
        <f t="shared" si="5"/>
        <v>178750</v>
      </c>
    </row>
    <row r="188" spans="1:29" s="1" customFormat="1" ht="21.25" customHeight="1" x14ac:dyDescent="0.35">
      <c r="A188" s="5">
        <v>186</v>
      </c>
      <c r="B188" s="5" t="s">
        <v>447</v>
      </c>
      <c r="C188" s="4" t="s">
        <v>80</v>
      </c>
      <c r="D188" s="6"/>
      <c r="E188" s="6"/>
      <c r="F188" s="6"/>
      <c r="G188" s="6"/>
      <c r="H188" s="6"/>
      <c r="I188" s="6"/>
      <c r="J188" s="6"/>
      <c r="K188" s="6"/>
      <c r="L188" s="6">
        <v>62</v>
      </c>
      <c r="M188" s="6">
        <v>170500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>
        <v>3</v>
      </c>
      <c r="Y188" s="6">
        <v>8250</v>
      </c>
      <c r="Z188" s="6"/>
      <c r="AA188" s="6"/>
      <c r="AB188" s="6">
        <f t="shared" si="4"/>
        <v>65</v>
      </c>
      <c r="AC188" s="6">
        <f t="shared" si="5"/>
        <v>178750</v>
      </c>
    </row>
    <row r="189" spans="1:29" s="1" customFormat="1" ht="21.25" customHeight="1" x14ac:dyDescent="0.35">
      <c r="A189" s="5">
        <v>187</v>
      </c>
      <c r="B189" s="5" t="s">
        <v>447</v>
      </c>
      <c r="C189" s="4" t="s">
        <v>85</v>
      </c>
      <c r="D189" s="7"/>
      <c r="E189" s="7"/>
      <c r="F189" s="7"/>
      <c r="G189" s="7"/>
      <c r="H189" s="7"/>
      <c r="I189" s="7"/>
      <c r="J189" s="7"/>
      <c r="K189" s="7"/>
      <c r="L189" s="7">
        <v>60</v>
      </c>
      <c r="M189" s="7">
        <v>165000</v>
      </c>
      <c r="N189" s="7"/>
      <c r="O189" s="7"/>
      <c r="P189" s="7"/>
      <c r="Q189" s="7"/>
      <c r="R189" s="7">
        <v>2</v>
      </c>
      <c r="S189" s="7">
        <v>5500</v>
      </c>
      <c r="T189" s="7"/>
      <c r="U189" s="7"/>
      <c r="V189" s="7"/>
      <c r="W189" s="7"/>
      <c r="X189" s="7">
        <v>3</v>
      </c>
      <c r="Y189" s="7">
        <v>8250</v>
      </c>
      <c r="Z189" s="7"/>
      <c r="AA189" s="7"/>
      <c r="AB189" s="6">
        <f t="shared" si="4"/>
        <v>65</v>
      </c>
      <c r="AC189" s="6">
        <f t="shared" si="5"/>
        <v>178750</v>
      </c>
    </row>
    <row r="190" spans="1:29" s="1" customFormat="1" ht="21.25" customHeight="1" x14ac:dyDescent="0.35">
      <c r="A190" s="5">
        <v>188</v>
      </c>
      <c r="B190" s="5" t="s">
        <v>448</v>
      </c>
      <c r="C190" s="4" t="s">
        <v>151</v>
      </c>
      <c r="D190" s="7"/>
      <c r="E190" s="7"/>
      <c r="F190" s="7"/>
      <c r="G190" s="7"/>
      <c r="H190" s="7"/>
      <c r="I190" s="7"/>
      <c r="J190" s="7">
        <v>50</v>
      </c>
      <c r="K190" s="7">
        <v>55000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>
        <v>15</v>
      </c>
      <c r="W190" s="7">
        <v>16500</v>
      </c>
      <c r="X190" s="7"/>
      <c r="Y190" s="7"/>
      <c r="Z190" s="7"/>
      <c r="AA190" s="7"/>
      <c r="AB190" s="6">
        <f t="shared" si="4"/>
        <v>65</v>
      </c>
      <c r="AC190" s="6">
        <f t="shared" si="5"/>
        <v>71500</v>
      </c>
    </row>
    <row r="191" spans="1:29" s="1" customFormat="1" ht="21.25" customHeight="1" x14ac:dyDescent="0.35">
      <c r="A191" s="5">
        <v>189</v>
      </c>
      <c r="B191" s="5" t="s">
        <v>447</v>
      </c>
      <c r="C191" s="4" t="s">
        <v>28</v>
      </c>
      <c r="D191" s="6"/>
      <c r="E191" s="6"/>
      <c r="F191" s="6"/>
      <c r="G191" s="6"/>
      <c r="H191" s="6"/>
      <c r="I191" s="6"/>
      <c r="J191" s="6"/>
      <c r="K191" s="6"/>
      <c r="L191" s="6">
        <v>18</v>
      </c>
      <c r="M191" s="6">
        <v>26730</v>
      </c>
      <c r="N191" s="6"/>
      <c r="O191" s="6"/>
      <c r="P191" s="6"/>
      <c r="Q191" s="6"/>
      <c r="R191" s="6"/>
      <c r="S191" s="6"/>
      <c r="T191" s="6">
        <v>12</v>
      </c>
      <c r="U191" s="6">
        <v>19800</v>
      </c>
      <c r="V191" s="6"/>
      <c r="W191" s="6"/>
      <c r="X191" s="6">
        <v>24</v>
      </c>
      <c r="Y191" s="6">
        <v>39600</v>
      </c>
      <c r="Z191" s="6">
        <v>10</v>
      </c>
      <c r="AA191" s="6">
        <v>16500</v>
      </c>
      <c r="AB191" s="6">
        <f t="shared" si="4"/>
        <v>64</v>
      </c>
      <c r="AC191" s="6">
        <f t="shared" si="5"/>
        <v>102630</v>
      </c>
    </row>
    <row r="192" spans="1:29" s="1" customFormat="1" ht="21.25" customHeight="1" x14ac:dyDescent="0.35">
      <c r="A192" s="5">
        <v>190</v>
      </c>
      <c r="B192" s="5" t="s">
        <v>447</v>
      </c>
      <c r="C192" s="4" t="s">
        <v>84</v>
      </c>
      <c r="D192" s="6"/>
      <c r="E192" s="6"/>
      <c r="F192" s="6"/>
      <c r="G192" s="6"/>
      <c r="H192" s="6"/>
      <c r="I192" s="6"/>
      <c r="J192" s="6"/>
      <c r="K192" s="6"/>
      <c r="L192" s="6">
        <v>60</v>
      </c>
      <c r="M192" s="6">
        <v>165000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>
        <v>4</v>
      </c>
      <c r="Y192" s="6">
        <v>11000</v>
      </c>
      <c r="Z192" s="6"/>
      <c r="AA192" s="6"/>
      <c r="AB192" s="6">
        <f t="shared" si="4"/>
        <v>64</v>
      </c>
      <c r="AC192" s="6">
        <f t="shared" si="5"/>
        <v>176000</v>
      </c>
    </row>
    <row r="193" spans="1:29" s="1" customFormat="1" ht="21.25" customHeight="1" x14ac:dyDescent="0.35">
      <c r="A193" s="5">
        <v>191</v>
      </c>
      <c r="B193" s="5" t="s">
        <v>447</v>
      </c>
      <c r="C193" s="4" t="s">
        <v>366</v>
      </c>
      <c r="D193" s="7"/>
      <c r="E193" s="7"/>
      <c r="F193" s="7"/>
      <c r="G193" s="7"/>
      <c r="H193" s="7"/>
      <c r="I193" s="7"/>
      <c r="J193" s="7"/>
      <c r="K193" s="7"/>
      <c r="L193" s="7">
        <v>40</v>
      </c>
      <c r="M193" s="7">
        <v>99000</v>
      </c>
      <c r="N193" s="7">
        <v>15</v>
      </c>
      <c r="O193" s="7">
        <v>38775</v>
      </c>
      <c r="P193" s="7">
        <v>2</v>
      </c>
      <c r="Q193" s="7">
        <v>5170</v>
      </c>
      <c r="R193" s="7"/>
      <c r="S193" s="7"/>
      <c r="T193" s="7"/>
      <c r="U193" s="7"/>
      <c r="V193" s="7">
        <v>6</v>
      </c>
      <c r="W193" s="7">
        <v>15510</v>
      </c>
      <c r="X193" s="7"/>
      <c r="Y193" s="7"/>
      <c r="Z193" s="7"/>
      <c r="AA193" s="7"/>
      <c r="AB193" s="6">
        <f t="shared" si="4"/>
        <v>63</v>
      </c>
      <c r="AC193" s="6">
        <f t="shared" si="5"/>
        <v>158455</v>
      </c>
    </row>
    <row r="194" spans="1:29" s="1" customFormat="1" ht="21.25" customHeight="1" x14ac:dyDescent="0.35">
      <c r="A194" s="5">
        <v>192</v>
      </c>
      <c r="B194" s="5" t="s">
        <v>447</v>
      </c>
      <c r="C194" s="4" t="s">
        <v>69</v>
      </c>
      <c r="D194" s="7"/>
      <c r="E194" s="7"/>
      <c r="F194" s="7"/>
      <c r="G194" s="7"/>
      <c r="H194" s="7"/>
      <c r="I194" s="7"/>
      <c r="J194" s="7"/>
      <c r="K194" s="7"/>
      <c r="L194" s="7">
        <v>60</v>
      </c>
      <c r="M194" s="7">
        <v>165000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>
        <v>3</v>
      </c>
      <c r="Y194" s="7">
        <v>8250</v>
      </c>
      <c r="Z194" s="7"/>
      <c r="AA194" s="7"/>
      <c r="AB194" s="6">
        <f t="shared" si="4"/>
        <v>63</v>
      </c>
      <c r="AC194" s="6">
        <f t="shared" si="5"/>
        <v>173250</v>
      </c>
    </row>
    <row r="195" spans="1:29" s="1" customFormat="1" ht="21.25" customHeight="1" x14ac:dyDescent="0.35">
      <c r="A195" s="5">
        <v>193</v>
      </c>
      <c r="B195" s="5" t="s">
        <v>447</v>
      </c>
      <c r="C195" s="4" t="s">
        <v>14</v>
      </c>
      <c r="D195" s="6"/>
      <c r="E195" s="6"/>
      <c r="F195" s="6"/>
      <c r="G195" s="6"/>
      <c r="H195" s="6"/>
      <c r="I195" s="6"/>
      <c r="J195" s="6">
        <v>22</v>
      </c>
      <c r="K195" s="6">
        <v>72600</v>
      </c>
      <c r="L195" s="6">
        <v>10</v>
      </c>
      <c r="M195" s="6">
        <v>33000</v>
      </c>
      <c r="N195" s="6">
        <v>20</v>
      </c>
      <c r="O195" s="6">
        <v>71500</v>
      </c>
      <c r="P195" s="6"/>
      <c r="Q195" s="6"/>
      <c r="R195" s="6"/>
      <c r="S195" s="6"/>
      <c r="T195" s="6"/>
      <c r="U195" s="6"/>
      <c r="V195" s="6"/>
      <c r="W195" s="6"/>
      <c r="X195" s="6">
        <v>10</v>
      </c>
      <c r="Y195" s="6">
        <v>35750</v>
      </c>
      <c r="Z195" s="6"/>
      <c r="AA195" s="6"/>
      <c r="AB195" s="6">
        <f t="shared" ref="AB195:AB258" si="6">D195+F195+H195+J195+L195+N195+P195+R195+T195+V195+X195+Z195</f>
        <v>62</v>
      </c>
      <c r="AC195" s="6">
        <f t="shared" ref="AC195:AC258" si="7">E195+G195+I195+K195+M195+O195+Q195+S195+U195+W195+Y195+AA195</f>
        <v>212850</v>
      </c>
    </row>
    <row r="196" spans="1:29" s="1" customFormat="1" ht="21.25" customHeight="1" x14ac:dyDescent="0.35">
      <c r="A196" s="5">
        <v>194</v>
      </c>
      <c r="B196" s="5" t="s">
        <v>448</v>
      </c>
      <c r="C196" s="4" t="s">
        <v>304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>
        <v>10</v>
      </c>
      <c r="Q196" s="7">
        <v>2500</v>
      </c>
      <c r="R196" s="7">
        <v>20</v>
      </c>
      <c r="S196" s="7">
        <v>5000</v>
      </c>
      <c r="T196" s="7">
        <v>32</v>
      </c>
      <c r="U196" s="7">
        <v>8000</v>
      </c>
      <c r="V196" s="7"/>
      <c r="W196" s="7"/>
      <c r="X196" s="7"/>
      <c r="Y196" s="7"/>
      <c r="Z196" s="7"/>
      <c r="AA196" s="7"/>
      <c r="AB196" s="6">
        <f t="shared" si="6"/>
        <v>62</v>
      </c>
      <c r="AC196" s="6">
        <f t="shared" si="7"/>
        <v>15500</v>
      </c>
    </row>
    <row r="197" spans="1:29" s="1" customFormat="1" ht="21.25" customHeight="1" x14ac:dyDescent="0.35">
      <c r="A197" s="5">
        <v>195</v>
      </c>
      <c r="B197" s="5" t="s">
        <v>447</v>
      </c>
      <c r="C197" s="4" t="s">
        <v>356</v>
      </c>
      <c r="D197" s="7"/>
      <c r="E197" s="7"/>
      <c r="F197" s="7"/>
      <c r="G197" s="7"/>
      <c r="H197" s="7"/>
      <c r="I197" s="7"/>
      <c r="J197" s="7">
        <v>25</v>
      </c>
      <c r="K197" s="7">
        <v>27500</v>
      </c>
      <c r="L197" s="7">
        <v>10</v>
      </c>
      <c r="M197" s="7">
        <v>11000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>
        <v>16</v>
      </c>
      <c r="Y197" s="7">
        <v>17600</v>
      </c>
      <c r="Z197" s="7">
        <v>10</v>
      </c>
      <c r="AA197" s="7">
        <v>11000</v>
      </c>
      <c r="AB197" s="6">
        <f t="shared" si="6"/>
        <v>61</v>
      </c>
      <c r="AC197" s="6">
        <f t="shared" si="7"/>
        <v>67100</v>
      </c>
    </row>
    <row r="198" spans="1:29" s="1" customFormat="1" ht="21.25" customHeight="1" x14ac:dyDescent="0.35">
      <c r="A198" s="5">
        <v>196</v>
      </c>
      <c r="B198" s="5" t="s">
        <v>447</v>
      </c>
      <c r="C198" s="4" t="s">
        <v>362</v>
      </c>
      <c r="D198" s="7"/>
      <c r="E198" s="7"/>
      <c r="F198" s="7"/>
      <c r="G198" s="7"/>
      <c r="H198" s="7"/>
      <c r="I198" s="7"/>
      <c r="J198" s="7">
        <v>1</v>
      </c>
      <c r="K198" s="7">
        <v>1100</v>
      </c>
      <c r="L198" s="7">
        <v>20</v>
      </c>
      <c r="M198" s="7">
        <v>22000</v>
      </c>
      <c r="N198" s="7"/>
      <c r="O198" s="7"/>
      <c r="P198" s="7"/>
      <c r="Q198" s="7"/>
      <c r="R198" s="7"/>
      <c r="S198" s="7"/>
      <c r="T198" s="7">
        <v>30</v>
      </c>
      <c r="U198" s="7">
        <v>33000</v>
      </c>
      <c r="V198" s="7"/>
      <c r="W198" s="7"/>
      <c r="X198" s="7"/>
      <c r="Y198" s="7"/>
      <c r="Z198" s="7">
        <v>10</v>
      </c>
      <c r="AA198" s="7">
        <v>11000</v>
      </c>
      <c r="AB198" s="6">
        <f t="shared" si="6"/>
        <v>61</v>
      </c>
      <c r="AC198" s="6">
        <f t="shared" si="7"/>
        <v>67100</v>
      </c>
    </row>
    <row r="199" spans="1:29" s="1" customFormat="1" ht="21.25" customHeight="1" x14ac:dyDescent="0.35">
      <c r="A199" s="5">
        <v>197</v>
      </c>
      <c r="B199" s="5" t="s">
        <v>447</v>
      </c>
      <c r="C199" s="4" t="s">
        <v>94</v>
      </c>
      <c r="D199" s="7"/>
      <c r="E199" s="7"/>
      <c r="F199" s="7"/>
      <c r="G199" s="7"/>
      <c r="H199" s="7"/>
      <c r="I199" s="7"/>
      <c r="J199" s="7">
        <v>5</v>
      </c>
      <c r="K199" s="7">
        <v>11000</v>
      </c>
      <c r="L199" s="7">
        <v>7</v>
      </c>
      <c r="M199" s="7">
        <v>15400</v>
      </c>
      <c r="N199" s="7"/>
      <c r="O199" s="7"/>
      <c r="P199" s="7"/>
      <c r="Q199" s="7"/>
      <c r="R199" s="7">
        <v>18</v>
      </c>
      <c r="S199" s="7">
        <v>39600</v>
      </c>
      <c r="T199" s="7"/>
      <c r="U199" s="7"/>
      <c r="V199" s="7"/>
      <c r="W199" s="7"/>
      <c r="X199" s="7">
        <v>20</v>
      </c>
      <c r="Y199" s="7">
        <v>44000</v>
      </c>
      <c r="Z199" s="7">
        <v>10</v>
      </c>
      <c r="AA199" s="7">
        <v>22000</v>
      </c>
      <c r="AB199" s="6">
        <f t="shared" si="6"/>
        <v>60</v>
      </c>
      <c r="AC199" s="6">
        <f t="shared" si="7"/>
        <v>132000</v>
      </c>
    </row>
    <row r="200" spans="1:29" s="1" customFormat="1" ht="21.25" customHeight="1" x14ac:dyDescent="0.35">
      <c r="A200" s="5">
        <v>198</v>
      </c>
      <c r="B200" s="5" t="s">
        <v>448</v>
      </c>
      <c r="C200" s="4" t="s">
        <v>416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>
        <v>60</v>
      </c>
      <c r="W200" s="6">
        <v>45000</v>
      </c>
      <c r="X200" s="6"/>
      <c r="Y200" s="6"/>
      <c r="Z200" s="6"/>
      <c r="AA200" s="6"/>
      <c r="AB200" s="6">
        <f t="shared" si="6"/>
        <v>60</v>
      </c>
      <c r="AC200" s="6">
        <f t="shared" si="7"/>
        <v>45000</v>
      </c>
    </row>
    <row r="201" spans="1:29" s="1" customFormat="1" ht="21.25" customHeight="1" x14ac:dyDescent="0.35">
      <c r="A201" s="5">
        <v>199</v>
      </c>
      <c r="B201" s="5" t="s">
        <v>447</v>
      </c>
      <c r="C201" s="4" t="s">
        <v>365</v>
      </c>
      <c r="D201" s="6"/>
      <c r="E201" s="6"/>
      <c r="F201" s="6"/>
      <c r="G201" s="6"/>
      <c r="H201" s="6"/>
      <c r="I201" s="6"/>
      <c r="J201" s="6"/>
      <c r="K201" s="6"/>
      <c r="L201" s="6">
        <v>30</v>
      </c>
      <c r="M201" s="6">
        <v>74250</v>
      </c>
      <c r="N201" s="6">
        <v>16</v>
      </c>
      <c r="O201" s="6">
        <v>41360</v>
      </c>
      <c r="P201" s="6">
        <v>1</v>
      </c>
      <c r="Q201" s="6">
        <v>2585</v>
      </c>
      <c r="R201" s="6"/>
      <c r="S201" s="6"/>
      <c r="T201" s="6">
        <v>5</v>
      </c>
      <c r="U201" s="6">
        <v>12925</v>
      </c>
      <c r="V201" s="6">
        <v>5</v>
      </c>
      <c r="W201" s="6">
        <v>12925</v>
      </c>
      <c r="X201" s="6"/>
      <c r="Y201" s="6"/>
      <c r="Z201" s="6">
        <v>2</v>
      </c>
      <c r="AA201" s="6">
        <v>5170</v>
      </c>
      <c r="AB201" s="6">
        <f t="shared" si="6"/>
        <v>59</v>
      </c>
      <c r="AC201" s="6">
        <f t="shared" si="7"/>
        <v>149215</v>
      </c>
    </row>
    <row r="202" spans="1:29" s="1" customFormat="1" ht="21.25" customHeight="1" x14ac:dyDescent="0.35">
      <c r="A202" s="5">
        <v>200</v>
      </c>
      <c r="B202" s="5" t="s">
        <v>447</v>
      </c>
      <c r="C202" s="4" t="s">
        <v>346</v>
      </c>
      <c r="D202" s="6"/>
      <c r="E202" s="6"/>
      <c r="F202" s="6"/>
      <c r="G202" s="6"/>
      <c r="H202" s="6"/>
      <c r="I202" s="6"/>
      <c r="J202" s="6"/>
      <c r="K202" s="6"/>
      <c r="L202" s="6">
        <v>34</v>
      </c>
      <c r="M202" s="6">
        <v>102850</v>
      </c>
      <c r="N202" s="6"/>
      <c r="O202" s="6"/>
      <c r="P202" s="6"/>
      <c r="Q202" s="6"/>
      <c r="R202" s="6">
        <v>10</v>
      </c>
      <c r="S202" s="6">
        <v>30250</v>
      </c>
      <c r="T202" s="6">
        <v>1</v>
      </c>
      <c r="U202" s="6">
        <v>3025</v>
      </c>
      <c r="V202" s="6"/>
      <c r="W202" s="6"/>
      <c r="X202" s="6"/>
      <c r="Y202" s="6"/>
      <c r="Z202" s="6">
        <v>13</v>
      </c>
      <c r="AA202" s="6">
        <v>39325</v>
      </c>
      <c r="AB202" s="6">
        <f t="shared" si="6"/>
        <v>58</v>
      </c>
      <c r="AC202" s="6">
        <f t="shared" si="7"/>
        <v>175450</v>
      </c>
    </row>
    <row r="203" spans="1:29" s="1" customFormat="1" ht="21.25" customHeight="1" x14ac:dyDescent="0.35">
      <c r="A203" s="5">
        <v>201</v>
      </c>
      <c r="B203" s="5" t="s">
        <v>450</v>
      </c>
      <c r="C203" s="4" t="s">
        <v>162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>
        <v>58</v>
      </c>
      <c r="U203" s="6">
        <v>138852</v>
      </c>
      <c r="V203" s="6">
        <v>0</v>
      </c>
      <c r="W203" s="6">
        <v>0</v>
      </c>
      <c r="X203" s="6"/>
      <c r="Y203" s="6"/>
      <c r="Z203" s="6"/>
      <c r="AA203" s="6"/>
      <c r="AB203" s="6">
        <f t="shared" si="6"/>
        <v>58</v>
      </c>
      <c r="AC203" s="6">
        <f t="shared" si="7"/>
        <v>138852</v>
      </c>
    </row>
    <row r="204" spans="1:29" s="1" customFormat="1" ht="21.25" customHeight="1" x14ac:dyDescent="0.35">
      <c r="A204" s="5">
        <v>202</v>
      </c>
      <c r="B204" s="5" t="s">
        <v>447</v>
      </c>
      <c r="C204" s="4" t="s">
        <v>228</v>
      </c>
      <c r="D204" s="7"/>
      <c r="E204" s="7"/>
      <c r="F204" s="7"/>
      <c r="G204" s="7"/>
      <c r="H204" s="7"/>
      <c r="I204" s="7"/>
      <c r="J204" s="7">
        <v>5</v>
      </c>
      <c r="K204" s="7">
        <v>16500</v>
      </c>
      <c r="L204" s="7">
        <v>32</v>
      </c>
      <c r="M204" s="7">
        <v>105600</v>
      </c>
      <c r="N204" s="7">
        <v>10</v>
      </c>
      <c r="O204" s="7">
        <v>35750</v>
      </c>
      <c r="P204" s="7"/>
      <c r="Q204" s="7"/>
      <c r="R204" s="7"/>
      <c r="S204" s="7"/>
      <c r="T204" s="7"/>
      <c r="U204" s="7"/>
      <c r="V204" s="7"/>
      <c r="W204" s="7"/>
      <c r="X204" s="7">
        <v>10</v>
      </c>
      <c r="Y204" s="7">
        <v>35750</v>
      </c>
      <c r="Z204" s="7"/>
      <c r="AA204" s="7"/>
      <c r="AB204" s="6">
        <f t="shared" si="6"/>
        <v>57</v>
      </c>
      <c r="AC204" s="6">
        <f t="shared" si="7"/>
        <v>193600</v>
      </c>
    </row>
    <row r="205" spans="1:29" s="1" customFormat="1" ht="21.25" customHeight="1" x14ac:dyDescent="0.35">
      <c r="A205" s="5">
        <v>203</v>
      </c>
      <c r="B205" s="5" t="s">
        <v>447</v>
      </c>
      <c r="C205" s="4" t="s">
        <v>336</v>
      </c>
      <c r="D205" s="7"/>
      <c r="E205" s="7"/>
      <c r="F205" s="7"/>
      <c r="G205" s="7"/>
      <c r="H205" s="7"/>
      <c r="I205" s="7"/>
      <c r="J205" s="7"/>
      <c r="K205" s="7"/>
      <c r="L205" s="7">
        <v>56</v>
      </c>
      <c r="M205" s="7">
        <v>107800</v>
      </c>
      <c r="N205" s="7"/>
      <c r="O205" s="7"/>
      <c r="P205" s="7"/>
      <c r="Q205" s="7"/>
      <c r="R205" s="7"/>
      <c r="S205" s="7"/>
      <c r="T205" s="7">
        <v>1</v>
      </c>
      <c r="U205" s="7">
        <v>2035</v>
      </c>
      <c r="V205" s="7"/>
      <c r="W205" s="7"/>
      <c r="X205" s="7"/>
      <c r="Y205" s="7"/>
      <c r="Z205" s="7"/>
      <c r="AA205" s="7"/>
      <c r="AB205" s="6">
        <f t="shared" si="6"/>
        <v>57</v>
      </c>
      <c r="AC205" s="6">
        <f t="shared" si="7"/>
        <v>109835</v>
      </c>
    </row>
    <row r="206" spans="1:29" s="1" customFormat="1" ht="21.25" customHeight="1" x14ac:dyDescent="0.35">
      <c r="A206" s="5">
        <v>204</v>
      </c>
      <c r="B206" s="5" t="s">
        <v>450</v>
      </c>
      <c r="C206" s="4" t="s">
        <v>155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>
        <v>12</v>
      </c>
      <c r="O206" s="7">
        <v>24624</v>
      </c>
      <c r="P206" s="7">
        <v>6</v>
      </c>
      <c r="Q206" s="7">
        <v>12312</v>
      </c>
      <c r="R206" s="7"/>
      <c r="S206" s="7"/>
      <c r="T206" s="7"/>
      <c r="U206" s="7"/>
      <c r="V206" s="7">
        <v>24</v>
      </c>
      <c r="W206" s="7">
        <v>49248</v>
      </c>
      <c r="X206" s="7">
        <v>14</v>
      </c>
      <c r="Y206" s="7">
        <v>28728</v>
      </c>
      <c r="Z206" s="7">
        <v>1</v>
      </c>
      <c r="AA206" s="7">
        <v>2052</v>
      </c>
      <c r="AB206" s="6">
        <f t="shared" si="6"/>
        <v>57</v>
      </c>
      <c r="AC206" s="6">
        <f t="shared" si="7"/>
        <v>116964</v>
      </c>
    </row>
    <row r="207" spans="1:29" s="1" customFormat="1" ht="21.25" customHeight="1" x14ac:dyDescent="0.35">
      <c r="A207" s="5">
        <v>205</v>
      </c>
      <c r="B207" s="5" t="s">
        <v>447</v>
      </c>
      <c r="C207" s="4" t="s">
        <v>330</v>
      </c>
      <c r="D207" s="6"/>
      <c r="E207" s="6"/>
      <c r="F207" s="6"/>
      <c r="G207" s="6"/>
      <c r="H207" s="6"/>
      <c r="I207" s="6"/>
      <c r="J207" s="6">
        <v>10</v>
      </c>
      <c r="K207" s="6">
        <v>33000</v>
      </c>
      <c r="L207" s="6">
        <v>15</v>
      </c>
      <c r="M207" s="6">
        <v>49500</v>
      </c>
      <c r="N207" s="6"/>
      <c r="O207" s="6"/>
      <c r="P207" s="6"/>
      <c r="Q207" s="6"/>
      <c r="R207" s="6">
        <v>10</v>
      </c>
      <c r="S207" s="6">
        <v>35750</v>
      </c>
      <c r="T207" s="6">
        <v>10</v>
      </c>
      <c r="U207" s="6">
        <v>35750</v>
      </c>
      <c r="V207" s="6"/>
      <c r="W207" s="6"/>
      <c r="X207" s="6">
        <v>10</v>
      </c>
      <c r="Y207" s="6">
        <v>35750</v>
      </c>
      <c r="Z207" s="6"/>
      <c r="AA207" s="6"/>
      <c r="AB207" s="6">
        <f t="shared" si="6"/>
        <v>55</v>
      </c>
      <c r="AC207" s="6">
        <f t="shared" si="7"/>
        <v>189750</v>
      </c>
    </row>
    <row r="208" spans="1:29" s="1" customFormat="1" ht="21.25" customHeight="1" x14ac:dyDescent="0.35">
      <c r="A208" s="5">
        <v>206</v>
      </c>
      <c r="B208" s="5" t="s">
        <v>447</v>
      </c>
      <c r="C208" s="4" t="s">
        <v>189</v>
      </c>
      <c r="D208" s="6"/>
      <c r="E208" s="6"/>
      <c r="F208" s="6"/>
      <c r="G208" s="6"/>
      <c r="H208" s="6"/>
      <c r="I208" s="6"/>
      <c r="J208" s="6"/>
      <c r="K208" s="6"/>
      <c r="L208" s="6">
        <v>30</v>
      </c>
      <c r="M208" s="6">
        <v>115500</v>
      </c>
      <c r="N208" s="6">
        <v>10</v>
      </c>
      <c r="O208" s="6">
        <v>40150</v>
      </c>
      <c r="P208" s="6"/>
      <c r="Q208" s="6"/>
      <c r="R208" s="6"/>
      <c r="S208" s="6"/>
      <c r="T208" s="6">
        <v>1</v>
      </c>
      <c r="U208" s="6">
        <v>4015</v>
      </c>
      <c r="V208" s="6"/>
      <c r="W208" s="6"/>
      <c r="X208" s="6">
        <v>3</v>
      </c>
      <c r="Y208" s="6">
        <v>12045</v>
      </c>
      <c r="Z208" s="6">
        <v>11</v>
      </c>
      <c r="AA208" s="6">
        <v>44165</v>
      </c>
      <c r="AB208" s="6">
        <f t="shared" si="6"/>
        <v>55</v>
      </c>
      <c r="AC208" s="6">
        <f t="shared" si="7"/>
        <v>215875</v>
      </c>
    </row>
    <row r="209" spans="1:29" s="1" customFormat="1" ht="21.25" customHeight="1" x14ac:dyDescent="0.35">
      <c r="A209" s="5">
        <v>207</v>
      </c>
      <c r="B209" s="5" t="s">
        <v>450</v>
      </c>
      <c r="C209" s="4" t="s">
        <v>163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>
        <v>6</v>
      </c>
      <c r="O209" s="6">
        <v>19494</v>
      </c>
      <c r="P209" s="6"/>
      <c r="Q209" s="6"/>
      <c r="R209" s="6">
        <v>6</v>
      </c>
      <c r="S209" s="6">
        <v>19494</v>
      </c>
      <c r="T209" s="6">
        <v>5</v>
      </c>
      <c r="U209" s="6">
        <v>16245</v>
      </c>
      <c r="V209" s="6">
        <v>24</v>
      </c>
      <c r="W209" s="6">
        <v>77976</v>
      </c>
      <c r="X209" s="6">
        <v>13</v>
      </c>
      <c r="Y209" s="6">
        <v>42237</v>
      </c>
      <c r="Z209" s="6"/>
      <c r="AA209" s="6"/>
      <c r="AB209" s="6">
        <f t="shared" si="6"/>
        <v>54</v>
      </c>
      <c r="AC209" s="6">
        <f t="shared" si="7"/>
        <v>175446</v>
      </c>
    </row>
    <row r="210" spans="1:29" s="1" customFormat="1" ht="21.25" customHeight="1" x14ac:dyDescent="0.35">
      <c r="A210" s="5">
        <v>208</v>
      </c>
      <c r="B210" s="5" t="s">
        <v>450</v>
      </c>
      <c r="C210" s="4" t="s">
        <v>309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>
        <v>6</v>
      </c>
      <c r="O210" s="7">
        <v>26676</v>
      </c>
      <c r="P210" s="7"/>
      <c r="Q210" s="7"/>
      <c r="R210" s="7"/>
      <c r="S210" s="7"/>
      <c r="T210" s="7">
        <v>7</v>
      </c>
      <c r="U210" s="7">
        <v>31122</v>
      </c>
      <c r="V210" s="7">
        <v>10</v>
      </c>
      <c r="W210" s="7">
        <v>44460</v>
      </c>
      <c r="X210" s="7"/>
      <c r="Y210" s="7"/>
      <c r="Z210" s="7">
        <v>30</v>
      </c>
      <c r="AA210" s="7">
        <v>133380</v>
      </c>
      <c r="AB210" s="6">
        <f t="shared" si="6"/>
        <v>53</v>
      </c>
      <c r="AC210" s="6">
        <f t="shared" si="7"/>
        <v>235638</v>
      </c>
    </row>
    <row r="211" spans="1:29" s="1" customFormat="1" ht="21.25" customHeight="1" x14ac:dyDescent="0.35">
      <c r="A211" s="5">
        <v>209</v>
      </c>
      <c r="B211" s="5" t="s">
        <v>450</v>
      </c>
      <c r="C211" s="4" t="s">
        <v>296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>
        <v>12</v>
      </c>
      <c r="W211" s="6">
        <v>28728</v>
      </c>
      <c r="X211" s="6">
        <v>40</v>
      </c>
      <c r="Y211" s="6">
        <v>95760</v>
      </c>
      <c r="Z211" s="6"/>
      <c r="AA211" s="6"/>
      <c r="AB211" s="6">
        <f t="shared" si="6"/>
        <v>52</v>
      </c>
      <c r="AC211" s="6">
        <f t="shared" si="7"/>
        <v>124488</v>
      </c>
    </row>
    <row r="212" spans="1:29" s="1" customFormat="1" ht="21.25" customHeight="1" x14ac:dyDescent="0.35">
      <c r="A212" s="5">
        <v>210</v>
      </c>
      <c r="B212" s="5" t="s">
        <v>450</v>
      </c>
      <c r="C212" s="4" t="s">
        <v>297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>
        <v>52</v>
      </c>
      <c r="U212" s="7">
        <v>124488</v>
      </c>
      <c r="V212" s="7"/>
      <c r="W212" s="7"/>
      <c r="X212" s="7"/>
      <c r="Y212" s="7"/>
      <c r="Z212" s="7"/>
      <c r="AA212" s="7"/>
      <c r="AB212" s="6">
        <f t="shared" si="6"/>
        <v>52</v>
      </c>
      <c r="AC212" s="6">
        <f t="shared" si="7"/>
        <v>124488</v>
      </c>
    </row>
    <row r="213" spans="1:29" s="1" customFormat="1" ht="21.25" customHeight="1" x14ac:dyDescent="0.35">
      <c r="A213" s="5">
        <v>211</v>
      </c>
      <c r="B213" s="5" t="s">
        <v>447</v>
      </c>
      <c r="C213" s="4" t="s">
        <v>22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>
        <v>40</v>
      </c>
      <c r="U213" s="6">
        <v>121000</v>
      </c>
      <c r="V213" s="6"/>
      <c r="W213" s="6"/>
      <c r="X213" s="6"/>
      <c r="Y213" s="6"/>
      <c r="Z213" s="6">
        <v>10</v>
      </c>
      <c r="AA213" s="6">
        <v>30250</v>
      </c>
      <c r="AB213" s="6">
        <f t="shared" si="6"/>
        <v>50</v>
      </c>
      <c r="AC213" s="6">
        <f t="shared" si="7"/>
        <v>151250</v>
      </c>
    </row>
    <row r="214" spans="1:29" s="1" customFormat="1" ht="21.25" customHeight="1" x14ac:dyDescent="0.35">
      <c r="A214" s="5">
        <v>212</v>
      </c>
      <c r="B214" s="5" t="s">
        <v>447</v>
      </c>
      <c r="C214" s="4" t="s">
        <v>24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>
        <v>40</v>
      </c>
      <c r="U214" s="6">
        <v>121000</v>
      </c>
      <c r="V214" s="6"/>
      <c r="W214" s="6"/>
      <c r="X214" s="6"/>
      <c r="Y214" s="6"/>
      <c r="Z214" s="6">
        <v>10</v>
      </c>
      <c r="AA214" s="6">
        <v>30250</v>
      </c>
      <c r="AB214" s="6">
        <f t="shared" si="6"/>
        <v>50</v>
      </c>
      <c r="AC214" s="6">
        <f t="shared" si="7"/>
        <v>151250</v>
      </c>
    </row>
    <row r="215" spans="1:29" s="1" customFormat="1" ht="21.25" customHeight="1" x14ac:dyDescent="0.35">
      <c r="A215" s="5">
        <v>213</v>
      </c>
      <c r="B215" s="5" t="s">
        <v>450</v>
      </c>
      <c r="C215" s="4" t="s">
        <v>156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>
        <v>15</v>
      </c>
      <c r="O215" s="6">
        <v>35910</v>
      </c>
      <c r="P215" s="6"/>
      <c r="Q215" s="6"/>
      <c r="R215" s="6"/>
      <c r="S215" s="6"/>
      <c r="T215" s="6"/>
      <c r="U215" s="6"/>
      <c r="V215" s="6"/>
      <c r="W215" s="6"/>
      <c r="X215" s="6">
        <v>35</v>
      </c>
      <c r="Y215" s="6">
        <v>83790</v>
      </c>
      <c r="Z215" s="6"/>
      <c r="AA215" s="6"/>
      <c r="AB215" s="6">
        <f t="shared" si="6"/>
        <v>50</v>
      </c>
      <c r="AC215" s="6">
        <f t="shared" si="7"/>
        <v>119700</v>
      </c>
    </row>
    <row r="216" spans="1:29" s="1" customFormat="1" ht="21.25" customHeight="1" x14ac:dyDescent="0.35">
      <c r="A216" s="5">
        <v>214</v>
      </c>
      <c r="B216" s="5" t="s">
        <v>447</v>
      </c>
      <c r="C216" s="4" t="s">
        <v>15</v>
      </c>
      <c r="D216" s="6"/>
      <c r="E216" s="6"/>
      <c r="F216" s="6"/>
      <c r="G216" s="6"/>
      <c r="H216" s="6"/>
      <c r="I216" s="6"/>
      <c r="J216" s="6"/>
      <c r="K216" s="6"/>
      <c r="L216" s="6">
        <v>34</v>
      </c>
      <c r="M216" s="6">
        <v>112200</v>
      </c>
      <c r="N216" s="6">
        <v>15</v>
      </c>
      <c r="O216" s="6">
        <v>53625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>
        <f t="shared" si="6"/>
        <v>49</v>
      </c>
      <c r="AC216" s="6">
        <f t="shared" si="7"/>
        <v>165825</v>
      </c>
    </row>
    <row r="217" spans="1:29" s="1" customFormat="1" ht="21.25" customHeight="1" x14ac:dyDescent="0.35">
      <c r="A217" s="5">
        <v>215</v>
      </c>
      <c r="B217" s="5" t="s">
        <v>447</v>
      </c>
      <c r="C217" s="4" t="s">
        <v>30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>
        <v>48</v>
      </c>
      <c r="W217" s="6">
        <v>79200</v>
      </c>
      <c r="X217" s="6"/>
      <c r="Y217" s="6"/>
      <c r="Z217" s="6"/>
      <c r="AA217" s="6"/>
      <c r="AB217" s="6">
        <f t="shared" si="6"/>
        <v>48</v>
      </c>
      <c r="AC217" s="6">
        <f t="shared" si="7"/>
        <v>79200</v>
      </c>
    </row>
    <row r="218" spans="1:29" s="1" customFormat="1" ht="21.25" customHeight="1" x14ac:dyDescent="0.35">
      <c r="A218" s="5">
        <v>216</v>
      </c>
      <c r="B218" s="5" t="s">
        <v>447</v>
      </c>
      <c r="C218" s="4" t="s">
        <v>57</v>
      </c>
      <c r="D218" s="6"/>
      <c r="E218" s="6"/>
      <c r="F218" s="6"/>
      <c r="G218" s="6"/>
      <c r="H218" s="6"/>
      <c r="I218" s="6"/>
      <c r="J218" s="6">
        <v>21</v>
      </c>
      <c r="K218" s="6">
        <v>40425</v>
      </c>
      <c r="L218" s="6"/>
      <c r="M218" s="6"/>
      <c r="N218" s="6"/>
      <c r="O218" s="6"/>
      <c r="P218" s="6"/>
      <c r="Q218" s="6"/>
      <c r="R218" s="6">
        <v>6</v>
      </c>
      <c r="S218" s="6">
        <v>11550</v>
      </c>
      <c r="T218" s="6"/>
      <c r="U218" s="6"/>
      <c r="V218" s="6">
        <v>5</v>
      </c>
      <c r="W218" s="6">
        <v>9625</v>
      </c>
      <c r="X218" s="6">
        <v>15</v>
      </c>
      <c r="Y218" s="6">
        <v>28875</v>
      </c>
      <c r="Z218" s="6">
        <v>1</v>
      </c>
      <c r="AA218" s="6">
        <v>1925</v>
      </c>
      <c r="AB218" s="6">
        <f t="shared" si="6"/>
        <v>48</v>
      </c>
      <c r="AC218" s="6">
        <f t="shared" si="7"/>
        <v>92400</v>
      </c>
    </row>
    <row r="219" spans="1:29" s="1" customFormat="1" ht="21.25" customHeight="1" x14ac:dyDescent="0.35">
      <c r="A219" s="5">
        <v>217</v>
      </c>
      <c r="B219" s="5" t="s">
        <v>447</v>
      </c>
      <c r="C219" s="4" t="s">
        <v>320</v>
      </c>
      <c r="D219" s="7"/>
      <c r="E219" s="7"/>
      <c r="F219" s="7"/>
      <c r="G219" s="7"/>
      <c r="H219" s="7"/>
      <c r="I219" s="7"/>
      <c r="J219" s="7"/>
      <c r="K219" s="7"/>
      <c r="L219" s="7">
        <v>15</v>
      </c>
      <c r="M219" s="7">
        <v>49500</v>
      </c>
      <c r="N219" s="7"/>
      <c r="O219" s="7"/>
      <c r="P219" s="7"/>
      <c r="Q219" s="7"/>
      <c r="R219" s="7">
        <v>6</v>
      </c>
      <c r="S219" s="7">
        <v>21450</v>
      </c>
      <c r="T219" s="7">
        <v>25</v>
      </c>
      <c r="U219" s="7">
        <v>89375</v>
      </c>
      <c r="V219" s="7"/>
      <c r="W219" s="7"/>
      <c r="X219" s="7"/>
      <c r="Y219" s="7"/>
      <c r="Z219" s="7"/>
      <c r="AA219" s="7"/>
      <c r="AB219" s="6">
        <f t="shared" si="6"/>
        <v>46</v>
      </c>
      <c r="AC219" s="6">
        <f t="shared" si="7"/>
        <v>160325</v>
      </c>
    </row>
    <row r="220" spans="1:29" s="1" customFormat="1" ht="21.25" customHeight="1" x14ac:dyDescent="0.35">
      <c r="A220" s="5">
        <v>218</v>
      </c>
      <c r="B220" s="5" t="s">
        <v>447</v>
      </c>
      <c r="C220" s="4" t="s">
        <v>232</v>
      </c>
      <c r="D220" s="7"/>
      <c r="E220" s="7"/>
      <c r="F220" s="7"/>
      <c r="G220" s="7"/>
      <c r="H220" s="7"/>
      <c r="I220" s="7"/>
      <c r="J220" s="7"/>
      <c r="K220" s="7"/>
      <c r="L220" s="7">
        <v>12</v>
      </c>
      <c r="M220" s="7">
        <v>46200</v>
      </c>
      <c r="N220" s="7">
        <v>10</v>
      </c>
      <c r="O220" s="7">
        <v>38500</v>
      </c>
      <c r="P220" s="7"/>
      <c r="Q220" s="7"/>
      <c r="R220" s="7">
        <v>5</v>
      </c>
      <c r="S220" s="7">
        <v>19250</v>
      </c>
      <c r="T220" s="7"/>
      <c r="U220" s="7"/>
      <c r="V220" s="7">
        <v>10</v>
      </c>
      <c r="W220" s="7">
        <v>38500</v>
      </c>
      <c r="X220" s="7"/>
      <c r="Y220" s="7"/>
      <c r="Z220" s="7">
        <v>8</v>
      </c>
      <c r="AA220" s="7">
        <v>30800</v>
      </c>
      <c r="AB220" s="6">
        <f t="shared" si="6"/>
        <v>45</v>
      </c>
      <c r="AC220" s="6">
        <f t="shared" si="7"/>
        <v>173250</v>
      </c>
    </row>
    <row r="221" spans="1:29" s="1" customFormat="1" ht="21.25" customHeight="1" x14ac:dyDescent="0.35">
      <c r="A221" s="5">
        <v>219</v>
      </c>
      <c r="B221" s="5" t="s">
        <v>447</v>
      </c>
      <c r="C221" s="4" t="s">
        <v>95</v>
      </c>
      <c r="D221" s="6"/>
      <c r="E221" s="6"/>
      <c r="F221" s="6"/>
      <c r="G221" s="6"/>
      <c r="H221" s="6"/>
      <c r="I221" s="6"/>
      <c r="J221" s="6">
        <v>5</v>
      </c>
      <c r="K221" s="6">
        <v>11000</v>
      </c>
      <c r="L221" s="6">
        <v>15</v>
      </c>
      <c r="M221" s="6">
        <v>33000</v>
      </c>
      <c r="N221" s="6"/>
      <c r="O221" s="6"/>
      <c r="P221" s="6">
        <v>10</v>
      </c>
      <c r="Q221" s="6">
        <v>22000</v>
      </c>
      <c r="R221" s="6"/>
      <c r="S221" s="6"/>
      <c r="T221" s="6"/>
      <c r="U221" s="6"/>
      <c r="V221" s="6"/>
      <c r="W221" s="6"/>
      <c r="X221" s="6">
        <v>10</v>
      </c>
      <c r="Y221" s="6">
        <v>22000</v>
      </c>
      <c r="Z221" s="6">
        <v>5</v>
      </c>
      <c r="AA221" s="6">
        <v>11000</v>
      </c>
      <c r="AB221" s="6">
        <f t="shared" si="6"/>
        <v>45</v>
      </c>
      <c r="AC221" s="6">
        <f t="shared" si="7"/>
        <v>99000</v>
      </c>
    </row>
    <row r="222" spans="1:29" s="1" customFormat="1" ht="21.25" customHeight="1" x14ac:dyDescent="0.35">
      <c r="A222" s="5">
        <v>220</v>
      </c>
      <c r="B222" s="5" t="s">
        <v>447</v>
      </c>
      <c r="C222" s="4" t="s">
        <v>334</v>
      </c>
      <c r="D222" s="7"/>
      <c r="E222" s="7"/>
      <c r="F222" s="7"/>
      <c r="G222" s="7"/>
      <c r="H222" s="7"/>
      <c r="I222" s="7"/>
      <c r="J222" s="7"/>
      <c r="K222" s="7"/>
      <c r="L222" s="7">
        <v>32</v>
      </c>
      <c r="M222" s="7">
        <v>61600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>
        <v>10</v>
      </c>
      <c r="Y222" s="7">
        <v>20350</v>
      </c>
      <c r="Z222" s="7">
        <v>2</v>
      </c>
      <c r="AA222" s="7">
        <v>4070</v>
      </c>
      <c r="AB222" s="6">
        <f t="shared" si="6"/>
        <v>44</v>
      </c>
      <c r="AC222" s="6">
        <f t="shared" si="7"/>
        <v>86020</v>
      </c>
    </row>
    <row r="223" spans="1:29" s="1" customFormat="1" ht="21.25" customHeight="1" x14ac:dyDescent="0.35">
      <c r="A223" s="5">
        <v>221</v>
      </c>
      <c r="B223" s="5" t="s">
        <v>447</v>
      </c>
      <c r="C223" s="4" t="s">
        <v>45</v>
      </c>
      <c r="D223" s="6"/>
      <c r="E223" s="6"/>
      <c r="F223" s="6"/>
      <c r="G223" s="6"/>
      <c r="H223" s="6"/>
      <c r="I223" s="6"/>
      <c r="J223" s="6">
        <v>5</v>
      </c>
      <c r="K223" s="6">
        <v>7425</v>
      </c>
      <c r="L223" s="6">
        <v>17</v>
      </c>
      <c r="M223" s="6">
        <v>25245</v>
      </c>
      <c r="N223" s="6"/>
      <c r="O223" s="6"/>
      <c r="P223" s="6">
        <v>6</v>
      </c>
      <c r="Q223" s="6">
        <v>9900</v>
      </c>
      <c r="R223" s="6"/>
      <c r="S223" s="6"/>
      <c r="T223" s="6">
        <v>5</v>
      </c>
      <c r="U223" s="6">
        <v>8250</v>
      </c>
      <c r="V223" s="6"/>
      <c r="W223" s="6"/>
      <c r="X223" s="6">
        <v>6</v>
      </c>
      <c r="Y223" s="6">
        <v>9900</v>
      </c>
      <c r="Z223" s="6">
        <v>4</v>
      </c>
      <c r="AA223" s="6">
        <v>6600</v>
      </c>
      <c r="AB223" s="6">
        <f t="shared" si="6"/>
        <v>43</v>
      </c>
      <c r="AC223" s="6">
        <f t="shared" si="7"/>
        <v>67320</v>
      </c>
    </row>
    <row r="224" spans="1:29" s="1" customFormat="1" ht="21.25" customHeight="1" x14ac:dyDescent="0.35">
      <c r="A224" s="5">
        <v>222</v>
      </c>
      <c r="B224" s="5" t="s">
        <v>448</v>
      </c>
      <c r="C224" s="4" t="s">
        <v>432</v>
      </c>
      <c r="D224" s="7"/>
      <c r="E224" s="7"/>
      <c r="F224" s="7"/>
      <c r="G224" s="7"/>
      <c r="H224" s="7"/>
      <c r="I224" s="7"/>
      <c r="J224" s="7">
        <v>43</v>
      </c>
      <c r="K224" s="7">
        <v>236500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6">
        <f t="shared" si="6"/>
        <v>43</v>
      </c>
      <c r="AC224" s="6">
        <f t="shared" si="7"/>
        <v>236500</v>
      </c>
    </row>
    <row r="225" spans="1:29" s="1" customFormat="1" ht="21.25" customHeight="1" x14ac:dyDescent="0.35">
      <c r="A225" s="5">
        <v>223</v>
      </c>
      <c r="B225" s="5" t="s">
        <v>447</v>
      </c>
      <c r="C225" s="4" t="s">
        <v>29</v>
      </c>
      <c r="D225" s="7"/>
      <c r="E225" s="7"/>
      <c r="F225" s="7"/>
      <c r="G225" s="7"/>
      <c r="H225" s="7"/>
      <c r="I225" s="7"/>
      <c r="J225" s="7"/>
      <c r="K225" s="7"/>
      <c r="L225" s="7">
        <v>12</v>
      </c>
      <c r="M225" s="7">
        <v>17820</v>
      </c>
      <c r="N225" s="7"/>
      <c r="O225" s="7"/>
      <c r="P225" s="7"/>
      <c r="Q225" s="7"/>
      <c r="R225" s="7"/>
      <c r="S225" s="7"/>
      <c r="T225" s="7">
        <v>17</v>
      </c>
      <c r="U225" s="7">
        <v>28050</v>
      </c>
      <c r="V225" s="7"/>
      <c r="W225" s="7"/>
      <c r="X225" s="7">
        <v>11</v>
      </c>
      <c r="Y225" s="7">
        <v>18150</v>
      </c>
      <c r="Z225" s="7">
        <v>1</v>
      </c>
      <c r="AA225" s="7">
        <v>1650</v>
      </c>
      <c r="AB225" s="6">
        <f t="shared" si="6"/>
        <v>41</v>
      </c>
      <c r="AC225" s="6">
        <f t="shared" si="7"/>
        <v>65670</v>
      </c>
    </row>
    <row r="226" spans="1:29" s="1" customFormat="1" ht="21.25" customHeight="1" x14ac:dyDescent="0.35">
      <c r="A226" s="5">
        <v>224</v>
      </c>
      <c r="B226" s="5" t="s">
        <v>447</v>
      </c>
      <c r="C226" s="4" t="s">
        <v>129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>
        <v>30</v>
      </c>
      <c r="W226" s="6">
        <v>52800</v>
      </c>
      <c r="X226" s="6"/>
      <c r="Y226" s="6"/>
      <c r="Z226" s="6">
        <v>10</v>
      </c>
      <c r="AA226" s="6">
        <v>17600</v>
      </c>
      <c r="AB226" s="6">
        <f t="shared" si="6"/>
        <v>40</v>
      </c>
      <c r="AC226" s="6">
        <f t="shared" si="7"/>
        <v>70400</v>
      </c>
    </row>
    <row r="227" spans="1:29" s="1" customFormat="1" ht="21.25" customHeight="1" x14ac:dyDescent="0.35">
      <c r="A227" s="5">
        <v>225</v>
      </c>
      <c r="B227" s="5" t="s">
        <v>447</v>
      </c>
      <c r="C227" s="4" t="s">
        <v>99</v>
      </c>
      <c r="D227" s="7"/>
      <c r="E227" s="7"/>
      <c r="F227" s="7"/>
      <c r="G227" s="7"/>
      <c r="H227" s="7"/>
      <c r="I227" s="7"/>
      <c r="J227" s="7"/>
      <c r="K227" s="7"/>
      <c r="L227" s="7">
        <v>4</v>
      </c>
      <c r="M227" s="7">
        <v>7700</v>
      </c>
      <c r="N227" s="7">
        <v>2</v>
      </c>
      <c r="O227" s="7">
        <v>4070</v>
      </c>
      <c r="P227" s="7">
        <v>3</v>
      </c>
      <c r="Q227" s="7">
        <v>6105</v>
      </c>
      <c r="R227" s="7"/>
      <c r="S227" s="7"/>
      <c r="T227" s="7">
        <v>11</v>
      </c>
      <c r="U227" s="7">
        <v>22385</v>
      </c>
      <c r="V227" s="7"/>
      <c r="W227" s="7"/>
      <c r="X227" s="7">
        <v>14</v>
      </c>
      <c r="Y227" s="7">
        <v>28490</v>
      </c>
      <c r="Z227" s="7">
        <v>5</v>
      </c>
      <c r="AA227" s="7">
        <v>10175</v>
      </c>
      <c r="AB227" s="6">
        <f t="shared" si="6"/>
        <v>39</v>
      </c>
      <c r="AC227" s="6">
        <f t="shared" si="7"/>
        <v>78925</v>
      </c>
    </row>
    <row r="228" spans="1:29" s="1" customFormat="1" ht="21.25" customHeight="1" x14ac:dyDescent="0.35">
      <c r="A228" s="5">
        <v>226</v>
      </c>
      <c r="B228" s="5" t="s">
        <v>450</v>
      </c>
      <c r="C228" s="4" t="s">
        <v>291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>
        <v>6</v>
      </c>
      <c r="S228" s="7">
        <v>9576</v>
      </c>
      <c r="T228" s="7"/>
      <c r="U228" s="7"/>
      <c r="V228" s="7">
        <v>23</v>
      </c>
      <c r="W228" s="7">
        <v>36708</v>
      </c>
      <c r="X228" s="7">
        <v>10</v>
      </c>
      <c r="Y228" s="7">
        <v>15960</v>
      </c>
      <c r="Z228" s="7"/>
      <c r="AA228" s="7"/>
      <c r="AB228" s="6">
        <f t="shared" si="6"/>
        <v>39</v>
      </c>
      <c r="AC228" s="6">
        <f t="shared" si="7"/>
        <v>62244</v>
      </c>
    </row>
    <row r="229" spans="1:29" s="1" customFormat="1" ht="21.25" customHeight="1" x14ac:dyDescent="0.35">
      <c r="A229" s="5">
        <v>227</v>
      </c>
      <c r="B229" s="5" t="s">
        <v>447</v>
      </c>
      <c r="C229" s="4" t="s">
        <v>61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>
        <v>3</v>
      </c>
      <c r="Q229" s="7">
        <v>6930</v>
      </c>
      <c r="R229" s="7">
        <v>1</v>
      </c>
      <c r="S229" s="7">
        <v>2310</v>
      </c>
      <c r="T229" s="7">
        <v>3</v>
      </c>
      <c r="U229" s="7">
        <v>6930</v>
      </c>
      <c r="V229" s="7"/>
      <c r="W229" s="7"/>
      <c r="X229" s="7">
        <v>14</v>
      </c>
      <c r="Y229" s="7">
        <v>32340</v>
      </c>
      <c r="Z229" s="7">
        <v>16</v>
      </c>
      <c r="AA229" s="7">
        <v>36960</v>
      </c>
      <c r="AB229" s="6">
        <f t="shared" si="6"/>
        <v>37</v>
      </c>
      <c r="AC229" s="6">
        <f t="shared" si="7"/>
        <v>85470</v>
      </c>
    </row>
    <row r="230" spans="1:29" s="1" customFormat="1" ht="21.25" customHeight="1" x14ac:dyDescent="0.35">
      <c r="A230" s="5">
        <v>228</v>
      </c>
      <c r="B230" s="5" t="s">
        <v>447</v>
      </c>
      <c r="C230" s="4" t="s">
        <v>166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>
        <v>10</v>
      </c>
      <c r="Q230" s="7">
        <v>57750</v>
      </c>
      <c r="R230" s="7"/>
      <c r="S230" s="7"/>
      <c r="T230" s="7"/>
      <c r="U230" s="7"/>
      <c r="V230" s="7"/>
      <c r="W230" s="7"/>
      <c r="X230" s="7">
        <v>22</v>
      </c>
      <c r="Y230" s="7">
        <v>127050</v>
      </c>
      <c r="Z230" s="7">
        <v>5</v>
      </c>
      <c r="AA230" s="7">
        <v>28875</v>
      </c>
      <c r="AB230" s="6">
        <f t="shared" si="6"/>
        <v>37</v>
      </c>
      <c r="AC230" s="6">
        <f t="shared" si="7"/>
        <v>213675</v>
      </c>
    </row>
    <row r="231" spans="1:29" s="1" customFormat="1" ht="21.25" customHeight="1" x14ac:dyDescent="0.35">
      <c r="A231" s="5">
        <v>229</v>
      </c>
      <c r="B231" s="5" t="s">
        <v>450</v>
      </c>
      <c r="C231" s="4" t="s">
        <v>154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>
        <v>1</v>
      </c>
      <c r="O231" s="7">
        <v>3078</v>
      </c>
      <c r="P231" s="7">
        <v>2</v>
      </c>
      <c r="Q231" s="7">
        <v>6156</v>
      </c>
      <c r="R231" s="7">
        <v>2</v>
      </c>
      <c r="S231" s="7">
        <v>6156</v>
      </c>
      <c r="T231" s="7">
        <v>1</v>
      </c>
      <c r="U231" s="7">
        <v>3078</v>
      </c>
      <c r="V231" s="7">
        <v>26</v>
      </c>
      <c r="W231" s="7">
        <v>80028</v>
      </c>
      <c r="X231" s="7"/>
      <c r="Y231" s="7"/>
      <c r="Z231" s="7">
        <v>4</v>
      </c>
      <c r="AA231" s="7">
        <v>12312</v>
      </c>
      <c r="AB231" s="6">
        <f t="shared" si="6"/>
        <v>36</v>
      </c>
      <c r="AC231" s="6">
        <f t="shared" si="7"/>
        <v>110808</v>
      </c>
    </row>
    <row r="232" spans="1:29" s="1" customFormat="1" ht="21.25" customHeight="1" x14ac:dyDescent="0.35">
      <c r="A232" s="5">
        <v>230</v>
      </c>
      <c r="B232" s="5" t="s">
        <v>450</v>
      </c>
      <c r="C232" s="4" t="s">
        <v>289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>
        <v>12</v>
      </c>
      <c r="O232" s="6">
        <v>6156</v>
      </c>
      <c r="P232" s="6"/>
      <c r="Q232" s="6"/>
      <c r="R232" s="6"/>
      <c r="S232" s="6"/>
      <c r="T232" s="6"/>
      <c r="U232" s="6"/>
      <c r="V232" s="6"/>
      <c r="W232" s="6"/>
      <c r="X232" s="6">
        <v>24</v>
      </c>
      <c r="Y232" s="6">
        <v>12312</v>
      </c>
      <c r="Z232" s="6"/>
      <c r="AA232" s="6"/>
      <c r="AB232" s="6">
        <f t="shared" si="6"/>
        <v>36</v>
      </c>
      <c r="AC232" s="6">
        <f t="shared" si="7"/>
        <v>18468</v>
      </c>
    </row>
    <row r="233" spans="1:29" s="1" customFormat="1" ht="21.25" customHeight="1" x14ac:dyDescent="0.35">
      <c r="A233" s="5">
        <v>231</v>
      </c>
      <c r="B233" s="5" t="s">
        <v>447</v>
      </c>
      <c r="C233" s="4" t="s">
        <v>180</v>
      </c>
      <c r="D233" s="6"/>
      <c r="E233" s="6"/>
      <c r="F233" s="6"/>
      <c r="G233" s="6"/>
      <c r="H233" s="6"/>
      <c r="I233" s="6"/>
      <c r="J233" s="6">
        <v>10</v>
      </c>
      <c r="K233" s="6">
        <v>30250</v>
      </c>
      <c r="L233" s="6"/>
      <c r="M233" s="6"/>
      <c r="N233" s="6"/>
      <c r="O233" s="6"/>
      <c r="P233" s="6"/>
      <c r="Q233" s="6"/>
      <c r="R233" s="6"/>
      <c r="S233" s="6"/>
      <c r="T233" s="6">
        <v>20</v>
      </c>
      <c r="U233" s="6">
        <v>62700</v>
      </c>
      <c r="V233" s="6"/>
      <c r="W233" s="6"/>
      <c r="X233" s="6">
        <v>5</v>
      </c>
      <c r="Y233" s="6">
        <v>15675</v>
      </c>
      <c r="Z233" s="6"/>
      <c r="AA233" s="6"/>
      <c r="AB233" s="6">
        <f t="shared" si="6"/>
        <v>35</v>
      </c>
      <c r="AC233" s="6">
        <f t="shared" si="7"/>
        <v>108625</v>
      </c>
    </row>
    <row r="234" spans="1:29" s="1" customFormat="1" ht="21.25" customHeight="1" x14ac:dyDescent="0.35">
      <c r="A234" s="5">
        <v>232</v>
      </c>
      <c r="B234" s="5" t="s">
        <v>447</v>
      </c>
      <c r="C234" s="4" t="s">
        <v>101</v>
      </c>
      <c r="D234" s="7"/>
      <c r="E234" s="7"/>
      <c r="F234" s="7"/>
      <c r="G234" s="7"/>
      <c r="H234" s="7"/>
      <c r="I234" s="7"/>
      <c r="J234" s="7"/>
      <c r="K234" s="7"/>
      <c r="L234" s="7">
        <v>4</v>
      </c>
      <c r="M234" s="7">
        <v>7700</v>
      </c>
      <c r="N234" s="7">
        <v>3</v>
      </c>
      <c r="O234" s="7">
        <v>6105</v>
      </c>
      <c r="P234" s="7">
        <v>2</v>
      </c>
      <c r="Q234" s="7">
        <v>4070</v>
      </c>
      <c r="R234" s="7">
        <v>4</v>
      </c>
      <c r="S234" s="7">
        <v>8140</v>
      </c>
      <c r="T234" s="7">
        <v>3</v>
      </c>
      <c r="U234" s="7">
        <v>6105</v>
      </c>
      <c r="V234" s="7"/>
      <c r="W234" s="7"/>
      <c r="X234" s="7">
        <v>17</v>
      </c>
      <c r="Y234" s="7">
        <v>34595</v>
      </c>
      <c r="Z234" s="7"/>
      <c r="AA234" s="7"/>
      <c r="AB234" s="6">
        <f t="shared" si="6"/>
        <v>33</v>
      </c>
      <c r="AC234" s="6">
        <f t="shared" si="7"/>
        <v>66715</v>
      </c>
    </row>
    <row r="235" spans="1:29" s="1" customFormat="1" ht="21.25" customHeight="1" x14ac:dyDescent="0.35">
      <c r="A235" s="5">
        <v>233</v>
      </c>
      <c r="B235" s="5" t="s">
        <v>447</v>
      </c>
      <c r="C235" s="4" t="s">
        <v>347</v>
      </c>
      <c r="D235" s="7"/>
      <c r="E235" s="7"/>
      <c r="F235" s="7"/>
      <c r="G235" s="7"/>
      <c r="H235" s="7"/>
      <c r="I235" s="7"/>
      <c r="J235" s="7"/>
      <c r="K235" s="7"/>
      <c r="L235" s="7">
        <v>20</v>
      </c>
      <c r="M235" s="7">
        <v>60500</v>
      </c>
      <c r="N235" s="7">
        <v>8</v>
      </c>
      <c r="O235" s="7">
        <v>24200</v>
      </c>
      <c r="P235" s="7"/>
      <c r="Q235" s="7"/>
      <c r="R235" s="7"/>
      <c r="S235" s="7"/>
      <c r="T235" s="7">
        <v>2</v>
      </c>
      <c r="U235" s="7">
        <v>6050</v>
      </c>
      <c r="V235" s="7"/>
      <c r="W235" s="7"/>
      <c r="X235" s="7"/>
      <c r="Y235" s="7"/>
      <c r="Z235" s="7">
        <v>2</v>
      </c>
      <c r="AA235" s="7">
        <v>6050</v>
      </c>
      <c r="AB235" s="6">
        <f t="shared" si="6"/>
        <v>32</v>
      </c>
      <c r="AC235" s="6">
        <f t="shared" si="7"/>
        <v>96800</v>
      </c>
    </row>
    <row r="236" spans="1:29" s="1" customFormat="1" ht="21.25" customHeight="1" x14ac:dyDescent="0.35">
      <c r="A236" s="5">
        <v>234</v>
      </c>
      <c r="B236" s="5" t="s">
        <v>447</v>
      </c>
      <c r="C236" s="4" t="s">
        <v>225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>
        <v>30</v>
      </c>
      <c r="W236" s="6">
        <v>107250</v>
      </c>
      <c r="X236" s="6"/>
      <c r="Y236" s="6"/>
      <c r="Z236" s="6"/>
      <c r="AA236" s="6"/>
      <c r="AB236" s="6">
        <f t="shared" si="6"/>
        <v>30</v>
      </c>
      <c r="AC236" s="6">
        <f t="shared" si="7"/>
        <v>107250</v>
      </c>
    </row>
    <row r="237" spans="1:29" s="1" customFormat="1" ht="21.25" customHeight="1" x14ac:dyDescent="0.35">
      <c r="A237" s="5">
        <v>235</v>
      </c>
      <c r="B237" s="5" t="s">
        <v>447</v>
      </c>
      <c r="C237" s="4" t="s">
        <v>52</v>
      </c>
      <c r="D237" s="6"/>
      <c r="E237" s="6"/>
      <c r="F237" s="6"/>
      <c r="G237" s="6"/>
      <c r="H237" s="6"/>
      <c r="I237" s="6"/>
      <c r="J237" s="6"/>
      <c r="K237" s="6"/>
      <c r="L237" s="6">
        <v>12</v>
      </c>
      <c r="M237" s="6">
        <v>17820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>
        <v>14</v>
      </c>
      <c r="Y237" s="6">
        <v>23100</v>
      </c>
      <c r="Z237" s="6">
        <v>4</v>
      </c>
      <c r="AA237" s="6">
        <v>6600</v>
      </c>
      <c r="AB237" s="6">
        <f t="shared" si="6"/>
        <v>30</v>
      </c>
      <c r="AC237" s="6">
        <f t="shared" si="7"/>
        <v>47520</v>
      </c>
    </row>
    <row r="238" spans="1:29" s="1" customFormat="1" ht="21.25" customHeight="1" x14ac:dyDescent="0.35">
      <c r="A238" s="5">
        <v>236</v>
      </c>
      <c r="B238" s="5" t="s">
        <v>447</v>
      </c>
      <c r="C238" s="4" t="s">
        <v>402</v>
      </c>
      <c r="D238" s="7"/>
      <c r="E238" s="7"/>
      <c r="F238" s="7"/>
      <c r="G238" s="7"/>
      <c r="H238" s="7"/>
      <c r="I238" s="7"/>
      <c r="J238" s="7"/>
      <c r="K238" s="7"/>
      <c r="L238" s="7">
        <v>30</v>
      </c>
      <c r="M238" s="7">
        <v>90750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6">
        <f t="shared" si="6"/>
        <v>30</v>
      </c>
      <c r="AC238" s="6">
        <f t="shared" si="7"/>
        <v>90750</v>
      </c>
    </row>
    <row r="239" spans="1:29" s="1" customFormat="1" ht="21.25" customHeight="1" x14ac:dyDescent="0.35">
      <c r="A239" s="5">
        <v>237</v>
      </c>
      <c r="B239" s="5" t="s">
        <v>448</v>
      </c>
      <c r="C239" s="4" t="s">
        <v>411</v>
      </c>
      <c r="D239" s="6"/>
      <c r="E239" s="6"/>
      <c r="F239" s="6"/>
      <c r="G239" s="6"/>
      <c r="H239" s="6"/>
      <c r="I239" s="6"/>
      <c r="J239" s="6">
        <v>20</v>
      </c>
      <c r="K239" s="6">
        <v>20000</v>
      </c>
      <c r="L239" s="6"/>
      <c r="M239" s="6"/>
      <c r="N239" s="6"/>
      <c r="O239" s="6"/>
      <c r="P239" s="6"/>
      <c r="Q239" s="6"/>
      <c r="R239" s="6">
        <v>7</v>
      </c>
      <c r="S239" s="6">
        <v>7000</v>
      </c>
      <c r="T239" s="6">
        <v>2</v>
      </c>
      <c r="U239" s="6">
        <v>2000</v>
      </c>
      <c r="V239" s="6"/>
      <c r="W239" s="6"/>
      <c r="X239" s="6"/>
      <c r="Y239" s="6"/>
      <c r="Z239" s="6">
        <v>1</v>
      </c>
      <c r="AA239" s="6">
        <v>1000</v>
      </c>
      <c r="AB239" s="6">
        <f t="shared" si="6"/>
        <v>30</v>
      </c>
      <c r="AC239" s="6">
        <f t="shared" si="7"/>
        <v>30000</v>
      </c>
    </row>
    <row r="240" spans="1:29" s="1" customFormat="1" ht="21.25" customHeight="1" x14ac:dyDescent="0.35">
      <c r="A240" s="5">
        <v>238</v>
      </c>
      <c r="B240" s="5" t="s">
        <v>447</v>
      </c>
      <c r="C240" s="4" t="s">
        <v>58</v>
      </c>
      <c r="D240" s="6"/>
      <c r="E240" s="6"/>
      <c r="F240" s="6"/>
      <c r="G240" s="6"/>
      <c r="H240" s="6"/>
      <c r="I240" s="6"/>
      <c r="J240" s="6">
        <v>1</v>
      </c>
      <c r="K240" s="6">
        <v>1925</v>
      </c>
      <c r="L240" s="6">
        <v>2</v>
      </c>
      <c r="M240" s="6">
        <v>3850</v>
      </c>
      <c r="N240" s="6"/>
      <c r="O240" s="6"/>
      <c r="P240" s="6">
        <v>2</v>
      </c>
      <c r="Q240" s="6">
        <v>3850</v>
      </c>
      <c r="R240" s="6">
        <v>1</v>
      </c>
      <c r="S240" s="6">
        <v>1925</v>
      </c>
      <c r="T240" s="6"/>
      <c r="U240" s="6"/>
      <c r="V240" s="6">
        <v>7</v>
      </c>
      <c r="W240" s="6">
        <v>13475</v>
      </c>
      <c r="X240" s="6">
        <v>10</v>
      </c>
      <c r="Y240" s="6">
        <v>19250</v>
      </c>
      <c r="Z240" s="6">
        <v>6</v>
      </c>
      <c r="AA240" s="6">
        <v>11550</v>
      </c>
      <c r="AB240" s="6">
        <f t="shared" si="6"/>
        <v>29</v>
      </c>
      <c r="AC240" s="6">
        <f t="shared" si="7"/>
        <v>55825</v>
      </c>
    </row>
    <row r="241" spans="1:29" s="1" customFormat="1" ht="21.25" customHeight="1" x14ac:dyDescent="0.35">
      <c r="A241" s="5">
        <v>239</v>
      </c>
      <c r="B241" s="5" t="s">
        <v>447</v>
      </c>
      <c r="C241" s="4" t="s">
        <v>59</v>
      </c>
      <c r="D241" s="6"/>
      <c r="E241" s="6"/>
      <c r="F241" s="6"/>
      <c r="G241" s="6"/>
      <c r="H241" s="6"/>
      <c r="I241" s="6"/>
      <c r="J241" s="6">
        <v>3</v>
      </c>
      <c r="K241" s="6">
        <v>5775</v>
      </c>
      <c r="L241" s="6">
        <v>6</v>
      </c>
      <c r="M241" s="6">
        <v>11550</v>
      </c>
      <c r="N241" s="6"/>
      <c r="O241" s="6"/>
      <c r="P241" s="6">
        <v>2</v>
      </c>
      <c r="Q241" s="6">
        <v>3850</v>
      </c>
      <c r="R241" s="6"/>
      <c r="S241" s="6"/>
      <c r="T241" s="6">
        <v>3</v>
      </c>
      <c r="U241" s="6">
        <v>5775</v>
      </c>
      <c r="V241" s="6">
        <v>5</v>
      </c>
      <c r="W241" s="6">
        <v>9625</v>
      </c>
      <c r="X241" s="6">
        <v>5</v>
      </c>
      <c r="Y241" s="6">
        <v>9625</v>
      </c>
      <c r="Z241" s="6">
        <v>5</v>
      </c>
      <c r="AA241" s="6">
        <v>9625</v>
      </c>
      <c r="AB241" s="6">
        <f t="shared" si="6"/>
        <v>29</v>
      </c>
      <c r="AC241" s="6">
        <f t="shared" si="7"/>
        <v>55825</v>
      </c>
    </row>
    <row r="242" spans="1:29" s="1" customFormat="1" ht="21.25" customHeight="1" x14ac:dyDescent="0.35">
      <c r="A242" s="5">
        <v>240</v>
      </c>
      <c r="B242" s="5" t="s">
        <v>447</v>
      </c>
      <c r="C242" s="4" t="s">
        <v>46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>
        <v>10</v>
      </c>
      <c r="S242" s="7">
        <v>16500</v>
      </c>
      <c r="T242" s="7">
        <v>2</v>
      </c>
      <c r="U242" s="7">
        <v>3300</v>
      </c>
      <c r="V242" s="7"/>
      <c r="W242" s="7"/>
      <c r="X242" s="7">
        <v>10</v>
      </c>
      <c r="Y242" s="7">
        <v>16500</v>
      </c>
      <c r="Z242" s="7">
        <v>6</v>
      </c>
      <c r="AA242" s="7">
        <v>9900</v>
      </c>
      <c r="AB242" s="6">
        <f t="shared" si="6"/>
        <v>28</v>
      </c>
      <c r="AC242" s="6">
        <f t="shared" si="7"/>
        <v>46200</v>
      </c>
    </row>
    <row r="243" spans="1:29" s="1" customFormat="1" ht="21.25" customHeight="1" x14ac:dyDescent="0.35">
      <c r="A243" s="5">
        <v>241</v>
      </c>
      <c r="B243" s="5" t="s">
        <v>447</v>
      </c>
      <c r="C243" s="4" t="s">
        <v>364</v>
      </c>
      <c r="D243" s="7"/>
      <c r="E243" s="7"/>
      <c r="F243" s="7"/>
      <c r="G243" s="7"/>
      <c r="H243" s="7"/>
      <c r="I243" s="7"/>
      <c r="J243" s="7">
        <v>3</v>
      </c>
      <c r="K243" s="7">
        <v>1980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>
        <v>11</v>
      </c>
      <c r="W243" s="7">
        <v>7260</v>
      </c>
      <c r="X243" s="7">
        <v>4</v>
      </c>
      <c r="Y243" s="7">
        <v>2640</v>
      </c>
      <c r="Z243" s="7">
        <v>10</v>
      </c>
      <c r="AA243" s="7">
        <v>6600</v>
      </c>
      <c r="AB243" s="6">
        <f t="shared" si="6"/>
        <v>28</v>
      </c>
      <c r="AC243" s="6">
        <f t="shared" si="7"/>
        <v>18480</v>
      </c>
    </row>
    <row r="244" spans="1:29" s="1" customFormat="1" ht="21.25" customHeight="1" x14ac:dyDescent="0.35">
      <c r="A244" s="5">
        <v>242</v>
      </c>
      <c r="B244" s="5" t="s">
        <v>448</v>
      </c>
      <c r="C244" s="4" t="s">
        <v>423</v>
      </c>
      <c r="D244" s="7"/>
      <c r="E244" s="7"/>
      <c r="F244" s="7"/>
      <c r="G244" s="7"/>
      <c r="H244" s="7"/>
      <c r="I244" s="7"/>
      <c r="J244" s="7">
        <v>2</v>
      </c>
      <c r="K244" s="7">
        <v>3600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>
        <v>3</v>
      </c>
      <c r="W244" s="7">
        <v>5400</v>
      </c>
      <c r="X244" s="7"/>
      <c r="Y244" s="7"/>
      <c r="Z244" s="7">
        <v>23</v>
      </c>
      <c r="AA244" s="7">
        <v>41400</v>
      </c>
      <c r="AB244" s="6">
        <f t="shared" si="6"/>
        <v>28</v>
      </c>
      <c r="AC244" s="6">
        <f t="shared" si="7"/>
        <v>50400</v>
      </c>
    </row>
    <row r="245" spans="1:29" s="1" customFormat="1" ht="21.25" customHeight="1" x14ac:dyDescent="0.35">
      <c r="A245" s="5">
        <v>243</v>
      </c>
      <c r="B245" s="5" t="s">
        <v>447</v>
      </c>
      <c r="C245" s="4" t="s">
        <v>100</v>
      </c>
      <c r="D245" s="6"/>
      <c r="E245" s="6"/>
      <c r="F245" s="6"/>
      <c r="G245" s="6"/>
      <c r="H245" s="6"/>
      <c r="I245" s="6"/>
      <c r="J245" s="6"/>
      <c r="K245" s="6"/>
      <c r="L245" s="6">
        <v>4</v>
      </c>
      <c r="M245" s="6">
        <v>7700</v>
      </c>
      <c r="N245" s="6">
        <v>3</v>
      </c>
      <c r="O245" s="6">
        <v>6105</v>
      </c>
      <c r="P245" s="6"/>
      <c r="Q245" s="6"/>
      <c r="R245" s="6">
        <v>2</v>
      </c>
      <c r="S245" s="6">
        <v>4070</v>
      </c>
      <c r="T245" s="6"/>
      <c r="U245" s="6"/>
      <c r="V245" s="6">
        <v>5</v>
      </c>
      <c r="W245" s="6">
        <v>10175</v>
      </c>
      <c r="X245" s="6">
        <v>13</v>
      </c>
      <c r="Y245" s="6">
        <v>26455</v>
      </c>
      <c r="Z245" s="6"/>
      <c r="AA245" s="6"/>
      <c r="AB245" s="6">
        <f t="shared" si="6"/>
        <v>27</v>
      </c>
      <c r="AC245" s="6">
        <f t="shared" si="7"/>
        <v>54505</v>
      </c>
    </row>
    <row r="246" spans="1:29" s="1" customFormat="1" ht="21.25" customHeight="1" x14ac:dyDescent="0.35">
      <c r="A246" s="5">
        <v>244</v>
      </c>
      <c r="B246" s="5" t="s">
        <v>447</v>
      </c>
      <c r="C246" s="4" t="s">
        <v>112</v>
      </c>
      <c r="D246" s="7"/>
      <c r="E246" s="7"/>
      <c r="F246" s="7"/>
      <c r="G246" s="7"/>
      <c r="H246" s="7"/>
      <c r="I246" s="7"/>
      <c r="J246" s="7"/>
      <c r="K246" s="7"/>
      <c r="L246" s="7">
        <v>22</v>
      </c>
      <c r="M246" s="7">
        <v>181500</v>
      </c>
      <c r="N246" s="7"/>
      <c r="O246" s="7"/>
      <c r="P246" s="7"/>
      <c r="Q246" s="7"/>
      <c r="R246" s="7">
        <v>1</v>
      </c>
      <c r="S246" s="7">
        <v>8525</v>
      </c>
      <c r="T246" s="7">
        <v>3</v>
      </c>
      <c r="U246" s="7">
        <v>25575</v>
      </c>
      <c r="V246" s="7"/>
      <c r="W246" s="7"/>
      <c r="X246" s="7">
        <v>1</v>
      </c>
      <c r="Y246" s="7">
        <v>8525</v>
      </c>
      <c r="Z246" s="7"/>
      <c r="AA246" s="7"/>
      <c r="AB246" s="6">
        <f t="shared" si="6"/>
        <v>27</v>
      </c>
      <c r="AC246" s="6">
        <f t="shared" si="7"/>
        <v>224125</v>
      </c>
    </row>
    <row r="247" spans="1:29" s="1" customFormat="1" ht="21.25" customHeight="1" x14ac:dyDescent="0.35">
      <c r="A247" s="5">
        <v>245</v>
      </c>
      <c r="B247" s="5" t="s">
        <v>447</v>
      </c>
      <c r="C247" s="4" t="s">
        <v>147</v>
      </c>
      <c r="D247" s="6"/>
      <c r="E247" s="6"/>
      <c r="F247" s="6"/>
      <c r="G247" s="6"/>
      <c r="H247" s="6"/>
      <c r="I247" s="6"/>
      <c r="J247" s="6"/>
      <c r="K247" s="6"/>
      <c r="L247" s="6">
        <v>10</v>
      </c>
      <c r="M247" s="6">
        <v>55000</v>
      </c>
      <c r="N247" s="6"/>
      <c r="O247" s="6"/>
      <c r="P247" s="6"/>
      <c r="Q247" s="6"/>
      <c r="R247" s="6"/>
      <c r="S247" s="6"/>
      <c r="T247" s="6"/>
      <c r="U247" s="6"/>
      <c r="V247" s="6">
        <v>1</v>
      </c>
      <c r="W247" s="6">
        <v>5500</v>
      </c>
      <c r="X247" s="6">
        <v>15</v>
      </c>
      <c r="Y247" s="6">
        <v>82500</v>
      </c>
      <c r="Z247" s="6">
        <v>1</v>
      </c>
      <c r="AA247" s="6">
        <v>5500</v>
      </c>
      <c r="AB247" s="6">
        <f t="shared" si="6"/>
        <v>27</v>
      </c>
      <c r="AC247" s="6">
        <f t="shared" si="7"/>
        <v>148500</v>
      </c>
    </row>
    <row r="248" spans="1:29" s="1" customFormat="1" ht="21.25" customHeight="1" x14ac:dyDescent="0.35">
      <c r="A248" s="5">
        <v>246</v>
      </c>
      <c r="B248" s="5" t="s">
        <v>447</v>
      </c>
      <c r="C248" s="4" t="s">
        <v>144</v>
      </c>
      <c r="D248" s="6"/>
      <c r="E248" s="6"/>
      <c r="F248" s="6"/>
      <c r="G248" s="6"/>
      <c r="H248" s="6"/>
      <c r="I248" s="6"/>
      <c r="J248" s="6"/>
      <c r="K248" s="6"/>
      <c r="L248" s="6">
        <v>10</v>
      </c>
      <c r="M248" s="6">
        <v>60500</v>
      </c>
      <c r="N248" s="6"/>
      <c r="O248" s="6"/>
      <c r="P248" s="6">
        <v>6</v>
      </c>
      <c r="Q248" s="6">
        <v>37950</v>
      </c>
      <c r="R248" s="6"/>
      <c r="S248" s="6"/>
      <c r="T248" s="6"/>
      <c r="U248" s="6"/>
      <c r="V248" s="6"/>
      <c r="W248" s="6"/>
      <c r="X248" s="6">
        <v>4</v>
      </c>
      <c r="Y248" s="6">
        <v>25300</v>
      </c>
      <c r="Z248" s="6">
        <v>6</v>
      </c>
      <c r="AA248" s="6">
        <v>37950</v>
      </c>
      <c r="AB248" s="6">
        <f t="shared" si="6"/>
        <v>26</v>
      </c>
      <c r="AC248" s="6">
        <f t="shared" si="7"/>
        <v>161700</v>
      </c>
    </row>
    <row r="249" spans="1:29" s="1" customFormat="1" ht="21.25" customHeight="1" x14ac:dyDescent="0.35">
      <c r="A249" s="5">
        <v>247</v>
      </c>
      <c r="B249" s="5" t="s">
        <v>447</v>
      </c>
      <c r="C249" s="4" t="s">
        <v>229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>
        <v>25</v>
      </c>
      <c r="Y249" s="6">
        <v>96250</v>
      </c>
      <c r="Z249" s="6"/>
      <c r="AA249" s="6"/>
      <c r="AB249" s="6">
        <f t="shared" si="6"/>
        <v>25</v>
      </c>
      <c r="AC249" s="6">
        <f t="shared" si="7"/>
        <v>96250</v>
      </c>
    </row>
    <row r="250" spans="1:29" s="1" customFormat="1" ht="21.25" customHeight="1" x14ac:dyDescent="0.35">
      <c r="A250" s="5">
        <v>248</v>
      </c>
      <c r="B250" s="5" t="s">
        <v>448</v>
      </c>
      <c r="C250" s="4" t="s">
        <v>429</v>
      </c>
      <c r="D250" s="6"/>
      <c r="E250" s="6"/>
      <c r="F250" s="6"/>
      <c r="G250" s="6"/>
      <c r="H250" s="6"/>
      <c r="I250" s="6"/>
      <c r="J250" s="6">
        <v>25</v>
      </c>
      <c r="K250" s="6">
        <v>68750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>
        <f t="shared" si="6"/>
        <v>25</v>
      </c>
      <c r="AC250" s="6">
        <f t="shared" si="7"/>
        <v>68750</v>
      </c>
    </row>
    <row r="251" spans="1:29" s="1" customFormat="1" ht="21.25" customHeight="1" x14ac:dyDescent="0.35">
      <c r="A251" s="5">
        <v>249</v>
      </c>
      <c r="B251" s="5" t="s">
        <v>447</v>
      </c>
      <c r="C251" s="4" t="s">
        <v>224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>
        <v>6</v>
      </c>
      <c r="S251" s="7">
        <v>21450</v>
      </c>
      <c r="T251" s="7">
        <v>10</v>
      </c>
      <c r="U251" s="7">
        <v>35750</v>
      </c>
      <c r="V251" s="7"/>
      <c r="W251" s="7"/>
      <c r="X251" s="7">
        <v>8</v>
      </c>
      <c r="Y251" s="7">
        <v>28600</v>
      </c>
      <c r="Z251" s="7"/>
      <c r="AA251" s="7"/>
      <c r="AB251" s="6">
        <f t="shared" si="6"/>
        <v>24</v>
      </c>
      <c r="AC251" s="6">
        <f t="shared" si="7"/>
        <v>85800</v>
      </c>
    </row>
    <row r="252" spans="1:29" s="1" customFormat="1" ht="21.25" customHeight="1" x14ac:dyDescent="0.35">
      <c r="A252" s="5">
        <v>250</v>
      </c>
      <c r="B252" s="5" t="s">
        <v>447</v>
      </c>
      <c r="C252" s="4" t="s">
        <v>401</v>
      </c>
      <c r="D252" s="6"/>
      <c r="E252" s="6"/>
      <c r="F252" s="6"/>
      <c r="G252" s="6"/>
      <c r="H252" s="6"/>
      <c r="I252" s="6"/>
      <c r="J252" s="6"/>
      <c r="K252" s="6"/>
      <c r="L252" s="6">
        <v>20</v>
      </c>
      <c r="M252" s="6">
        <v>60500</v>
      </c>
      <c r="N252" s="6">
        <v>4</v>
      </c>
      <c r="O252" s="6">
        <v>12100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>
        <f t="shared" si="6"/>
        <v>24</v>
      </c>
      <c r="AC252" s="6">
        <f t="shared" si="7"/>
        <v>72600</v>
      </c>
    </row>
    <row r="253" spans="1:29" s="1" customFormat="1" ht="21.25" customHeight="1" x14ac:dyDescent="0.35">
      <c r="A253" s="5">
        <v>251</v>
      </c>
      <c r="B253" s="5" t="s">
        <v>448</v>
      </c>
      <c r="C253" s="4" t="s">
        <v>437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>
        <v>10</v>
      </c>
      <c r="S253" s="6">
        <v>31350</v>
      </c>
      <c r="T253" s="6">
        <v>10</v>
      </c>
      <c r="U253" s="6">
        <v>31350</v>
      </c>
      <c r="V253" s="6">
        <v>2</v>
      </c>
      <c r="W253" s="6">
        <v>6270</v>
      </c>
      <c r="X253" s="6"/>
      <c r="Y253" s="6"/>
      <c r="Z253" s="6">
        <v>2</v>
      </c>
      <c r="AA253" s="6">
        <v>6270</v>
      </c>
      <c r="AB253" s="6">
        <f t="shared" si="6"/>
        <v>24</v>
      </c>
      <c r="AC253" s="6">
        <f t="shared" si="7"/>
        <v>75240</v>
      </c>
    </row>
    <row r="254" spans="1:29" s="1" customFormat="1" ht="21.25" customHeight="1" x14ac:dyDescent="0.35">
      <c r="A254" s="5">
        <v>252</v>
      </c>
      <c r="B254" s="5" t="s">
        <v>447</v>
      </c>
      <c r="C254" s="4" t="s">
        <v>363</v>
      </c>
      <c r="D254" s="6"/>
      <c r="E254" s="6"/>
      <c r="F254" s="6"/>
      <c r="G254" s="6"/>
      <c r="H254" s="6"/>
      <c r="I254" s="6"/>
      <c r="J254" s="6">
        <v>1</v>
      </c>
      <c r="K254" s="6">
        <v>660</v>
      </c>
      <c r="L254" s="6">
        <v>2</v>
      </c>
      <c r="M254" s="6">
        <v>1320</v>
      </c>
      <c r="N254" s="6"/>
      <c r="O254" s="6"/>
      <c r="P254" s="6"/>
      <c r="Q254" s="6"/>
      <c r="R254" s="6"/>
      <c r="S254" s="6"/>
      <c r="T254" s="6"/>
      <c r="U254" s="6"/>
      <c r="V254" s="6">
        <v>10</v>
      </c>
      <c r="W254" s="6">
        <v>6600</v>
      </c>
      <c r="X254" s="6">
        <v>4</v>
      </c>
      <c r="Y254" s="6">
        <v>2640</v>
      </c>
      <c r="Z254" s="6">
        <v>6</v>
      </c>
      <c r="AA254" s="6">
        <v>3960</v>
      </c>
      <c r="AB254" s="6">
        <f t="shared" si="6"/>
        <v>23</v>
      </c>
      <c r="AC254" s="6">
        <f t="shared" si="7"/>
        <v>15180</v>
      </c>
    </row>
    <row r="255" spans="1:29" s="1" customFormat="1" ht="21.25" customHeight="1" x14ac:dyDescent="0.35">
      <c r="A255" s="5">
        <v>253</v>
      </c>
      <c r="B255" s="5" t="s">
        <v>447</v>
      </c>
      <c r="C255" s="4" t="s">
        <v>36</v>
      </c>
      <c r="D255" s="6"/>
      <c r="E255" s="6"/>
      <c r="F255" s="6"/>
      <c r="G255" s="6"/>
      <c r="H255" s="6"/>
      <c r="I255" s="6"/>
      <c r="J255" s="6"/>
      <c r="K255" s="6"/>
      <c r="L255" s="6">
        <v>6</v>
      </c>
      <c r="M255" s="6">
        <v>8910</v>
      </c>
      <c r="N255" s="6">
        <v>6</v>
      </c>
      <c r="O255" s="6">
        <v>9900</v>
      </c>
      <c r="P255" s="6"/>
      <c r="Q255" s="6"/>
      <c r="R255" s="6"/>
      <c r="S255" s="6"/>
      <c r="T255" s="6">
        <v>2</v>
      </c>
      <c r="U255" s="6">
        <v>3300</v>
      </c>
      <c r="V255" s="6"/>
      <c r="W255" s="6"/>
      <c r="X255" s="6">
        <v>6</v>
      </c>
      <c r="Y255" s="6">
        <v>9900</v>
      </c>
      <c r="Z255" s="6">
        <v>2</v>
      </c>
      <c r="AA255" s="6">
        <v>3300</v>
      </c>
      <c r="AB255" s="6">
        <f t="shared" si="6"/>
        <v>22</v>
      </c>
      <c r="AC255" s="6">
        <f t="shared" si="7"/>
        <v>35310</v>
      </c>
    </row>
    <row r="256" spans="1:29" s="1" customFormat="1" ht="21.25" customHeight="1" x14ac:dyDescent="0.35">
      <c r="A256" s="5">
        <v>254</v>
      </c>
      <c r="B256" s="5" t="s">
        <v>447</v>
      </c>
      <c r="C256" s="4" t="s">
        <v>186</v>
      </c>
      <c r="D256" s="7"/>
      <c r="E256" s="7"/>
      <c r="F256" s="7"/>
      <c r="G256" s="7"/>
      <c r="H256" s="7"/>
      <c r="I256" s="7"/>
      <c r="J256" s="7"/>
      <c r="K256" s="7"/>
      <c r="L256" s="7">
        <v>12</v>
      </c>
      <c r="M256" s="7">
        <v>17820</v>
      </c>
      <c r="N256" s="7"/>
      <c r="O256" s="7"/>
      <c r="P256" s="7"/>
      <c r="Q256" s="7"/>
      <c r="R256" s="7"/>
      <c r="S256" s="7"/>
      <c r="T256" s="7">
        <v>2</v>
      </c>
      <c r="U256" s="7">
        <v>3300</v>
      </c>
      <c r="V256" s="7"/>
      <c r="W256" s="7"/>
      <c r="X256" s="7">
        <v>8</v>
      </c>
      <c r="Y256" s="7">
        <v>13200</v>
      </c>
      <c r="Z256" s="7"/>
      <c r="AA256" s="7"/>
      <c r="AB256" s="6">
        <f t="shared" si="6"/>
        <v>22</v>
      </c>
      <c r="AC256" s="6">
        <f t="shared" si="7"/>
        <v>34320</v>
      </c>
    </row>
    <row r="257" spans="1:29" s="1" customFormat="1" ht="21.25" customHeight="1" x14ac:dyDescent="0.35">
      <c r="A257" s="5">
        <v>255</v>
      </c>
      <c r="B257" s="5" t="s">
        <v>447</v>
      </c>
      <c r="C257" s="4" t="s">
        <v>392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>
        <v>3</v>
      </c>
      <c r="O257" s="6">
        <v>4950</v>
      </c>
      <c r="P257" s="6">
        <v>7</v>
      </c>
      <c r="Q257" s="6">
        <v>11550</v>
      </c>
      <c r="R257" s="6"/>
      <c r="S257" s="6"/>
      <c r="T257" s="6">
        <v>2</v>
      </c>
      <c r="U257" s="6">
        <v>3300</v>
      </c>
      <c r="V257" s="6">
        <v>5</v>
      </c>
      <c r="W257" s="6">
        <v>8250</v>
      </c>
      <c r="X257" s="6">
        <v>5</v>
      </c>
      <c r="Y257" s="6">
        <v>8250</v>
      </c>
      <c r="Z257" s="6"/>
      <c r="AA257" s="6"/>
      <c r="AB257" s="6">
        <f t="shared" si="6"/>
        <v>22</v>
      </c>
      <c r="AC257" s="6">
        <f t="shared" si="7"/>
        <v>36300</v>
      </c>
    </row>
    <row r="258" spans="1:29" s="1" customFormat="1" ht="21.25" customHeight="1" x14ac:dyDescent="0.35">
      <c r="A258" s="5">
        <v>256</v>
      </c>
      <c r="B258" s="5" t="s">
        <v>447</v>
      </c>
      <c r="C258" s="4" t="s">
        <v>31</v>
      </c>
      <c r="D258" s="7"/>
      <c r="E258" s="7"/>
      <c r="F258" s="7"/>
      <c r="G258" s="7"/>
      <c r="H258" s="7"/>
      <c r="I258" s="7"/>
      <c r="J258" s="7"/>
      <c r="K258" s="7"/>
      <c r="L258" s="7">
        <v>21</v>
      </c>
      <c r="M258" s="7">
        <v>31185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6">
        <f t="shared" si="6"/>
        <v>21</v>
      </c>
      <c r="AC258" s="6">
        <f t="shared" si="7"/>
        <v>31185</v>
      </c>
    </row>
    <row r="259" spans="1:29" s="1" customFormat="1" ht="21.25" customHeight="1" x14ac:dyDescent="0.35">
      <c r="A259" s="5">
        <v>257</v>
      </c>
      <c r="B259" s="5" t="s">
        <v>450</v>
      </c>
      <c r="C259" s="4" t="s">
        <v>255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>
        <v>3</v>
      </c>
      <c r="Q259" s="7">
        <v>9918</v>
      </c>
      <c r="R259" s="7"/>
      <c r="S259" s="7"/>
      <c r="T259" s="7">
        <v>2</v>
      </c>
      <c r="U259" s="7">
        <v>6612</v>
      </c>
      <c r="V259" s="7">
        <v>2</v>
      </c>
      <c r="W259" s="7">
        <v>6612</v>
      </c>
      <c r="X259" s="7">
        <v>10</v>
      </c>
      <c r="Y259" s="7">
        <v>33060</v>
      </c>
      <c r="Z259" s="7">
        <v>4</v>
      </c>
      <c r="AA259" s="7">
        <v>13224</v>
      </c>
      <c r="AB259" s="6">
        <f t="shared" ref="AB259:AB322" si="8">D259+F259+H259+J259+L259+N259+P259+R259+T259+V259+X259+Z259</f>
        <v>21</v>
      </c>
      <c r="AC259" s="6">
        <f t="shared" ref="AC259:AC322" si="9">E259+G259+I259+K259+M259+O259+Q259+S259+U259+W259+Y259+AA259</f>
        <v>69426</v>
      </c>
    </row>
    <row r="260" spans="1:29" s="1" customFormat="1" ht="21.25" customHeight="1" x14ac:dyDescent="0.35">
      <c r="A260" s="5">
        <v>258</v>
      </c>
      <c r="B260" s="5" t="s">
        <v>447</v>
      </c>
      <c r="C260" s="4" t="s">
        <v>13</v>
      </c>
      <c r="D260" s="6"/>
      <c r="E260" s="6"/>
      <c r="F260" s="6"/>
      <c r="G260" s="6"/>
      <c r="H260" s="6"/>
      <c r="I260" s="6"/>
      <c r="J260" s="6">
        <v>10</v>
      </c>
      <c r="K260" s="6">
        <v>33000</v>
      </c>
      <c r="L260" s="6">
        <v>10</v>
      </c>
      <c r="M260" s="6">
        <v>33000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>
        <f t="shared" si="8"/>
        <v>20</v>
      </c>
      <c r="AC260" s="6">
        <f t="shared" si="9"/>
        <v>66000</v>
      </c>
    </row>
    <row r="261" spans="1:29" s="1" customFormat="1" ht="21.25" customHeight="1" x14ac:dyDescent="0.35">
      <c r="A261" s="5">
        <v>259</v>
      </c>
      <c r="B261" s="5" t="s">
        <v>447</v>
      </c>
      <c r="C261" s="4" t="s">
        <v>226</v>
      </c>
      <c r="D261" s="7"/>
      <c r="E261" s="7"/>
      <c r="F261" s="7"/>
      <c r="G261" s="7"/>
      <c r="H261" s="7"/>
      <c r="I261" s="7"/>
      <c r="J261" s="7">
        <v>6</v>
      </c>
      <c r="K261" s="7">
        <v>19800</v>
      </c>
      <c r="L261" s="7"/>
      <c r="M261" s="7"/>
      <c r="N261" s="7"/>
      <c r="O261" s="7"/>
      <c r="P261" s="7"/>
      <c r="Q261" s="7"/>
      <c r="R261" s="7">
        <v>4</v>
      </c>
      <c r="S261" s="7">
        <v>14300</v>
      </c>
      <c r="T261" s="7"/>
      <c r="U261" s="7"/>
      <c r="V261" s="7"/>
      <c r="W261" s="7"/>
      <c r="X261" s="7">
        <v>10</v>
      </c>
      <c r="Y261" s="7">
        <v>35750</v>
      </c>
      <c r="Z261" s="7"/>
      <c r="AA261" s="7"/>
      <c r="AB261" s="6">
        <f t="shared" si="8"/>
        <v>20</v>
      </c>
      <c r="AC261" s="6">
        <f t="shared" si="9"/>
        <v>69850</v>
      </c>
    </row>
    <row r="262" spans="1:29" s="1" customFormat="1" ht="21.25" customHeight="1" x14ac:dyDescent="0.35">
      <c r="A262" s="5">
        <v>260</v>
      </c>
      <c r="B262" s="5" t="s">
        <v>447</v>
      </c>
      <c r="C262" s="4" t="s">
        <v>396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>
        <v>10</v>
      </c>
      <c r="U262" s="6">
        <v>14850</v>
      </c>
      <c r="V262" s="6">
        <v>5</v>
      </c>
      <c r="W262" s="6">
        <v>7425</v>
      </c>
      <c r="X262" s="6"/>
      <c r="Y262" s="6"/>
      <c r="Z262" s="6">
        <v>5</v>
      </c>
      <c r="AA262" s="6">
        <v>7425</v>
      </c>
      <c r="AB262" s="6">
        <f t="shared" si="8"/>
        <v>20</v>
      </c>
      <c r="AC262" s="6">
        <f t="shared" si="9"/>
        <v>29700</v>
      </c>
    </row>
    <row r="263" spans="1:29" s="1" customFormat="1" ht="21.25" customHeight="1" x14ac:dyDescent="0.35">
      <c r="A263" s="5">
        <v>261</v>
      </c>
      <c r="B263" s="5" t="s">
        <v>448</v>
      </c>
      <c r="C263" s="4" t="s">
        <v>436</v>
      </c>
      <c r="D263" s="6"/>
      <c r="E263" s="6"/>
      <c r="F263" s="6"/>
      <c r="G263" s="6"/>
      <c r="H263" s="6"/>
      <c r="I263" s="6"/>
      <c r="J263" s="6">
        <v>2</v>
      </c>
      <c r="K263" s="6">
        <v>5500</v>
      </c>
      <c r="L263" s="6">
        <v>1</v>
      </c>
      <c r="M263" s="6">
        <v>2750</v>
      </c>
      <c r="N263" s="6">
        <v>13</v>
      </c>
      <c r="O263" s="6">
        <v>35750</v>
      </c>
      <c r="P263" s="6"/>
      <c r="Q263" s="6"/>
      <c r="R263" s="6"/>
      <c r="S263" s="6"/>
      <c r="T263" s="6">
        <v>1</v>
      </c>
      <c r="U263" s="6">
        <v>2750</v>
      </c>
      <c r="V263" s="6">
        <v>2</v>
      </c>
      <c r="W263" s="6">
        <v>5500</v>
      </c>
      <c r="X263" s="6">
        <v>1</v>
      </c>
      <c r="Y263" s="6">
        <v>2750</v>
      </c>
      <c r="Z263" s="6"/>
      <c r="AA263" s="6"/>
      <c r="AB263" s="6">
        <f t="shared" si="8"/>
        <v>20</v>
      </c>
      <c r="AC263" s="6">
        <f t="shared" si="9"/>
        <v>55000</v>
      </c>
    </row>
    <row r="264" spans="1:29" s="1" customFormat="1" ht="21.25" customHeight="1" x14ac:dyDescent="0.35">
      <c r="A264" s="5">
        <v>262</v>
      </c>
      <c r="B264" s="5" t="s">
        <v>447</v>
      </c>
      <c r="C264" s="4" t="s">
        <v>184</v>
      </c>
      <c r="D264" s="7"/>
      <c r="E264" s="7"/>
      <c r="F264" s="7"/>
      <c r="G264" s="7"/>
      <c r="H264" s="7"/>
      <c r="I264" s="7"/>
      <c r="J264" s="7"/>
      <c r="K264" s="7"/>
      <c r="L264" s="7">
        <v>11</v>
      </c>
      <c r="M264" s="7">
        <v>30250</v>
      </c>
      <c r="N264" s="7"/>
      <c r="O264" s="7"/>
      <c r="P264" s="7"/>
      <c r="Q264" s="7"/>
      <c r="R264" s="7"/>
      <c r="S264" s="7"/>
      <c r="T264" s="7">
        <v>1</v>
      </c>
      <c r="U264" s="7">
        <v>2860</v>
      </c>
      <c r="V264" s="7"/>
      <c r="W264" s="7"/>
      <c r="X264" s="7"/>
      <c r="Y264" s="7"/>
      <c r="Z264" s="7">
        <v>7</v>
      </c>
      <c r="AA264" s="7">
        <v>20020</v>
      </c>
      <c r="AB264" s="6">
        <f t="shared" si="8"/>
        <v>19</v>
      </c>
      <c r="AC264" s="6">
        <f t="shared" si="9"/>
        <v>53130</v>
      </c>
    </row>
    <row r="265" spans="1:29" s="1" customFormat="1" ht="21.25" customHeight="1" x14ac:dyDescent="0.35">
      <c r="A265" s="5">
        <v>263</v>
      </c>
      <c r="B265" s="5" t="s">
        <v>447</v>
      </c>
      <c r="C265" s="4" t="s">
        <v>33</v>
      </c>
      <c r="D265" s="7"/>
      <c r="E265" s="7"/>
      <c r="F265" s="7"/>
      <c r="G265" s="7"/>
      <c r="H265" s="7"/>
      <c r="I265" s="7"/>
      <c r="J265" s="7"/>
      <c r="K265" s="7"/>
      <c r="L265" s="7">
        <v>8</v>
      </c>
      <c r="M265" s="7">
        <v>11880</v>
      </c>
      <c r="N265" s="7">
        <v>2</v>
      </c>
      <c r="O265" s="7">
        <v>3300</v>
      </c>
      <c r="P265" s="7"/>
      <c r="Q265" s="7"/>
      <c r="R265" s="7"/>
      <c r="S265" s="7"/>
      <c r="T265" s="7">
        <v>2</v>
      </c>
      <c r="U265" s="7">
        <v>3300</v>
      </c>
      <c r="V265" s="7"/>
      <c r="W265" s="7"/>
      <c r="X265" s="7"/>
      <c r="Y265" s="7"/>
      <c r="Z265" s="7">
        <v>7</v>
      </c>
      <c r="AA265" s="7">
        <v>11550</v>
      </c>
      <c r="AB265" s="6">
        <f t="shared" si="8"/>
        <v>19</v>
      </c>
      <c r="AC265" s="6">
        <f t="shared" si="9"/>
        <v>30030</v>
      </c>
    </row>
    <row r="266" spans="1:29" s="1" customFormat="1" ht="21.25" customHeight="1" x14ac:dyDescent="0.35">
      <c r="A266" s="5">
        <v>264</v>
      </c>
      <c r="B266" s="5" t="s">
        <v>447</v>
      </c>
      <c r="C266" s="4" t="s">
        <v>358</v>
      </c>
      <c r="D266" s="7"/>
      <c r="E266" s="7"/>
      <c r="F266" s="7"/>
      <c r="G266" s="7"/>
      <c r="H266" s="7"/>
      <c r="I266" s="7"/>
      <c r="J266" s="7">
        <v>3</v>
      </c>
      <c r="K266" s="7">
        <v>5775</v>
      </c>
      <c r="L266" s="7"/>
      <c r="M266" s="7"/>
      <c r="N266" s="7"/>
      <c r="O266" s="7"/>
      <c r="P266" s="7">
        <v>2</v>
      </c>
      <c r="Q266" s="7">
        <v>3850</v>
      </c>
      <c r="R266" s="7"/>
      <c r="S266" s="7"/>
      <c r="T266" s="7"/>
      <c r="U266" s="7"/>
      <c r="V266" s="7"/>
      <c r="W266" s="7"/>
      <c r="X266" s="7">
        <v>9</v>
      </c>
      <c r="Y266" s="7">
        <v>17325</v>
      </c>
      <c r="Z266" s="7">
        <v>5</v>
      </c>
      <c r="AA266" s="7">
        <v>9625</v>
      </c>
      <c r="AB266" s="6">
        <f t="shared" si="8"/>
        <v>19</v>
      </c>
      <c r="AC266" s="6">
        <f t="shared" si="9"/>
        <v>36575</v>
      </c>
    </row>
    <row r="267" spans="1:29" s="1" customFormat="1" ht="21.25" customHeight="1" x14ac:dyDescent="0.35">
      <c r="A267" s="5">
        <v>265</v>
      </c>
      <c r="B267" s="5" t="s">
        <v>447</v>
      </c>
      <c r="C267" s="4" t="s">
        <v>103</v>
      </c>
      <c r="D267" s="7"/>
      <c r="E267" s="7"/>
      <c r="F267" s="7"/>
      <c r="G267" s="7"/>
      <c r="H267" s="7"/>
      <c r="I267" s="7"/>
      <c r="J267" s="7"/>
      <c r="K267" s="7"/>
      <c r="L267" s="7">
        <v>4</v>
      </c>
      <c r="M267" s="7">
        <v>7700</v>
      </c>
      <c r="N267" s="7"/>
      <c r="O267" s="7"/>
      <c r="P267" s="7">
        <v>5</v>
      </c>
      <c r="Q267" s="7">
        <v>10175</v>
      </c>
      <c r="R267" s="7"/>
      <c r="S267" s="7"/>
      <c r="T267" s="7"/>
      <c r="U267" s="7"/>
      <c r="V267" s="7"/>
      <c r="W267" s="7"/>
      <c r="X267" s="7">
        <v>10</v>
      </c>
      <c r="Y267" s="7">
        <v>20350</v>
      </c>
      <c r="Z267" s="7"/>
      <c r="AA267" s="7"/>
      <c r="AB267" s="6">
        <f t="shared" si="8"/>
        <v>19</v>
      </c>
      <c r="AC267" s="6">
        <f t="shared" si="9"/>
        <v>38225</v>
      </c>
    </row>
    <row r="268" spans="1:29" s="1" customFormat="1" ht="21.25" customHeight="1" x14ac:dyDescent="0.35">
      <c r="A268" s="5">
        <v>266</v>
      </c>
      <c r="B268" s="5" t="s">
        <v>447</v>
      </c>
      <c r="C268" s="4" t="s">
        <v>134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>
        <v>10</v>
      </c>
      <c r="U268" s="7">
        <v>28600</v>
      </c>
      <c r="V268" s="7"/>
      <c r="W268" s="7"/>
      <c r="X268" s="7">
        <v>3</v>
      </c>
      <c r="Y268" s="7">
        <v>8580</v>
      </c>
      <c r="Z268" s="7">
        <v>6</v>
      </c>
      <c r="AA268" s="7">
        <v>17160</v>
      </c>
      <c r="AB268" s="6">
        <f t="shared" si="8"/>
        <v>19</v>
      </c>
      <c r="AC268" s="6">
        <f t="shared" si="9"/>
        <v>54340</v>
      </c>
    </row>
    <row r="269" spans="1:29" s="1" customFormat="1" ht="21.25" customHeight="1" x14ac:dyDescent="0.35">
      <c r="A269" s="5">
        <v>267</v>
      </c>
      <c r="B269" s="5" t="s">
        <v>447</v>
      </c>
      <c r="C269" s="4" t="s">
        <v>333</v>
      </c>
      <c r="D269" s="6"/>
      <c r="E269" s="6"/>
      <c r="F269" s="6"/>
      <c r="G269" s="6"/>
      <c r="H269" s="6"/>
      <c r="I269" s="6"/>
      <c r="J269" s="6"/>
      <c r="K269" s="6"/>
      <c r="L269" s="6">
        <v>2</v>
      </c>
      <c r="M269" s="6">
        <v>3850</v>
      </c>
      <c r="N269" s="6"/>
      <c r="O269" s="6"/>
      <c r="P269" s="6"/>
      <c r="Q269" s="6"/>
      <c r="R269" s="6">
        <v>2</v>
      </c>
      <c r="S269" s="6">
        <v>4070</v>
      </c>
      <c r="T269" s="6">
        <v>10</v>
      </c>
      <c r="U269" s="6">
        <v>20350</v>
      </c>
      <c r="V269" s="6"/>
      <c r="W269" s="6"/>
      <c r="X269" s="6"/>
      <c r="Y269" s="6"/>
      <c r="Z269" s="6">
        <v>4</v>
      </c>
      <c r="AA269" s="6">
        <v>8140</v>
      </c>
      <c r="AB269" s="6">
        <f t="shared" si="8"/>
        <v>18</v>
      </c>
      <c r="AC269" s="6">
        <f t="shared" si="9"/>
        <v>36410</v>
      </c>
    </row>
    <row r="270" spans="1:29" s="1" customFormat="1" ht="21.25" customHeight="1" x14ac:dyDescent="0.35">
      <c r="A270" s="5">
        <v>268</v>
      </c>
      <c r="B270" s="5" t="s">
        <v>447</v>
      </c>
      <c r="C270" s="4" t="s">
        <v>43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>
        <v>6</v>
      </c>
      <c r="O270" s="7">
        <v>9900</v>
      </c>
      <c r="P270" s="7"/>
      <c r="Q270" s="7"/>
      <c r="R270" s="7"/>
      <c r="S270" s="7"/>
      <c r="T270" s="7"/>
      <c r="U270" s="7"/>
      <c r="V270" s="7">
        <v>7</v>
      </c>
      <c r="W270" s="7">
        <v>11550</v>
      </c>
      <c r="X270" s="7">
        <v>4</v>
      </c>
      <c r="Y270" s="7">
        <v>6600</v>
      </c>
      <c r="Z270" s="7">
        <v>1</v>
      </c>
      <c r="AA270" s="7">
        <v>1650</v>
      </c>
      <c r="AB270" s="6">
        <f t="shared" si="8"/>
        <v>18</v>
      </c>
      <c r="AC270" s="6">
        <f t="shared" si="9"/>
        <v>29700</v>
      </c>
    </row>
    <row r="271" spans="1:29" s="1" customFormat="1" ht="21.25" customHeight="1" x14ac:dyDescent="0.35">
      <c r="A271" s="5">
        <v>269</v>
      </c>
      <c r="B271" s="5" t="s">
        <v>447</v>
      </c>
      <c r="C271" s="4" t="s">
        <v>47</v>
      </c>
      <c r="D271" s="7"/>
      <c r="E271" s="7"/>
      <c r="F271" s="7"/>
      <c r="G271" s="7"/>
      <c r="H271" s="7"/>
      <c r="I271" s="7"/>
      <c r="J271" s="7"/>
      <c r="K271" s="7"/>
      <c r="L271" s="7">
        <v>12</v>
      </c>
      <c r="M271" s="7">
        <v>17820</v>
      </c>
      <c r="N271" s="7"/>
      <c r="O271" s="7"/>
      <c r="P271" s="7">
        <v>2</v>
      </c>
      <c r="Q271" s="7">
        <v>3300</v>
      </c>
      <c r="R271" s="7"/>
      <c r="S271" s="7"/>
      <c r="T271" s="7"/>
      <c r="U271" s="7"/>
      <c r="V271" s="7"/>
      <c r="W271" s="7"/>
      <c r="X271" s="7">
        <v>4</v>
      </c>
      <c r="Y271" s="7">
        <v>6600</v>
      </c>
      <c r="Z271" s="7"/>
      <c r="AA271" s="7"/>
      <c r="AB271" s="6">
        <f t="shared" si="8"/>
        <v>18</v>
      </c>
      <c r="AC271" s="6">
        <f t="shared" si="9"/>
        <v>27720</v>
      </c>
    </row>
    <row r="272" spans="1:29" s="1" customFormat="1" ht="21.25" customHeight="1" x14ac:dyDescent="0.35">
      <c r="A272" s="5">
        <v>270</v>
      </c>
      <c r="B272" s="5" t="s">
        <v>447</v>
      </c>
      <c r="C272" s="4" t="s">
        <v>355</v>
      </c>
      <c r="D272" s="7"/>
      <c r="E272" s="7"/>
      <c r="F272" s="7"/>
      <c r="G272" s="7"/>
      <c r="H272" s="7"/>
      <c r="I272" s="7"/>
      <c r="J272" s="7">
        <v>15</v>
      </c>
      <c r="K272" s="7">
        <v>28875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>
        <v>2</v>
      </c>
      <c r="W272" s="7">
        <v>3850</v>
      </c>
      <c r="X272" s="7"/>
      <c r="Y272" s="7"/>
      <c r="Z272" s="7"/>
      <c r="AA272" s="7"/>
      <c r="AB272" s="6">
        <f t="shared" si="8"/>
        <v>17</v>
      </c>
      <c r="AC272" s="6">
        <f t="shared" si="9"/>
        <v>32725</v>
      </c>
    </row>
    <row r="273" spans="1:29" s="1" customFormat="1" ht="21.25" customHeight="1" x14ac:dyDescent="0.35">
      <c r="A273" s="5">
        <v>271</v>
      </c>
      <c r="B273" s="5" t="s">
        <v>447</v>
      </c>
      <c r="C273" s="4" t="s">
        <v>241</v>
      </c>
      <c r="D273" s="6"/>
      <c r="E273" s="6"/>
      <c r="F273" s="6"/>
      <c r="G273" s="6"/>
      <c r="H273" s="6"/>
      <c r="I273" s="6"/>
      <c r="J273" s="6">
        <v>1</v>
      </c>
      <c r="K273" s="6">
        <v>1650</v>
      </c>
      <c r="L273" s="6">
        <v>4</v>
      </c>
      <c r="M273" s="6">
        <v>6600</v>
      </c>
      <c r="N273" s="6"/>
      <c r="O273" s="6"/>
      <c r="P273" s="6"/>
      <c r="Q273" s="6"/>
      <c r="R273" s="6"/>
      <c r="S273" s="6"/>
      <c r="T273" s="6">
        <v>2</v>
      </c>
      <c r="U273" s="6">
        <v>3300</v>
      </c>
      <c r="V273" s="6">
        <v>5</v>
      </c>
      <c r="W273" s="6">
        <v>8250</v>
      </c>
      <c r="X273" s="6"/>
      <c r="Y273" s="6"/>
      <c r="Z273" s="6">
        <v>5</v>
      </c>
      <c r="AA273" s="6">
        <v>8250</v>
      </c>
      <c r="AB273" s="6">
        <f t="shared" si="8"/>
        <v>17</v>
      </c>
      <c r="AC273" s="6">
        <f t="shared" si="9"/>
        <v>28050</v>
      </c>
    </row>
    <row r="274" spans="1:29" s="1" customFormat="1" ht="21.25" customHeight="1" x14ac:dyDescent="0.35">
      <c r="A274" s="5">
        <v>272</v>
      </c>
      <c r="B274" s="5" t="s">
        <v>447</v>
      </c>
      <c r="C274" s="4" t="s">
        <v>62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>
        <v>12</v>
      </c>
      <c r="Y274" s="6">
        <v>27720</v>
      </c>
      <c r="Z274" s="6">
        <v>5</v>
      </c>
      <c r="AA274" s="6">
        <v>11550</v>
      </c>
      <c r="AB274" s="6">
        <f t="shared" si="8"/>
        <v>17</v>
      </c>
      <c r="AC274" s="6">
        <f t="shared" si="9"/>
        <v>39270</v>
      </c>
    </row>
    <row r="275" spans="1:29" s="1" customFormat="1" ht="21.25" customHeight="1" x14ac:dyDescent="0.35">
      <c r="A275" s="5">
        <v>273</v>
      </c>
      <c r="B275" s="5" t="s">
        <v>447</v>
      </c>
      <c r="C275" s="4" t="s">
        <v>102</v>
      </c>
      <c r="D275" s="6"/>
      <c r="E275" s="6"/>
      <c r="F275" s="6"/>
      <c r="G275" s="6"/>
      <c r="H275" s="6"/>
      <c r="I275" s="6"/>
      <c r="J275" s="6"/>
      <c r="K275" s="6"/>
      <c r="L275" s="6">
        <v>4</v>
      </c>
      <c r="M275" s="6">
        <v>7700</v>
      </c>
      <c r="N275" s="6">
        <v>2</v>
      </c>
      <c r="O275" s="6">
        <v>4070</v>
      </c>
      <c r="P275" s="6"/>
      <c r="Q275" s="6"/>
      <c r="R275" s="6">
        <v>1</v>
      </c>
      <c r="S275" s="6">
        <v>2035</v>
      </c>
      <c r="T275" s="6"/>
      <c r="U275" s="6"/>
      <c r="V275" s="6"/>
      <c r="W275" s="6"/>
      <c r="X275" s="6">
        <v>10</v>
      </c>
      <c r="Y275" s="6">
        <v>20350</v>
      </c>
      <c r="Z275" s="6"/>
      <c r="AA275" s="6"/>
      <c r="AB275" s="6">
        <f t="shared" si="8"/>
        <v>17</v>
      </c>
      <c r="AC275" s="6">
        <f t="shared" si="9"/>
        <v>34155</v>
      </c>
    </row>
    <row r="276" spans="1:29" s="1" customFormat="1" ht="21.25" customHeight="1" x14ac:dyDescent="0.35">
      <c r="A276" s="5">
        <v>274</v>
      </c>
      <c r="B276" s="5" t="s">
        <v>447</v>
      </c>
      <c r="C276" s="4" t="s">
        <v>391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>
        <v>3</v>
      </c>
      <c r="O276" s="7">
        <v>4950</v>
      </c>
      <c r="P276" s="7">
        <v>3</v>
      </c>
      <c r="Q276" s="7">
        <v>4950</v>
      </c>
      <c r="R276" s="7"/>
      <c r="S276" s="7"/>
      <c r="T276" s="7"/>
      <c r="U276" s="7"/>
      <c r="V276" s="7">
        <v>5</v>
      </c>
      <c r="W276" s="7">
        <v>8250</v>
      </c>
      <c r="X276" s="7"/>
      <c r="Y276" s="7"/>
      <c r="Z276" s="7">
        <v>5</v>
      </c>
      <c r="AA276" s="7">
        <v>8250</v>
      </c>
      <c r="AB276" s="6">
        <f t="shared" si="8"/>
        <v>16</v>
      </c>
      <c r="AC276" s="6">
        <f t="shared" si="9"/>
        <v>26400</v>
      </c>
    </row>
    <row r="277" spans="1:29" s="1" customFormat="1" ht="21.25" customHeight="1" x14ac:dyDescent="0.35">
      <c r="A277" s="5">
        <v>275</v>
      </c>
      <c r="B277" s="5" t="s">
        <v>447</v>
      </c>
      <c r="C277" s="4" t="s">
        <v>393</v>
      </c>
      <c r="D277" s="7"/>
      <c r="E277" s="7"/>
      <c r="F277" s="7"/>
      <c r="G277" s="7"/>
      <c r="H277" s="7"/>
      <c r="I277" s="7"/>
      <c r="J277" s="7"/>
      <c r="K277" s="7"/>
      <c r="L277" s="7">
        <v>3</v>
      </c>
      <c r="M277" s="7">
        <v>4950</v>
      </c>
      <c r="N277" s="7"/>
      <c r="O277" s="7"/>
      <c r="P277" s="7">
        <v>3</v>
      </c>
      <c r="Q277" s="7">
        <v>4950</v>
      </c>
      <c r="R277" s="7"/>
      <c r="S277" s="7"/>
      <c r="T277" s="7"/>
      <c r="U277" s="7"/>
      <c r="V277" s="7">
        <v>5</v>
      </c>
      <c r="W277" s="7">
        <v>8250</v>
      </c>
      <c r="X277" s="7">
        <v>5</v>
      </c>
      <c r="Y277" s="7">
        <v>8250</v>
      </c>
      <c r="Z277" s="7"/>
      <c r="AA277" s="7"/>
      <c r="AB277" s="6">
        <f t="shared" si="8"/>
        <v>16</v>
      </c>
      <c r="AC277" s="6">
        <f t="shared" si="9"/>
        <v>26400</v>
      </c>
    </row>
    <row r="278" spans="1:29" s="1" customFormat="1" ht="21.25" customHeight="1" x14ac:dyDescent="0.35">
      <c r="A278" s="5">
        <v>276</v>
      </c>
      <c r="B278" s="5" t="s">
        <v>448</v>
      </c>
      <c r="C278" s="4" t="s">
        <v>420</v>
      </c>
      <c r="D278" s="6"/>
      <c r="E278" s="6"/>
      <c r="F278" s="6"/>
      <c r="G278" s="6"/>
      <c r="H278" s="6"/>
      <c r="I278" s="6"/>
      <c r="J278" s="6"/>
      <c r="K278" s="6"/>
      <c r="L278" s="6">
        <v>2</v>
      </c>
      <c r="M278" s="6">
        <v>3600</v>
      </c>
      <c r="N278" s="6">
        <v>6</v>
      </c>
      <c r="O278" s="6">
        <v>10800</v>
      </c>
      <c r="P278" s="6"/>
      <c r="Q278" s="6"/>
      <c r="R278" s="6"/>
      <c r="S278" s="6"/>
      <c r="T278" s="6"/>
      <c r="U278" s="6"/>
      <c r="V278" s="6"/>
      <c r="W278" s="6"/>
      <c r="X278" s="6">
        <v>2</v>
      </c>
      <c r="Y278" s="6">
        <v>3900</v>
      </c>
      <c r="Z278" s="6">
        <v>6</v>
      </c>
      <c r="AA278" s="6">
        <v>11700</v>
      </c>
      <c r="AB278" s="6">
        <f t="shared" si="8"/>
        <v>16</v>
      </c>
      <c r="AC278" s="6">
        <f t="shared" si="9"/>
        <v>30000</v>
      </c>
    </row>
    <row r="279" spans="1:29" s="1" customFormat="1" ht="21.25" customHeight="1" x14ac:dyDescent="0.35">
      <c r="A279" s="5">
        <v>277</v>
      </c>
      <c r="B279" s="5" t="s">
        <v>447</v>
      </c>
      <c r="C279" s="4" t="s">
        <v>50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>
        <v>2</v>
      </c>
      <c r="W279" s="6">
        <v>3300</v>
      </c>
      <c r="X279" s="6">
        <v>12</v>
      </c>
      <c r="Y279" s="6">
        <v>19800</v>
      </c>
      <c r="Z279" s="6">
        <v>1</v>
      </c>
      <c r="AA279" s="6">
        <v>1650</v>
      </c>
      <c r="AB279" s="6">
        <f t="shared" si="8"/>
        <v>15</v>
      </c>
      <c r="AC279" s="6">
        <f t="shared" si="9"/>
        <v>24750</v>
      </c>
    </row>
    <row r="280" spans="1:29" s="1" customFormat="1" ht="21.25" customHeight="1" x14ac:dyDescent="0.35">
      <c r="A280" s="5">
        <v>278</v>
      </c>
      <c r="B280" s="5" t="s">
        <v>447</v>
      </c>
      <c r="C280" s="4" t="s">
        <v>395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>
        <v>10</v>
      </c>
      <c r="U280" s="7">
        <v>14850</v>
      </c>
      <c r="V280" s="7">
        <v>5</v>
      </c>
      <c r="W280" s="7">
        <v>7425</v>
      </c>
      <c r="X280" s="7"/>
      <c r="Y280" s="7"/>
      <c r="Z280" s="7"/>
      <c r="AA280" s="7"/>
      <c r="AB280" s="6">
        <f t="shared" si="8"/>
        <v>15</v>
      </c>
      <c r="AC280" s="6">
        <f t="shared" si="9"/>
        <v>22275</v>
      </c>
    </row>
    <row r="281" spans="1:29" s="1" customFormat="1" ht="21.25" customHeight="1" x14ac:dyDescent="0.35">
      <c r="A281" s="5">
        <v>279</v>
      </c>
      <c r="B281" s="5" t="s">
        <v>447</v>
      </c>
      <c r="C281" s="4" t="s">
        <v>398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>
        <v>10</v>
      </c>
      <c r="U281" s="6">
        <v>3300</v>
      </c>
      <c r="V281" s="6"/>
      <c r="W281" s="6"/>
      <c r="X281" s="6">
        <v>5</v>
      </c>
      <c r="Y281" s="6">
        <v>1650</v>
      </c>
      <c r="Z281" s="6"/>
      <c r="AA281" s="6"/>
      <c r="AB281" s="6">
        <f t="shared" si="8"/>
        <v>15</v>
      </c>
      <c r="AC281" s="6">
        <f t="shared" si="9"/>
        <v>4950</v>
      </c>
    </row>
    <row r="282" spans="1:29" s="1" customFormat="1" ht="21.25" customHeight="1" x14ac:dyDescent="0.35">
      <c r="A282" s="5">
        <v>280</v>
      </c>
      <c r="B282" s="5" t="s">
        <v>447</v>
      </c>
      <c r="C282" s="4" t="s">
        <v>140</v>
      </c>
      <c r="D282" s="6"/>
      <c r="E282" s="6"/>
      <c r="F282" s="6"/>
      <c r="G282" s="6"/>
      <c r="H282" s="6"/>
      <c r="I282" s="6"/>
      <c r="J282" s="6"/>
      <c r="K282" s="6"/>
      <c r="L282" s="6">
        <v>12</v>
      </c>
      <c r="M282" s="6">
        <v>49500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>
        <v>2</v>
      </c>
      <c r="Y282" s="6">
        <v>8800</v>
      </c>
      <c r="Z282" s="6">
        <v>1</v>
      </c>
      <c r="AA282" s="6">
        <v>4400</v>
      </c>
      <c r="AB282" s="6">
        <f t="shared" si="8"/>
        <v>15</v>
      </c>
      <c r="AC282" s="6">
        <f t="shared" si="9"/>
        <v>62700</v>
      </c>
    </row>
    <row r="283" spans="1:29" s="1" customFormat="1" ht="21.25" customHeight="1" x14ac:dyDescent="0.35">
      <c r="A283" s="5">
        <v>281</v>
      </c>
      <c r="B283" s="5" t="s">
        <v>450</v>
      </c>
      <c r="C283" s="4" t="s">
        <v>286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>
        <v>9</v>
      </c>
      <c r="O283" s="7">
        <v>21546</v>
      </c>
      <c r="P283" s="7">
        <v>6</v>
      </c>
      <c r="Q283" s="7">
        <v>14364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6">
        <f t="shared" si="8"/>
        <v>15</v>
      </c>
      <c r="AC283" s="6">
        <f t="shared" si="9"/>
        <v>35910</v>
      </c>
    </row>
    <row r="284" spans="1:29" s="1" customFormat="1" ht="21.25" customHeight="1" x14ac:dyDescent="0.35">
      <c r="A284" s="5">
        <v>282</v>
      </c>
      <c r="B284" s="5" t="s">
        <v>447</v>
      </c>
      <c r="C284" s="4" t="s">
        <v>35</v>
      </c>
      <c r="D284" s="7"/>
      <c r="E284" s="7"/>
      <c r="F284" s="7"/>
      <c r="G284" s="7"/>
      <c r="H284" s="7"/>
      <c r="I284" s="7"/>
      <c r="J284" s="7"/>
      <c r="K284" s="7"/>
      <c r="L284" s="7">
        <v>12</v>
      </c>
      <c r="M284" s="7">
        <v>17820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>
        <v>2</v>
      </c>
      <c r="Y284" s="7">
        <v>3300</v>
      </c>
      <c r="Z284" s="7"/>
      <c r="AA284" s="7"/>
      <c r="AB284" s="6">
        <f t="shared" si="8"/>
        <v>14</v>
      </c>
      <c r="AC284" s="6">
        <f t="shared" si="9"/>
        <v>21120</v>
      </c>
    </row>
    <row r="285" spans="1:29" s="1" customFormat="1" ht="21.25" customHeight="1" x14ac:dyDescent="0.35">
      <c r="A285" s="5">
        <v>283</v>
      </c>
      <c r="B285" s="5" t="s">
        <v>447</v>
      </c>
      <c r="C285" s="4" t="s">
        <v>54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>
        <v>14</v>
      </c>
      <c r="Y285" s="6">
        <v>23100</v>
      </c>
      <c r="Z285" s="6"/>
      <c r="AA285" s="6"/>
      <c r="AB285" s="6">
        <f t="shared" si="8"/>
        <v>14</v>
      </c>
      <c r="AC285" s="6">
        <f t="shared" si="9"/>
        <v>23100</v>
      </c>
    </row>
    <row r="286" spans="1:29" s="1" customFormat="1" ht="21.25" customHeight="1" x14ac:dyDescent="0.35">
      <c r="A286" s="5">
        <v>284</v>
      </c>
      <c r="B286" s="5" t="s">
        <v>447</v>
      </c>
      <c r="C286" s="4" t="s">
        <v>148</v>
      </c>
      <c r="D286" s="7"/>
      <c r="E286" s="7"/>
      <c r="F286" s="7"/>
      <c r="G286" s="7"/>
      <c r="H286" s="7"/>
      <c r="I286" s="7"/>
      <c r="J286" s="7"/>
      <c r="K286" s="7"/>
      <c r="L286" s="7">
        <v>4</v>
      </c>
      <c r="M286" s="7">
        <v>22000</v>
      </c>
      <c r="N286" s="7">
        <v>5</v>
      </c>
      <c r="O286" s="7">
        <v>28875</v>
      </c>
      <c r="P286" s="7"/>
      <c r="Q286" s="7"/>
      <c r="R286" s="7"/>
      <c r="S286" s="7"/>
      <c r="T286" s="7">
        <v>4</v>
      </c>
      <c r="U286" s="7">
        <v>23100</v>
      </c>
      <c r="V286" s="7"/>
      <c r="W286" s="7"/>
      <c r="X286" s="7"/>
      <c r="Y286" s="7"/>
      <c r="Z286" s="7">
        <v>1</v>
      </c>
      <c r="AA286" s="7">
        <v>5775</v>
      </c>
      <c r="AB286" s="6">
        <f t="shared" si="8"/>
        <v>14</v>
      </c>
      <c r="AC286" s="6">
        <f t="shared" si="9"/>
        <v>79750</v>
      </c>
    </row>
    <row r="287" spans="1:29" s="1" customFormat="1" ht="21.25" customHeight="1" x14ac:dyDescent="0.35">
      <c r="A287" s="5">
        <v>285</v>
      </c>
      <c r="B287" s="5" t="s">
        <v>448</v>
      </c>
      <c r="C287" s="4" t="s">
        <v>428</v>
      </c>
      <c r="D287" s="7"/>
      <c r="E287" s="7"/>
      <c r="F287" s="7"/>
      <c r="G287" s="7"/>
      <c r="H287" s="7"/>
      <c r="I287" s="7"/>
      <c r="J287" s="7">
        <v>14</v>
      </c>
      <c r="K287" s="7">
        <v>38500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6">
        <f t="shared" si="8"/>
        <v>14</v>
      </c>
      <c r="AC287" s="6">
        <f t="shared" si="9"/>
        <v>38500</v>
      </c>
    </row>
    <row r="288" spans="1:29" s="1" customFormat="1" ht="21.25" customHeight="1" x14ac:dyDescent="0.35">
      <c r="A288" s="5">
        <v>286</v>
      </c>
      <c r="B288" s="5" t="s">
        <v>450</v>
      </c>
      <c r="C288" s="4" t="s">
        <v>252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>
        <v>2</v>
      </c>
      <c r="Q288" s="7">
        <v>6612</v>
      </c>
      <c r="R288" s="7"/>
      <c r="S288" s="7"/>
      <c r="T288" s="7">
        <v>2</v>
      </c>
      <c r="U288" s="7">
        <v>6612</v>
      </c>
      <c r="V288" s="7">
        <v>2</v>
      </c>
      <c r="W288" s="7">
        <v>6612</v>
      </c>
      <c r="X288" s="7">
        <v>8</v>
      </c>
      <c r="Y288" s="7">
        <v>26448</v>
      </c>
      <c r="Z288" s="7"/>
      <c r="AA288" s="7"/>
      <c r="AB288" s="6">
        <f t="shared" si="8"/>
        <v>14</v>
      </c>
      <c r="AC288" s="6">
        <f t="shared" si="9"/>
        <v>46284</v>
      </c>
    </row>
    <row r="289" spans="1:29" s="1" customFormat="1" ht="21.25" customHeight="1" x14ac:dyDescent="0.35">
      <c r="A289" s="5">
        <v>287</v>
      </c>
      <c r="B289" s="5" t="s">
        <v>447</v>
      </c>
      <c r="C289" s="4" t="s">
        <v>343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>
        <v>1</v>
      </c>
      <c r="U289" s="7">
        <v>3025</v>
      </c>
      <c r="V289" s="7"/>
      <c r="W289" s="7"/>
      <c r="X289" s="7">
        <v>5</v>
      </c>
      <c r="Y289" s="7">
        <v>15125</v>
      </c>
      <c r="Z289" s="7">
        <v>7</v>
      </c>
      <c r="AA289" s="7">
        <v>21175</v>
      </c>
      <c r="AB289" s="6">
        <f t="shared" si="8"/>
        <v>13</v>
      </c>
      <c r="AC289" s="6">
        <f t="shared" si="9"/>
        <v>39325</v>
      </c>
    </row>
    <row r="290" spans="1:29" s="1" customFormat="1" ht="21.25" customHeight="1" x14ac:dyDescent="0.35">
      <c r="A290" s="5">
        <v>288</v>
      </c>
      <c r="B290" s="5" t="s">
        <v>447</v>
      </c>
      <c r="C290" s="4" t="s">
        <v>55</v>
      </c>
      <c r="D290" s="7"/>
      <c r="E290" s="7"/>
      <c r="F290" s="7"/>
      <c r="G290" s="7"/>
      <c r="H290" s="7"/>
      <c r="I290" s="7"/>
      <c r="J290" s="7"/>
      <c r="K290" s="7"/>
      <c r="L290" s="7">
        <v>12</v>
      </c>
      <c r="M290" s="7">
        <v>17820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>
        <v>1</v>
      </c>
      <c r="AA290" s="7">
        <v>1650</v>
      </c>
      <c r="AB290" s="6">
        <f t="shared" si="8"/>
        <v>13</v>
      </c>
      <c r="AC290" s="6">
        <f t="shared" si="9"/>
        <v>19470</v>
      </c>
    </row>
    <row r="291" spans="1:29" s="1" customFormat="1" ht="21.25" customHeight="1" x14ac:dyDescent="0.35">
      <c r="A291" s="5">
        <v>289</v>
      </c>
      <c r="B291" s="5" t="s">
        <v>448</v>
      </c>
      <c r="C291" s="4" t="s">
        <v>248</v>
      </c>
      <c r="D291" s="7"/>
      <c r="E291" s="7"/>
      <c r="F291" s="7"/>
      <c r="G291" s="7"/>
      <c r="H291" s="7"/>
      <c r="I291" s="7"/>
      <c r="J291" s="7">
        <v>2</v>
      </c>
      <c r="K291" s="7">
        <v>2600</v>
      </c>
      <c r="L291" s="7">
        <v>4</v>
      </c>
      <c r="M291" s="7">
        <v>5200</v>
      </c>
      <c r="N291" s="7">
        <v>1</v>
      </c>
      <c r="O291" s="7">
        <v>1300</v>
      </c>
      <c r="P291" s="7">
        <v>4</v>
      </c>
      <c r="Q291" s="7">
        <v>5200</v>
      </c>
      <c r="R291" s="7"/>
      <c r="S291" s="7"/>
      <c r="T291" s="7"/>
      <c r="U291" s="7"/>
      <c r="V291" s="7">
        <v>2</v>
      </c>
      <c r="W291" s="7">
        <v>2600</v>
      </c>
      <c r="X291" s="7"/>
      <c r="Y291" s="7"/>
      <c r="Z291" s="7"/>
      <c r="AA291" s="7"/>
      <c r="AB291" s="6">
        <f t="shared" si="8"/>
        <v>13</v>
      </c>
      <c r="AC291" s="6">
        <f t="shared" si="9"/>
        <v>16900</v>
      </c>
    </row>
    <row r="292" spans="1:29" s="1" customFormat="1" ht="21.25" customHeight="1" x14ac:dyDescent="0.35">
      <c r="A292" s="5">
        <v>290</v>
      </c>
      <c r="B292" s="5" t="s">
        <v>450</v>
      </c>
      <c r="C292" s="4" t="s">
        <v>153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>
        <v>2</v>
      </c>
      <c r="Q292" s="6">
        <v>6612</v>
      </c>
      <c r="R292" s="6"/>
      <c r="S292" s="6"/>
      <c r="T292" s="6">
        <v>4</v>
      </c>
      <c r="U292" s="6">
        <v>13224</v>
      </c>
      <c r="V292" s="6"/>
      <c r="W292" s="6"/>
      <c r="X292" s="6">
        <v>5</v>
      </c>
      <c r="Y292" s="6">
        <v>16530</v>
      </c>
      <c r="Z292" s="6">
        <v>2</v>
      </c>
      <c r="AA292" s="6">
        <v>6612</v>
      </c>
      <c r="AB292" s="6">
        <f t="shared" si="8"/>
        <v>13</v>
      </c>
      <c r="AC292" s="6">
        <f t="shared" si="9"/>
        <v>42978</v>
      </c>
    </row>
    <row r="293" spans="1:29" s="1" customFormat="1" ht="21.25" customHeight="1" x14ac:dyDescent="0.35">
      <c r="A293" s="5">
        <v>291</v>
      </c>
      <c r="B293" s="5" t="s">
        <v>447</v>
      </c>
      <c r="C293" s="4" t="s">
        <v>183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>
        <v>2</v>
      </c>
      <c r="S293" s="7">
        <v>7150</v>
      </c>
      <c r="T293" s="7"/>
      <c r="U293" s="7"/>
      <c r="V293" s="7"/>
      <c r="W293" s="7"/>
      <c r="X293" s="7">
        <v>10</v>
      </c>
      <c r="Y293" s="7">
        <v>35750</v>
      </c>
      <c r="Z293" s="7"/>
      <c r="AA293" s="7"/>
      <c r="AB293" s="6">
        <f t="shared" si="8"/>
        <v>12</v>
      </c>
      <c r="AC293" s="6">
        <f t="shared" si="9"/>
        <v>42900</v>
      </c>
    </row>
    <row r="294" spans="1:29" s="1" customFormat="1" ht="21.25" customHeight="1" x14ac:dyDescent="0.35">
      <c r="A294" s="5">
        <v>292</v>
      </c>
      <c r="B294" s="5" t="s">
        <v>447</v>
      </c>
      <c r="C294" s="4" t="s">
        <v>236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>
        <v>1</v>
      </c>
      <c r="U294" s="7">
        <v>2860</v>
      </c>
      <c r="V294" s="7"/>
      <c r="W294" s="7"/>
      <c r="X294" s="7">
        <v>3</v>
      </c>
      <c r="Y294" s="7">
        <v>8580</v>
      </c>
      <c r="Z294" s="7">
        <v>8</v>
      </c>
      <c r="AA294" s="7">
        <v>22880</v>
      </c>
      <c r="AB294" s="6">
        <f t="shared" si="8"/>
        <v>12</v>
      </c>
      <c r="AC294" s="6">
        <f t="shared" si="9"/>
        <v>34320</v>
      </c>
    </row>
    <row r="295" spans="1:29" s="1" customFormat="1" ht="21.25" customHeight="1" x14ac:dyDescent="0.35">
      <c r="A295" s="5">
        <v>293</v>
      </c>
      <c r="B295" s="5" t="s">
        <v>447</v>
      </c>
      <c r="C295" s="4" t="s">
        <v>56</v>
      </c>
      <c r="D295" s="6"/>
      <c r="E295" s="6"/>
      <c r="F295" s="6"/>
      <c r="G295" s="6"/>
      <c r="H295" s="6"/>
      <c r="I295" s="6"/>
      <c r="J295" s="6"/>
      <c r="K295" s="6"/>
      <c r="L295" s="6">
        <v>12</v>
      </c>
      <c r="M295" s="6">
        <v>17820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>
        <f t="shared" si="8"/>
        <v>12</v>
      </c>
      <c r="AC295" s="6">
        <f t="shared" si="9"/>
        <v>17820</v>
      </c>
    </row>
    <row r="296" spans="1:29" s="1" customFormat="1" ht="21.25" customHeight="1" x14ac:dyDescent="0.35">
      <c r="A296" s="5">
        <v>294</v>
      </c>
      <c r="B296" s="5" t="s">
        <v>447</v>
      </c>
      <c r="C296" s="4" t="s">
        <v>357</v>
      </c>
      <c r="D296" s="7"/>
      <c r="E296" s="7"/>
      <c r="F296" s="7"/>
      <c r="G296" s="7"/>
      <c r="H296" s="7"/>
      <c r="I296" s="7"/>
      <c r="J296" s="7">
        <v>1</v>
      </c>
      <c r="K296" s="7">
        <v>1925</v>
      </c>
      <c r="L296" s="7">
        <v>2</v>
      </c>
      <c r="M296" s="7">
        <v>3850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>
        <v>4</v>
      </c>
      <c r="Y296" s="7">
        <v>7700</v>
      </c>
      <c r="Z296" s="7">
        <v>5</v>
      </c>
      <c r="AA296" s="7">
        <v>9625</v>
      </c>
      <c r="AB296" s="6">
        <f t="shared" si="8"/>
        <v>12</v>
      </c>
      <c r="AC296" s="6">
        <f t="shared" si="9"/>
        <v>23100</v>
      </c>
    </row>
    <row r="297" spans="1:29" s="1" customFormat="1" ht="21.25" customHeight="1" x14ac:dyDescent="0.35">
      <c r="A297" s="5">
        <v>295</v>
      </c>
      <c r="B297" s="5" t="s">
        <v>447</v>
      </c>
      <c r="C297" s="4" t="s">
        <v>242</v>
      </c>
      <c r="D297" s="7"/>
      <c r="E297" s="7"/>
      <c r="F297" s="7"/>
      <c r="G297" s="7"/>
      <c r="H297" s="7"/>
      <c r="I297" s="7"/>
      <c r="J297" s="7"/>
      <c r="K297" s="7"/>
      <c r="L297" s="7">
        <v>2</v>
      </c>
      <c r="M297" s="7">
        <v>3300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>
        <v>5</v>
      </c>
      <c r="Y297" s="7">
        <v>8250</v>
      </c>
      <c r="Z297" s="7">
        <v>5</v>
      </c>
      <c r="AA297" s="7">
        <v>8250</v>
      </c>
      <c r="AB297" s="6">
        <f t="shared" si="8"/>
        <v>12</v>
      </c>
      <c r="AC297" s="6">
        <f t="shared" si="9"/>
        <v>19800</v>
      </c>
    </row>
    <row r="298" spans="1:29" s="1" customFormat="1" ht="21.25" customHeight="1" x14ac:dyDescent="0.35">
      <c r="A298" s="5">
        <v>296</v>
      </c>
      <c r="B298" s="5" t="s">
        <v>447</v>
      </c>
      <c r="C298" s="4" t="s">
        <v>108</v>
      </c>
      <c r="D298" s="7"/>
      <c r="E298" s="7"/>
      <c r="F298" s="7"/>
      <c r="G298" s="7"/>
      <c r="H298" s="7"/>
      <c r="I298" s="7"/>
      <c r="J298" s="7"/>
      <c r="K298" s="7"/>
      <c r="L298" s="7">
        <v>6</v>
      </c>
      <c r="M298" s="7">
        <v>23100</v>
      </c>
      <c r="N298" s="7">
        <v>2</v>
      </c>
      <c r="O298" s="7">
        <v>8250</v>
      </c>
      <c r="P298" s="7"/>
      <c r="Q298" s="7"/>
      <c r="R298" s="7"/>
      <c r="S298" s="7"/>
      <c r="T298" s="7"/>
      <c r="U298" s="7"/>
      <c r="V298" s="7">
        <v>2</v>
      </c>
      <c r="W298" s="7">
        <v>8250</v>
      </c>
      <c r="X298" s="7">
        <v>2</v>
      </c>
      <c r="Y298" s="7">
        <v>8250</v>
      </c>
      <c r="Z298" s="7"/>
      <c r="AA298" s="7"/>
      <c r="AB298" s="6">
        <f t="shared" si="8"/>
        <v>12</v>
      </c>
      <c r="AC298" s="6">
        <f t="shared" si="9"/>
        <v>47850</v>
      </c>
    </row>
    <row r="299" spans="1:29" s="1" customFormat="1" ht="21.25" customHeight="1" x14ac:dyDescent="0.35">
      <c r="A299" s="5">
        <v>297</v>
      </c>
      <c r="B299" s="5" t="s">
        <v>448</v>
      </c>
      <c r="C299" s="4" t="s">
        <v>223</v>
      </c>
      <c r="D299" s="6"/>
      <c r="E299" s="6"/>
      <c r="F299" s="6"/>
      <c r="G299" s="6"/>
      <c r="H299" s="6"/>
      <c r="I299" s="6"/>
      <c r="J299" s="6">
        <v>2</v>
      </c>
      <c r="K299" s="6">
        <v>2600</v>
      </c>
      <c r="L299" s="6"/>
      <c r="M299" s="6"/>
      <c r="N299" s="6">
        <v>6</v>
      </c>
      <c r="O299" s="6">
        <v>7800</v>
      </c>
      <c r="P299" s="6"/>
      <c r="Q299" s="6"/>
      <c r="R299" s="6"/>
      <c r="S299" s="6"/>
      <c r="T299" s="6"/>
      <c r="U299" s="6"/>
      <c r="V299" s="6">
        <v>4</v>
      </c>
      <c r="W299" s="6">
        <v>5200</v>
      </c>
      <c r="X299" s="6"/>
      <c r="Y299" s="6"/>
      <c r="Z299" s="6"/>
      <c r="AA299" s="6"/>
      <c r="AB299" s="6">
        <f t="shared" si="8"/>
        <v>12</v>
      </c>
      <c r="AC299" s="6">
        <f t="shared" si="9"/>
        <v>15600</v>
      </c>
    </row>
    <row r="300" spans="1:29" s="1" customFormat="1" ht="21.25" customHeight="1" x14ac:dyDescent="0.35">
      <c r="A300" s="5">
        <v>298</v>
      </c>
      <c r="B300" s="5" t="s">
        <v>448</v>
      </c>
      <c r="C300" s="4" t="s">
        <v>434</v>
      </c>
      <c r="D300" s="6"/>
      <c r="E300" s="6"/>
      <c r="F300" s="6"/>
      <c r="G300" s="6"/>
      <c r="H300" s="6"/>
      <c r="I300" s="6"/>
      <c r="J300" s="6"/>
      <c r="K300" s="6"/>
      <c r="L300" s="6">
        <v>6</v>
      </c>
      <c r="M300" s="6">
        <v>16500</v>
      </c>
      <c r="N300" s="6">
        <v>1</v>
      </c>
      <c r="O300" s="6">
        <v>2750</v>
      </c>
      <c r="P300" s="6">
        <v>4</v>
      </c>
      <c r="Q300" s="6">
        <v>11000</v>
      </c>
      <c r="R300" s="6"/>
      <c r="S300" s="6"/>
      <c r="T300" s="6">
        <v>1</v>
      </c>
      <c r="U300" s="6">
        <v>2750</v>
      </c>
      <c r="V300" s="6"/>
      <c r="W300" s="6"/>
      <c r="X300" s="6"/>
      <c r="Y300" s="6"/>
      <c r="Z300" s="6"/>
      <c r="AA300" s="6"/>
      <c r="AB300" s="6">
        <f t="shared" si="8"/>
        <v>12</v>
      </c>
      <c r="AC300" s="6">
        <f t="shared" si="9"/>
        <v>33000</v>
      </c>
    </row>
    <row r="301" spans="1:29" s="1" customFormat="1" ht="21.25" customHeight="1" x14ac:dyDescent="0.35">
      <c r="A301" s="5">
        <v>299</v>
      </c>
      <c r="B301" s="5" t="s">
        <v>450</v>
      </c>
      <c r="C301" s="4" t="s">
        <v>256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>
        <v>2</v>
      </c>
      <c r="Q301" s="6">
        <v>6612</v>
      </c>
      <c r="R301" s="6"/>
      <c r="S301" s="6"/>
      <c r="T301" s="6"/>
      <c r="U301" s="6"/>
      <c r="V301" s="6"/>
      <c r="W301" s="6"/>
      <c r="X301" s="6">
        <v>10</v>
      </c>
      <c r="Y301" s="6">
        <v>33060</v>
      </c>
      <c r="Z301" s="6"/>
      <c r="AA301" s="6"/>
      <c r="AB301" s="6">
        <f t="shared" si="8"/>
        <v>12</v>
      </c>
      <c r="AC301" s="6">
        <f t="shared" si="9"/>
        <v>39672</v>
      </c>
    </row>
    <row r="302" spans="1:29" s="1" customFormat="1" ht="21.25" customHeight="1" x14ac:dyDescent="0.35">
      <c r="A302" s="5">
        <v>300</v>
      </c>
      <c r="B302" s="5" t="s">
        <v>447</v>
      </c>
      <c r="C302" s="4" t="s">
        <v>17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>
        <v>7</v>
      </c>
      <c r="Y302" s="7">
        <v>15400</v>
      </c>
      <c r="Z302" s="7">
        <v>4</v>
      </c>
      <c r="AA302" s="7">
        <v>8800</v>
      </c>
      <c r="AB302" s="6">
        <f t="shared" si="8"/>
        <v>11</v>
      </c>
      <c r="AC302" s="6">
        <f t="shared" si="9"/>
        <v>24200</v>
      </c>
    </row>
    <row r="303" spans="1:29" s="1" customFormat="1" ht="21.25" customHeight="1" x14ac:dyDescent="0.35">
      <c r="A303" s="5">
        <v>301</v>
      </c>
      <c r="B303" s="5" t="s">
        <v>447</v>
      </c>
      <c r="C303" s="4" t="s">
        <v>37</v>
      </c>
      <c r="D303" s="7"/>
      <c r="E303" s="7"/>
      <c r="F303" s="7"/>
      <c r="G303" s="7"/>
      <c r="H303" s="7"/>
      <c r="I303" s="7"/>
      <c r="J303" s="7"/>
      <c r="K303" s="7"/>
      <c r="L303" s="7">
        <v>5</v>
      </c>
      <c r="M303" s="7">
        <v>7425</v>
      </c>
      <c r="N303" s="7">
        <v>2</v>
      </c>
      <c r="O303" s="7">
        <v>3300</v>
      </c>
      <c r="P303" s="7"/>
      <c r="Q303" s="7"/>
      <c r="R303" s="7"/>
      <c r="S303" s="7"/>
      <c r="T303" s="7"/>
      <c r="U303" s="7"/>
      <c r="V303" s="7"/>
      <c r="W303" s="7"/>
      <c r="X303" s="7">
        <v>4</v>
      </c>
      <c r="Y303" s="7">
        <v>6600</v>
      </c>
      <c r="Z303" s="7"/>
      <c r="AA303" s="7"/>
      <c r="AB303" s="6">
        <f t="shared" si="8"/>
        <v>11</v>
      </c>
      <c r="AC303" s="6">
        <f t="shared" si="9"/>
        <v>17325</v>
      </c>
    </row>
    <row r="304" spans="1:29" s="1" customFormat="1" ht="21.25" customHeight="1" x14ac:dyDescent="0.35">
      <c r="A304" s="5">
        <v>302</v>
      </c>
      <c r="B304" s="5" t="s">
        <v>447</v>
      </c>
      <c r="C304" s="4" t="s">
        <v>359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>
        <v>5</v>
      </c>
      <c r="W304" s="6">
        <v>9625</v>
      </c>
      <c r="X304" s="6">
        <v>1</v>
      </c>
      <c r="Y304" s="6">
        <v>1925</v>
      </c>
      <c r="Z304" s="6">
        <v>5</v>
      </c>
      <c r="AA304" s="6">
        <v>9625</v>
      </c>
      <c r="AB304" s="6">
        <f t="shared" si="8"/>
        <v>11</v>
      </c>
      <c r="AC304" s="6">
        <f t="shared" si="9"/>
        <v>21175</v>
      </c>
    </row>
    <row r="305" spans="1:29" s="1" customFormat="1" ht="21.25" customHeight="1" x14ac:dyDescent="0.35">
      <c r="A305" s="5">
        <v>303</v>
      </c>
      <c r="B305" s="5" t="s">
        <v>447</v>
      </c>
      <c r="C305" s="4" t="s">
        <v>372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>
        <v>3</v>
      </c>
      <c r="Q305" s="6">
        <v>4950</v>
      </c>
      <c r="R305" s="6">
        <v>3</v>
      </c>
      <c r="S305" s="6">
        <v>4950</v>
      </c>
      <c r="T305" s="6">
        <v>5</v>
      </c>
      <c r="U305" s="6">
        <v>8250</v>
      </c>
      <c r="V305" s="6"/>
      <c r="W305" s="6"/>
      <c r="X305" s="6"/>
      <c r="Y305" s="6"/>
      <c r="Z305" s="6"/>
      <c r="AA305" s="6"/>
      <c r="AB305" s="6">
        <f t="shared" si="8"/>
        <v>11</v>
      </c>
      <c r="AC305" s="6">
        <f t="shared" si="9"/>
        <v>18150</v>
      </c>
    </row>
    <row r="306" spans="1:29" s="1" customFormat="1" ht="21.25" customHeight="1" x14ac:dyDescent="0.35">
      <c r="A306" s="5">
        <v>304</v>
      </c>
      <c r="B306" s="5" t="s">
        <v>447</v>
      </c>
      <c r="C306" s="4" t="s">
        <v>377</v>
      </c>
      <c r="D306" s="7"/>
      <c r="E306" s="7"/>
      <c r="F306" s="7"/>
      <c r="G306" s="7"/>
      <c r="H306" s="7"/>
      <c r="I306" s="7"/>
      <c r="J306" s="7"/>
      <c r="K306" s="7"/>
      <c r="L306" s="7">
        <v>3</v>
      </c>
      <c r="M306" s="7">
        <v>4950</v>
      </c>
      <c r="N306" s="7"/>
      <c r="O306" s="7"/>
      <c r="P306" s="7">
        <v>3</v>
      </c>
      <c r="Q306" s="7">
        <v>4950</v>
      </c>
      <c r="R306" s="7"/>
      <c r="S306" s="7"/>
      <c r="T306" s="7"/>
      <c r="U306" s="7"/>
      <c r="V306" s="7"/>
      <c r="W306" s="7"/>
      <c r="X306" s="7">
        <v>5</v>
      </c>
      <c r="Y306" s="7">
        <v>8250</v>
      </c>
      <c r="Z306" s="7"/>
      <c r="AA306" s="7"/>
      <c r="AB306" s="6">
        <f t="shared" si="8"/>
        <v>11</v>
      </c>
      <c r="AC306" s="6">
        <f t="shared" si="9"/>
        <v>18150</v>
      </c>
    </row>
    <row r="307" spans="1:29" s="1" customFormat="1" ht="21.25" customHeight="1" x14ac:dyDescent="0.35">
      <c r="A307" s="5">
        <v>305</v>
      </c>
      <c r="B307" s="5" t="s">
        <v>447</v>
      </c>
      <c r="C307" s="4" t="s">
        <v>380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>
        <v>3</v>
      </c>
      <c r="Q307" s="6">
        <v>4950</v>
      </c>
      <c r="R307" s="6">
        <v>3</v>
      </c>
      <c r="S307" s="6">
        <v>4950</v>
      </c>
      <c r="T307" s="6">
        <v>5</v>
      </c>
      <c r="U307" s="6">
        <v>8250</v>
      </c>
      <c r="V307" s="6"/>
      <c r="W307" s="6"/>
      <c r="X307" s="6"/>
      <c r="Y307" s="6"/>
      <c r="Z307" s="6"/>
      <c r="AA307" s="6"/>
      <c r="AB307" s="6">
        <f t="shared" si="8"/>
        <v>11</v>
      </c>
      <c r="AC307" s="6">
        <f t="shared" si="9"/>
        <v>18150</v>
      </c>
    </row>
    <row r="308" spans="1:29" s="1" customFormat="1" ht="21.25" customHeight="1" x14ac:dyDescent="0.35">
      <c r="A308" s="5">
        <v>306</v>
      </c>
      <c r="B308" s="5" t="s">
        <v>447</v>
      </c>
      <c r="C308" s="4" t="s">
        <v>381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>
        <v>3</v>
      </c>
      <c r="Q308" s="7">
        <v>4950</v>
      </c>
      <c r="R308" s="7">
        <v>3</v>
      </c>
      <c r="S308" s="7">
        <v>4950</v>
      </c>
      <c r="T308" s="7">
        <v>5</v>
      </c>
      <c r="U308" s="7">
        <v>8250</v>
      </c>
      <c r="V308" s="7"/>
      <c r="W308" s="7"/>
      <c r="X308" s="7"/>
      <c r="Y308" s="7"/>
      <c r="Z308" s="7"/>
      <c r="AA308" s="7"/>
      <c r="AB308" s="6">
        <f t="shared" si="8"/>
        <v>11</v>
      </c>
      <c r="AC308" s="6">
        <f t="shared" si="9"/>
        <v>18150</v>
      </c>
    </row>
    <row r="309" spans="1:29" s="1" customFormat="1" ht="21.25" customHeight="1" x14ac:dyDescent="0.35">
      <c r="A309" s="5">
        <v>307</v>
      </c>
      <c r="B309" s="5" t="s">
        <v>447</v>
      </c>
      <c r="C309" s="4" t="s">
        <v>342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>
        <v>5</v>
      </c>
      <c r="U309" s="6">
        <v>14300</v>
      </c>
      <c r="V309" s="6">
        <v>5</v>
      </c>
      <c r="W309" s="6">
        <v>14300</v>
      </c>
      <c r="X309" s="6"/>
      <c r="Y309" s="6"/>
      <c r="Z309" s="6"/>
      <c r="AA309" s="6"/>
      <c r="AB309" s="6">
        <f t="shared" si="8"/>
        <v>10</v>
      </c>
      <c r="AC309" s="6">
        <f t="shared" si="9"/>
        <v>28600</v>
      </c>
    </row>
    <row r="310" spans="1:29" s="1" customFormat="1" ht="21.25" customHeight="1" x14ac:dyDescent="0.35">
      <c r="A310" s="5">
        <v>308</v>
      </c>
      <c r="B310" s="5" t="s">
        <v>447</v>
      </c>
      <c r="C310" s="4" t="s">
        <v>400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>
        <v>5</v>
      </c>
      <c r="W310" s="7">
        <v>15125</v>
      </c>
      <c r="X310" s="7"/>
      <c r="Y310" s="7"/>
      <c r="Z310" s="7">
        <v>5</v>
      </c>
      <c r="AA310" s="7">
        <v>15125</v>
      </c>
      <c r="AB310" s="6">
        <f t="shared" si="8"/>
        <v>10</v>
      </c>
      <c r="AC310" s="6">
        <f t="shared" si="9"/>
        <v>30250</v>
      </c>
    </row>
    <row r="311" spans="1:29" s="1" customFormat="1" ht="21.25" customHeight="1" x14ac:dyDescent="0.35">
      <c r="A311" s="5">
        <v>309</v>
      </c>
      <c r="B311" s="5" t="s">
        <v>447</v>
      </c>
      <c r="C311" s="4" t="s">
        <v>403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>
        <v>5</v>
      </c>
      <c r="W311" s="6">
        <v>15125</v>
      </c>
      <c r="X311" s="6"/>
      <c r="Y311" s="6"/>
      <c r="Z311" s="6">
        <v>5</v>
      </c>
      <c r="AA311" s="6">
        <v>15125</v>
      </c>
      <c r="AB311" s="6">
        <f t="shared" si="8"/>
        <v>10</v>
      </c>
      <c r="AC311" s="6">
        <f t="shared" si="9"/>
        <v>30250</v>
      </c>
    </row>
    <row r="312" spans="1:29" s="1" customFormat="1" ht="21.25" customHeight="1" x14ac:dyDescent="0.35">
      <c r="A312" s="5">
        <v>310</v>
      </c>
      <c r="B312" s="5" t="s">
        <v>447</v>
      </c>
      <c r="C312" s="4" t="s">
        <v>128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>
        <v>4</v>
      </c>
      <c r="Y312" s="7">
        <v>18700</v>
      </c>
      <c r="Z312" s="7">
        <v>6</v>
      </c>
      <c r="AA312" s="7">
        <v>28050</v>
      </c>
      <c r="AB312" s="6">
        <f t="shared" si="8"/>
        <v>10</v>
      </c>
      <c r="AC312" s="6">
        <f t="shared" si="9"/>
        <v>46750</v>
      </c>
    </row>
    <row r="313" spans="1:29" s="1" customFormat="1" ht="21.25" customHeight="1" x14ac:dyDescent="0.35">
      <c r="A313" s="5">
        <v>311</v>
      </c>
      <c r="B313" s="5" t="s">
        <v>448</v>
      </c>
      <c r="C313" s="4" t="s">
        <v>409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>
        <v>10</v>
      </c>
      <c r="U313" s="7">
        <v>25000</v>
      </c>
      <c r="V313" s="7"/>
      <c r="W313" s="7"/>
      <c r="X313" s="7"/>
      <c r="Y313" s="7"/>
      <c r="Z313" s="7"/>
      <c r="AA313" s="7"/>
      <c r="AB313" s="6">
        <f t="shared" si="8"/>
        <v>10</v>
      </c>
      <c r="AC313" s="6">
        <f t="shared" si="9"/>
        <v>25000</v>
      </c>
    </row>
    <row r="314" spans="1:29" s="1" customFormat="1" ht="21.25" customHeight="1" x14ac:dyDescent="0.35">
      <c r="A314" s="5">
        <v>312</v>
      </c>
      <c r="B314" s="5" t="s">
        <v>448</v>
      </c>
      <c r="C314" s="4" t="s">
        <v>213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>
        <v>10</v>
      </c>
      <c r="U314" s="7">
        <v>25000</v>
      </c>
      <c r="V314" s="7"/>
      <c r="W314" s="7"/>
      <c r="X314" s="7"/>
      <c r="Y314" s="7"/>
      <c r="Z314" s="7"/>
      <c r="AA314" s="7"/>
      <c r="AB314" s="6">
        <f t="shared" si="8"/>
        <v>10</v>
      </c>
      <c r="AC314" s="6">
        <f t="shared" si="9"/>
        <v>25000</v>
      </c>
    </row>
    <row r="315" spans="1:29" s="1" customFormat="1" ht="21.25" customHeight="1" x14ac:dyDescent="0.35">
      <c r="A315" s="5">
        <v>313</v>
      </c>
      <c r="B315" s="5" t="s">
        <v>448</v>
      </c>
      <c r="C315" s="4" t="s">
        <v>410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>
        <v>10</v>
      </c>
      <c r="U315" s="6">
        <v>25000</v>
      </c>
      <c r="V315" s="6"/>
      <c r="W315" s="6"/>
      <c r="X315" s="6"/>
      <c r="Y315" s="6"/>
      <c r="Z315" s="6"/>
      <c r="AA315" s="6"/>
      <c r="AB315" s="6">
        <f t="shared" si="8"/>
        <v>10</v>
      </c>
      <c r="AC315" s="6">
        <f t="shared" si="9"/>
        <v>25000</v>
      </c>
    </row>
    <row r="316" spans="1:29" s="1" customFormat="1" ht="21.25" customHeight="1" x14ac:dyDescent="0.35">
      <c r="A316" s="5">
        <v>314</v>
      </c>
      <c r="B316" s="5" t="s">
        <v>448</v>
      </c>
      <c r="C316" s="4" t="s">
        <v>214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>
        <v>10</v>
      </c>
      <c r="U316" s="7">
        <v>25000</v>
      </c>
      <c r="V316" s="7"/>
      <c r="W316" s="7"/>
      <c r="X316" s="7"/>
      <c r="Y316" s="7"/>
      <c r="Z316" s="7"/>
      <c r="AA316" s="7"/>
      <c r="AB316" s="6">
        <f t="shared" si="8"/>
        <v>10</v>
      </c>
      <c r="AC316" s="6">
        <f t="shared" si="9"/>
        <v>25000</v>
      </c>
    </row>
    <row r="317" spans="1:29" s="1" customFormat="1" ht="21.25" customHeight="1" x14ac:dyDescent="0.35">
      <c r="A317" s="5">
        <v>315</v>
      </c>
      <c r="B317" s="5" t="s">
        <v>450</v>
      </c>
      <c r="C317" s="4" t="s">
        <v>254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>
        <v>2</v>
      </c>
      <c r="Q317" s="6">
        <v>6612</v>
      </c>
      <c r="R317" s="6"/>
      <c r="S317" s="6"/>
      <c r="T317" s="6">
        <v>1</v>
      </c>
      <c r="U317" s="6">
        <v>3306</v>
      </c>
      <c r="V317" s="6">
        <v>2</v>
      </c>
      <c r="W317" s="6">
        <v>6612</v>
      </c>
      <c r="X317" s="6">
        <v>5</v>
      </c>
      <c r="Y317" s="6">
        <v>16530</v>
      </c>
      <c r="Z317" s="6"/>
      <c r="AA317" s="6"/>
      <c r="AB317" s="6">
        <f t="shared" si="8"/>
        <v>10</v>
      </c>
      <c r="AC317" s="6">
        <f t="shared" si="9"/>
        <v>33060</v>
      </c>
    </row>
    <row r="318" spans="1:29" s="1" customFormat="1" ht="21.25" customHeight="1" x14ac:dyDescent="0.35">
      <c r="A318" s="5">
        <v>316</v>
      </c>
      <c r="B318" s="5" t="s">
        <v>450</v>
      </c>
      <c r="C318" s="4" t="s">
        <v>314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>
        <v>2</v>
      </c>
      <c r="Q318" s="7">
        <v>6612</v>
      </c>
      <c r="R318" s="7"/>
      <c r="S318" s="7"/>
      <c r="T318" s="7">
        <v>2</v>
      </c>
      <c r="U318" s="7">
        <v>6612</v>
      </c>
      <c r="V318" s="7">
        <v>1</v>
      </c>
      <c r="W318" s="7">
        <v>3306</v>
      </c>
      <c r="X318" s="7">
        <v>5</v>
      </c>
      <c r="Y318" s="7">
        <v>16530</v>
      </c>
      <c r="Z318" s="7"/>
      <c r="AA318" s="7"/>
      <c r="AB318" s="6">
        <f t="shared" si="8"/>
        <v>10</v>
      </c>
      <c r="AC318" s="6">
        <f t="shared" si="9"/>
        <v>33060</v>
      </c>
    </row>
    <row r="319" spans="1:29" s="1" customFormat="1" ht="21.25" customHeight="1" x14ac:dyDescent="0.35">
      <c r="A319" s="5">
        <v>317</v>
      </c>
      <c r="B319" s="5" t="s">
        <v>450</v>
      </c>
      <c r="C319" s="4" t="s">
        <v>278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>
        <v>2</v>
      </c>
      <c r="Q319" s="7">
        <v>3648</v>
      </c>
      <c r="R319" s="7"/>
      <c r="S319" s="7"/>
      <c r="T319" s="7">
        <v>4</v>
      </c>
      <c r="U319" s="7">
        <v>7296</v>
      </c>
      <c r="V319" s="7">
        <v>4</v>
      </c>
      <c r="W319" s="7">
        <v>7296</v>
      </c>
      <c r="X319" s="7"/>
      <c r="Y319" s="7"/>
      <c r="Z319" s="7"/>
      <c r="AA319" s="7"/>
      <c r="AB319" s="6">
        <f t="shared" si="8"/>
        <v>10</v>
      </c>
      <c r="AC319" s="6">
        <f t="shared" si="9"/>
        <v>18240</v>
      </c>
    </row>
    <row r="320" spans="1:29" s="1" customFormat="1" ht="21.25" customHeight="1" x14ac:dyDescent="0.35">
      <c r="A320" s="5">
        <v>318</v>
      </c>
      <c r="B320" s="5" t="s">
        <v>447</v>
      </c>
      <c r="C320" s="4" t="s">
        <v>53</v>
      </c>
      <c r="D320" s="7"/>
      <c r="E320" s="7"/>
      <c r="F320" s="7"/>
      <c r="G320" s="7"/>
      <c r="H320" s="7"/>
      <c r="I320" s="7"/>
      <c r="J320" s="7"/>
      <c r="K320" s="7"/>
      <c r="L320" s="7">
        <v>5</v>
      </c>
      <c r="M320" s="7">
        <v>7425</v>
      </c>
      <c r="N320" s="7"/>
      <c r="O320" s="7"/>
      <c r="P320" s="7"/>
      <c r="Q320" s="7"/>
      <c r="R320" s="7"/>
      <c r="S320" s="7"/>
      <c r="T320" s="7">
        <v>2</v>
      </c>
      <c r="U320" s="7">
        <v>3300</v>
      </c>
      <c r="V320" s="7"/>
      <c r="W320" s="7"/>
      <c r="X320" s="7"/>
      <c r="Y320" s="7"/>
      <c r="Z320" s="7">
        <v>2</v>
      </c>
      <c r="AA320" s="7">
        <v>3300</v>
      </c>
      <c r="AB320" s="6">
        <f t="shared" si="8"/>
        <v>9</v>
      </c>
      <c r="AC320" s="6">
        <f t="shared" si="9"/>
        <v>14025</v>
      </c>
    </row>
    <row r="321" spans="1:29" s="1" customFormat="1" ht="21.25" customHeight="1" x14ac:dyDescent="0.35">
      <c r="A321" s="5">
        <v>319</v>
      </c>
      <c r="B321" s="5" t="s">
        <v>447</v>
      </c>
      <c r="C321" s="4" t="s">
        <v>167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>
        <v>6</v>
      </c>
      <c r="Q321" s="6">
        <v>67650</v>
      </c>
      <c r="R321" s="6"/>
      <c r="S321" s="6"/>
      <c r="T321" s="6"/>
      <c r="U321" s="6"/>
      <c r="V321" s="6"/>
      <c r="W321" s="6"/>
      <c r="X321" s="6">
        <v>3</v>
      </c>
      <c r="Y321" s="6">
        <v>33825</v>
      </c>
      <c r="Z321" s="6"/>
      <c r="AA321" s="6"/>
      <c r="AB321" s="6">
        <f t="shared" si="8"/>
        <v>9</v>
      </c>
      <c r="AC321" s="6">
        <f t="shared" si="9"/>
        <v>101475</v>
      </c>
    </row>
    <row r="322" spans="1:29" s="1" customFormat="1" ht="21.25" customHeight="1" x14ac:dyDescent="0.35">
      <c r="A322" s="5">
        <v>320</v>
      </c>
      <c r="B322" s="5" t="s">
        <v>447</v>
      </c>
      <c r="C322" s="4" t="s">
        <v>136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>
        <v>2</v>
      </c>
      <c r="Q322" s="7">
        <v>5720</v>
      </c>
      <c r="R322" s="7"/>
      <c r="S322" s="7"/>
      <c r="T322" s="7"/>
      <c r="U322" s="7"/>
      <c r="V322" s="7"/>
      <c r="W322" s="7"/>
      <c r="X322" s="7">
        <v>7</v>
      </c>
      <c r="Y322" s="7">
        <v>20020</v>
      </c>
      <c r="Z322" s="7"/>
      <c r="AA322" s="7"/>
      <c r="AB322" s="6">
        <f t="shared" si="8"/>
        <v>9</v>
      </c>
      <c r="AC322" s="6">
        <f t="shared" si="9"/>
        <v>25740</v>
      </c>
    </row>
    <row r="323" spans="1:29" s="1" customFormat="1" ht="21.25" customHeight="1" x14ac:dyDescent="0.35">
      <c r="A323" s="5">
        <v>321</v>
      </c>
      <c r="B323" s="5" t="s">
        <v>450</v>
      </c>
      <c r="C323" s="4" t="s">
        <v>257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>
        <v>2</v>
      </c>
      <c r="Q323" s="6">
        <v>3648</v>
      </c>
      <c r="R323" s="6">
        <v>5</v>
      </c>
      <c r="S323" s="6">
        <v>9120</v>
      </c>
      <c r="T323" s="6"/>
      <c r="U323" s="6"/>
      <c r="V323" s="6">
        <v>2</v>
      </c>
      <c r="W323" s="6">
        <v>3648</v>
      </c>
      <c r="X323" s="6"/>
      <c r="Y323" s="6"/>
      <c r="Z323" s="6"/>
      <c r="AA323" s="6"/>
      <c r="AB323" s="6">
        <f t="shared" ref="AB323:AB386" si="10">D323+F323+H323+J323+L323+N323+P323+R323+T323+V323+X323+Z323</f>
        <v>9</v>
      </c>
      <c r="AC323" s="6">
        <f t="shared" ref="AC323:AC386" si="11">E323+G323+I323+K323+M323+O323+Q323+S323+U323+W323+Y323+AA323</f>
        <v>16416</v>
      </c>
    </row>
    <row r="324" spans="1:29" s="1" customFormat="1" ht="21.25" customHeight="1" x14ac:dyDescent="0.35">
      <c r="A324" s="5">
        <v>322</v>
      </c>
      <c r="B324" s="5" t="s">
        <v>450</v>
      </c>
      <c r="C324" s="4" t="s">
        <v>262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>
        <v>5</v>
      </c>
      <c r="O324" s="7">
        <v>9120</v>
      </c>
      <c r="P324" s="7">
        <v>2</v>
      </c>
      <c r="Q324" s="7">
        <v>3648</v>
      </c>
      <c r="R324" s="7"/>
      <c r="S324" s="7"/>
      <c r="T324" s="7"/>
      <c r="U324" s="7"/>
      <c r="V324" s="7">
        <v>2</v>
      </c>
      <c r="W324" s="7">
        <v>3648</v>
      </c>
      <c r="X324" s="7"/>
      <c r="Y324" s="7"/>
      <c r="Z324" s="7"/>
      <c r="AA324" s="7"/>
      <c r="AB324" s="6">
        <f t="shared" si="10"/>
        <v>9</v>
      </c>
      <c r="AC324" s="6">
        <f t="shared" si="11"/>
        <v>16416</v>
      </c>
    </row>
    <row r="325" spans="1:29" s="1" customFormat="1" ht="21.25" customHeight="1" x14ac:dyDescent="0.35">
      <c r="A325" s="5">
        <v>323</v>
      </c>
      <c r="B325" s="5" t="s">
        <v>450</v>
      </c>
      <c r="C325" s="4" t="s">
        <v>285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>
        <v>6</v>
      </c>
      <c r="O325" s="6">
        <v>14364</v>
      </c>
      <c r="P325" s="6">
        <v>3</v>
      </c>
      <c r="Q325" s="6">
        <v>7182</v>
      </c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>
        <f t="shared" si="10"/>
        <v>9</v>
      </c>
      <c r="AC325" s="6">
        <f t="shared" si="11"/>
        <v>21546</v>
      </c>
    </row>
    <row r="326" spans="1:29" s="1" customFormat="1" ht="21.25" customHeight="1" x14ac:dyDescent="0.35">
      <c r="A326" s="5">
        <v>324</v>
      </c>
      <c r="B326" s="5" t="s">
        <v>450</v>
      </c>
      <c r="C326" s="4" t="s">
        <v>288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>
        <v>6</v>
      </c>
      <c r="O326" s="7">
        <v>14364</v>
      </c>
      <c r="P326" s="7">
        <v>3</v>
      </c>
      <c r="Q326" s="7">
        <v>7182</v>
      </c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6">
        <f t="shared" si="10"/>
        <v>9</v>
      </c>
      <c r="AC326" s="6">
        <f t="shared" si="11"/>
        <v>21546</v>
      </c>
    </row>
    <row r="327" spans="1:29" s="1" customFormat="1" ht="21.25" customHeight="1" x14ac:dyDescent="0.35">
      <c r="A327" s="5">
        <v>325</v>
      </c>
      <c r="B327" s="5" t="s">
        <v>447</v>
      </c>
      <c r="C327" s="4" t="s">
        <v>339</v>
      </c>
      <c r="D327" s="6"/>
      <c r="E327" s="6"/>
      <c r="F327" s="6"/>
      <c r="G327" s="6"/>
      <c r="H327" s="6"/>
      <c r="I327" s="6"/>
      <c r="J327" s="6"/>
      <c r="K327" s="6"/>
      <c r="L327" s="6">
        <v>6</v>
      </c>
      <c r="M327" s="6">
        <v>16500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>
        <v>2</v>
      </c>
      <c r="AA327" s="6">
        <v>5720</v>
      </c>
      <c r="AB327" s="6">
        <f t="shared" si="10"/>
        <v>8</v>
      </c>
      <c r="AC327" s="6">
        <f t="shared" si="11"/>
        <v>22220</v>
      </c>
    </row>
    <row r="328" spans="1:29" s="1" customFormat="1" ht="21.25" customHeight="1" x14ac:dyDescent="0.35">
      <c r="A328" s="5">
        <v>326</v>
      </c>
      <c r="B328" s="5" t="s">
        <v>447</v>
      </c>
      <c r="C328" s="4" t="s">
        <v>369</v>
      </c>
      <c r="D328" s="7"/>
      <c r="E328" s="7"/>
      <c r="F328" s="7"/>
      <c r="G328" s="7"/>
      <c r="H328" s="7"/>
      <c r="I328" s="7"/>
      <c r="J328" s="7"/>
      <c r="K328" s="7"/>
      <c r="L328" s="7">
        <v>3</v>
      </c>
      <c r="M328" s="7">
        <v>4950</v>
      </c>
      <c r="N328" s="7"/>
      <c r="O328" s="7"/>
      <c r="P328" s="7"/>
      <c r="Q328" s="7"/>
      <c r="R328" s="7"/>
      <c r="S328" s="7"/>
      <c r="T328" s="7">
        <v>5</v>
      </c>
      <c r="U328" s="7">
        <v>8250</v>
      </c>
      <c r="V328" s="7"/>
      <c r="W328" s="7"/>
      <c r="X328" s="7"/>
      <c r="Y328" s="7"/>
      <c r="Z328" s="7"/>
      <c r="AA328" s="7"/>
      <c r="AB328" s="6">
        <f t="shared" si="10"/>
        <v>8</v>
      </c>
      <c r="AC328" s="6">
        <f t="shared" si="11"/>
        <v>13200</v>
      </c>
    </row>
    <row r="329" spans="1:29" s="1" customFormat="1" ht="21.25" customHeight="1" x14ac:dyDescent="0.35">
      <c r="A329" s="5">
        <v>327</v>
      </c>
      <c r="B329" s="5" t="s">
        <v>447</v>
      </c>
      <c r="C329" s="4" t="s">
        <v>371</v>
      </c>
      <c r="D329" s="7"/>
      <c r="E329" s="7"/>
      <c r="F329" s="7"/>
      <c r="G329" s="7"/>
      <c r="H329" s="7"/>
      <c r="I329" s="7"/>
      <c r="J329" s="7"/>
      <c r="K329" s="7"/>
      <c r="L329" s="7">
        <v>3</v>
      </c>
      <c r="M329" s="7">
        <v>4950</v>
      </c>
      <c r="N329" s="7"/>
      <c r="O329" s="7"/>
      <c r="P329" s="7"/>
      <c r="Q329" s="7"/>
      <c r="R329" s="7"/>
      <c r="S329" s="7"/>
      <c r="T329" s="7">
        <v>5</v>
      </c>
      <c r="U329" s="7">
        <v>8250</v>
      </c>
      <c r="V329" s="7"/>
      <c r="W329" s="7"/>
      <c r="X329" s="7"/>
      <c r="Y329" s="7"/>
      <c r="Z329" s="7"/>
      <c r="AA329" s="7"/>
      <c r="AB329" s="6">
        <f t="shared" si="10"/>
        <v>8</v>
      </c>
      <c r="AC329" s="6">
        <f t="shared" si="11"/>
        <v>13200</v>
      </c>
    </row>
    <row r="330" spans="1:29" s="1" customFormat="1" ht="21.25" customHeight="1" x14ac:dyDescent="0.35">
      <c r="A330" s="5">
        <v>328</v>
      </c>
      <c r="B330" s="5" t="s">
        <v>447</v>
      </c>
      <c r="C330" s="4" t="s">
        <v>373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>
        <v>3</v>
      </c>
      <c r="S330" s="7">
        <v>4950</v>
      </c>
      <c r="T330" s="7">
        <v>5</v>
      </c>
      <c r="U330" s="7">
        <v>8250</v>
      </c>
      <c r="V330" s="7"/>
      <c r="W330" s="7"/>
      <c r="X330" s="7"/>
      <c r="Y330" s="7"/>
      <c r="Z330" s="7"/>
      <c r="AA330" s="7"/>
      <c r="AB330" s="6">
        <f t="shared" si="10"/>
        <v>8</v>
      </c>
      <c r="AC330" s="6">
        <f t="shared" si="11"/>
        <v>13200</v>
      </c>
    </row>
    <row r="331" spans="1:29" s="1" customFormat="1" ht="21.25" customHeight="1" x14ac:dyDescent="0.35">
      <c r="A331" s="5">
        <v>329</v>
      </c>
      <c r="B331" s="5" t="s">
        <v>447</v>
      </c>
      <c r="C331" s="4" t="s">
        <v>374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>
        <v>3</v>
      </c>
      <c r="S331" s="6">
        <v>4950</v>
      </c>
      <c r="T331" s="6">
        <v>5</v>
      </c>
      <c r="U331" s="6">
        <v>8250</v>
      </c>
      <c r="V331" s="6"/>
      <c r="W331" s="6"/>
      <c r="X331" s="6"/>
      <c r="Y331" s="6"/>
      <c r="Z331" s="6"/>
      <c r="AA331" s="6"/>
      <c r="AB331" s="6">
        <f t="shared" si="10"/>
        <v>8</v>
      </c>
      <c r="AC331" s="6">
        <f t="shared" si="11"/>
        <v>13200</v>
      </c>
    </row>
    <row r="332" spans="1:29" s="1" customFormat="1" ht="21.25" customHeight="1" x14ac:dyDescent="0.35">
      <c r="A332" s="5">
        <v>330</v>
      </c>
      <c r="B332" s="5" t="s">
        <v>447</v>
      </c>
      <c r="C332" s="4" t="s">
        <v>376</v>
      </c>
      <c r="D332" s="6"/>
      <c r="E332" s="6"/>
      <c r="F332" s="6"/>
      <c r="G332" s="6"/>
      <c r="H332" s="6"/>
      <c r="I332" s="6"/>
      <c r="J332" s="6"/>
      <c r="K332" s="6"/>
      <c r="L332" s="6">
        <v>3</v>
      </c>
      <c r="M332" s="6">
        <v>4950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>
        <v>5</v>
      </c>
      <c r="Y332" s="6">
        <v>8250</v>
      </c>
      <c r="Z332" s="6"/>
      <c r="AA332" s="6"/>
      <c r="AB332" s="6">
        <f t="shared" si="10"/>
        <v>8</v>
      </c>
      <c r="AC332" s="6">
        <f t="shared" si="11"/>
        <v>13200</v>
      </c>
    </row>
    <row r="333" spans="1:29" s="1" customFormat="1" ht="21.25" customHeight="1" x14ac:dyDescent="0.35">
      <c r="A333" s="5">
        <v>331</v>
      </c>
      <c r="B333" s="5" t="s">
        <v>447</v>
      </c>
      <c r="C333" s="4" t="s">
        <v>379</v>
      </c>
      <c r="D333" s="7"/>
      <c r="E333" s="7"/>
      <c r="F333" s="7"/>
      <c r="G333" s="7"/>
      <c r="H333" s="7"/>
      <c r="I333" s="7"/>
      <c r="J333" s="7"/>
      <c r="K333" s="7"/>
      <c r="L333" s="7">
        <v>3</v>
      </c>
      <c r="M333" s="7">
        <v>4950</v>
      </c>
      <c r="N333" s="7"/>
      <c r="O333" s="7"/>
      <c r="P333" s="7">
        <v>3</v>
      </c>
      <c r="Q333" s="7">
        <v>4950</v>
      </c>
      <c r="R333" s="7"/>
      <c r="S333" s="7"/>
      <c r="T333" s="7">
        <v>2</v>
      </c>
      <c r="U333" s="7">
        <v>3300</v>
      </c>
      <c r="V333" s="7"/>
      <c r="W333" s="7"/>
      <c r="X333" s="7"/>
      <c r="Y333" s="7"/>
      <c r="Z333" s="7"/>
      <c r="AA333" s="7"/>
      <c r="AB333" s="6">
        <f t="shared" si="10"/>
        <v>8</v>
      </c>
      <c r="AC333" s="6">
        <f t="shared" si="11"/>
        <v>13200</v>
      </c>
    </row>
    <row r="334" spans="1:29" s="1" customFormat="1" ht="21.25" customHeight="1" x14ac:dyDescent="0.35">
      <c r="A334" s="5">
        <v>332</v>
      </c>
      <c r="B334" s="5" t="s">
        <v>447</v>
      </c>
      <c r="C334" s="4" t="s">
        <v>382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>
        <v>3</v>
      </c>
      <c r="S334" s="6">
        <v>4950</v>
      </c>
      <c r="T334" s="6">
        <v>5</v>
      </c>
      <c r="U334" s="6">
        <v>8250</v>
      </c>
      <c r="V334" s="6"/>
      <c r="W334" s="6"/>
      <c r="X334" s="6"/>
      <c r="Y334" s="6"/>
      <c r="Z334" s="6"/>
      <c r="AA334" s="6"/>
      <c r="AB334" s="6">
        <f t="shared" si="10"/>
        <v>8</v>
      </c>
      <c r="AC334" s="6">
        <f t="shared" si="11"/>
        <v>13200</v>
      </c>
    </row>
    <row r="335" spans="1:29" s="1" customFormat="1" ht="21.25" customHeight="1" x14ac:dyDescent="0.35">
      <c r="A335" s="5">
        <v>333</v>
      </c>
      <c r="B335" s="5" t="s">
        <v>447</v>
      </c>
      <c r="C335" s="4" t="s">
        <v>388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>
        <v>3</v>
      </c>
      <c r="O335" s="6">
        <v>4950</v>
      </c>
      <c r="P335" s="6"/>
      <c r="Q335" s="6"/>
      <c r="R335" s="6"/>
      <c r="S335" s="6"/>
      <c r="T335" s="6"/>
      <c r="U335" s="6"/>
      <c r="V335" s="6"/>
      <c r="W335" s="6"/>
      <c r="X335" s="6">
        <v>5</v>
      </c>
      <c r="Y335" s="6">
        <v>8250</v>
      </c>
      <c r="Z335" s="6"/>
      <c r="AA335" s="6"/>
      <c r="AB335" s="6">
        <f t="shared" si="10"/>
        <v>8</v>
      </c>
      <c r="AC335" s="6">
        <f t="shared" si="11"/>
        <v>13200</v>
      </c>
    </row>
    <row r="336" spans="1:29" s="1" customFormat="1" ht="21.25" customHeight="1" x14ac:dyDescent="0.35">
      <c r="A336" s="5">
        <v>334</v>
      </c>
      <c r="B336" s="5" t="s">
        <v>450</v>
      </c>
      <c r="C336" s="4" t="s">
        <v>260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>
        <v>2</v>
      </c>
      <c r="Q336" s="7">
        <v>3648</v>
      </c>
      <c r="R336" s="7"/>
      <c r="S336" s="7"/>
      <c r="T336" s="7">
        <v>4</v>
      </c>
      <c r="U336" s="7">
        <v>7296</v>
      </c>
      <c r="V336" s="7"/>
      <c r="W336" s="7"/>
      <c r="X336" s="7"/>
      <c r="Y336" s="7"/>
      <c r="Z336" s="7">
        <v>2</v>
      </c>
      <c r="AA336" s="7">
        <v>3648</v>
      </c>
      <c r="AB336" s="6">
        <f t="shared" si="10"/>
        <v>8</v>
      </c>
      <c r="AC336" s="6">
        <f t="shared" si="11"/>
        <v>14592</v>
      </c>
    </row>
    <row r="337" spans="1:29" s="1" customFormat="1" ht="21.25" customHeight="1" x14ac:dyDescent="0.35">
      <c r="A337" s="5">
        <v>335</v>
      </c>
      <c r="B337" s="5" t="s">
        <v>450</v>
      </c>
      <c r="C337" s="4" t="s">
        <v>273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>
        <v>2</v>
      </c>
      <c r="Q337" s="6">
        <v>3648</v>
      </c>
      <c r="R337" s="6"/>
      <c r="S337" s="6"/>
      <c r="T337" s="6">
        <v>4</v>
      </c>
      <c r="U337" s="6">
        <v>7296</v>
      </c>
      <c r="V337" s="6"/>
      <c r="W337" s="6"/>
      <c r="X337" s="6"/>
      <c r="Y337" s="6"/>
      <c r="Z337" s="6">
        <v>2</v>
      </c>
      <c r="AA337" s="6">
        <v>3648</v>
      </c>
      <c r="AB337" s="6">
        <f t="shared" si="10"/>
        <v>8</v>
      </c>
      <c r="AC337" s="6">
        <f t="shared" si="11"/>
        <v>14592</v>
      </c>
    </row>
    <row r="338" spans="1:29" s="1" customFormat="1" ht="21.25" customHeight="1" x14ac:dyDescent="0.35">
      <c r="A338" s="5">
        <v>336</v>
      </c>
      <c r="B338" s="5" t="s">
        <v>450</v>
      </c>
      <c r="C338" s="4" t="s">
        <v>279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>
        <v>2</v>
      </c>
      <c r="Q338" s="6">
        <v>3648</v>
      </c>
      <c r="R338" s="6"/>
      <c r="S338" s="6"/>
      <c r="T338" s="6"/>
      <c r="U338" s="6"/>
      <c r="V338" s="6">
        <v>2</v>
      </c>
      <c r="W338" s="6">
        <v>3648</v>
      </c>
      <c r="X338" s="6"/>
      <c r="Y338" s="6"/>
      <c r="Z338" s="6">
        <v>4</v>
      </c>
      <c r="AA338" s="6">
        <v>7296</v>
      </c>
      <c r="AB338" s="6">
        <f t="shared" si="10"/>
        <v>8</v>
      </c>
      <c r="AC338" s="6">
        <f t="shared" si="11"/>
        <v>14592</v>
      </c>
    </row>
    <row r="339" spans="1:29" s="1" customFormat="1" ht="21.25" customHeight="1" x14ac:dyDescent="0.35">
      <c r="A339" s="5">
        <v>337</v>
      </c>
      <c r="B339" s="5" t="s">
        <v>447</v>
      </c>
      <c r="C339" s="4" t="s">
        <v>341</v>
      </c>
      <c r="D339" s="7"/>
      <c r="E339" s="7"/>
      <c r="F339" s="7"/>
      <c r="G339" s="7"/>
      <c r="H339" s="7"/>
      <c r="I339" s="7"/>
      <c r="J339" s="7"/>
      <c r="K339" s="7"/>
      <c r="L339" s="7">
        <v>4</v>
      </c>
      <c r="M339" s="7">
        <v>11000</v>
      </c>
      <c r="N339" s="7">
        <v>1</v>
      </c>
      <c r="O339" s="7">
        <v>2860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>
        <v>2</v>
      </c>
      <c r="AA339" s="7">
        <v>5720</v>
      </c>
      <c r="AB339" s="6">
        <f t="shared" si="10"/>
        <v>7</v>
      </c>
      <c r="AC339" s="6">
        <f t="shared" si="11"/>
        <v>19580</v>
      </c>
    </row>
    <row r="340" spans="1:29" s="1" customFormat="1" ht="21.25" customHeight="1" x14ac:dyDescent="0.35">
      <c r="A340" s="5">
        <v>338</v>
      </c>
      <c r="B340" s="5" t="s">
        <v>447</v>
      </c>
      <c r="C340" s="4" t="s">
        <v>63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>
        <v>2</v>
      </c>
      <c r="S340" s="7">
        <v>4070</v>
      </c>
      <c r="T340" s="7">
        <v>5</v>
      </c>
      <c r="U340" s="7">
        <v>10175</v>
      </c>
      <c r="V340" s="7"/>
      <c r="W340" s="7"/>
      <c r="X340" s="7"/>
      <c r="Y340" s="7"/>
      <c r="Z340" s="7"/>
      <c r="AA340" s="7"/>
      <c r="AB340" s="6">
        <f t="shared" si="10"/>
        <v>7</v>
      </c>
      <c r="AC340" s="6">
        <f t="shared" si="11"/>
        <v>14245</v>
      </c>
    </row>
    <row r="341" spans="1:29" s="1" customFormat="1" ht="21.25" customHeight="1" x14ac:dyDescent="0.35">
      <c r="A341" s="5">
        <v>339</v>
      </c>
      <c r="B341" s="5" t="s">
        <v>447</v>
      </c>
      <c r="C341" s="4" t="s">
        <v>132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>
        <v>6</v>
      </c>
      <c r="Y341" s="7">
        <v>17160</v>
      </c>
      <c r="Z341" s="7">
        <v>1</v>
      </c>
      <c r="AA341" s="7">
        <v>2860</v>
      </c>
      <c r="AB341" s="6">
        <f t="shared" si="10"/>
        <v>7</v>
      </c>
      <c r="AC341" s="6">
        <f t="shared" si="11"/>
        <v>20020</v>
      </c>
    </row>
    <row r="342" spans="1:29" s="1" customFormat="1" ht="21.25" customHeight="1" x14ac:dyDescent="0.35">
      <c r="A342" s="5">
        <v>340</v>
      </c>
      <c r="B342" s="5" t="s">
        <v>448</v>
      </c>
      <c r="C342" s="4" t="s">
        <v>427</v>
      </c>
      <c r="D342" s="6"/>
      <c r="E342" s="6"/>
      <c r="F342" s="6"/>
      <c r="G342" s="6"/>
      <c r="H342" s="6"/>
      <c r="I342" s="6"/>
      <c r="J342" s="6">
        <v>7</v>
      </c>
      <c r="K342" s="6">
        <v>19250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>
        <f t="shared" si="10"/>
        <v>7</v>
      </c>
      <c r="AC342" s="6">
        <f t="shared" si="11"/>
        <v>19250</v>
      </c>
    </row>
    <row r="343" spans="1:29" s="1" customFormat="1" ht="21.25" customHeight="1" x14ac:dyDescent="0.35">
      <c r="A343" s="5">
        <v>341</v>
      </c>
      <c r="B343" s="5" t="s">
        <v>450</v>
      </c>
      <c r="C343" s="4" t="s">
        <v>251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>
        <v>2</v>
      </c>
      <c r="Q343" s="6">
        <v>6612</v>
      </c>
      <c r="R343" s="6"/>
      <c r="S343" s="6"/>
      <c r="T343" s="6"/>
      <c r="U343" s="6"/>
      <c r="V343" s="6"/>
      <c r="W343" s="6"/>
      <c r="X343" s="6">
        <v>5</v>
      </c>
      <c r="Y343" s="6">
        <v>16530</v>
      </c>
      <c r="Z343" s="6"/>
      <c r="AA343" s="6"/>
      <c r="AB343" s="6">
        <f t="shared" si="10"/>
        <v>7</v>
      </c>
      <c r="AC343" s="6">
        <f t="shared" si="11"/>
        <v>23142</v>
      </c>
    </row>
    <row r="344" spans="1:29" s="1" customFormat="1" ht="21.25" customHeight="1" x14ac:dyDescent="0.35">
      <c r="A344" s="5">
        <v>342</v>
      </c>
      <c r="B344" s="5" t="s">
        <v>450</v>
      </c>
      <c r="C344" s="4" t="s">
        <v>306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>
        <v>2</v>
      </c>
      <c r="Q344" s="7">
        <v>6612</v>
      </c>
      <c r="R344" s="7"/>
      <c r="S344" s="7"/>
      <c r="T344" s="7"/>
      <c r="U344" s="7"/>
      <c r="V344" s="7"/>
      <c r="W344" s="7"/>
      <c r="X344" s="7">
        <v>5</v>
      </c>
      <c r="Y344" s="7">
        <v>16530</v>
      </c>
      <c r="Z344" s="7"/>
      <c r="AA344" s="7"/>
      <c r="AB344" s="6">
        <f t="shared" si="10"/>
        <v>7</v>
      </c>
      <c r="AC344" s="6">
        <f t="shared" si="11"/>
        <v>23142</v>
      </c>
    </row>
    <row r="345" spans="1:29" s="1" customFormat="1" ht="21.25" customHeight="1" x14ac:dyDescent="0.35">
      <c r="A345" s="5">
        <v>343</v>
      </c>
      <c r="B345" s="5" t="s">
        <v>450</v>
      </c>
      <c r="C345" s="4" t="s">
        <v>315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>
        <v>2</v>
      </c>
      <c r="Q345" s="6">
        <v>6612</v>
      </c>
      <c r="R345" s="6"/>
      <c r="S345" s="6"/>
      <c r="T345" s="6"/>
      <c r="U345" s="6"/>
      <c r="V345" s="6"/>
      <c r="W345" s="6"/>
      <c r="X345" s="6">
        <v>5</v>
      </c>
      <c r="Y345" s="6">
        <v>16530</v>
      </c>
      <c r="Z345" s="6"/>
      <c r="AA345" s="6"/>
      <c r="AB345" s="6">
        <f t="shared" si="10"/>
        <v>7</v>
      </c>
      <c r="AC345" s="6">
        <f t="shared" si="11"/>
        <v>23142</v>
      </c>
    </row>
    <row r="346" spans="1:29" s="1" customFormat="1" ht="21.25" customHeight="1" x14ac:dyDescent="0.35">
      <c r="A346" s="5">
        <v>344</v>
      </c>
      <c r="B346" s="5" t="s">
        <v>450</v>
      </c>
      <c r="C346" s="4" t="s">
        <v>274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>
        <v>1</v>
      </c>
      <c r="O346" s="7">
        <v>1824</v>
      </c>
      <c r="P346" s="7">
        <v>2</v>
      </c>
      <c r="Q346" s="7">
        <v>3648</v>
      </c>
      <c r="R346" s="7"/>
      <c r="S346" s="7"/>
      <c r="T346" s="7"/>
      <c r="U346" s="7"/>
      <c r="V346" s="7">
        <v>4</v>
      </c>
      <c r="W346" s="7">
        <v>7296</v>
      </c>
      <c r="X346" s="7"/>
      <c r="Y346" s="7"/>
      <c r="Z346" s="7"/>
      <c r="AA346" s="7"/>
      <c r="AB346" s="6">
        <f t="shared" si="10"/>
        <v>7</v>
      </c>
      <c r="AC346" s="6">
        <f t="shared" si="11"/>
        <v>12768</v>
      </c>
    </row>
    <row r="347" spans="1:29" s="1" customFormat="1" ht="21.25" customHeight="1" x14ac:dyDescent="0.35">
      <c r="A347" s="5">
        <v>345</v>
      </c>
      <c r="B347" s="5" t="s">
        <v>447</v>
      </c>
      <c r="C347" s="4" t="s">
        <v>348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>
        <v>2</v>
      </c>
      <c r="S347" s="6">
        <v>6050</v>
      </c>
      <c r="T347" s="6"/>
      <c r="U347" s="6"/>
      <c r="V347" s="6"/>
      <c r="W347" s="6"/>
      <c r="X347" s="6"/>
      <c r="Y347" s="6"/>
      <c r="Z347" s="6">
        <v>4</v>
      </c>
      <c r="AA347" s="6">
        <v>12100</v>
      </c>
      <c r="AB347" s="6">
        <f t="shared" si="10"/>
        <v>6</v>
      </c>
      <c r="AC347" s="6">
        <f t="shared" si="11"/>
        <v>18150</v>
      </c>
    </row>
    <row r="348" spans="1:29" s="1" customFormat="1" ht="21.25" customHeight="1" x14ac:dyDescent="0.35">
      <c r="A348" s="5">
        <v>346</v>
      </c>
      <c r="B348" s="5" t="s">
        <v>447</v>
      </c>
      <c r="C348" s="4" t="s">
        <v>370</v>
      </c>
      <c r="D348" s="6"/>
      <c r="E348" s="6"/>
      <c r="F348" s="6"/>
      <c r="G348" s="6"/>
      <c r="H348" s="6"/>
      <c r="I348" s="6"/>
      <c r="J348" s="6"/>
      <c r="K348" s="6"/>
      <c r="L348" s="6">
        <v>3</v>
      </c>
      <c r="M348" s="6">
        <v>4950</v>
      </c>
      <c r="N348" s="6"/>
      <c r="O348" s="6"/>
      <c r="P348" s="6">
        <v>3</v>
      </c>
      <c r="Q348" s="6">
        <v>4950</v>
      </c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>
        <f t="shared" si="10"/>
        <v>6</v>
      </c>
      <c r="AC348" s="6">
        <f t="shared" si="11"/>
        <v>9900</v>
      </c>
    </row>
    <row r="349" spans="1:29" s="1" customFormat="1" ht="21.25" customHeight="1" x14ac:dyDescent="0.35">
      <c r="A349" s="5">
        <v>347</v>
      </c>
      <c r="B349" s="5" t="s">
        <v>447</v>
      </c>
      <c r="C349" s="4" t="s">
        <v>389</v>
      </c>
      <c r="D349" s="7"/>
      <c r="E349" s="7"/>
      <c r="F349" s="7"/>
      <c r="G349" s="7"/>
      <c r="H349" s="7"/>
      <c r="I349" s="7"/>
      <c r="J349" s="7"/>
      <c r="K349" s="7"/>
      <c r="L349" s="7">
        <v>3</v>
      </c>
      <c r="M349" s="7">
        <v>4950</v>
      </c>
      <c r="N349" s="7"/>
      <c r="O349" s="7"/>
      <c r="P349" s="7">
        <v>3</v>
      </c>
      <c r="Q349" s="7">
        <v>4950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6">
        <f t="shared" si="10"/>
        <v>6</v>
      </c>
      <c r="AC349" s="6">
        <f t="shared" si="11"/>
        <v>9900</v>
      </c>
    </row>
    <row r="350" spans="1:29" s="1" customFormat="1" ht="21.25" customHeight="1" x14ac:dyDescent="0.35">
      <c r="A350" s="5">
        <v>348</v>
      </c>
      <c r="B350" s="5" t="s">
        <v>447</v>
      </c>
      <c r="C350" s="4" t="s">
        <v>390</v>
      </c>
      <c r="D350" s="6"/>
      <c r="E350" s="6"/>
      <c r="F350" s="6"/>
      <c r="G350" s="6"/>
      <c r="H350" s="6"/>
      <c r="I350" s="6"/>
      <c r="J350" s="6"/>
      <c r="K350" s="6"/>
      <c r="L350" s="6">
        <v>3</v>
      </c>
      <c r="M350" s="6">
        <v>4950</v>
      </c>
      <c r="N350" s="6"/>
      <c r="O350" s="6"/>
      <c r="P350" s="6">
        <v>3</v>
      </c>
      <c r="Q350" s="6">
        <v>4950</v>
      </c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>
        <f t="shared" si="10"/>
        <v>6</v>
      </c>
      <c r="AC350" s="6">
        <f t="shared" si="11"/>
        <v>9900</v>
      </c>
    </row>
    <row r="351" spans="1:29" s="1" customFormat="1" ht="21.25" customHeight="1" x14ac:dyDescent="0.35">
      <c r="A351" s="5">
        <v>349</v>
      </c>
      <c r="B351" s="5" t="s">
        <v>447</v>
      </c>
      <c r="C351" s="4" t="s">
        <v>394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>
        <v>3</v>
      </c>
      <c r="O351" s="6">
        <v>6600</v>
      </c>
      <c r="P351" s="6"/>
      <c r="Q351" s="6"/>
      <c r="R351" s="6"/>
      <c r="S351" s="6"/>
      <c r="T351" s="6"/>
      <c r="U351" s="6"/>
      <c r="V351" s="6">
        <v>3</v>
      </c>
      <c r="W351" s="6">
        <v>6600</v>
      </c>
      <c r="X351" s="6"/>
      <c r="Y351" s="6"/>
      <c r="Z351" s="6"/>
      <c r="AA351" s="6"/>
      <c r="AB351" s="6">
        <f t="shared" si="10"/>
        <v>6</v>
      </c>
      <c r="AC351" s="6">
        <f t="shared" si="11"/>
        <v>13200</v>
      </c>
    </row>
    <row r="352" spans="1:29" s="1" customFormat="1" ht="21.25" customHeight="1" x14ac:dyDescent="0.35">
      <c r="A352" s="5">
        <v>350</v>
      </c>
      <c r="B352" s="5" t="s">
        <v>447</v>
      </c>
      <c r="C352" s="4" t="s">
        <v>135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>
        <v>5</v>
      </c>
      <c r="Y352" s="6">
        <v>14300</v>
      </c>
      <c r="Z352" s="6">
        <v>1</v>
      </c>
      <c r="AA352" s="6">
        <v>2860</v>
      </c>
      <c r="AB352" s="6">
        <f t="shared" si="10"/>
        <v>6</v>
      </c>
      <c r="AC352" s="6">
        <f t="shared" si="11"/>
        <v>17160</v>
      </c>
    </row>
    <row r="353" spans="1:29" s="1" customFormat="1" ht="21.25" customHeight="1" x14ac:dyDescent="0.35">
      <c r="A353" s="5">
        <v>351</v>
      </c>
      <c r="B353" s="5" t="s">
        <v>448</v>
      </c>
      <c r="C353" s="4" t="s">
        <v>422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>
        <v>3</v>
      </c>
      <c r="S353" s="6">
        <v>5100</v>
      </c>
      <c r="T353" s="6"/>
      <c r="U353" s="6"/>
      <c r="V353" s="6">
        <v>3</v>
      </c>
      <c r="W353" s="6">
        <v>5100</v>
      </c>
      <c r="X353" s="6"/>
      <c r="Y353" s="6"/>
      <c r="Z353" s="6"/>
      <c r="AA353" s="6"/>
      <c r="AB353" s="6">
        <f t="shared" si="10"/>
        <v>6</v>
      </c>
      <c r="AC353" s="6">
        <f t="shared" si="11"/>
        <v>10200</v>
      </c>
    </row>
    <row r="354" spans="1:29" s="1" customFormat="1" ht="21.25" customHeight="1" x14ac:dyDescent="0.35">
      <c r="A354" s="5">
        <v>352</v>
      </c>
      <c r="B354" s="5" t="s">
        <v>448</v>
      </c>
      <c r="C354" s="4" t="s">
        <v>312</v>
      </c>
      <c r="D354" s="6"/>
      <c r="E354" s="6"/>
      <c r="F354" s="6"/>
      <c r="G354" s="6"/>
      <c r="H354" s="6"/>
      <c r="I354" s="6"/>
      <c r="J354" s="6"/>
      <c r="K354" s="6"/>
      <c r="L354" s="6">
        <v>3</v>
      </c>
      <c r="M354" s="6">
        <v>11550</v>
      </c>
      <c r="N354" s="6"/>
      <c r="O354" s="6"/>
      <c r="P354" s="6"/>
      <c r="Q354" s="6"/>
      <c r="R354" s="6">
        <v>2</v>
      </c>
      <c r="S354" s="6">
        <v>7700</v>
      </c>
      <c r="T354" s="6">
        <v>1</v>
      </c>
      <c r="U354" s="6">
        <v>3850</v>
      </c>
      <c r="V354" s="6"/>
      <c r="W354" s="6"/>
      <c r="X354" s="6"/>
      <c r="Y354" s="6"/>
      <c r="Z354" s="6"/>
      <c r="AA354" s="6"/>
      <c r="AB354" s="6">
        <f t="shared" si="10"/>
        <v>6</v>
      </c>
      <c r="AC354" s="6">
        <f t="shared" si="11"/>
        <v>23100</v>
      </c>
    </row>
    <row r="355" spans="1:29" s="1" customFormat="1" ht="21.25" customHeight="1" x14ac:dyDescent="0.35">
      <c r="A355" s="5">
        <v>353</v>
      </c>
      <c r="B355" s="5" t="s">
        <v>450</v>
      </c>
      <c r="C355" s="4" t="s">
        <v>272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>
        <v>2</v>
      </c>
      <c r="Q355" s="7">
        <v>3648</v>
      </c>
      <c r="R355" s="7"/>
      <c r="S355" s="7"/>
      <c r="T355" s="7"/>
      <c r="U355" s="7"/>
      <c r="V355" s="7">
        <v>4</v>
      </c>
      <c r="W355" s="7">
        <v>7296</v>
      </c>
      <c r="X355" s="7"/>
      <c r="Y355" s="7"/>
      <c r="Z355" s="7"/>
      <c r="AA355" s="7"/>
      <c r="AB355" s="6">
        <f t="shared" si="10"/>
        <v>6</v>
      </c>
      <c r="AC355" s="6">
        <f t="shared" si="11"/>
        <v>10944</v>
      </c>
    </row>
    <row r="356" spans="1:29" s="1" customFormat="1" ht="21.25" customHeight="1" x14ac:dyDescent="0.35">
      <c r="A356" s="5">
        <v>354</v>
      </c>
      <c r="B356" s="5" t="s">
        <v>450</v>
      </c>
      <c r="C356" s="4" t="s">
        <v>276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>
        <v>2</v>
      </c>
      <c r="Q356" s="7">
        <v>3648</v>
      </c>
      <c r="R356" s="7"/>
      <c r="S356" s="7"/>
      <c r="T356" s="7"/>
      <c r="U356" s="7"/>
      <c r="V356" s="7">
        <v>4</v>
      </c>
      <c r="W356" s="7">
        <v>7296</v>
      </c>
      <c r="X356" s="7"/>
      <c r="Y356" s="7"/>
      <c r="Z356" s="7"/>
      <c r="AA356" s="7"/>
      <c r="AB356" s="6">
        <f t="shared" si="10"/>
        <v>6</v>
      </c>
      <c r="AC356" s="6">
        <f t="shared" si="11"/>
        <v>10944</v>
      </c>
    </row>
    <row r="357" spans="1:29" s="1" customFormat="1" ht="21.25" customHeight="1" x14ac:dyDescent="0.35">
      <c r="A357" s="5">
        <v>355</v>
      </c>
      <c r="B357" s="5" t="s">
        <v>450</v>
      </c>
      <c r="C357" s="4" t="s">
        <v>277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>
        <v>2</v>
      </c>
      <c r="Q357" s="6">
        <v>3648</v>
      </c>
      <c r="R357" s="6"/>
      <c r="S357" s="6"/>
      <c r="T357" s="6"/>
      <c r="U357" s="6"/>
      <c r="V357" s="6">
        <v>4</v>
      </c>
      <c r="W357" s="6">
        <v>7296</v>
      </c>
      <c r="X357" s="6"/>
      <c r="Y357" s="6"/>
      <c r="Z357" s="6"/>
      <c r="AA357" s="6"/>
      <c r="AB357" s="6">
        <f t="shared" si="10"/>
        <v>6</v>
      </c>
      <c r="AC357" s="6">
        <f t="shared" si="11"/>
        <v>10944</v>
      </c>
    </row>
    <row r="358" spans="1:29" s="1" customFormat="1" ht="21.25" customHeight="1" x14ac:dyDescent="0.35">
      <c r="A358" s="5">
        <v>356</v>
      </c>
      <c r="B358" s="5" t="s">
        <v>450</v>
      </c>
      <c r="C358" s="4" t="s">
        <v>280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>
        <v>2</v>
      </c>
      <c r="Q358" s="7">
        <v>3648</v>
      </c>
      <c r="R358" s="7"/>
      <c r="S358" s="7"/>
      <c r="T358" s="7"/>
      <c r="U358" s="7"/>
      <c r="V358" s="7">
        <v>4</v>
      </c>
      <c r="W358" s="7">
        <v>7296</v>
      </c>
      <c r="X358" s="7"/>
      <c r="Y358" s="7"/>
      <c r="Z358" s="7"/>
      <c r="AA358" s="7"/>
      <c r="AB358" s="6">
        <f t="shared" si="10"/>
        <v>6</v>
      </c>
      <c r="AC358" s="6">
        <f t="shared" si="11"/>
        <v>10944</v>
      </c>
    </row>
    <row r="359" spans="1:29" s="1" customFormat="1" ht="21.25" customHeight="1" x14ac:dyDescent="0.35">
      <c r="A359" s="5">
        <v>357</v>
      </c>
      <c r="B359" s="5" t="s">
        <v>450</v>
      </c>
      <c r="C359" s="4" t="s">
        <v>157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>
        <v>6</v>
      </c>
      <c r="O359" s="6">
        <v>14364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>
        <f t="shared" si="10"/>
        <v>6</v>
      </c>
      <c r="AC359" s="6">
        <f t="shared" si="11"/>
        <v>14364</v>
      </c>
    </row>
    <row r="360" spans="1:29" s="1" customFormat="1" ht="21.25" customHeight="1" x14ac:dyDescent="0.35">
      <c r="A360" s="5">
        <v>358</v>
      </c>
      <c r="B360" s="5" t="s">
        <v>447</v>
      </c>
      <c r="C360" s="4" t="s">
        <v>331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>
        <v>5</v>
      </c>
      <c r="AA360" s="6">
        <v>17875</v>
      </c>
      <c r="AB360" s="6">
        <f t="shared" si="10"/>
        <v>5</v>
      </c>
      <c r="AC360" s="6">
        <f t="shared" si="11"/>
        <v>17875</v>
      </c>
    </row>
    <row r="361" spans="1:29" s="1" customFormat="1" ht="21.25" customHeight="1" x14ac:dyDescent="0.35">
      <c r="A361" s="5">
        <v>359</v>
      </c>
      <c r="B361" s="5" t="s">
        <v>447</v>
      </c>
      <c r="C361" s="4" t="s">
        <v>323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>
        <v>5</v>
      </c>
      <c r="AA361" s="6">
        <v>14300</v>
      </c>
      <c r="AB361" s="6">
        <f t="shared" si="10"/>
        <v>5</v>
      </c>
      <c r="AC361" s="6">
        <f t="shared" si="11"/>
        <v>14300</v>
      </c>
    </row>
    <row r="362" spans="1:29" s="1" customFormat="1" ht="21.25" customHeight="1" x14ac:dyDescent="0.35">
      <c r="A362" s="5">
        <v>360</v>
      </c>
      <c r="B362" s="5" t="s">
        <v>447</v>
      </c>
      <c r="C362" s="4" t="s">
        <v>351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>
        <v>5</v>
      </c>
      <c r="AA362" s="6">
        <v>7425</v>
      </c>
      <c r="AB362" s="6">
        <f t="shared" si="10"/>
        <v>5</v>
      </c>
      <c r="AC362" s="6">
        <f t="shared" si="11"/>
        <v>7425</v>
      </c>
    </row>
    <row r="363" spans="1:29" s="1" customFormat="1" ht="21.25" customHeight="1" x14ac:dyDescent="0.35">
      <c r="A363" s="5">
        <v>361</v>
      </c>
      <c r="B363" s="5" t="s">
        <v>447</v>
      </c>
      <c r="C363" s="4" t="s">
        <v>352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>
        <v>5</v>
      </c>
      <c r="W363" s="6">
        <v>1512</v>
      </c>
      <c r="X363" s="6"/>
      <c r="Y363" s="6"/>
      <c r="Z363" s="6"/>
      <c r="AA363" s="6"/>
      <c r="AB363" s="6">
        <f t="shared" si="10"/>
        <v>5</v>
      </c>
      <c r="AC363" s="6">
        <f t="shared" si="11"/>
        <v>1512</v>
      </c>
    </row>
    <row r="364" spans="1:29" s="1" customFormat="1" ht="21.25" customHeight="1" x14ac:dyDescent="0.35">
      <c r="A364" s="5">
        <v>362</v>
      </c>
      <c r="B364" s="5" t="s">
        <v>447</v>
      </c>
      <c r="C364" s="4" t="s">
        <v>353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>
        <v>5</v>
      </c>
      <c r="W364" s="7">
        <v>1787</v>
      </c>
      <c r="X364" s="7"/>
      <c r="Y364" s="7"/>
      <c r="Z364" s="7"/>
      <c r="AA364" s="7"/>
      <c r="AB364" s="6">
        <f t="shared" si="10"/>
        <v>5</v>
      </c>
      <c r="AC364" s="6">
        <f t="shared" si="11"/>
        <v>1787</v>
      </c>
    </row>
    <row r="365" spans="1:29" s="1" customFormat="1" ht="21.25" customHeight="1" x14ac:dyDescent="0.35">
      <c r="A365" s="5">
        <v>363</v>
      </c>
      <c r="B365" s="5" t="s">
        <v>447</v>
      </c>
      <c r="C365" s="4" t="s">
        <v>367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>
        <v>5</v>
      </c>
      <c r="W365" s="6">
        <v>1100</v>
      </c>
      <c r="X365" s="6"/>
      <c r="Y365" s="6"/>
      <c r="Z365" s="6"/>
      <c r="AA365" s="6"/>
      <c r="AB365" s="6">
        <f t="shared" si="10"/>
        <v>5</v>
      </c>
      <c r="AC365" s="6">
        <f t="shared" si="11"/>
        <v>1100</v>
      </c>
    </row>
    <row r="366" spans="1:29" s="1" customFormat="1" ht="21.25" customHeight="1" x14ac:dyDescent="0.35">
      <c r="A366" s="5">
        <v>364</v>
      </c>
      <c r="B366" s="5" t="s">
        <v>447</v>
      </c>
      <c r="C366" s="4" t="s">
        <v>368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>
        <v>5</v>
      </c>
      <c r="W366" s="7">
        <v>1100</v>
      </c>
      <c r="X366" s="7"/>
      <c r="Y366" s="7"/>
      <c r="Z366" s="7"/>
      <c r="AA366" s="7"/>
      <c r="AB366" s="6">
        <f t="shared" si="10"/>
        <v>5</v>
      </c>
      <c r="AC366" s="6">
        <f t="shared" si="11"/>
        <v>1100</v>
      </c>
    </row>
    <row r="367" spans="1:29" s="1" customFormat="1" ht="21.25" customHeight="1" x14ac:dyDescent="0.35">
      <c r="A367" s="5">
        <v>365</v>
      </c>
      <c r="B367" s="5" t="s">
        <v>447</v>
      </c>
      <c r="C367" s="4" t="s">
        <v>64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>
        <v>5</v>
      </c>
      <c r="U367" s="6">
        <v>10175</v>
      </c>
      <c r="V367" s="6"/>
      <c r="W367" s="6"/>
      <c r="X367" s="6"/>
      <c r="Y367" s="6"/>
      <c r="Z367" s="6"/>
      <c r="AA367" s="6"/>
      <c r="AB367" s="6">
        <f t="shared" si="10"/>
        <v>5</v>
      </c>
      <c r="AC367" s="6">
        <f t="shared" si="11"/>
        <v>10175</v>
      </c>
    </row>
    <row r="368" spans="1:29" s="1" customFormat="1" ht="21.25" customHeight="1" x14ac:dyDescent="0.35">
      <c r="A368" s="5">
        <v>366</v>
      </c>
      <c r="B368" s="5" t="s">
        <v>447</v>
      </c>
      <c r="C368" s="4" t="s">
        <v>65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>
        <v>5</v>
      </c>
      <c r="U368" s="7">
        <v>10175</v>
      </c>
      <c r="V368" s="7"/>
      <c r="W368" s="7"/>
      <c r="X368" s="7"/>
      <c r="Y368" s="7"/>
      <c r="Z368" s="7"/>
      <c r="AA368" s="7"/>
      <c r="AB368" s="6">
        <f t="shared" si="10"/>
        <v>5</v>
      </c>
      <c r="AC368" s="6">
        <f t="shared" si="11"/>
        <v>10175</v>
      </c>
    </row>
    <row r="369" spans="1:29" s="1" customFormat="1" ht="21.25" customHeight="1" x14ac:dyDescent="0.35">
      <c r="A369" s="5">
        <v>367</v>
      </c>
      <c r="B369" s="5" t="s">
        <v>447</v>
      </c>
      <c r="C369" s="4" t="s">
        <v>66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>
        <v>5</v>
      </c>
      <c r="U369" s="6">
        <v>10175</v>
      </c>
      <c r="V369" s="6"/>
      <c r="W369" s="6"/>
      <c r="X369" s="6"/>
      <c r="Y369" s="6"/>
      <c r="Z369" s="6"/>
      <c r="AA369" s="6"/>
      <c r="AB369" s="6">
        <f t="shared" si="10"/>
        <v>5</v>
      </c>
      <c r="AC369" s="6">
        <f t="shared" si="11"/>
        <v>10175</v>
      </c>
    </row>
    <row r="370" spans="1:29" s="1" customFormat="1" ht="21.25" customHeight="1" x14ac:dyDescent="0.35">
      <c r="A370" s="5">
        <v>368</v>
      </c>
      <c r="B370" s="5" t="s">
        <v>447</v>
      </c>
      <c r="C370" s="4" t="s">
        <v>67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>
        <v>5</v>
      </c>
      <c r="U370" s="7">
        <v>10175</v>
      </c>
      <c r="V370" s="7"/>
      <c r="W370" s="7"/>
      <c r="X370" s="7"/>
      <c r="Y370" s="7"/>
      <c r="Z370" s="7"/>
      <c r="AA370" s="7"/>
      <c r="AB370" s="6">
        <f t="shared" si="10"/>
        <v>5</v>
      </c>
      <c r="AC370" s="6">
        <f t="shared" si="11"/>
        <v>10175</v>
      </c>
    </row>
    <row r="371" spans="1:29" s="1" customFormat="1" ht="21.25" customHeight="1" x14ac:dyDescent="0.35">
      <c r="A371" s="5">
        <v>369</v>
      </c>
      <c r="B371" s="5" t="s">
        <v>447</v>
      </c>
      <c r="C371" s="4" t="s">
        <v>68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>
        <v>5</v>
      </c>
      <c r="U371" s="6">
        <v>10175</v>
      </c>
      <c r="V371" s="6"/>
      <c r="W371" s="6"/>
      <c r="X371" s="6"/>
      <c r="Y371" s="6"/>
      <c r="Z371" s="6"/>
      <c r="AA371" s="6"/>
      <c r="AB371" s="6">
        <f t="shared" si="10"/>
        <v>5</v>
      </c>
      <c r="AC371" s="6">
        <f t="shared" si="11"/>
        <v>10175</v>
      </c>
    </row>
    <row r="372" spans="1:29" s="1" customFormat="1" ht="21.25" customHeight="1" x14ac:dyDescent="0.35">
      <c r="A372" s="5">
        <v>370</v>
      </c>
      <c r="B372" s="5" t="s">
        <v>447</v>
      </c>
      <c r="C372" s="4" t="s">
        <v>387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>
        <v>5</v>
      </c>
      <c r="U372" s="7">
        <v>8250</v>
      </c>
      <c r="V372" s="7"/>
      <c r="W372" s="7"/>
      <c r="X372" s="7"/>
      <c r="Y372" s="7"/>
      <c r="Z372" s="7"/>
      <c r="AA372" s="7"/>
      <c r="AB372" s="6">
        <f t="shared" si="10"/>
        <v>5</v>
      </c>
      <c r="AC372" s="6">
        <f t="shared" si="11"/>
        <v>8250</v>
      </c>
    </row>
    <row r="373" spans="1:29" s="1" customFormat="1" ht="21.25" customHeight="1" x14ac:dyDescent="0.35">
      <c r="A373" s="5">
        <v>371</v>
      </c>
      <c r="B373" s="5" t="s">
        <v>447</v>
      </c>
      <c r="C373" s="4" t="s">
        <v>305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>
        <v>5</v>
      </c>
      <c r="W373" s="7">
        <v>8250</v>
      </c>
      <c r="X373" s="7"/>
      <c r="Y373" s="7"/>
      <c r="Z373" s="7"/>
      <c r="AA373" s="7"/>
      <c r="AB373" s="6">
        <f t="shared" si="10"/>
        <v>5</v>
      </c>
      <c r="AC373" s="6">
        <f t="shared" si="11"/>
        <v>8250</v>
      </c>
    </row>
    <row r="374" spans="1:29" s="1" customFormat="1" ht="21.25" customHeight="1" x14ac:dyDescent="0.35">
      <c r="A374" s="5">
        <v>372</v>
      </c>
      <c r="B374" s="5" t="s">
        <v>447</v>
      </c>
      <c r="C374" s="4" t="s">
        <v>397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>
        <v>5</v>
      </c>
      <c r="W374" s="6">
        <v>6875</v>
      </c>
      <c r="X374" s="6"/>
      <c r="Y374" s="6"/>
      <c r="Z374" s="6"/>
      <c r="AA374" s="6"/>
      <c r="AB374" s="6">
        <f t="shared" si="10"/>
        <v>5</v>
      </c>
      <c r="AC374" s="6">
        <f t="shared" si="11"/>
        <v>6875</v>
      </c>
    </row>
    <row r="375" spans="1:29" s="1" customFormat="1" ht="21.25" customHeight="1" x14ac:dyDescent="0.35">
      <c r="A375" s="5">
        <v>373</v>
      </c>
      <c r="B375" s="5" t="s">
        <v>447</v>
      </c>
      <c r="C375" s="4" t="s">
        <v>243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>
        <v>5</v>
      </c>
      <c r="W375" s="6">
        <v>4125</v>
      </c>
      <c r="X375" s="6"/>
      <c r="Y375" s="6"/>
      <c r="Z375" s="6"/>
      <c r="AA375" s="6"/>
      <c r="AB375" s="6">
        <f t="shared" si="10"/>
        <v>5</v>
      </c>
      <c r="AC375" s="6">
        <f t="shared" si="11"/>
        <v>4125</v>
      </c>
    </row>
    <row r="376" spans="1:29" s="1" customFormat="1" ht="21.25" customHeight="1" x14ac:dyDescent="0.35">
      <c r="A376" s="5">
        <v>374</v>
      </c>
      <c r="B376" s="5" t="s">
        <v>448</v>
      </c>
      <c r="C376" s="4" t="s">
        <v>415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>
        <v>2</v>
      </c>
      <c r="U376" s="7">
        <v>8500</v>
      </c>
      <c r="V376" s="7">
        <v>3</v>
      </c>
      <c r="W376" s="7">
        <v>12750</v>
      </c>
      <c r="X376" s="7"/>
      <c r="Y376" s="7"/>
      <c r="Z376" s="7"/>
      <c r="AA376" s="7"/>
      <c r="AB376" s="6">
        <f t="shared" si="10"/>
        <v>5</v>
      </c>
      <c r="AC376" s="6">
        <f t="shared" si="11"/>
        <v>21250</v>
      </c>
    </row>
    <row r="377" spans="1:29" s="1" customFormat="1" ht="21.25" customHeight="1" x14ac:dyDescent="0.35">
      <c r="A377" s="5">
        <v>375</v>
      </c>
      <c r="B377" s="5" t="s">
        <v>450</v>
      </c>
      <c r="C377" s="4" t="s">
        <v>268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>
        <v>3</v>
      </c>
      <c r="Q377" s="7">
        <v>5472</v>
      </c>
      <c r="R377" s="7"/>
      <c r="S377" s="7"/>
      <c r="T377" s="7"/>
      <c r="U377" s="7"/>
      <c r="V377" s="7"/>
      <c r="W377" s="7"/>
      <c r="X377" s="7"/>
      <c r="Y377" s="7"/>
      <c r="Z377" s="7">
        <v>2</v>
      </c>
      <c r="AA377" s="7">
        <v>3648</v>
      </c>
      <c r="AB377" s="6">
        <f t="shared" si="10"/>
        <v>5</v>
      </c>
      <c r="AC377" s="6">
        <f t="shared" si="11"/>
        <v>9120</v>
      </c>
    </row>
    <row r="378" spans="1:29" s="1" customFormat="1" ht="21.25" customHeight="1" x14ac:dyDescent="0.35">
      <c r="A378" s="5">
        <v>376</v>
      </c>
      <c r="B378" s="5" t="s">
        <v>450</v>
      </c>
      <c r="C378" s="4" t="s">
        <v>269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>
        <v>3</v>
      </c>
      <c r="Q378" s="6">
        <v>5472</v>
      </c>
      <c r="R378" s="6"/>
      <c r="S378" s="6"/>
      <c r="T378" s="6"/>
      <c r="U378" s="6"/>
      <c r="V378" s="6"/>
      <c r="W378" s="6"/>
      <c r="X378" s="6"/>
      <c r="Y378" s="6"/>
      <c r="Z378" s="6">
        <v>2</v>
      </c>
      <c r="AA378" s="6">
        <v>3648</v>
      </c>
      <c r="AB378" s="6">
        <f t="shared" si="10"/>
        <v>5</v>
      </c>
      <c r="AC378" s="6">
        <f t="shared" si="11"/>
        <v>9120</v>
      </c>
    </row>
    <row r="379" spans="1:29" s="1" customFormat="1" ht="21.25" customHeight="1" x14ac:dyDescent="0.35">
      <c r="A379" s="5">
        <v>377</v>
      </c>
      <c r="B379" s="5" t="s">
        <v>450</v>
      </c>
      <c r="C379" s="4" t="s">
        <v>284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>
        <v>5</v>
      </c>
      <c r="Y379" s="7">
        <v>16530</v>
      </c>
      <c r="Z379" s="7"/>
      <c r="AA379" s="7"/>
      <c r="AB379" s="6">
        <f t="shared" si="10"/>
        <v>5</v>
      </c>
      <c r="AC379" s="6">
        <f t="shared" si="11"/>
        <v>16530</v>
      </c>
    </row>
    <row r="380" spans="1:29" s="1" customFormat="1" ht="21.25" customHeight="1" x14ac:dyDescent="0.35">
      <c r="A380" s="5">
        <v>378</v>
      </c>
      <c r="B380" s="5" t="s">
        <v>447</v>
      </c>
      <c r="C380" s="4" t="s">
        <v>12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>
        <v>3</v>
      </c>
      <c r="Y380" s="7">
        <v>10725</v>
      </c>
      <c r="Z380" s="7">
        <v>1</v>
      </c>
      <c r="AA380" s="7">
        <v>3575</v>
      </c>
      <c r="AB380" s="6">
        <f t="shared" si="10"/>
        <v>4</v>
      </c>
      <c r="AC380" s="6">
        <f t="shared" si="11"/>
        <v>14300</v>
      </c>
    </row>
    <row r="381" spans="1:29" s="1" customFormat="1" ht="21.25" customHeight="1" x14ac:dyDescent="0.35">
      <c r="A381" s="5">
        <v>379</v>
      </c>
      <c r="B381" s="5" t="s">
        <v>447</v>
      </c>
      <c r="C381" s="4" t="s">
        <v>344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>
        <v>2</v>
      </c>
      <c r="S381" s="6">
        <v>6050</v>
      </c>
      <c r="T381" s="6"/>
      <c r="U381" s="6"/>
      <c r="V381" s="6"/>
      <c r="W381" s="6"/>
      <c r="X381" s="6"/>
      <c r="Y381" s="6"/>
      <c r="Z381" s="6">
        <v>2</v>
      </c>
      <c r="AA381" s="6">
        <v>6050</v>
      </c>
      <c r="AB381" s="6">
        <f t="shared" si="10"/>
        <v>4</v>
      </c>
      <c r="AC381" s="6">
        <f t="shared" si="11"/>
        <v>12100</v>
      </c>
    </row>
    <row r="382" spans="1:29" s="1" customFormat="1" ht="21.25" customHeight="1" x14ac:dyDescent="0.35">
      <c r="A382" s="5">
        <v>380</v>
      </c>
      <c r="B382" s="5" t="s">
        <v>447</v>
      </c>
      <c r="C382" s="4" t="s">
        <v>34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>
        <v>2</v>
      </c>
      <c r="O382" s="6">
        <v>3300</v>
      </c>
      <c r="P382" s="6"/>
      <c r="Q382" s="6"/>
      <c r="R382" s="6"/>
      <c r="S382" s="6"/>
      <c r="T382" s="6">
        <v>2</v>
      </c>
      <c r="U382" s="6">
        <v>3300</v>
      </c>
      <c r="V382" s="6"/>
      <c r="W382" s="6"/>
      <c r="X382" s="6"/>
      <c r="Y382" s="6"/>
      <c r="Z382" s="6"/>
      <c r="AA382" s="6"/>
      <c r="AB382" s="6">
        <f t="shared" si="10"/>
        <v>4</v>
      </c>
      <c r="AC382" s="6">
        <f t="shared" si="11"/>
        <v>6600</v>
      </c>
    </row>
    <row r="383" spans="1:29" s="1" customFormat="1" ht="21.25" customHeight="1" x14ac:dyDescent="0.35">
      <c r="A383" s="5">
        <v>381</v>
      </c>
      <c r="B383" s="5" t="s">
        <v>448</v>
      </c>
      <c r="C383" s="4" t="s">
        <v>215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>
        <v>1</v>
      </c>
      <c r="Q383" s="7">
        <v>1350</v>
      </c>
      <c r="R383" s="7"/>
      <c r="S383" s="7"/>
      <c r="T383" s="7"/>
      <c r="U383" s="7"/>
      <c r="V383" s="7">
        <v>3</v>
      </c>
      <c r="W383" s="7">
        <v>4050</v>
      </c>
      <c r="X383" s="7"/>
      <c r="Y383" s="7"/>
      <c r="Z383" s="7"/>
      <c r="AA383" s="7"/>
      <c r="AB383" s="6">
        <f t="shared" si="10"/>
        <v>4</v>
      </c>
      <c r="AC383" s="6">
        <f t="shared" si="11"/>
        <v>5400</v>
      </c>
    </row>
    <row r="384" spans="1:29" s="1" customFormat="1" ht="21.25" customHeight="1" x14ac:dyDescent="0.35">
      <c r="A384" s="5">
        <v>382</v>
      </c>
      <c r="B384" s="5" t="s">
        <v>448</v>
      </c>
      <c r="C384" s="4" t="s">
        <v>299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>
        <v>2</v>
      </c>
      <c r="Q384" s="6">
        <v>3200</v>
      </c>
      <c r="R384" s="6"/>
      <c r="S384" s="6"/>
      <c r="T384" s="6"/>
      <c r="U384" s="6"/>
      <c r="V384" s="6">
        <v>2</v>
      </c>
      <c r="W384" s="6">
        <v>3200</v>
      </c>
      <c r="X384" s="6"/>
      <c r="Y384" s="6"/>
      <c r="Z384" s="6"/>
      <c r="AA384" s="6"/>
      <c r="AB384" s="6">
        <f t="shared" si="10"/>
        <v>4</v>
      </c>
      <c r="AC384" s="6">
        <f t="shared" si="11"/>
        <v>6400</v>
      </c>
    </row>
    <row r="385" spans="1:29" s="1" customFormat="1" ht="21.25" customHeight="1" x14ac:dyDescent="0.35">
      <c r="A385" s="5">
        <v>383</v>
      </c>
      <c r="B385" s="5" t="s">
        <v>448</v>
      </c>
      <c r="C385" s="4" t="s">
        <v>426</v>
      </c>
      <c r="D385" s="7"/>
      <c r="E385" s="7"/>
      <c r="F385" s="7"/>
      <c r="G385" s="7"/>
      <c r="H385" s="7"/>
      <c r="I385" s="7"/>
      <c r="J385" s="7">
        <v>4</v>
      </c>
      <c r="K385" s="7">
        <v>11000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6">
        <f t="shared" si="10"/>
        <v>4</v>
      </c>
      <c r="AC385" s="6">
        <f t="shared" si="11"/>
        <v>11000</v>
      </c>
    </row>
    <row r="386" spans="1:29" s="1" customFormat="1" ht="21.25" customHeight="1" x14ac:dyDescent="0.35">
      <c r="A386" s="5">
        <v>384</v>
      </c>
      <c r="B386" s="5" t="s">
        <v>450</v>
      </c>
      <c r="C386" s="4" t="s">
        <v>316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>
        <v>4</v>
      </c>
      <c r="Y386" s="6">
        <v>7752</v>
      </c>
      <c r="Z386" s="6"/>
      <c r="AA386" s="6"/>
      <c r="AB386" s="6">
        <f t="shared" si="10"/>
        <v>4</v>
      </c>
      <c r="AC386" s="6">
        <f t="shared" si="11"/>
        <v>7752</v>
      </c>
    </row>
    <row r="387" spans="1:29" s="1" customFormat="1" ht="21.25" customHeight="1" x14ac:dyDescent="0.35">
      <c r="A387" s="5">
        <v>385</v>
      </c>
      <c r="B387" s="5" t="s">
        <v>450</v>
      </c>
      <c r="C387" s="4" t="s">
        <v>258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>
        <v>2</v>
      </c>
      <c r="Q387" s="7">
        <v>3648</v>
      </c>
      <c r="R387" s="7"/>
      <c r="S387" s="7"/>
      <c r="T387" s="7"/>
      <c r="U387" s="7"/>
      <c r="V387" s="7">
        <v>2</v>
      </c>
      <c r="W387" s="7">
        <v>3648</v>
      </c>
      <c r="X387" s="7"/>
      <c r="Y387" s="7"/>
      <c r="Z387" s="7"/>
      <c r="AA387" s="7"/>
      <c r="AB387" s="6">
        <f t="shared" ref="AB387:AB432" si="12">D387+F387+H387+J387+L387+N387+P387+R387+T387+V387+X387+Z387</f>
        <v>4</v>
      </c>
      <c r="AC387" s="6">
        <f t="shared" ref="AC387:AC432" si="13">E387+G387+I387+K387+M387+O387+Q387+S387+U387+W387+Y387+AA387</f>
        <v>7296</v>
      </c>
    </row>
    <row r="388" spans="1:29" s="1" customFormat="1" ht="21.25" customHeight="1" x14ac:dyDescent="0.35">
      <c r="A388" s="5">
        <v>386</v>
      </c>
      <c r="B388" s="5" t="s">
        <v>450</v>
      </c>
      <c r="C388" s="4" t="s">
        <v>259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>
        <v>2</v>
      </c>
      <c r="Q388" s="6">
        <v>3648</v>
      </c>
      <c r="R388" s="6"/>
      <c r="S388" s="6"/>
      <c r="T388" s="6"/>
      <c r="U388" s="6"/>
      <c r="V388" s="6">
        <v>2</v>
      </c>
      <c r="W388" s="6">
        <v>3648</v>
      </c>
      <c r="X388" s="6"/>
      <c r="Y388" s="6"/>
      <c r="Z388" s="6"/>
      <c r="AA388" s="6"/>
      <c r="AB388" s="6">
        <f t="shared" si="12"/>
        <v>4</v>
      </c>
      <c r="AC388" s="6">
        <f t="shared" si="13"/>
        <v>7296</v>
      </c>
    </row>
    <row r="389" spans="1:29" s="1" customFormat="1" ht="21.25" customHeight="1" x14ac:dyDescent="0.35">
      <c r="A389" s="5">
        <v>387</v>
      </c>
      <c r="B389" s="5" t="s">
        <v>450</v>
      </c>
      <c r="C389" s="4" t="s">
        <v>261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>
        <v>2</v>
      </c>
      <c r="Q389" s="6">
        <v>3648</v>
      </c>
      <c r="R389" s="6"/>
      <c r="S389" s="6"/>
      <c r="T389" s="6"/>
      <c r="U389" s="6"/>
      <c r="V389" s="6">
        <v>2</v>
      </c>
      <c r="W389" s="6">
        <v>3648</v>
      </c>
      <c r="X389" s="6"/>
      <c r="Y389" s="6"/>
      <c r="Z389" s="6"/>
      <c r="AA389" s="6"/>
      <c r="AB389" s="6">
        <f t="shared" si="12"/>
        <v>4</v>
      </c>
      <c r="AC389" s="6">
        <f t="shared" si="13"/>
        <v>7296</v>
      </c>
    </row>
    <row r="390" spans="1:29" s="1" customFormat="1" ht="21.25" customHeight="1" x14ac:dyDescent="0.35">
      <c r="A390" s="5">
        <v>388</v>
      </c>
      <c r="B390" s="5" t="s">
        <v>450</v>
      </c>
      <c r="C390" s="4" t="s">
        <v>263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>
        <v>2</v>
      </c>
      <c r="Q390" s="6">
        <v>3648</v>
      </c>
      <c r="R390" s="6"/>
      <c r="S390" s="6"/>
      <c r="T390" s="6"/>
      <c r="U390" s="6"/>
      <c r="V390" s="6"/>
      <c r="W390" s="6"/>
      <c r="X390" s="6"/>
      <c r="Y390" s="6"/>
      <c r="Z390" s="6">
        <v>2</v>
      </c>
      <c r="AA390" s="6">
        <v>3648</v>
      </c>
      <c r="AB390" s="6">
        <f t="shared" si="12"/>
        <v>4</v>
      </c>
      <c r="AC390" s="6">
        <f t="shared" si="13"/>
        <v>7296</v>
      </c>
    </row>
    <row r="391" spans="1:29" s="1" customFormat="1" ht="21.25" customHeight="1" x14ac:dyDescent="0.35">
      <c r="A391" s="5">
        <v>389</v>
      </c>
      <c r="B391" s="5" t="s">
        <v>450</v>
      </c>
      <c r="C391" s="4" t="s">
        <v>264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>
        <v>2</v>
      </c>
      <c r="Q391" s="7">
        <v>3648</v>
      </c>
      <c r="R391" s="7"/>
      <c r="S391" s="7"/>
      <c r="T391" s="7"/>
      <c r="U391" s="7"/>
      <c r="V391" s="7"/>
      <c r="W391" s="7"/>
      <c r="X391" s="7"/>
      <c r="Y391" s="7"/>
      <c r="Z391" s="7">
        <v>2</v>
      </c>
      <c r="AA391" s="7">
        <v>3648</v>
      </c>
      <c r="AB391" s="6">
        <f t="shared" si="12"/>
        <v>4</v>
      </c>
      <c r="AC391" s="6">
        <f t="shared" si="13"/>
        <v>7296</v>
      </c>
    </row>
    <row r="392" spans="1:29" s="1" customFormat="1" ht="21.25" customHeight="1" x14ac:dyDescent="0.35">
      <c r="A392" s="5">
        <v>390</v>
      </c>
      <c r="B392" s="5" t="s">
        <v>450</v>
      </c>
      <c r="C392" s="4" t="s">
        <v>265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>
        <v>2</v>
      </c>
      <c r="Q392" s="6">
        <v>3648</v>
      </c>
      <c r="R392" s="6"/>
      <c r="S392" s="6"/>
      <c r="T392" s="6"/>
      <c r="U392" s="6"/>
      <c r="V392" s="6">
        <v>2</v>
      </c>
      <c r="W392" s="6">
        <v>3648</v>
      </c>
      <c r="X392" s="6"/>
      <c r="Y392" s="6"/>
      <c r="Z392" s="6"/>
      <c r="AA392" s="6"/>
      <c r="AB392" s="6">
        <f t="shared" si="12"/>
        <v>4</v>
      </c>
      <c r="AC392" s="6">
        <f t="shared" si="13"/>
        <v>7296</v>
      </c>
    </row>
    <row r="393" spans="1:29" s="1" customFormat="1" ht="21.25" customHeight="1" x14ac:dyDescent="0.35">
      <c r="A393" s="5">
        <v>391</v>
      </c>
      <c r="B393" s="5" t="s">
        <v>450</v>
      </c>
      <c r="C393" s="4" t="s">
        <v>266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>
        <v>2</v>
      </c>
      <c r="Q393" s="7">
        <v>3648</v>
      </c>
      <c r="R393" s="7"/>
      <c r="S393" s="7"/>
      <c r="T393" s="7"/>
      <c r="U393" s="7"/>
      <c r="V393" s="7"/>
      <c r="W393" s="7"/>
      <c r="X393" s="7"/>
      <c r="Y393" s="7"/>
      <c r="Z393" s="7">
        <v>2</v>
      </c>
      <c r="AA393" s="7">
        <v>3648</v>
      </c>
      <c r="AB393" s="6">
        <f t="shared" si="12"/>
        <v>4</v>
      </c>
      <c r="AC393" s="6">
        <f t="shared" si="13"/>
        <v>7296</v>
      </c>
    </row>
    <row r="394" spans="1:29" s="1" customFormat="1" ht="21.25" customHeight="1" x14ac:dyDescent="0.35">
      <c r="A394" s="5">
        <v>392</v>
      </c>
      <c r="B394" s="5" t="s">
        <v>450</v>
      </c>
      <c r="C394" s="4" t="s">
        <v>267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>
        <v>2</v>
      </c>
      <c r="Q394" s="6">
        <v>3648</v>
      </c>
      <c r="R394" s="6"/>
      <c r="S394" s="6"/>
      <c r="T394" s="6"/>
      <c r="U394" s="6"/>
      <c r="V394" s="6">
        <v>2</v>
      </c>
      <c r="W394" s="6">
        <v>3648</v>
      </c>
      <c r="X394" s="6"/>
      <c r="Y394" s="6"/>
      <c r="Z394" s="6"/>
      <c r="AA394" s="6"/>
      <c r="AB394" s="6">
        <f t="shared" si="12"/>
        <v>4</v>
      </c>
      <c r="AC394" s="6">
        <f t="shared" si="13"/>
        <v>7296</v>
      </c>
    </row>
    <row r="395" spans="1:29" s="1" customFormat="1" ht="21.25" customHeight="1" x14ac:dyDescent="0.35">
      <c r="A395" s="5">
        <v>393</v>
      </c>
      <c r="B395" s="5" t="s">
        <v>450</v>
      </c>
      <c r="C395" s="4" t="s">
        <v>270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>
        <v>2</v>
      </c>
      <c r="Q395" s="7">
        <v>3648</v>
      </c>
      <c r="R395" s="7"/>
      <c r="S395" s="7"/>
      <c r="T395" s="7"/>
      <c r="U395" s="7"/>
      <c r="V395" s="7"/>
      <c r="W395" s="7"/>
      <c r="X395" s="7"/>
      <c r="Y395" s="7"/>
      <c r="Z395" s="7">
        <v>2</v>
      </c>
      <c r="AA395" s="7">
        <v>3648</v>
      </c>
      <c r="AB395" s="6">
        <f t="shared" si="12"/>
        <v>4</v>
      </c>
      <c r="AC395" s="6">
        <f t="shared" si="13"/>
        <v>7296</v>
      </c>
    </row>
    <row r="396" spans="1:29" s="1" customFormat="1" ht="21.25" customHeight="1" x14ac:dyDescent="0.35">
      <c r="A396" s="5">
        <v>394</v>
      </c>
      <c r="B396" s="5" t="s">
        <v>450</v>
      </c>
      <c r="C396" s="4" t="s">
        <v>275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>
        <v>2</v>
      </c>
      <c r="Q396" s="6">
        <v>3648</v>
      </c>
      <c r="R396" s="6"/>
      <c r="S396" s="6"/>
      <c r="T396" s="6"/>
      <c r="U396" s="6"/>
      <c r="V396" s="6"/>
      <c r="W396" s="6"/>
      <c r="X396" s="6"/>
      <c r="Y396" s="6"/>
      <c r="Z396" s="6">
        <v>2</v>
      </c>
      <c r="AA396" s="6">
        <v>3648</v>
      </c>
      <c r="AB396" s="6">
        <f t="shared" si="12"/>
        <v>4</v>
      </c>
      <c r="AC396" s="6">
        <f t="shared" si="13"/>
        <v>7296</v>
      </c>
    </row>
    <row r="397" spans="1:29" s="1" customFormat="1" ht="21.25" customHeight="1" x14ac:dyDescent="0.35">
      <c r="A397" s="5">
        <v>395</v>
      </c>
      <c r="B397" s="5" t="s">
        <v>447</v>
      </c>
      <c r="C397" s="4" t="s">
        <v>201</v>
      </c>
      <c r="D397" s="6"/>
      <c r="E397" s="6"/>
      <c r="F397" s="6"/>
      <c r="G397" s="6"/>
      <c r="H397" s="6"/>
      <c r="I397" s="6"/>
      <c r="J397" s="6"/>
      <c r="K397" s="6"/>
      <c r="L397" s="6">
        <v>3</v>
      </c>
      <c r="M397" s="6">
        <v>9900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>
        <f t="shared" si="12"/>
        <v>3</v>
      </c>
      <c r="AC397" s="6">
        <f t="shared" si="13"/>
        <v>9900</v>
      </c>
    </row>
    <row r="398" spans="1:29" s="1" customFormat="1" ht="21.25" customHeight="1" x14ac:dyDescent="0.35">
      <c r="A398" s="5">
        <v>396</v>
      </c>
      <c r="B398" s="5" t="s">
        <v>447</v>
      </c>
      <c r="C398" s="4" t="s">
        <v>349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>
        <v>1</v>
      </c>
      <c r="U398" s="7">
        <v>3025</v>
      </c>
      <c r="V398" s="7"/>
      <c r="W398" s="7"/>
      <c r="X398" s="7"/>
      <c r="Y398" s="7"/>
      <c r="Z398" s="7">
        <v>2</v>
      </c>
      <c r="AA398" s="7">
        <v>6050</v>
      </c>
      <c r="AB398" s="6">
        <f t="shared" si="12"/>
        <v>3</v>
      </c>
      <c r="AC398" s="6">
        <f t="shared" si="13"/>
        <v>9075</v>
      </c>
    </row>
    <row r="399" spans="1:29" s="1" customFormat="1" ht="21.25" customHeight="1" x14ac:dyDescent="0.35">
      <c r="A399" s="5">
        <v>397</v>
      </c>
      <c r="B399" s="5" t="s">
        <v>447</v>
      </c>
      <c r="C399" s="4" t="s">
        <v>375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>
        <v>3</v>
      </c>
      <c r="O399" s="7">
        <v>4950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6">
        <f t="shared" si="12"/>
        <v>3</v>
      </c>
      <c r="AC399" s="6">
        <f t="shared" si="13"/>
        <v>4950</v>
      </c>
    </row>
    <row r="400" spans="1:29" s="1" customFormat="1" ht="21.25" customHeight="1" x14ac:dyDescent="0.35">
      <c r="A400" s="5">
        <v>398</v>
      </c>
      <c r="B400" s="5" t="s">
        <v>447</v>
      </c>
      <c r="C400" s="4" t="s">
        <v>378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>
        <v>3</v>
      </c>
      <c r="O400" s="6">
        <v>4950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>
        <f t="shared" si="12"/>
        <v>3</v>
      </c>
      <c r="AC400" s="6">
        <f t="shared" si="13"/>
        <v>4950</v>
      </c>
    </row>
    <row r="401" spans="1:29" s="1" customFormat="1" ht="21.25" customHeight="1" x14ac:dyDescent="0.35">
      <c r="A401" s="5">
        <v>399</v>
      </c>
      <c r="B401" s="5" t="s">
        <v>447</v>
      </c>
      <c r="C401" s="4" t="s">
        <v>383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>
        <v>3</v>
      </c>
      <c r="O401" s="7">
        <v>4950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6">
        <f t="shared" si="12"/>
        <v>3</v>
      </c>
      <c r="AC401" s="6">
        <f t="shared" si="13"/>
        <v>4950</v>
      </c>
    </row>
    <row r="402" spans="1:29" s="1" customFormat="1" ht="21.25" customHeight="1" x14ac:dyDescent="0.35">
      <c r="A402" s="5">
        <v>400</v>
      </c>
      <c r="B402" s="5" t="s">
        <v>447</v>
      </c>
      <c r="C402" s="4" t="s">
        <v>384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>
        <v>3</v>
      </c>
      <c r="O402" s="6">
        <v>4950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>
        <f t="shared" si="12"/>
        <v>3</v>
      </c>
      <c r="AC402" s="6">
        <f t="shared" si="13"/>
        <v>4950</v>
      </c>
    </row>
    <row r="403" spans="1:29" s="1" customFormat="1" ht="21.25" customHeight="1" x14ac:dyDescent="0.35">
      <c r="A403" s="5">
        <v>401</v>
      </c>
      <c r="B403" s="5" t="s">
        <v>447</v>
      </c>
      <c r="C403" s="4" t="s">
        <v>385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>
        <v>3</v>
      </c>
      <c r="O403" s="7">
        <v>4950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6">
        <f t="shared" si="12"/>
        <v>3</v>
      </c>
      <c r="AC403" s="6">
        <f t="shared" si="13"/>
        <v>4950</v>
      </c>
    </row>
    <row r="404" spans="1:29" s="1" customFormat="1" ht="21.25" customHeight="1" x14ac:dyDescent="0.35">
      <c r="A404" s="5">
        <v>402</v>
      </c>
      <c r="B404" s="5" t="s">
        <v>447</v>
      </c>
      <c r="C404" s="4" t="s">
        <v>386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>
        <v>3</v>
      </c>
      <c r="O404" s="6">
        <v>4950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>
        <f t="shared" si="12"/>
        <v>3</v>
      </c>
      <c r="AC404" s="6">
        <f t="shared" si="13"/>
        <v>4950</v>
      </c>
    </row>
    <row r="405" spans="1:29" s="1" customFormat="1" ht="21.25" customHeight="1" x14ac:dyDescent="0.35">
      <c r="A405" s="5">
        <v>403</v>
      </c>
      <c r="B405" s="5" t="s">
        <v>447</v>
      </c>
      <c r="C405" s="4" t="s">
        <v>110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>
        <v>3</v>
      </c>
      <c r="W405" s="7">
        <v>5775</v>
      </c>
      <c r="X405" s="7"/>
      <c r="Y405" s="7"/>
      <c r="Z405" s="7"/>
      <c r="AA405" s="7"/>
      <c r="AB405" s="6">
        <f t="shared" si="12"/>
        <v>3</v>
      </c>
      <c r="AC405" s="6">
        <f t="shared" si="13"/>
        <v>5775</v>
      </c>
    </row>
    <row r="406" spans="1:29" s="1" customFormat="1" ht="21.25" customHeight="1" x14ac:dyDescent="0.35">
      <c r="A406" s="5">
        <v>404</v>
      </c>
      <c r="B406" s="5" t="s">
        <v>448</v>
      </c>
      <c r="C406" s="4" t="s">
        <v>300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>
        <v>3</v>
      </c>
      <c r="W406" s="6">
        <v>6300</v>
      </c>
      <c r="X406" s="6"/>
      <c r="Y406" s="6"/>
      <c r="Z406" s="6"/>
      <c r="AA406" s="6"/>
      <c r="AB406" s="6">
        <f t="shared" si="12"/>
        <v>3</v>
      </c>
      <c r="AC406" s="6">
        <f t="shared" si="13"/>
        <v>6300</v>
      </c>
    </row>
    <row r="407" spans="1:29" s="1" customFormat="1" ht="21.25" customHeight="1" x14ac:dyDescent="0.35">
      <c r="A407" s="5">
        <v>405</v>
      </c>
      <c r="B407" s="5" t="s">
        <v>449</v>
      </c>
      <c r="C407" s="4" t="s">
        <v>193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>
        <v>3</v>
      </c>
      <c r="Y407" s="6">
        <v>2970</v>
      </c>
      <c r="Z407" s="6"/>
      <c r="AA407" s="6"/>
      <c r="AB407" s="6">
        <f t="shared" si="12"/>
        <v>3</v>
      </c>
      <c r="AC407" s="6">
        <f t="shared" si="13"/>
        <v>2970</v>
      </c>
    </row>
    <row r="408" spans="1:29" s="1" customFormat="1" ht="21.25" customHeight="1" x14ac:dyDescent="0.35">
      <c r="A408" s="5">
        <v>406</v>
      </c>
      <c r="B408" s="5" t="s">
        <v>448</v>
      </c>
      <c r="C408" s="4" t="s">
        <v>197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>
        <v>3</v>
      </c>
      <c r="U408" s="7">
        <v>16500</v>
      </c>
      <c r="V408" s="7"/>
      <c r="W408" s="7"/>
      <c r="X408" s="7"/>
      <c r="Y408" s="7"/>
      <c r="Z408" s="7"/>
      <c r="AA408" s="7"/>
      <c r="AB408" s="6">
        <f t="shared" si="12"/>
        <v>3</v>
      </c>
      <c r="AC408" s="6">
        <f t="shared" si="13"/>
        <v>16500</v>
      </c>
    </row>
    <row r="409" spans="1:29" s="1" customFormat="1" ht="21.25" customHeight="1" x14ac:dyDescent="0.35">
      <c r="A409" s="5">
        <v>407</v>
      </c>
      <c r="B409" s="5" t="s">
        <v>448</v>
      </c>
      <c r="C409" s="4" t="s">
        <v>318</v>
      </c>
      <c r="D409" s="6"/>
      <c r="E409" s="6"/>
      <c r="F409" s="6"/>
      <c r="G409" s="6"/>
      <c r="H409" s="6"/>
      <c r="I409" s="6"/>
      <c r="J409" s="6">
        <v>1</v>
      </c>
      <c r="K409" s="6">
        <v>11000</v>
      </c>
      <c r="L409" s="6"/>
      <c r="M409" s="6"/>
      <c r="N409" s="6">
        <v>2</v>
      </c>
      <c r="O409" s="6">
        <v>22000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>
        <f t="shared" si="12"/>
        <v>3</v>
      </c>
      <c r="AC409" s="6">
        <f t="shared" si="13"/>
        <v>33000</v>
      </c>
    </row>
    <row r="410" spans="1:29" s="1" customFormat="1" ht="21.25" customHeight="1" x14ac:dyDescent="0.35">
      <c r="A410" s="5">
        <v>408</v>
      </c>
      <c r="B410" s="5" t="s">
        <v>448</v>
      </c>
      <c r="C410" s="4" t="s">
        <v>198</v>
      </c>
      <c r="D410" s="7"/>
      <c r="E410" s="7"/>
      <c r="F410" s="7"/>
      <c r="G410" s="7"/>
      <c r="H410" s="7"/>
      <c r="I410" s="7"/>
      <c r="J410" s="7">
        <v>3</v>
      </c>
      <c r="K410" s="7">
        <v>19800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6">
        <f t="shared" si="12"/>
        <v>3</v>
      </c>
      <c r="AC410" s="6">
        <f t="shared" si="13"/>
        <v>19800</v>
      </c>
    </row>
    <row r="411" spans="1:29" s="1" customFormat="1" ht="21.25" customHeight="1" x14ac:dyDescent="0.35">
      <c r="A411" s="5">
        <v>409</v>
      </c>
      <c r="B411" s="5" t="s">
        <v>448</v>
      </c>
      <c r="C411" s="4" t="s">
        <v>433</v>
      </c>
      <c r="D411" s="6"/>
      <c r="E411" s="6"/>
      <c r="F411" s="6"/>
      <c r="G411" s="6"/>
      <c r="H411" s="6"/>
      <c r="I411" s="6"/>
      <c r="J411" s="6">
        <v>3</v>
      </c>
      <c r="K411" s="6">
        <v>16500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>
        <f t="shared" si="12"/>
        <v>3</v>
      </c>
      <c r="AC411" s="6">
        <f t="shared" si="13"/>
        <v>16500</v>
      </c>
    </row>
    <row r="412" spans="1:29" s="1" customFormat="1" ht="21.25" customHeight="1" x14ac:dyDescent="0.35">
      <c r="A412" s="5">
        <v>410</v>
      </c>
      <c r="B412" s="5" t="s">
        <v>450</v>
      </c>
      <c r="C412" s="4" t="s">
        <v>271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>
        <v>3</v>
      </c>
      <c r="S412" s="6">
        <v>5472</v>
      </c>
      <c r="T412" s="6"/>
      <c r="U412" s="6"/>
      <c r="V412" s="6"/>
      <c r="W412" s="6"/>
      <c r="X412" s="6"/>
      <c r="Y412" s="6"/>
      <c r="Z412" s="6"/>
      <c r="AA412" s="6"/>
      <c r="AB412" s="6">
        <f t="shared" si="12"/>
        <v>3</v>
      </c>
      <c r="AC412" s="6">
        <f t="shared" si="13"/>
        <v>5472</v>
      </c>
    </row>
    <row r="413" spans="1:29" s="1" customFormat="1" ht="21.25" customHeight="1" x14ac:dyDescent="0.35">
      <c r="A413" s="5">
        <v>411</v>
      </c>
      <c r="B413" s="5" t="s">
        <v>447</v>
      </c>
      <c r="C413" s="4" t="s">
        <v>332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>
        <v>2</v>
      </c>
      <c r="S413" s="7">
        <v>3520</v>
      </c>
      <c r="T413" s="7"/>
      <c r="U413" s="7"/>
      <c r="V413" s="7"/>
      <c r="W413" s="7"/>
      <c r="X413" s="7"/>
      <c r="Y413" s="7"/>
      <c r="Z413" s="7"/>
      <c r="AA413" s="7"/>
      <c r="AB413" s="6">
        <f t="shared" si="12"/>
        <v>2</v>
      </c>
      <c r="AC413" s="6">
        <f t="shared" si="13"/>
        <v>3520</v>
      </c>
    </row>
    <row r="414" spans="1:29" s="1" customFormat="1" ht="21.25" customHeight="1" x14ac:dyDescent="0.35">
      <c r="A414" s="5">
        <v>412</v>
      </c>
      <c r="B414" s="5" t="s">
        <v>447</v>
      </c>
      <c r="C414" s="4" t="s">
        <v>399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>
        <v>2</v>
      </c>
      <c r="U414" s="6">
        <v>6050</v>
      </c>
      <c r="V414" s="6"/>
      <c r="W414" s="6"/>
      <c r="X414" s="6"/>
      <c r="Y414" s="6"/>
      <c r="Z414" s="6"/>
      <c r="AA414" s="6"/>
      <c r="AB414" s="6">
        <f t="shared" si="12"/>
        <v>2</v>
      </c>
      <c r="AC414" s="6">
        <f t="shared" si="13"/>
        <v>6050</v>
      </c>
    </row>
    <row r="415" spans="1:29" s="1" customFormat="1" ht="21.25" customHeight="1" x14ac:dyDescent="0.35">
      <c r="A415" s="5">
        <v>413</v>
      </c>
      <c r="B415" s="5" t="s">
        <v>447</v>
      </c>
      <c r="C415" s="4" t="s">
        <v>125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>
        <v>2</v>
      </c>
      <c r="Y415" s="6">
        <v>3740</v>
      </c>
      <c r="Z415" s="6"/>
      <c r="AA415" s="6"/>
      <c r="AB415" s="6">
        <f t="shared" si="12"/>
        <v>2</v>
      </c>
      <c r="AC415" s="6">
        <f t="shared" si="13"/>
        <v>3740</v>
      </c>
    </row>
    <row r="416" spans="1:29" s="1" customFormat="1" ht="21.25" customHeight="1" x14ac:dyDescent="0.35">
      <c r="A416" s="5">
        <v>414</v>
      </c>
      <c r="B416" s="5" t="s">
        <v>447</v>
      </c>
      <c r="C416" s="4" t="s">
        <v>126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>
        <v>2</v>
      </c>
      <c r="Y416" s="7">
        <v>3740</v>
      </c>
      <c r="Z416" s="7"/>
      <c r="AA416" s="7"/>
      <c r="AB416" s="6">
        <f t="shared" si="12"/>
        <v>2</v>
      </c>
      <c r="AC416" s="6">
        <f t="shared" si="13"/>
        <v>3740</v>
      </c>
    </row>
    <row r="417" spans="1:29" s="1" customFormat="1" ht="21.25" customHeight="1" x14ac:dyDescent="0.35">
      <c r="A417" s="5">
        <v>415</v>
      </c>
      <c r="B417" s="5" t="s">
        <v>447</v>
      </c>
      <c r="C417" s="4" t="s">
        <v>127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>
        <v>2</v>
      </c>
      <c r="Y417" s="6">
        <v>3740</v>
      </c>
      <c r="Z417" s="6"/>
      <c r="AA417" s="6"/>
      <c r="AB417" s="6">
        <f t="shared" si="12"/>
        <v>2</v>
      </c>
      <c r="AC417" s="6">
        <f t="shared" si="13"/>
        <v>3740</v>
      </c>
    </row>
    <row r="418" spans="1:29" s="1" customFormat="1" ht="21.25" customHeight="1" x14ac:dyDescent="0.35">
      <c r="A418" s="5">
        <v>416</v>
      </c>
      <c r="B418" s="5" t="s">
        <v>447</v>
      </c>
      <c r="C418" s="4" t="s">
        <v>146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>
        <v>2</v>
      </c>
      <c r="O418" s="7">
        <v>7920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6">
        <f t="shared" si="12"/>
        <v>2</v>
      </c>
      <c r="AC418" s="6">
        <f t="shared" si="13"/>
        <v>7920</v>
      </c>
    </row>
    <row r="419" spans="1:29" s="1" customFormat="1" ht="21.25" customHeight="1" x14ac:dyDescent="0.35">
      <c r="A419" s="5">
        <v>417</v>
      </c>
      <c r="B419" s="5" t="s">
        <v>449</v>
      </c>
      <c r="C419" s="4" t="s">
        <v>194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>
        <v>2</v>
      </c>
      <c r="Y419" s="7">
        <v>1980</v>
      </c>
      <c r="Z419" s="7"/>
      <c r="AA419" s="7"/>
      <c r="AB419" s="6">
        <f t="shared" si="12"/>
        <v>2</v>
      </c>
      <c r="AC419" s="6">
        <f t="shared" si="13"/>
        <v>1980</v>
      </c>
    </row>
    <row r="420" spans="1:29" s="1" customFormat="1" ht="21.25" customHeight="1" x14ac:dyDescent="0.35">
      <c r="A420" s="5">
        <v>418</v>
      </c>
      <c r="B420" s="5" t="s">
        <v>449</v>
      </c>
      <c r="C420" s="4" t="s">
        <v>196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>
        <v>2</v>
      </c>
      <c r="Y420" s="6">
        <v>5940</v>
      </c>
      <c r="Z420" s="6"/>
      <c r="AA420" s="6"/>
      <c r="AB420" s="6">
        <f t="shared" si="12"/>
        <v>2</v>
      </c>
      <c r="AC420" s="6">
        <f t="shared" si="13"/>
        <v>5940</v>
      </c>
    </row>
    <row r="421" spans="1:29" s="1" customFormat="1" ht="21.25" customHeight="1" x14ac:dyDescent="0.35">
      <c r="A421" s="5">
        <v>419</v>
      </c>
      <c r="B421" s="5" t="s">
        <v>448</v>
      </c>
      <c r="C421" s="4" t="s">
        <v>430</v>
      </c>
      <c r="D421" s="7"/>
      <c r="E421" s="7"/>
      <c r="F421" s="7"/>
      <c r="G421" s="7"/>
      <c r="H421" s="7"/>
      <c r="I421" s="7"/>
      <c r="J421" s="7">
        <v>1</v>
      </c>
      <c r="K421" s="7">
        <v>2750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>
        <v>1</v>
      </c>
      <c r="AA421" s="7">
        <v>2750</v>
      </c>
      <c r="AB421" s="6">
        <f t="shared" si="12"/>
        <v>2</v>
      </c>
      <c r="AC421" s="6">
        <f t="shared" si="13"/>
        <v>5500</v>
      </c>
    </row>
    <row r="422" spans="1:29" s="1" customFormat="1" ht="21.25" customHeight="1" x14ac:dyDescent="0.35">
      <c r="A422" s="5">
        <v>420</v>
      </c>
      <c r="B422" s="5" t="s">
        <v>450</v>
      </c>
      <c r="C422" s="4" t="s">
        <v>313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>
        <v>2</v>
      </c>
      <c r="W422" s="7">
        <v>1596</v>
      </c>
      <c r="X422" s="7"/>
      <c r="Y422" s="7"/>
      <c r="Z422" s="7"/>
      <c r="AA422" s="7"/>
      <c r="AB422" s="6">
        <f t="shared" si="12"/>
        <v>2</v>
      </c>
      <c r="AC422" s="6">
        <f t="shared" si="13"/>
        <v>1596</v>
      </c>
    </row>
    <row r="423" spans="1:29" s="1" customFormat="1" ht="21.25" customHeight="1" x14ac:dyDescent="0.35">
      <c r="A423" s="5">
        <v>421</v>
      </c>
      <c r="B423" s="5" t="s">
        <v>450</v>
      </c>
      <c r="C423" s="4" t="s">
        <v>307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>
        <v>2</v>
      </c>
      <c r="Q423" s="6">
        <v>6612</v>
      </c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>
        <f t="shared" si="12"/>
        <v>2</v>
      </c>
      <c r="AC423" s="6">
        <f t="shared" si="13"/>
        <v>6612</v>
      </c>
    </row>
    <row r="424" spans="1:29" s="1" customFormat="1" ht="21.25" customHeight="1" x14ac:dyDescent="0.35">
      <c r="A424" s="5">
        <v>422</v>
      </c>
      <c r="B424" s="5" t="s">
        <v>450</v>
      </c>
      <c r="C424" s="4" t="s">
        <v>253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>
        <v>2</v>
      </c>
      <c r="Q424" s="7">
        <v>6612</v>
      </c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6">
        <f t="shared" si="12"/>
        <v>2</v>
      </c>
      <c r="AC424" s="6">
        <f t="shared" si="13"/>
        <v>6612</v>
      </c>
    </row>
    <row r="425" spans="1:29" s="1" customFormat="1" ht="21.25" customHeight="1" x14ac:dyDescent="0.35">
      <c r="A425" s="5">
        <v>423</v>
      </c>
      <c r="B425" s="5" t="s">
        <v>447</v>
      </c>
      <c r="C425" s="4" t="s">
        <v>227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>
        <v>1</v>
      </c>
      <c r="S425" s="7">
        <v>3575</v>
      </c>
      <c r="T425" s="7"/>
      <c r="U425" s="7"/>
      <c r="V425" s="7"/>
      <c r="W425" s="7"/>
      <c r="X425" s="7"/>
      <c r="Y425" s="7"/>
      <c r="Z425" s="7"/>
      <c r="AA425" s="7"/>
      <c r="AB425" s="6">
        <f t="shared" si="12"/>
        <v>1</v>
      </c>
      <c r="AC425" s="6">
        <f t="shared" si="13"/>
        <v>3575</v>
      </c>
    </row>
    <row r="426" spans="1:29" s="1" customFormat="1" ht="21.25" customHeight="1" x14ac:dyDescent="0.35">
      <c r="A426" s="5">
        <v>424</v>
      </c>
      <c r="B426" s="5" t="s">
        <v>447</v>
      </c>
      <c r="C426" s="4" t="s">
        <v>404</v>
      </c>
      <c r="D426" s="7"/>
      <c r="E426" s="7"/>
      <c r="F426" s="7"/>
      <c r="G426" s="7"/>
      <c r="H426" s="7"/>
      <c r="I426" s="7"/>
      <c r="J426" s="7">
        <v>1</v>
      </c>
      <c r="K426" s="7">
        <v>825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6">
        <f t="shared" si="12"/>
        <v>1</v>
      </c>
      <c r="AC426" s="6">
        <f t="shared" si="13"/>
        <v>825</v>
      </c>
    </row>
    <row r="427" spans="1:29" s="1" customFormat="1" ht="21.25" customHeight="1" x14ac:dyDescent="0.35">
      <c r="A427" s="5">
        <v>425</v>
      </c>
      <c r="B427" s="5" t="s">
        <v>447</v>
      </c>
      <c r="C427" s="4" t="s">
        <v>115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>
        <v>1</v>
      </c>
      <c r="W427" s="6">
        <v>5775</v>
      </c>
      <c r="X427" s="6"/>
      <c r="Y427" s="6"/>
      <c r="Z427" s="6"/>
      <c r="AA427" s="6"/>
      <c r="AB427" s="6">
        <f t="shared" si="12"/>
        <v>1</v>
      </c>
      <c r="AC427" s="6">
        <f t="shared" si="13"/>
        <v>5775</v>
      </c>
    </row>
    <row r="428" spans="1:29" s="1" customFormat="1" ht="21.25" customHeight="1" x14ac:dyDescent="0.35">
      <c r="A428" s="5">
        <v>426</v>
      </c>
      <c r="B428" s="5" t="s">
        <v>447</v>
      </c>
      <c r="C428" s="4" t="s">
        <v>143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>
        <v>1</v>
      </c>
      <c r="W428" s="7">
        <v>4400</v>
      </c>
      <c r="X428" s="7"/>
      <c r="Y428" s="7"/>
      <c r="Z428" s="7"/>
      <c r="AA428" s="7"/>
      <c r="AB428" s="6">
        <f t="shared" si="12"/>
        <v>1</v>
      </c>
      <c r="AC428" s="6">
        <f t="shared" si="13"/>
        <v>4400</v>
      </c>
    </row>
    <row r="429" spans="1:29" s="1" customFormat="1" ht="21.25" customHeight="1" x14ac:dyDescent="0.35">
      <c r="A429" s="5">
        <v>427</v>
      </c>
      <c r="B429" s="5" t="s">
        <v>449</v>
      </c>
      <c r="C429" s="4" t="s">
        <v>249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>
        <v>1</v>
      </c>
      <c r="Y429" s="6">
        <v>1925</v>
      </c>
      <c r="Z429" s="6"/>
      <c r="AA429" s="6"/>
      <c r="AB429" s="6">
        <f t="shared" si="12"/>
        <v>1</v>
      </c>
      <c r="AC429" s="6">
        <f t="shared" si="13"/>
        <v>1925</v>
      </c>
    </row>
    <row r="430" spans="1:29" s="1" customFormat="1" ht="21.25" customHeight="1" x14ac:dyDescent="0.35">
      <c r="A430" s="5">
        <v>428</v>
      </c>
      <c r="B430" s="5" t="s">
        <v>448</v>
      </c>
      <c r="C430" s="4" t="s">
        <v>319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>
        <v>1</v>
      </c>
      <c r="U430" s="6">
        <v>3850</v>
      </c>
      <c r="V430" s="6"/>
      <c r="W430" s="6"/>
      <c r="X430" s="6"/>
      <c r="Y430" s="6"/>
      <c r="Z430" s="6"/>
      <c r="AA430" s="6"/>
      <c r="AB430" s="6">
        <f t="shared" si="12"/>
        <v>1</v>
      </c>
      <c r="AC430" s="6">
        <f t="shared" si="13"/>
        <v>3850</v>
      </c>
    </row>
    <row r="431" spans="1:29" s="1" customFormat="1" ht="21.25" customHeight="1" x14ac:dyDescent="0.35">
      <c r="A431" s="5">
        <v>429</v>
      </c>
      <c r="B431" s="5" t="s">
        <v>448</v>
      </c>
      <c r="C431" s="4" t="s">
        <v>431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>
        <v>1</v>
      </c>
      <c r="AA431" s="6">
        <v>2750</v>
      </c>
      <c r="AB431" s="6">
        <f t="shared" si="12"/>
        <v>1</v>
      </c>
      <c r="AC431" s="6">
        <f t="shared" si="13"/>
        <v>2750</v>
      </c>
    </row>
    <row r="432" spans="1:29" s="1" customFormat="1" ht="21.25" customHeight="1" x14ac:dyDescent="0.35">
      <c r="A432" s="5">
        <v>430</v>
      </c>
      <c r="B432" s="9" t="s">
        <v>448</v>
      </c>
      <c r="C432" s="8" t="s">
        <v>199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>
        <v>1</v>
      </c>
      <c r="AA432" s="10">
        <v>1925</v>
      </c>
      <c r="AB432" s="11">
        <f t="shared" si="12"/>
        <v>1</v>
      </c>
      <c r="AC432" s="11">
        <f t="shared" si="13"/>
        <v>1925</v>
      </c>
    </row>
    <row r="433" spans="1:29" ht="24.5" customHeight="1" x14ac:dyDescent="0.25">
      <c r="A433" s="13"/>
      <c r="B433" s="56"/>
      <c r="C433" s="56"/>
      <c r="D433" s="12">
        <f>SUM(D3:D432)</f>
        <v>0</v>
      </c>
      <c r="E433" s="12">
        <f t="shared" ref="E433:AC433" si="14">SUM(E3:E432)</f>
        <v>0</v>
      </c>
      <c r="F433" s="12">
        <f t="shared" si="14"/>
        <v>0</v>
      </c>
      <c r="G433" s="12">
        <f t="shared" si="14"/>
        <v>0</v>
      </c>
      <c r="H433" s="12">
        <f t="shared" si="14"/>
        <v>0</v>
      </c>
      <c r="I433" s="12">
        <f t="shared" si="14"/>
        <v>0</v>
      </c>
      <c r="J433" s="12">
        <f t="shared" si="14"/>
        <v>10323</v>
      </c>
      <c r="K433" s="12">
        <f t="shared" si="14"/>
        <v>18822710</v>
      </c>
      <c r="L433" s="12">
        <f t="shared" si="14"/>
        <v>31844</v>
      </c>
      <c r="M433" s="12">
        <f t="shared" si="14"/>
        <v>79188475</v>
      </c>
      <c r="N433" s="12">
        <f t="shared" si="14"/>
        <v>6252</v>
      </c>
      <c r="O433" s="12">
        <f t="shared" si="14"/>
        <v>16260252</v>
      </c>
      <c r="P433" s="12">
        <f t="shared" si="14"/>
        <v>10865</v>
      </c>
      <c r="Q433" s="12">
        <f t="shared" si="14"/>
        <v>18992262</v>
      </c>
      <c r="R433" s="12">
        <f t="shared" si="14"/>
        <v>5491</v>
      </c>
      <c r="S433" s="12">
        <f t="shared" si="14"/>
        <v>15104040</v>
      </c>
      <c r="T433" s="12">
        <f t="shared" si="14"/>
        <v>13562</v>
      </c>
      <c r="U433" s="12">
        <f t="shared" si="14"/>
        <v>33160760</v>
      </c>
      <c r="V433" s="12">
        <f t="shared" si="14"/>
        <v>17094</v>
      </c>
      <c r="W433" s="12">
        <f t="shared" si="14"/>
        <v>51349372</v>
      </c>
      <c r="X433" s="12">
        <f t="shared" si="14"/>
        <v>10415</v>
      </c>
      <c r="Y433" s="12">
        <f t="shared" si="14"/>
        <v>27073744</v>
      </c>
      <c r="Z433" s="12">
        <f t="shared" si="14"/>
        <v>17740</v>
      </c>
      <c r="AA433" s="12">
        <f t="shared" si="14"/>
        <v>47554430</v>
      </c>
      <c r="AB433" s="12">
        <f t="shared" si="14"/>
        <v>123586</v>
      </c>
      <c r="AC433" s="12">
        <f t="shared" si="14"/>
        <v>307506045</v>
      </c>
    </row>
    <row r="435" spans="1:29" x14ac:dyDescent="0.25">
      <c r="D435" s="13">
        <f>SUBTOTAL(9,D3:D432)</f>
        <v>0</v>
      </c>
      <c r="E435" s="13">
        <f t="shared" ref="E435:AC435" si="15">SUBTOTAL(9,E3:E432)</f>
        <v>0</v>
      </c>
      <c r="F435" s="13">
        <f t="shared" si="15"/>
        <v>0</v>
      </c>
      <c r="G435" s="13">
        <f t="shared" si="15"/>
        <v>0</v>
      </c>
      <c r="H435" s="13">
        <f t="shared" si="15"/>
        <v>0</v>
      </c>
      <c r="I435" s="13">
        <f t="shared" si="15"/>
        <v>0</v>
      </c>
      <c r="J435" s="13">
        <f t="shared" si="15"/>
        <v>10323</v>
      </c>
      <c r="K435" s="13">
        <f t="shared" si="15"/>
        <v>18822710</v>
      </c>
      <c r="L435" s="13">
        <f t="shared" si="15"/>
        <v>31844</v>
      </c>
      <c r="M435" s="13">
        <f t="shared" si="15"/>
        <v>79188475</v>
      </c>
      <c r="N435" s="13">
        <f t="shared" si="15"/>
        <v>6252</v>
      </c>
      <c r="O435" s="13">
        <f t="shared" si="15"/>
        <v>16260252</v>
      </c>
      <c r="P435" s="13">
        <f t="shared" si="15"/>
        <v>10865</v>
      </c>
      <c r="Q435" s="13">
        <f t="shared" si="15"/>
        <v>18992262</v>
      </c>
      <c r="R435" s="13">
        <f t="shared" si="15"/>
        <v>5491</v>
      </c>
      <c r="S435" s="13">
        <f t="shared" si="15"/>
        <v>15104040</v>
      </c>
      <c r="T435" s="13">
        <f t="shared" si="15"/>
        <v>13562</v>
      </c>
      <c r="U435" s="13">
        <f t="shared" si="15"/>
        <v>33160760</v>
      </c>
      <c r="V435" s="13">
        <f t="shared" si="15"/>
        <v>17094</v>
      </c>
      <c r="W435" s="13">
        <f t="shared" si="15"/>
        <v>51349372</v>
      </c>
      <c r="X435" s="13">
        <f t="shared" si="15"/>
        <v>10415</v>
      </c>
      <c r="Y435" s="13">
        <f t="shared" si="15"/>
        <v>27073744</v>
      </c>
      <c r="Z435" s="13">
        <f t="shared" si="15"/>
        <v>17740</v>
      </c>
      <c r="AA435" s="13">
        <f t="shared" si="15"/>
        <v>47554430</v>
      </c>
      <c r="AB435" s="13">
        <f t="shared" si="15"/>
        <v>123586</v>
      </c>
      <c r="AC435" s="13">
        <f t="shared" si="15"/>
        <v>307506045</v>
      </c>
    </row>
  </sheetData>
  <autoFilter ref="B1:C433" xr:uid="{11F24B2E-4A96-43D2-AFC8-6F32707FC01A}"/>
  <sortState ref="B2:AC432">
    <sortCondition descending="1" ref="AB2:AB432"/>
  </sortState>
  <mergeCells count="17">
    <mergeCell ref="B433:C433"/>
    <mergeCell ref="A1:A2"/>
    <mergeCell ref="P1:Q1"/>
    <mergeCell ref="R1:S1"/>
    <mergeCell ref="B1:B2"/>
    <mergeCell ref="C1:C2"/>
    <mergeCell ref="D1:E1"/>
    <mergeCell ref="F1:G1"/>
    <mergeCell ref="H1:I1"/>
    <mergeCell ref="J1:K1"/>
    <mergeCell ref="L1:M1"/>
    <mergeCell ref="N1:O1"/>
    <mergeCell ref="AB1:AC1"/>
    <mergeCell ref="Z1:AA1"/>
    <mergeCell ref="X1:Y1"/>
    <mergeCell ref="V1:W1"/>
    <mergeCell ref="T1:U1"/>
  </mergeCells>
  <phoneticPr fontId="2"/>
  <conditionalFormatting sqref="AB3:AC432">
    <cfRule type="top10" dxfId="3" priority="2" rank="10"/>
  </conditionalFormatting>
  <conditionalFormatting sqref="AB3:AB432">
    <cfRule type="top10" dxfId="2" priority="1" rank="10"/>
  </conditionalFormatting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FF9C-39C4-4B70-948F-867AF657B175}">
  <dimension ref="A1:E13"/>
  <sheetViews>
    <sheetView workbookViewId="0">
      <selection activeCell="C26" sqref="C26"/>
    </sheetView>
  </sheetViews>
  <sheetFormatPr defaultRowHeight="14.5" x14ac:dyDescent="0.35"/>
  <cols>
    <col min="1" max="1" width="4" style="17" customWidth="1"/>
    <col min="2" max="2" width="10.08984375" style="17" customWidth="1"/>
    <col min="3" max="3" width="43.453125" style="17" customWidth="1"/>
    <col min="4" max="4" width="9.81640625" style="17" bestFit="1" customWidth="1"/>
    <col min="5" max="5" width="13.81640625" style="17" customWidth="1"/>
    <col min="6" max="16384" width="8.7265625" style="17"/>
  </cols>
  <sheetData>
    <row r="1" spans="1:5" ht="15" thickBot="1" x14ac:dyDescent="0.4">
      <c r="A1" s="17" t="s">
        <v>453</v>
      </c>
    </row>
    <row r="2" spans="1:5" x14ac:dyDescent="0.35">
      <c r="A2" s="59" t="s">
        <v>454</v>
      </c>
      <c r="B2" s="61" t="s">
        <v>455</v>
      </c>
      <c r="C2" s="61" t="s">
        <v>456</v>
      </c>
      <c r="D2" s="63" t="s">
        <v>457</v>
      </c>
      <c r="E2" s="64"/>
    </row>
    <row r="3" spans="1:5" x14ac:dyDescent="0.35">
      <c r="A3" s="60"/>
      <c r="B3" s="62"/>
      <c r="C3" s="62"/>
      <c r="D3" s="18" t="s">
        <v>458</v>
      </c>
      <c r="E3" s="19" t="s">
        <v>459</v>
      </c>
    </row>
    <row r="4" spans="1:5" x14ac:dyDescent="0.35">
      <c r="A4" s="20">
        <v>1</v>
      </c>
      <c r="B4" s="21" t="s">
        <v>461</v>
      </c>
      <c r="C4" s="22" t="s">
        <v>460</v>
      </c>
      <c r="D4" s="23">
        <v>12926</v>
      </c>
      <c r="E4" s="24">
        <v>36959890</v>
      </c>
    </row>
    <row r="5" spans="1:5" x14ac:dyDescent="0.35">
      <c r="A5" s="25">
        <v>2</v>
      </c>
      <c r="B5" s="26" t="s">
        <v>463</v>
      </c>
      <c r="C5" s="27" t="s">
        <v>462</v>
      </c>
      <c r="D5" s="28">
        <v>10130</v>
      </c>
      <c r="E5" s="24">
        <v>30073780</v>
      </c>
    </row>
    <row r="6" spans="1:5" x14ac:dyDescent="0.35">
      <c r="A6" s="25">
        <v>3</v>
      </c>
      <c r="B6" s="26" t="s">
        <v>465</v>
      </c>
      <c r="C6" s="27" t="s">
        <v>464</v>
      </c>
      <c r="D6" s="28">
        <v>5038</v>
      </c>
      <c r="E6" s="24">
        <v>12838650</v>
      </c>
    </row>
    <row r="7" spans="1:5" x14ac:dyDescent="0.35">
      <c r="A7" s="25">
        <v>4</v>
      </c>
      <c r="B7" s="26" t="s">
        <v>467</v>
      </c>
      <c r="C7" s="27" t="s">
        <v>466</v>
      </c>
      <c r="D7" s="28">
        <v>4318</v>
      </c>
      <c r="E7" s="24">
        <v>17874725</v>
      </c>
    </row>
    <row r="8" spans="1:5" x14ac:dyDescent="0.35">
      <c r="A8" s="25">
        <v>5</v>
      </c>
      <c r="B8" s="26" t="s">
        <v>469</v>
      </c>
      <c r="C8" s="27" t="s">
        <v>468</v>
      </c>
      <c r="D8" s="28">
        <v>4012</v>
      </c>
      <c r="E8" s="24">
        <v>4814400</v>
      </c>
    </row>
    <row r="9" spans="1:5" x14ac:dyDescent="0.35">
      <c r="A9" s="25">
        <v>6</v>
      </c>
      <c r="B9" s="26" t="s">
        <v>471</v>
      </c>
      <c r="C9" s="27" t="s">
        <v>470</v>
      </c>
      <c r="D9" s="28">
        <v>3407</v>
      </c>
      <c r="E9" s="24">
        <v>5996320</v>
      </c>
    </row>
    <row r="10" spans="1:5" x14ac:dyDescent="0.35">
      <c r="A10" s="25">
        <v>7</v>
      </c>
      <c r="B10" s="26" t="s">
        <v>473</v>
      </c>
      <c r="C10" s="27" t="s">
        <v>472</v>
      </c>
      <c r="D10" s="28">
        <v>2576</v>
      </c>
      <c r="E10" s="24">
        <v>6212100</v>
      </c>
    </row>
    <row r="11" spans="1:5" x14ac:dyDescent="0.35">
      <c r="A11" s="25">
        <v>8</v>
      </c>
      <c r="B11" s="26" t="s">
        <v>475</v>
      </c>
      <c r="C11" s="27" t="s">
        <v>474</v>
      </c>
      <c r="D11" s="28">
        <v>2477</v>
      </c>
      <c r="E11" s="24">
        <v>6811750</v>
      </c>
    </row>
    <row r="12" spans="1:5" x14ac:dyDescent="0.35">
      <c r="A12" s="25">
        <v>9</v>
      </c>
      <c r="B12" s="26" t="s">
        <v>477</v>
      </c>
      <c r="C12" s="27" t="s">
        <v>476</v>
      </c>
      <c r="D12" s="28">
        <v>2094</v>
      </c>
      <c r="E12" s="24">
        <v>3863250</v>
      </c>
    </row>
    <row r="13" spans="1:5" ht="15" thickBot="1" x14ac:dyDescent="0.4">
      <c r="A13" s="29">
        <v>10</v>
      </c>
      <c r="B13" s="30" t="s">
        <v>479</v>
      </c>
      <c r="C13" s="31" t="s">
        <v>478</v>
      </c>
      <c r="D13" s="32">
        <v>2035</v>
      </c>
      <c r="E13" s="33">
        <v>11192500</v>
      </c>
    </row>
  </sheetData>
  <mergeCells count="4">
    <mergeCell ref="A2:A3"/>
    <mergeCell ref="B2:B3"/>
    <mergeCell ref="C2:C3"/>
    <mergeCell ref="D2:E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9049-7FFE-4B10-94FC-764919760E0A}">
  <dimension ref="A1:H8"/>
  <sheetViews>
    <sheetView tabSelected="1" workbookViewId="0">
      <selection activeCell="J16" sqref="J16"/>
    </sheetView>
  </sheetViews>
  <sheetFormatPr defaultRowHeight="12.5" x14ac:dyDescent="0.25"/>
  <cols>
    <col min="1" max="1" width="20.6328125" style="38" customWidth="1"/>
    <col min="2" max="2" width="15.7265625" style="38" customWidth="1"/>
    <col min="3" max="3" width="11.1796875" style="38" customWidth="1"/>
    <col min="4" max="4" width="17.81640625" style="38" customWidth="1"/>
    <col min="5" max="5" width="10.90625" style="38" customWidth="1"/>
    <col min="6" max="6" width="8.7265625" style="38"/>
    <col min="7" max="7" width="13.6328125" style="52" bestFit="1" customWidth="1"/>
    <col min="8" max="8" width="12.90625" style="52" customWidth="1"/>
    <col min="9" max="16384" width="8.7265625" style="38"/>
  </cols>
  <sheetData>
    <row r="1" spans="1:8" ht="13.5" x14ac:dyDescent="0.35">
      <c r="A1" s="34" t="s">
        <v>480</v>
      </c>
      <c r="B1" s="35" t="s">
        <v>458</v>
      </c>
      <c r="C1" s="36" t="s">
        <v>481</v>
      </c>
      <c r="D1" s="37" t="s">
        <v>459</v>
      </c>
      <c r="E1" s="37" t="s">
        <v>481</v>
      </c>
      <c r="G1" s="53">
        <v>2026</v>
      </c>
      <c r="H1" s="53"/>
    </row>
    <row r="2" spans="1:8" ht="13.5" x14ac:dyDescent="0.35">
      <c r="A2" s="21" t="s">
        <v>484</v>
      </c>
      <c r="B2" s="39">
        <v>77846</v>
      </c>
      <c r="C2" s="40">
        <f>B2/$B$8</f>
        <v>0.62989335361610543</v>
      </c>
      <c r="D2" s="41">
        <v>218918204</v>
      </c>
      <c r="E2" s="42">
        <f t="shared" ref="E2:E8" si="0">D2/$D$8</f>
        <v>0.71191512348968622</v>
      </c>
      <c r="G2" s="53">
        <v>320000000</v>
      </c>
      <c r="H2" s="53">
        <v>220000000</v>
      </c>
    </row>
    <row r="3" spans="1:8" ht="13.5" x14ac:dyDescent="0.35">
      <c r="A3" s="21" t="s">
        <v>485</v>
      </c>
      <c r="B3" s="43">
        <v>26442</v>
      </c>
      <c r="C3" s="44">
        <f t="shared" ref="C3:C8" si="1">B3/$B$8</f>
        <v>0.21395627336429693</v>
      </c>
      <c r="D3" s="41">
        <v>42861730</v>
      </c>
      <c r="E3" s="42">
        <f t="shared" si="0"/>
        <v>0.13938499973228169</v>
      </c>
      <c r="G3" s="53">
        <v>54000000</v>
      </c>
      <c r="H3" s="53">
        <v>40000000</v>
      </c>
    </row>
    <row r="4" spans="1:8" ht="13.5" x14ac:dyDescent="0.35">
      <c r="A4" s="21" t="s">
        <v>482</v>
      </c>
      <c r="B4" s="43">
        <v>10138</v>
      </c>
      <c r="C4" s="44">
        <f t="shared" si="1"/>
        <v>8.2031945365979964E-2</v>
      </c>
      <c r="D4" s="45">
        <v>30086595</v>
      </c>
      <c r="E4" s="42">
        <f t="shared" si="0"/>
        <v>9.7840661961620945E-2</v>
      </c>
      <c r="G4" s="53"/>
      <c r="H4" s="53">
        <v>10000000</v>
      </c>
    </row>
    <row r="5" spans="1:8" ht="13.5" x14ac:dyDescent="0.35">
      <c r="A5" s="21" t="s">
        <v>483</v>
      </c>
      <c r="B5" s="45">
        <v>1584</v>
      </c>
      <c r="C5" s="44">
        <f t="shared" si="1"/>
        <v>1.2816985742721667E-2</v>
      </c>
      <c r="D5" s="41">
        <v>1045440</v>
      </c>
      <c r="E5" s="42">
        <f t="shared" si="0"/>
        <v>3.3997380441740583E-3</v>
      </c>
      <c r="G5" s="53">
        <v>3000000</v>
      </c>
      <c r="H5" s="53">
        <v>3000000</v>
      </c>
    </row>
    <row r="6" spans="1:8" ht="13.5" x14ac:dyDescent="0.35">
      <c r="A6" s="21" t="s">
        <v>486</v>
      </c>
      <c r="B6" s="43">
        <v>88</v>
      </c>
      <c r="C6" s="44">
        <f t="shared" si="1"/>
        <v>7.1205476348453704E-4</v>
      </c>
      <c r="D6" s="41">
        <v>87120</v>
      </c>
      <c r="E6" s="42">
        <f t="shared" si="0"/>
        <v>2.8331150368117154E-4</v>
      </c>
      <c r="G6" s="53"/>
      <c r="H6" s="53"/>
    </row>
    <row r="7" spans="1:8" ht="13.5" x14ac:dyDescent="0.35">
      <c r="A7" s="21" t="s">
        <v>487</v>
      </c>
      <c r="B7" s="43">
        <v>7488</v>
      </c>
      <c r="C7" s="44">
        <f t="shared" si="1"/>
        <v>6.0589387147411522E-2</v>
      </c>
      <c r="D7" s="41">
        <v>14506956</v>
      </c>
      <c r="E7" s="42">
        <f t="shared" si="0"/>
        <v>4.717616526855594E-2</v>
      </c>
      <c r="G7" s="53">
        <v>10000000</v>
      </c>
      <c r="H7" s="53">
        <v>50000000</v>
      </c>
    </row>
    <row r="8" spans="1:8" ht="13.5" x14ac:dyDescent="0.35">
      <c r="A8" s="46" t="s">
        <v>457</v>
      </c>
      <c r="B8" s="47">
        <f>SUM(B2:B7)</f>
        <v>123586</v>
      </c>
      <c r="C8" s="48">
        <f t="shared" si="1"/>
        <v>1</v>
      </c>
      <c r="D8" s="47">
        <f>SUM(D2:D7)</f>
        <v>307506045</v>
      </c>
      <c r="E8" s="49">
        <f t="shared" si="0"/>
        <v>1</v>
      </c>
      <c r="G8" s="53">
        <f>SUM(G2:G7)</f>
        <v>387000000</v>
      </c>
      <c r="H8" s="53">
        <f>SUM(H2:H7)</f>
        <v>323000000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352E-B9DD-4474-91B4-2C801FD864A8}">
  <dimension ref="A1:P9"/>
  <sheetViews>
    <sheetView topLeftCell="B1" workbookViewId="0">
      <selection activeCell="B3" sqref="B3:N8"/>
    </sheetView>
  </sheetViews>
  <sheetFormatPr defaultRowHeight="13.5" outlineLevelCol="1" x14ac:dyDescent="0.35"/>
  <cols>
    <col min="1" max="1" width="20.6328125" style="53" customWidth="1"/>
    <col min="2" max="4" width="8.90625" style="13" customWidth="1" outlineLevel="1"/>
    <col min="5" max="5" width="11.08984375" style="13" customWidth="1" outlineLevel="1"/>
    <col min="6" max="13" width="12.36328125" style="13" customWidth="1" outlineLevel="1"/>
    <col min="14" max="14" width="14.90625" style="13" customWidth="1"/>
    <col min="15" max="15" width="3.36328125" style="13" customWidth="1"/>
    <col min="16" max="16" width="11.81640625" style="13" customWidth="1"/>
    <col min="17" max="16384" width="8.7265625" style="13"/>
  </cols>
  <sheetData>
    <row r="1" spans="1:16" x14ac:dyDescent="0.25">
      <c r="A1" s="67" t="s">
        <v>480</v>
      </c>
      <c r="B1" s="51">
        <v>2501</v>
      </c>
      <c r="C1" s="51">
        <v>2502</v>
      </c>
      <c r="D1" s="51">
        <v>2503</v>
      </c>
      <c r="E1" s="51">
        <v>2504</v>
      </c>
      <c r="F1" s="51">
        <v>2505</v>
      </c>
      <c r="G1" s="51">
        <v>2506</v>
      </c>
      <c r="H1" s="51">
        <v>2507</v>
      </c>
      <c r="I1" s="51">
        <v>2508</v>
      </c>
      <c r="J1" s="51">
        <v>2509</v>
      </c>
      <c r="K1" s="51">
        <v>2510</v>
      </c>
      <c r="L1" s="51">
        <v>2511</v>
      </c>
      <c r="M1" s="51">
        <v>2512</v>
      </c>
      <c r="N1" s="51" t="s">
        <v>452</v>
      </c>
      <c r="P1" s="51" t="s">
        <v>489</v>
      </c>
    </row>
    <row r="2" spans="1:16" x14ac:dyDescent="0.25">
      <c r="A2" s="68"/>
      <c r="B2" s="50" t="s">
        <v>445</v>
      </c>
      <c r="C2" s="50" t="s">
        <v>445</v>
      </c>
      <c r="D2" s="50" t="s">
        <v>445</v>
      </c>
      <c r="E2" s="50" t="s">
        <v>445</v>
      </c>
      <c r="F2" s="50" t="s">
        <v>445</v>
      </c>
      <c r="G2" s="50" t="s">
        <v>445</v>
      </c>
      <c r="H2" s="50" t="s">
        <v>445</v>
      </c>
      <c r="I2" s="50" t="s">
        <v>445</v>
      </c>
      <c r="J2" s="50" t="s">
        <v>445</v>
      </c>
      <c r="K2" s="50" t="s">
        <v>445</v>
      </c>
      <c r="L2" s="50" t="s">
        <v>445</v>
      </c>
      <c r="M2" s="50" t="s">
        <v>445</v>
      </c>
      <c r="N2" s="50" t="s">
        <v>445</v>
      </c>
      <c r="P2" s="50" t="s">
        <v>445</v>
      </c>
    </row>
    <row r="3" spans="1:16" x14ac:dyDescent="0.35">
      <c r="A3" s="69" t="s">
        <v>484</v>
      </c>
      <c r="B3" s="72">
        <v>0</v>
      </c>
      <c r="C3" s="72">
        <v>0</v>
      </c>
      <c r="D3" s="72">
        <v>0</v>
      </c>
      <c r="E3" s="72">
        <v>8123.39</v>
      </c>
      <c r="F3" s="72">
        <v>76809.755000000005</v>
      </c>
      <c r="G3" s="72">
        <v>14534.19</v>
      </c>
      <c r="H3" s="72">
        <v>13415.875</v>
      </c>
      <c r="I3" s="72">
        <v>11981.695</v>
      </c>
      <c r="J3" s="72">
        <v>21468.974999999999</v>
      </c>
      <c r="K3" s="72">
        <v>33479.324000000001</v>
      </c>
      <c r="L3" s="72">
        <v>15604.27</v>
      </c>
      <c r="M3" s="72">
        <v>23500.73</v>
      </c>
      <c r="N3" s="73">
        <f>B3+C3+D3+E3+F3+G3+H3+I3+J3+K3+L3+M3</f>
        <v>218918.204</v>
      </c>
      <c r="P3" s="40">
        <f>N3/$N$9</f>
        <v>0.71191512348968622</v>
      </c>
    </row>
    <row r="4" spans="1:16" x14ac:dyDescent="0.35">
      <c r="A4" s="70" t="s">
        <v>485</v>
      </c>
      <c r="B4" s="74">
        <v>0</v>
      </c>
      <c r="C4" s="74">
        <v>0</v>
      </c>
      <c r="D4" s="74">
        <v>0</v>
      </c>
      <c r="E4" s="74">
        <v>10651.8</v>
      </c>
      <c r="F4" s="74">
        <v>2177.1999999999998</v>
      </c>
      <c r="G4" s="74">
        <v>931.8</v>
      </c>
      <c r="H4" s="74">
        <v>3420.665</v>
      </c>
      <c r="I4" s="74">
        <v>2804</v>
      </c>
      <c r="J4" s="74">
        <v>6641.3</v>
      </c>
      <c r="K4" s="74">
        <v>9265.2199999999993</v>
      </c>
      <c r="L4" s="74">
        <v>2144.0500000000002</v>
      </c>
      <c r="M4" s="74">
        <v>4825.6949999999997</v>
      </c>
      <c r="N4" s="73">
        <f>B4+C4+D4+E4+F4+G4+H4+I4+J4+K4+L4+M4</f>
        <v>42861.73</v>
      </c>
      <c r="P4" s="44">
        <f t="shared" ref="P4:P8" si="0">N4/$N$9</f>
        <v>0.13938499973228172</v>
      </c>
    </row>
    <row r="5" spans="1:16" x14ac:dyDescent="0.35">
      <c r="A5" s="70" t="s">
        <v>482</v>
      </c>
      <c r="B5" s="74">
        <v>0</v>
      </c>
      <c r="C5" s="74">
        <v>0</v>
      </c>
      <c r="D5" s="74">
        <v>0</v>
      </c>
      <c r="E5" s="74">
        <v>0</v>
      </c>
      <c r="F5" s="74">
        <v>154</v>
      </c>
      <c r="G5" s="74">
        <v>0</v>
      </c>
      <c r="H5" s="74">
        <v>0</v>
      </c>
      <c r="I5" s="74">
        <v>0</v>
      </c>
      <c r="J5" s="74">
        <v>0</v>
      </c>
      <c r="K5" s="74">
        <v>3326.4</v>
      </c>
      <c r="L5" s="74">
        <v>8310.9950000000008</v>
      </c>
      <c r="M5" s="74">
        <v>18295.2</v>
      </c>
      <c r="N5" s="73">
        <f>B5+C5+D5+E5+F5+G5+H5+I5+J5+K5+L5+M5</f>
        <v>30086.595000000001</v>
      </c>
      <c r="P5" s="44">
        <f t="shared" si="0"/>
        <v>9.7840661961620959E-2</v>
      </c>
    </row>
    <row r="6" spans="1:16" x14ac:dyDescent="0.35">
      <c r="A6" s="70" t="s">
        <v>483</v>
      </c>
      <c r="B6" s="74">
        <v>0</v>
      </c>
      <c r="C6" s="74">
        <v>0</v>
      </c>
      <c r="D6" s="74">
        <v>0</v>
      </c>
      <c r="E6" s="74">
        <v>47.52</v>
      </c>
      <c r="F6" s="74">
        <v>47.52</v>
      </c>
      <c r="G6" s="74">
        <v>0</v>
      </c>
      <c r="H6" s="74">
        <v>950.4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3">
        <f>B6+C6+D6+E6+F6+G6+H6+I6+J6+K6+L6+M6</f>
        <v>1045.44</v>
      </c>
      <c r="P6" s="44">
        <f t="shared" si="0"/>
        <v>3.3997380441740587E-3</v>
      </c>
    </row>
    <row r="7" spans="1:16" x14ac:dyDescent="0.35">
      <c r="A7" s="70" t="s">
        <v>486</v>
      </c>
      <c r="B7" s="74">
        <v>0</v>
      </c>
      <c r="C7" s="74">
        <v>0</v>
      </c>
      <c r="D7" s="74">
        <v>0</v>
      </c>
      <c r="E7" s="74">
        <v>0</v>
      </c>
      <c r="F7" s="74">
        <v>0</v>
      </c>
      <c r="G7" s="74">
        <v>87.12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3">
        <f>B7+C7+D7+E7+F7+G7+H7+I7+J7+K7+L7+M7</f>
        <v>87.12</v>
      </c>
      <c r="P7" s="44">
        <f t="shared" si="0"/>
        <v>2.8331150368117154E-4</v>
      </c>
    </row>
    <row r="8" spans="1:16" x14ac:dyDescent="0.35">
      <c r="A8" s="70" t="s">
        <v>487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707.14200000000005</v>
      </c>
      <c r="H8" s="74">
        <v>1205.3219999999999</v>
      </c>
      <c r="I8" s="74">
        <v>318.34500000000003</v>
      </c>
      <c r="J8" s="74">
        <v>5050.4849999999997</v>
      </c>
      <c r="K8" s="74">
        <v>5278.4279999999999</v>
      </c>
      <c r="L8" s="74">
        <v>1014.429</v>
      </c>
      <c r="M8" s="74">
        <v>932.80499999999995</v>
      </c>
      <c r="N8" s="73">
        <f>B8+C8+D8+E8+F8+G8+H8+I8+J8+K8+L8+M8</f>
        <v>14506.956</v>
      </c>
      <c r="P8" s="44">
        <f t="shared" si="0"/>
        <v>4.717616526855594E-2</v>
      </c>
    </row>
    <row r="9" spans="1:16" x14ac:dyDescent="0.35">
      <c r="A9" s="71" t="s">
        <v>457</v>
      </c>
      <c r="B9" s="75">
        <f t="shared" ref="B9:N9" si="1">SUM(B3:B8)</f>
        <v>0</v>
      </c>
      <c r="C9" s="75">
        <f t="shared" si="1"/>
        <v>0</v>
      </c>
      <c r="D9" s="75">
        <f t="shared" si="1"/>
        <v>0</v>
      </c>
      <c r="E9" s="75">
        <f t="shared" si="1"/>
        <v>18822.71</v>
      </c>
      <c r="F9" s="75">
        <f t="shared" si="1"/>
        <v>79188.475000000006</v>
      </c>
      <c r="G9" s="75">
        <f t="shared" si="1"/>
        <v>16260.252</v>
      </c>
      <c r="H9" s="75">
        <f t="shared" si="1"/>
        <v>18992.262000000002</v>
      </c>
      <c r="I9" s="75">
        <f t="shared" si="1"/>
        <v>15104.039999999999</v>
      </c>
      <c r="J9" s="75">
        <f t="shared" si="1"/>
        <v>33160.759999999995</v>
      </c>
      <c r="K9" s="75">
        <f t="shared" si="1"/>
        <v>51349.372000000003</v>
      </c>
      <c r="L9" s="75">
        <f t="shared" si="1"/>
        <v>27073.744000000002</v>
      </c>
      <c r="M9" s="75">
        <f t="shared" si="1"/>
        <v>47554.43</v>
      </c>
      <c r="N9" s="75">
        <f t="shared" si="1"/>
        <v>307506.04499999998</v>
      </c>
      <c r="P9" s="76">
        <f t="shared" ref="P9" si="2">SUM(P3:P8)</f>
        <v>1</v>
      </c>
    </row>
  </sheetData>
  <mergeCells count="1">
    <mergeCell ref="A1:A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アイテム別実績</vt:lpstr>
      <vt:lpstr>TOP１０</vt:lpstr>
      <vt:lpstr>ブランド別</vt:lpstr>
      <vt:lpstr>月別ブランド別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李 暁晴</cp:lastModifiedBy>
  <dcterms:created xsi:type="dcterms:W3CDTF">2026-01-19T04:05:38Z</dcterms:created>
  <dcterms:modified xsi:type="dcterms:W3CDTF">2026-02-06T06:49:47Z</dcterms:modified>
</cp:coreProperties>
</file>