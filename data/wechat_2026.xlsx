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30.事業推進課\★★直轄事業チーム\越境EC\UNQ\★売上・費用管理\"/>
    </mc:Choice>
  </mc:AlternateContent>
  <xr:revisionPtr revIDLastSave="0" documentId="13_ncr:1_{8BF043AE-F342-4057-917B-E45C0AB566FB}" xr6:coauthVersionLast="36" xr6:coauthVersionMax="36" xr10:uidLastSave="{00000000-0000-0000-0000-000000000000}"/>
  <bookViews>
    <workbookView xWindow="240" yWindow="20" windowWidth="16100" windowHeight="9660" xr2:uid="{00000000-000D-0000-FFFF-FFFF00000000}"/>
  </bookViews>
  <sheets>
    <sheet name="2026累計" sheetId="2" r:id="rId1"/>
    <sheet name="ブランド別実績" sheetId="12" r:id="rId2"/>
    <sheet name="ブランド別売上推移" sheetId="10" state="hidden" r:id="rId3"/>
    <sheet name="アイテム別売上推移" sheetId="8" state="hidden" r:id="rId4"/>
    <sheet name="月別実績" sheetId="7" state="hidden" r:id="rId5"/>
    <sheet name="top10" sheetId="6" r:id="rId6"/>
    <sheet name="Sheet5" sheetId="11" state="hidden" r:id="rId7"/>
    <sheet name="グラフ作成用" sheetId="3" state="hidden" r:id="rId8"/>
    <sheet name="価格設定" sheetId="9" state="hidden" r:id="rId9"/>
  </sheets>
  <externalReferences>
    <externalReference r:id="rId10"/>
    <externalReference r:id="rId11"/>
    <externalReference r:id="rId12"/>
    <externalReference r:id="rId13"/>
  </externalReferences>
  <definedNames>
    <definedName name="_xlnm._FilterDatabase" localSheetId="0" hidden="1">'2026累計'!$A$1:$AE$522</definedName>
    <definedName name="_xlnm._FilterDatabase" localSheetId="6" hidden="1">Sheet5!$A$1:$L$465</definedName>
  </definedNames>
  <calcPr calcId="191029"/>
</workbook>
</file>

<file path=xl/calcChain.xml><?xml version="1.0" encoding="utf-8"?>
<calcChain xmlns="http://schemas.openxmlformats.org/spreadsheetml/2006/main">
  <c r="D50" i="12" l="1"/>
  <c r="D51" i="12"/>
  <c r="D52" i="12"/>
  <c r="B50" i="12"/>
  <c r="B51" i="12"/>
  <c r="B52" i="12"/>
  <c r="O93" i="2"/>
  <c r="AE93" i="2" s="1"/>
  <c r="N88" i="2"/>
  <c r="AD88" i="2" s="1"/>
  <c r="N60" i="2"/>
  <c r="AD60" i="2" s="1"/>
  <c r="AE505" i="2"/>
  <c r="AD505" i="2"/>
  <c r="AE504" i="2"/>
  <c r="AD504" i="2"/>
  <c r="AE503" i="2"/>
  <c r="AD503" i="2"/>
  <c r="AE502" i="2"/>
  <c r="AD502" i="2"/>
  <c r="AE501" i="2"/>
  <c r="AD501" i="2"/>
  <c r="AE500" i="2"/>
  <c r="AD500" i="2"/>
  <c r="AE499" i="2"/>
  <c r="AD499" i="2"/>
  <c r="AE498" i="2"/>
  <c r="AD498" i="2"/>
  <c r="AE497" i="2"/>
  <c r="AD497" i="2"/>
  <c r="AE496" i="2"/>
  <c r="AD496" i="2"/>
  <c r="AE495" i="2"/>
  <c r="AD495" i="2"/>
  <c r="AE513" i="2"/>
  <c r="AD513" i="2"/>
  <c r="AE512" i="2"/>
  <c r="AD512" i="2"/>
  <c r="AE511" i="2"/>
  <c r="AD511" i="2"/>
  <c r="AE510" i="2"/>
  <c r="AD510" i="2"/>
  <c r="AE509" i="2"/>
  <c r="AD509" i="2"/>
  <c r="AE508" i="2"/>
  <c r="AD508" i="2"/>
  <c r="AE507" i="2"/>
  <c r="AD507" i="2"/>
  <c r="AE506" i="2"/>
  <c r="AD506" i="2"/>
  <c r="AE517" i="2"/>
  <c r="AD517" i="2"/>
  <c r="AE516" i="2"/>
  <c r="AD516" i="2"/>
  <c r="AE515" i="2"/>
  <c r="AD515" i="2"/>
  <c r="AE514" i="2"/>
  <c r="AD514" i="2"/>
  <c r="AE519" i="2"/>
  <c r="AD519" i="2"/>
  <c r="AE518" i="2"/>
  <c r="AD518" i="2"/>
  <c r="AE134" i="2"/>
  <c r="AE520" i="2"/>
  <c r="AE521" i="2"/>
  <c r="AE522" i="2"/>
  <c r="AD134" i="2"/>
  <c r="AD520" i="2"/>
  <c r="AD521" i="2"/>
  <c r="AD522" i="2"/>
  <c r="O92" i="2"/>
  <c r="AE92" i="2" s="1"/>
  <c r="N87" i="2"/>
  <c r="O3" i="2"/>
  <c r="AE3" i="2" s="1"/>
  <c r="O91" i="2" l="1"/>
  <c r="AE91" i="2" s="1"/>
  <c r="N86" i="2"/>
  <c r="AD86" i="2" s="1"/>
  <c r="O90" i="2"/>
  <c r="AE90" i="2" s="1"/>
  <c r="N150" i="2"/>
  <c r="AD150" i="2" s="1"/>
  <c r="O60" i="2"/>
  <c r="AE60" i="2" s="1"/>
  <c r="N199" i="2"/>
  <c r="N149" i="2"/>
  <c r="AD149" i="2" s="1"/>
  <c r="O88" i="2"/>
  <c r="AE88" i="2" s="1"/>
  <c r="N52" i="2"/>
  <c r="AD52" i="2" s="1"/>
  <c r="N148" i="2"/>
  <c r="O87" i="2"/>
  <c r="AE87" i="2" s="1"/>
  <c r="N65" i="2"/>
  <c r="N38" i="2"/>
  <c r="AD38" i="2" s="1"/>
  <c r="N6" i="2"/>
  <c r="AD6" i="2" s="1"/>
  <c r="O86" i="2"/>
  <c r="AE86" i="2" s="1"/>
  <c r="N37" i="2"/>
  <c r="AD37" i="2" s="1"/>
  <c r="N5" i="2"/>
  <c r="AD5" i="2" s="1"/>
  <c r="O65" i="2"/>
  <c r="N94" i="2"/>
  <c r="AD94" i="2" s="1"/>
  <c r="N3" i="2"/>
  <c r="O150" i="2"/>
  <c r="AE150" i="2" s="1"/>
  <c r="N93" i="2"/>
  <c r="AD93" i="2" s="1"/>
  <c r="O199" i="2"/>
  <c r="O149" i="2"/>
  <c r="AE149" i="2" s="1"/>
  <c r="O89" i="2"/>
  <c r="AE89" i="2" s="1"/>
  <c r="N92" i="2"/>
  <c r="AD92" i="2" s="1"/>
  <c r="O52" i="2"/>
  <c r="AE52" i="2" s="1"/>
  <c r="O148" i="2"/>
  <c r="N91" i="2"/>
  <c r="AD91" i="2" s="1"/>
  <c r="O38" i="2"/>
  <c r="AE38" i="2" s="1"/>
  <c r="O6" i="2"/>
  <c r="AE6" i="2" s="1"/>
  <c r="N90" i="2"/>
  <c r="AD90" i="2" s="1"/>
  <c r="O37" i="2"/>
  <c r="AE37" i="2" s="1"/>
  <c r="O5" i="2"/>
  <c r="N89" i="2"/>
  <c r="AD89" i="2" s="1"/>
  <c r="O94" i="2"/>
  <c r="AE94" i="2" s="1"/>
  <c r="AD87" i="2"/>
  <c r="H523" i="2"/>
  <c r="I523" i="2"/>
  <c r="L523" i="2"/>
  <c r="M523" i="2"/>
  <c r="P523" i="2"/>
  <c r="Q523" i="2"/>
  <c r="R523" i="2"/>
  <c r="S523" i="2"/>
  <c r="T523" i="2"/>
  <c r="U523" i="2"/>
  <c r="V523" i="2"/>
  <c r="W523" i="2"/>
  <c r="X523" i="2"/>
  <c r="Y523" i="2"/>
  <c r="Z523" i="2"/>
  <c r="AA523" i="2"/>
  <c r="AB523" i="2"/>
  <c r="AC523" i="2"/>
  <c r="G523" i="2"/>
  <c r="F523" i="2"/>
  <c r="AE199" i="2" l="1"/>
  <c r="D53" i="12"/>
  <c r="AD3" i="2"/>
  <c r="B49" i="12"/>
  <c r="AE148" i="2"/>
  <c r="D48" i="12"/>
  <c r="AE5" i="2"/>
  <c r="D49" i="12"/>
  <c r="AD65" i="2"/>
  <c r="B47" i="12"/>
  <c r="AD199" i="2"/>
  <c r="B53" i="12"/>
  <c r="AE65" i="2"/>
  <c r="D47" i="12"/>
  <c r="D54" i="12" s="1"/>
  <c r="AD148" i="2"/>
  <c r="B48" i="12"/>
  <c r="N523" i="2"/>
  <c r="O523" i="2"/>
  <c r="D37" i="12"/>
  <c r="D38" i="12"/>
  <c r="D39" i="12"/>
  <c r="D40" i="12"/>
  <c r="D41" i="12"/>
  <c r="D42" i="12"/>
  <c r="D36" i="12"/>
  <c r="B37" i="12"/>
  <c r="B38" i="12"/>
  <c r="B39" i="12"/>
  <c r="B40" i="12"/>
  <c r="B41" i="12"/>
  <c r="B42" i="12"/>
  <c r="B36" i="12"/>
  <c r="B54" i="12" l="1"/>
  <c r="D43" i="12"/>
  <c r="B43" i="12"/>
  <c r="K200" i="2" l="1"/>
  <c r="K8" i="2"/>
  <c r="K11" i="2"/>
  <c r="K202" i="2"/>
  <c r="K16" i="2"/>
  <c r="K9" i="2"/>
  <c r="K29" i="2"/>
  <c r="K19" i="2"/>
  <c r="K28" i="2"/>
  <c r="K20" i="2"/>
  <c r="K7" i="2"/>
  <c r="K104" i="2"/>
  <c r="K204" i="2"/>
  <c r="K26" i="2"/>
  <c r="K35" i="2"/>
  <c r="K12" i="2"/>
  <c r="K205" i="2"/>
  <c r="K66" i="2"/>
  <c r="K41" i="2"/>
  <c r="K15" i="2"/>
  <c r="K33" i="2"/>
  <c r="K212" i="2"/>
  <c r="K211" i="2"/>
  <c r="K14" i="2"/>
  <c r="K34" i="2"/>
  <c r="K206" i="2"/>
  <c r="K207" i="2"/>
  <c r="K203" i="2"/>
  <c r="K159" i="2"/>
  <c r="K46" i="2"/>
  <c r="K31" i="2"/>
  <c r="K23" i="2"/>
  <c r="K30" i="2"/>
  <c r="K208" i="2"/>
  <c r="K32" i="2"/>
  <c r="K18" i="2"/>
  <c r="K45" i="2"/>
  <c r="K183" i="2"/>
  <c r="K209" i="2"/>
  <c r="K214" i="2"/>
  <c r="K48" i="2"/>
  <c r="K17" i="2"/>
  <c r="K164" i="2"/>
  <c r="K216" i="2"/>
  <c r="K22" i="2"/>
  <c r="K98" i="2"/>
  <c r="K151" i="2"/>
  <c r="K10" i="2"/>
  <c r="K220" i="2"/>
  <c r="K105" i="2"/>
  <c r="K167" i="2"/>
  <c r="K184" i="2"/>
  <c r="K166" i="2"/>
  <c r="K218" i="2"/>
  <c r="K165" i="2"/>
  <c r="K246" i="2"/>
  <c r="K70" i="2"/>
  <c r="K36" i="2"/>
  <c r="K113" i="2"/>
  <c r="K227" i="2"/>
  <c r="K234" i="2"/>
  <c r="K185" i="2"/>
  <c r="K233" i="2"/>
  <c r="K223" i="2"/>
  <c r="K215" i="2"/>
  <c r="K53" i="2"/>
  <c r="K235" i="2"/>
  <c r="K168" i="2"/>
  <c r="K62" i="2"/>
  <c r="K226" i="2"/>
  <c r="K190" i="2"/>
  <c r="K241" i="2"/>
  <c r="K248" i="2"/>
  <c r="K252" i="2"/>
  <c r="K43" i="2"/>
  <c r="K39" i="2"/>
  <c r="K24" i="2"/>
  <c r="K80" i="2"/>
  <c r="K249" i="2"/>
  <c r="K99" i="2"/>
  <c r="K100" i="2"/>
  <c r="K261" i="2"/>
  <c r="K229" i="2"/>
  <c r="K228" i="2"/>
  <c r="K221" i="2"/>
  <c r="K250" i="2"/>
  <c r="K118" i="2"/>
  <c r="K256" i="2"/>
  <c r="K236" i="2"/>
  <c r="K122" i="2"/>
  <c r="K79" i="2"/>
  <c r="K109" i="2"/>
  <c r="K152" i="2"/>
  <c r="K115" i="2"/>
  <c r="K120" i="2"/>
  <c r="K267" i="2"/>
  <c r="K163" i="2"/>
  <c r="K262" i="2"/>
  <c r="K263" i="2"/>
  <c r="K169" i="2"/>
  <c r="K106" i="2"/>
  <c r="K170" i="2"/>
  <c r="K270" i="2"/>
  <c r="K271" i="2"/>
  <c r="K51" i="2"/>
  <c r="K83" i="2"/>
  <c r="K247" i="2"/>
  <c r="K63" i="2"/>
  <c r="K117" i="2"/>
  <c r="K260" i="2"/>
  <c r="K114" i="2"/>
  <c r="K230" i="2"/>
  <c r="K101" i="2"/>
  <c r="K259" i="2"/>
  <c r="K269" i="2"/>
  <c r="K111" i="2"/>
  <c r="K116" i="2"/>
  <c r="K174" i="2"/>
  <c r="K175" i="2"/>
  <c r="K274" i="2"/>
  <c r="K276" i="2"/>
  <c r="K193" i="2"/>
  <c r="K194" i="2"/>
  <c r="K97" i="2"/>
  <c r="K160" i="2"/>
  <c r="K309" i="2"/>
  <c r="K232" i="2"/>
  <c r="K308" i="2"/>
  <c r="K161" i="2"/>
  <c r="K103" i="2"/>
  <c r="K314" i="2"/>
  <c r="K306" i="2"/>
  <c r="K40" i="2"/>
  <c r="K328" i="2"/>
  <c r="K329" i="2"/>
  <c r="K135" i="2"/>
  <c r="K179" i="2"/>
  <c r="K162" i="2"/>
  <c r="K140" i="2"/>
  <c r="K213" i="2"/>
  <c r="K325" i="2"/>
  <c r="K319" i="2"/>
  <c r="K327" i="2"/>
  <c r="K258" i="2"/>
  <c r="K49" i="2"/>
  <c r="K153" i="2"/>
  <c r="K64" i="2"/>
  <c r="K77" i="2"/>
  <c r="K255" i="2"/>
  <c r="K81" i="2"/>
  <c r="K334" i="2"/>
  <c r="K320" i="2"/>
  <c r="K121" i="2"/>
  <c r="K295" i="2"/>
  <c r="K67" i="2"/>
  <c r="K84" i="2"/>
  <c r="K273" i="2"/>
  <c r="K335" i="2"/>
  <c r="K156" i="2"/>
  <c r="K125" i="2"/>
  <c r="K321" i="2"/>
  <c r="K130" i="2"/>
  <c r="K110" i="2"/>
  <c r="K322" i="2"/>
  <c r="K281" i="2"/>
  <c r="K251" i="2"/>
  <c r="K245" i="2"/>
  <c r="K294" i="2"/>
  <c r="K173" i="2"/>
  <c r="K171" i="2"/>
  <c r="K303" i="2"/>
  <c r="K287" i="2"/>
  <c r="K155" i="2"/>
  <c r="K176" i="2"/>
  <c r="K311" i="2"/>
  <c r="K272" i="2"/>
  <c r="K323" i="2"/>
  <c r="K324" i="2"/>
  <c r="K178" i="2"/>
  <c r="K315" i="2"/>
  <c r="K316" i="2"/>
  <c r="K343" i="2"/>
  <c r="AE343" i="2" s="1"/>
  <c r="K344" i="2"/>
  <c r="AE344" i="2" s="1"/>
  <c r="K345" i="2"/>
  <c r="AE345" i="2" s="1"/>
  <c r="K196" i="2"/>
  <c r="AE196" i="2" s="1"/>
  <c r="K346" i="2"/>
  <c r="AE346" i="2" s="1"/>
  <c r="K347" i="2"/>
  <c r="AE347" i="2" s="1"/>
  <c r="K137" i="2"/>
  <c r="AE137" i="2" s="1"/>
  <c r="K136" i="2"/>
  <c r="AE136" i="2" s="1"/>
  <c r="K138" i="2"/>
  <c r="AE138" i="2" s="1"/>
  <c r="K139" i="2"/>
  <c r="AE139" i="2" s="1"/>
  <c r="K141" i="2"/>
  <c r="AE141" i="2" s="1"/>
  <c r="K142" i="2"/>
  <c r="AE142" i="2" s="1"/>
  <c r="K126" i="2"/>
  <c r="AE126" i="2" s="1"/>
  <c r="K127" i="2"/>
  <c r="AE127" i="2" s="1"/>
  <c r="K74" i="2"/>
  <c r="AE74" i="2" s="1"/>
  <c r="K61" i="2"/>
  <c r="AE61" i="2" s="1"/>
  <c r="K75" i="2"/>
  <c r="AE75" i="2" s="1"/>
  <c r="K54" i="2"/>
  <c r="AE54" i="2" s="1"/>
  <c r="K73" i="2"/>
  <c r="AE73" i="2" s="1"/>
  <c r="K340" i="2"/>
  <c r="AE340" i="2" s="1"/>
  <c r="K341" i="2"/>
  <c r="AE341" i="2" s="1"/>
  <c r="K4" i="2"/>
  <c r="J343" i="2"/>
  <c r="AD343" i="2" s="1"/>
  <c r="J344" i="2"/>
  <c r="AD344" i="2" s="1"/>
  <c r="J345" i="2"/>
  <c r="AD345" i="2" s="1"/>
  <c r="J196" i="2"/>
  <c r="AD196" i="2" s="1"/>
  <c r="J346" i="2"/>
  <c r="AD346" i="2" s="1"/>
  <c r="J347" i="2"/>
  <c r="AD347" i="2" s="1"/>
  <c r="J137" i="2"/>
  <c r="AD137" i="2" s="1"/>
  <c r="J136" i="2"/>
  <c r="AD136" i="2" s="1"/>
  <c r="J138" i="2"/>
  <c r="AD138" i="2" s="1"/>
  <c r="J139" i="2"/>
  <c r="AD139" i="2" s="1"/>
  <c r="J141" i="2"/>
  <c r="AD141" i="2" s="1"/>
  <c r="J142" i="2"/>
  <c r="AD142" i="2" s="1"/>
  <c r="J126" i="2"/>
  <c r="AD126" i="2" s="1"/>
  <c r="J127" i="2"/>
  <c r="AD127" i="2" s="1"/>
  <c r="J74" i="2"/>
  <c r="AD74" i="2" s="1"/>
  <c r="J61" i="2"/>
  <c r="AD61" i="2" s="1"/>
  <c r="J75" i="2"/>
  <c r="AD75" i="2" s="1"/>
  <c r="J54" i="2"/>
  <c r="AD54" i="2" s="1"/>
  <c r="J73" i="2"/>
  <c r="AD73" i="2" s="1"/>
  <c r="J340" i="2"/>
  <c r="AD340" i="2" s="1"/>
  <c r="J341" i="2"/>
  <c r="AD341" i="2" s="1"/>
  <c r="J200" i="2"/>
  <c r="J8" i="2"/>
  <c r="J11" i="2"/>
  <c r="J202" i="2"/>
  <c r="J16" i="2"/>
  <c r="J9" i="2"/>
  <c r="J29" i="2"/>
  <c r="J19" i="2"/>
  <c r="J28" i="2"/>
  <c r="J20" i="2"/>
  <c r="J7" i="2"/>
  <c r="J104" i="2"/>
  <c r="J204" i="2"/>
  <c r="J26" i="2"/>
  <c r="J35" i="2"/>
  <c r="J12" i="2"/>
  <c r="J205" i="2"/>
  <c r="J66" i="2"/>
  <c r="J41" i="2"/>
  <c r="J15" i="2"/>
  <c r="J33" i="2"/>
  <c r="J212" i="2"/>
  <c r="J211" i="2"/>
  <c r="J14" i="2"/>
  <c r="J34" i="2"/>
  <c r="J206" i="2"/>
  <c r="J207" i="2"/>
  <c r="J203" i="2"/>
  <c r="J159" i="2"/>
  <c r="J46" i="2"/>
  <c r="J31" i="2"/>
  <c r="J23" i="2"/>
  <c r="J30" i="2"/>
  <c r="J208" i="2"/>
  <c r="J32" i="2"/>
  <c r="J18" i="2"/>
  <c r="J45" i="2"/>
  <c r="J183" i="2"/>
  <c r="J209" i="2"/>
  <c r="J214" i="2"/>
  <c r="J48" i="2"/>
  <c r="J17" i="2"/>
  <c r="J164" i="2"/>
  <c r="J216" i="2"/>
  <c r="J22" i="2"/>
  <c r="J98" i="2"/>
  <c r="J151" i="2"/>
  <c r="J10" i="2"/>
  <c r="J220" i="2"/>
  <c r="J105" i="2"/>
  <c r="J167" i="2"/>
  <c r="J184" i="2"/>
  <c r="J166" i="2"/>
  <c r="J218" i="2"/>
  <c r="J165" i="2"/>
  <c r="J246" i="2"/>
  <c r="J70" i="2"/>
  <c r="J36" i="2"/>
  <c r="J113" i="2"/>
  <c r="J227" i="2"/>
  <c r="J234" i="2"/>
  <c r="J185" i="2"/>
  <c r="J233" i="2"/>
  <c r="J223" i="2"/>
  <c r="J215" i="2"/>
  <c r="J53" i="2"/>
  <c r="J235" i="2"/>
  <c r="J168" i="2"/>
  <c r="J62" i="2"/>
  <c r="J226" i="2"/>
  <c r="J190" i="2"/>
  <c r="J241" i="2"/>
  <c r="J248" i="2"/>
  <c r="J252" i="2"/>
  <c r="J43" i="2"/>
  <c r="J39" i="2"/>
  <c r="J24" i="2"/>
  <c r="J80" i="2"/>
  <c r="J249" i="2"/>
  <c r="J99" i="2"/>
  <c r="J100" i="2"/>
  <c r="J261" i="2"/>
  <c r="J229" i="2"/>
  <c r="J228" i="2"/>
  <c r="J221" i="2"/>
  <c r="J250" i="2"/>
  <c r="J118" i="2"/>
  <c r="J256" i="2"/>
  <c r="J236" i="2"/>
  <c r="J122" i="2"/>
  <c r="J79" i="2"/>
  <c r="J109" i="2"/>
  <c r="J152" i="2"/>
  <c r="J115" i="2"/>
  <c r="J120" i="2"/>
  <c r="J267" i="2"/>
  <c r="J163" i="2"/>
  <c r="J262" i="2"/>
  <c r="J263" i="2"/>
  <c r="J169" i="2"/>
  <c r="J106" i="2"/>
  <c r="J170" i="2"/>
  <c r="J270" i="2"/>
  <c r="J271" i="2"/>
  <c r="J51" i="2"/>
  <c r="J83" i="2"/>
  <c r="J247" i="2"/>
  <c r="J63" i="2"/>
  <c r="J117" i="2"/>
  <c r="J260" i="2"/>
  <c r="J114" i="2"/>
  <c r="J230" i="2"/>
  <c r="J101" i="2"/>
  <c r="J259" i="2"/>
  <c r="J269" i="2"/>
  <c r="J111" i="2"/>
  <c r="J116" i="2"/>
  <c r="J174" i="2"/>
  <c r="J175" i="2"/>
  <c r="J274" i="2"/>
  <c r="J276" i="2"/>
  <c r="J193" i="2"/>
  <c r="J194" i="2"/>
  <c r="J97" i="2"/>
  <c r="J160" i="2"/>
  <c r="J309" i="2"/>
  <c r="J232" i="2"/>
  <c r="J308" i="2"/>
  <c r="J161" i="2"/>
  <c r="J103" i="2"/>
  <c r="J314" i="2"/>
  <c r="J306" i="2"/>
  <c r="J40" i="2"/>
  <c r="J328" i="2"/>
  <c r="J329" i="2"/>
  <c r="J135" i="2"/>
  <c r="J179" i="2"/>
  <c r="J162" i="2"/>
  <c r="J140" i="2"/>
  <c r="J213" i="2"/>
  <c r="J325" i="2"/>
  <c r="J319" i="2"/>
  <c r="J327" i="2"/>
  <c r="J258" i="2"/>
  <c r="J49" i="2"/>
  <c r="J153" i="2"/>
  <c r="J64" i="2"/>
  <c r="J77" i="2"/>
  <c r="J255" i="2"/>
  <c r="J81" i="2"/>
  <c r="J334" i="2"/>
  <c r="J320" i="2"/>
  <c r="J121" i="2"/>
  <c r="J295" i="2"/>
  <c r="J67" i="2"/>
  <c r="J84" i="2"/>
  <c r="J273" i="2"/>
  <c r="J335" i="2"/>
  <c r="J156" i="2"/>
  <c r="J125" i="2"/>
  <c r="J321" i="2"/>
  <c r="J130" i="2"/>
  <c r="J110" i="2"/>
  <c r="J322" i="2"/>
  <c r="J281" i="2"/>
  <c r="J251" i="2"/>
  <c r="J245" i="2"/>
  <c r="J294" i="2"/>
  <c r="J173" i="2"/>
  <c r="J171" i="2"/>
  <c r="J303" i="2"/>
  <c r="J287" i="2"/>
  <c r="J155" i="2"/>
  <c r="J176" i="2"/>
  <c r="J311" i="2"/>
  <c r="J272" i="2"/>
  <c r="J323" i="2"/>
  <c r="J324" i="2"/>
  <c r="J178" i="2"/>
  <c r="J315" i="2"/>
  <c r="J316" i="2"/>
  <c r="J4" i="2"/>
  <c r="AD4" i="2" s="1"/>
  <c r="J523" i="2" l="1"/>
  <c r="K523" i="2"/>
  <c r="B28" i="12"/>
  <c r="D28" i="12"/>
  <c r="B27" i="12"/>
  <c r="D27" i="12"/>
  <c r="B31" i="12"/>
  <c r="D31" i="12"/>
  <c r="B30" i="12"/>
  <c r="D30" i="12"/>
  <c r="B25" i="12"/>
  <c r="D25" i="12"/>
  <c r="B29" i="12"/>
  <c r="D29" i="12"/>
  <c r="D26" i="12"/>
  <c r="B26" i="12"/>
  <c r="D15" i="12"/>
  <c r="D16" i="12"/>
  <c r="D17" i="12"/>
  <c r="D18" i="12"/>
  <c r="D19" i="12"/>
  <c r="D20" i="12"/>
  <c r="D14" i="12"/>
  <c r="D3" i="12"/>
  <c r="B15" i="12"/>
  <c r="B16" i="12"/>
  <c r="B17" i="12"/>
  <c r="B18" i="12"/>
  <c r="B19" i="12"/>
  <c r="B20" i="12"/>
  <c r="B14" i="12"/>
  <c r="B3" i="12"/>
  <c r="B4" i="12"/>
  <c r="B5" i="12"/>
  <c r="B6" i="12"/>
  <c r="B7" i="12"/>
  <c r="B8" i="12"/>
  <c r="B9" i="12"/>
  <c r="D32" i="12" l="1"/>
  <c r="B32" i="12"/>
  <c r="D21" i="12"/>
  <c r="B21" i="12"/>
  <c r="AE188" i="2"/>
  <c r="AD188" i="2"/>
  <c r="AE332" i="2"/>
  <c r="AD332" i="2"/>
  <c r="AE162" i="2"/>
  <c r="AD162" i="2"/>
  <c r="AE59" i="2"/>
  <c r="AD59" i="2"/>
  <c r="AE57" i="2"/>
  <c r="AD57" i="2"/>
  <c r="AE42" i="2"/>
  <c r="AD42" i="2"/>
  <c r="AE33" i="2"/>
  <c r="AD33" i="2"/>
  <c r="AE203" i="2"/>
  <c r="AD203" i="2"/>
  <c r="AE338" i="2"/>
  <c r="AD338" i="2"/>
  <c r="AE337" i="2"/>
  <c r="AD337" i="2"/>
  <c r="AE179" i="2"/>
  <c r="AD179" i="2"/>
  <c r="AE58" i="2"/>
  <c r="AD58" i="2"/>
  <c r="AE56" i="2"/>
  <c r="AD56" i="2"/>
  <c r="AE78" i="2"/>
  <c r="AD78" i="2"/>
  <c r="AE217" i="2"/>
  <c r="AD217" i="2"/>
  <c r="AE55" i="2"/>
  <c r="AE191" i="2"/>
  <c r="AE25" i="2"/>
  <c r="AE66" i="2"/>
  <c r="AD55" i="2"/>
  <c r="AD191" i="2"/>
  <c r="AD25" i="2"/>
  <c r="AD66" i="2"/>
  <c r="D4" i="12" l="1"/>
  <c r="D5" i="12"/>
  <c r="D6" i="12"/>
  <c r="D7" i="12"/>
  <c r="D8" i="12"/>
  <c r="D9" i="12"/>
  <c r="AD304" i="2" l="1"/>
  <c r="AE304" i="2"/>
  <c r="AD200" i="2"/>
  <c r="AE200" i="2"/>
  <c r="AD14" i="2"/>
  <c r="AE14" i="2"/>
  <c r="AD231" i="2"/>
  <c r="AE231" i="2"/>
  <c r="AD34" i="2"/>
  <c r="AE34" i="2"/>
  <c r="AD212" i="2"/>
  <c r="AE212" i="2"/>
  <c r="AD244" i="2"/>
  <c r="AE244" i="2"/>
  <c r="Q206" i="12" l="1"/>
  <c r="B10" i="12" l="1"/>
  <c r="AE11" i="2"/>
  <c r="AE202" i="2"/>
  <c r="AE7" i="2"/>
  <c r="AE8" i="2"/>
  <c r="AE458" i="2"/>
  <c r="AE459" i="2"/>
  <c r="AE460" i="2"/>
  <c r="AE15" i="2"/>
  <c r="AE201" i="2"/>
  <c r="AE104" i="2"/>
  <c r="AE9" i="2"/>
  <c r="AE461" i="2"/>
  <c r="AE21" i="2"/>
  <c r="AE28" i="2"/>
  <c r="AE19" i="2"/>
  <c r="AE359" i="2"/>
  <c r="AE12" i="2"/>
  <c r="AE39" i="2"/>
  <c r="AE17" i="2"/>
  <c r="AE207" i="2"/>
  <c r="AE319" i="2"/>
  <c r="AE47" i="2"/>
  <c r="AE26" i="2"/>
  <c r="AE327" i="2"/>
  <c r="AE13" i="2"/>
  <c r="AE20" i="2"/>
  <c r="AE43" i="2"/>
  <c r="AE31" i="2"/>
  <c r="AE209" i="2"/>
  <c r="AE18" i="2"/>
  <c r="AE16" i="2"/>
  <c r="AE41" i="2"/>
  <c r="AE258" i="2"/>
  <c r="AE29" i="2"/>
  <c r="AE71" i="2"/>
  <c r="AE214" i="2"/>
  <c r="AE164" i="2"/>
  <c r="AE36" i="2"/>
  <c r="AE213" i="2"/>
  <c r="AE53" i="2"/>
  <c r="AE50" i="2"/>
  <c r="AE210" i="2"/>
  <c r="AE448" i="2"/>
  <c r="AE211" i="2"/>
  <c r="AE24" i="2"/>
  <c r="AE48" i="2"/>
  <c r="AE225" i="2"/>
  <c r="AE22" i="2"/>
  <c r="AE449" i="2"/>
  <c r="AE216" i="2"/>
  <c r="AE96" i="2"/>
  <c r="AE62" i="2"/>
  <c r="AE360" i="2"/>
  <c r="AE234" i="2"/>
  <c r="AE361" i="2"/>
  <c r="AE46" i="2"/>
  <c r="AE462" i="2"/>
  <c r="AE49" i="2"/>
  <c r="AE246" i="2"/>
  <c r="AE204" i="2"/>
  <c r="AE219" i="2"/>
  <c r="AE276" i="2"/>
  <c r="AE113" i="2"/>
  <c r="AE51" i="2"/>
  <c r="AE151" i="2"/>
  <c r="AE32" i="2"/>
  <c r="AE35" i="2"/>
  <c r="AE45" i="2"/>
  <c r="AE27" i="2"/>
  <c r="AE450" i="2"/>
  <c r="AE165" i="2"/>
  <c r="AE72" i="2"/>
  <c r="AE44" i="2"/>
  <c r="AE451" i="2"/>
  <c r="AE80" i="2"/>
  <c r="AE166" i="2"/>
  <c r="AE40" i="2"/>
  <c r="AE30" i="2"/>
  <c r="AE232" i="2"/>
  <c r="AE153" i="2"/>
  <c r="AE291" i="2"/>
  <c r="AE243" i="2"/>
  <c r="AE105" i="2"/>
  <c r="AE249" i="2"/>
  <c r="AE64" i="2"/>
  <c r="AE362" i="2"/>
  <c r="AE252" i="2"/>
  <c r="AE77" i="2"/>
  <c r="AE255" i="2"/>
  <c r="AE99" i="2"/>
  <c r="AE192" i="2"/>
  <c r="AE85" i="2"/>
  <c r="AE100" i="2"/>
  <c r="AE168" i="2"/>
  <c r="AE239" i="2"/>
  <c r="AE363" i="2"/>
  <c r="AE307" i="2"/>
  <c r="AE82" i="2"/>
  <c r="AE81" i="2"/>
  <c r="AE452" i="2"/>
  <c r="AE70" i="2"/>
  <c r="AE364" i="2"/>
  <c r="AE227" i="2"/>
  <c r="AE261" i="2"/>
  <c r="AE365" i="2"/>
  <c r="AE257" i="2"/>
  <c r="AE83" i="2"/>
  <c r="AE119" i="2"/>
  <c r="AE68" i="2"/>
  <c r="AE167" i="2"/>
  <c r="AE10" i="2"/>
  <c r="AE366" i="2"/>
  <c r="AE367" i="2"/>
  <c r="AE334" i="2"/>
  <c r="AE222" i="2"/>
  <c r="AE123" i="2"/>
  <c r="AE247" i="2"/>
  <c r="AE368" i="2"/>
  <c r="AE116" i="2"/>
  <c r="AE109" i="2"/>
  <c r="AE229" i="2"/>
  <c r="AE289" i="2"/>
  <c r="AE184" i="2"/>
  <c r="AE240" i="2"/>
  <c r="AE185" i="2"/>
  <c r="AE228" i="2"/>
  <c r="AE320" i="2"/>
  <c r="AE95" i="2"/>
  <c r="AE131" i="2"/>
  <c r="AE122" i="2"/>
  <c r="AE128" i="2"/>
  <c r="AE121" i="2"/>
  <c r="AE124" i="2"/>
  <c r="AE295" i="2"/>
  <c r="AE221" i="2"/>
  <c r="AE369" i="2"/>
  <c r="AE67" i="2"/>
  <c r="AE69" i="2"/>
  <c r="AE152" i="2"/>
  <c r="AE233" i="2"/>
  <c r="AE84" i="2"/>
  <c r="AE273" i="2"/>
  <c r="AE63" i="2"/>
  <c r="AE335" i="2"/>
  <c r="AE370" i="2"/>
  <c r="AE223" i="2"/>
  <c r="AE154" i="2"/>
  <c r="AE224" i="2"/>
  <c r="AE76" i="2"/>
  <c r="AE325" i="2"/>
  <c r="AE466" i="2"/>
  <c r="AE282" i="2"/>
  <c r="AE342" i="2"/>
  <c r="AE115" i="2"/>
  <c r="AE371" i="2"/>
  <c r="AE268" i="2"/>
  <c r="AE312" i="2"/>
  <c r="AE156" i="2"/>
  <c r="AE372" i="2"/>
  <c r="AE283" i="2"/>
  <c r="AE129" i="2"/>
  <c r="AE125" i="2"/>
  <c r="AE453" i="2"/>
  <c r="AE321" i="2"/>
  <c r="AE238" i="2"/>
  <c r="AE117" i="2"/>
  <c r="AE226" i="2"/>
  <c r="AE265" i="2"/>
  <c r="AE132" i="2"/>
  <c r="AE253" i="2"/>
  <c r="AE373" i="2"/>
  <c r="AE374" i="2"/>
  <c r="AE143" i="2"/>
  <c r="AE375" i="2"/>
  <c r="AE79" i="2"/>
  <c r="AE130" i="2"/>
  <c r="AE120" i="2"/>
  <c r="AE293" i="2"/>
  <c r="AE242" i="2"/>
  <c r="AE275" i="2"/>
  <c r="AE274" i="2"/>
  <c r="AE260" i="2"/>
  <c r="AE250" i="2"/>
  <c r="AE376" i="2"/>
  <c r="AE110" i="2"/>
  <c r="AE351" i="2"/>
  <c r="AE266" i="2"/>
  <c r="AE280" i="2"/>
  <c r="AE277" i="2"/>
  <c r="AE218" i="2"/>
  <c r="AE180" i="2"/>
  <c r="AE467" i="2"/>
  <c r="AE468" i="2"/>
  <c r="AE469" i="2"/>
  <c r="AE235" i="2"/>
  <c r="AE98" i="2"/>
  <c r="AE377" i="2"/>
  <c r="AE118" i="2"/>
  <c r="AE378" i="2"/>
  <c r="AE254" i="2"/>
  <c r="AE157" i="2"/>
  <c r="AE186" i="2"/>
  <c r="AE190" i="2"/>
  <c r="AE494" i="2"/>
  <c r="AE352" i="2"/>
  <c r="AE183" i="2"/>
  <c r="AE278" i="2"/>
  <c r="AE379" i="2"/>
  <c r="AE380" i="2"/>
  <c r="AE248" i="2"/>
  <c r="AE322" i="2"/>
  <c r="AE220" i="2"/>
  <c r="AE181" i="2"/>
  <c r="AE470" i="2"/>
  <c r="AE381" i="2"/>
  <c r="AE382" i="2"/>
  <c r="AE471" i="2"/>
  <c r="AE383" i="2"/>
  <c r="AE384" i="2"/>
  <c r="AE281" i="2"/>
  <c r="AE284" i="2"/>
  <c r="AE285" i="2"/>
  <c r="AE251" i="2"/>
  <c r="AE256" i="2"/>
  <c r="AE385" i="2"/>
  <c r="AE386" i="2"/>
  <c r="AE349" i="2"/>
  <c r="AE387" i="2"/>
  <c r="AE292" i="2"/>
  <c r="AE140" i="2"/>
  <c r="AE388" i="2"/>
  <c r="AE454" i="2"/>
  <c r="AE245" i="2"/>
  <c r="AE472" i="2"/>
  <c r="AE389" i="2"/>
  <c r="AE144" i="2"/>
  <c r="AE390" i="2"/>
  <c r="AE391" i="2"/>
  <c r="AE208" i="2"/>
  <c r="AE236" i="2"/>
  <c r="AE296" i="2"/>
  <c r="AE392" i="2"/>
  <c r="AE112" i="2"/>
  <c r="AE267" i="2"/>
  <c r="AE294" i="2"/>
  <c r="AE145" i="2"/>
  <c r="AE286" i="2"/>
  <c r="AE473" i="2"/>
  <c r="AE393" i="2"/>
  <c r="AE163" i="2"/>
  <c r="AE173" i="2"/>
  <c r="AE215" i="2"/>
  <c r="AE264" i="2"/>
  <c r="AE205" i="2"/>
  <c r="AE206" i="2"/>
  <c r="AE326" i="2"/>
  <c r="AE279" i="2"/>
  <c r="AE455" i="2"/>
  <c r="AE394" i="2"/>
  <c r="AE171" i="2"/>
  <c r="AE290" i="2"/>
  <c r="AE297" i="2"/>
  <c r="AE463" i="2"/>
  <c r="AE395" i="2"/>
  <c r="AE262" i="2"/>
  <c r="AE107" i="2"/>
  <c r="AE146" i="2"/>
  <c r="AE302" i="2"/>
  <c r="AE348" i="2"/>
  <c r="AE396" i="2"/>
  <c r="AE474" i="2"/>
  <c r="AE475" i="2"/>
  <c r="AE303" i="2"/>
  <c r="AE287" i="2"/>
  <c r="AE476" i="2"/>
  <c r="AE155" i="2"/>
  <c r="AE298" i="2"/>
  <c r="AE397" i="2"/>
  <c r="AE398" i="2"/>
  <c r="AE399" i="2"/>
  <c r="AE299" i="2"/>
  <c r="AE400" i="2"/>
  <c r="AE477" i="2"/>
  <c r="AE464" i="2"/>
  <c r="AE401" i="2"/>
  <c r="AE402" i="2"/>
  <c r="AE172" i="2"/>
  <c r="AE403" i="2"/>
  <c r="AE328" i="2"/>
  <c r="AE329" i="2"/>
  <c r="AE176" i="2"/>
  <c r="AE300" i="2"/>
  <c r="AE288" i="2"/>
  <c r="AE478" i="2"/>
  <c r="AE479" i="2"/>
  <c r="AE177" i="2"/>
  <c r="AE333" i="2"/>
  <c r="AE108" i="2"/>
  <c r="AE133" i="2"/>
  <c r="AE480" i="2"/>
  <c r="AE404" i="2"/>
  <c r="AE23" i="2"/>
  <c r="AE241" i="2"/>
  <c r="AE263" i="2"/>
  <c r="AE102" i="2"/>
  <c r="AE317" i="2"/>
  <c r="AE182" i="2"/>
  <c r="AE169" i="2"/>
  <c r="AE405" i="2"/>
  <c r="AE406" i="2"/>
  <c r="AE147" i="2"/>
  <c r="AE456" i="2"/>
  <c r="AE407" i="2"/>
  <c r="AE408" i="2"/>
  <c r="AE409" i="2"/>
  <c r="AE410" i="2"/>
  <c r="AE159" i="2"/>
  <c r="AE411" i="2"/>
  <c r="AE481" i="2"/>
  <c r="AE482" i="2"/>
  <c r="AE412" i="2"/>
  <c r="AE301" i="2"/>
  <c r="AE413" i="2"/>
  <c r="AE311" i="2"/>
  <c r="AE414" i="2"/>
  <c r="AE114" i="2"/>
  <c r="AE465" i="2"/>
  <c r="AE415" i="2"/>
  <c r="AE416" i="2"/>
  <c r="AE237" i="2"/>
  <c r="AE193" i="2"/>
  <c r="AE194" i="2"/>
  <c r="AE305" i="2"/>
  <c r="AE483" i="2"/>
  <c r="AE484" i="2"/>
  <c r="AE457" i="2"/>
  <c r="AE272" i="2"/>
  <c r="AE313" i="2"/>
  <c r="AE417" i="2"/>
  <c r="AE174" i="2"/>
  <c r="AE175" i="2"/>
  <c r="AE135" i="2"/>
  <c r="AE485" i="2"/>
  <c r="AE323" i="2"/>
  <c r="AE230" i="2"/>
  <c r="AE101" i="2"/>
  <c r="AE259" i="2"/>
  <c r="AE269" i="2"/>
  <c r="AE111" i="2"/>
  <c r="AE308" i="2"/>
  <c r="AE106" i="2"/>
  <c r="AE170" i="2"/>
  <c r="AE418" i="2"/>
  <c r="AE270" i="2"/>
  <c r="AE353" i="2"/>
  <c r="AE419" i="2"/>
  <c r="AE420" i="2"/>
  <c r="AE318" i="2"/>
  <c r="AE421" i="2"/>
  <c r="AE354" i="2"/>
  <c r="AE422" i="2"/>
  <c r="AE423" i="2"/>
  <c r="AE424" i="2"/>
  <c r="AE425" i="2"/>
  <c r="AE426" i="2"/>
  <c r="AE427" i="2"/>
  <c r="AE97" i="2"/>
  <c r="AE161" i="2"/>
  <c r="AE271" i="2"/>
  <c r="AE428" i="2"/>
  <c r="AE355" i="2"/>
  <c r="AE486" i="2"/>
  <c r="AE429" i="2"/>
  <c r="AE430" i="2"/>
  <c r="AE324" i="2"/>
  <c r="AE178" i="2"/>
  <c r="AE431" i="2"/>
  <c r="AE432" i="2"/>
  <c r="AE339" i="2"/>
  <c r="AE433" i="2"/>
  <c r="AE434" i="2"/>
  <c r="AE189" i="2"/>
  <c r="AE187" i="2"/>
  <c r="AE435" i="2"/>
  <c r="AE356" i="2"/>
  <c r="AE436" i="2"/>
  <c r="AE437" i="2"/>
  <c r="AE487" i="2"/>
  <c r="AE488" i="2"/>
  <c r="AE489" i="2"/>
  <c r="AE490" i="2"/>
  <c r="AE491" i="2"/>
  <c r="AE492" i="2"/>
  <c r="AE493" i="2"/>
  <c r="AE158" i="2"/>
  <c r="AE330" i="2"/>
  <c r="AE336" i="2"/>
  <c r="AE310" i="2"/>
  <c r="AE331" i="2"/>
  <c r="AE197" i="2"/>
  <c r="AE198" i="2"/>
  <c r="AE195" i="2"/>
  <c r="AE160" i="2"/>
  <c r="AE103" i="2"/>
  <c r="AE314" i="2"/>
  <c r="AE309" i="2"/>
  <c r="AE438" i="2"/>
  <c r="AE439" i="2"/>
  <c r="AE440" i="2"/>
  <c r="AE306" i="2"/>
  <c r="AE441" i="2"/>
  <c r="AE442" i="2"/>
  <c r="AE357" i="2"/>
  <c r="AE350" i="2"/>
  <c r="AE358" i="2"/>
  <c r="AE443" i="2"/>
  <c r="AE444" i="2"/>
  <c r="AE445" i="2"/>
  <c r="AE446" i="2"/>
  <c r="AE447" i="2"/>
  <c r="AE315" i="2"/>
  <c r="AE316" i="2"/>
  <c r="AE4" i="2"/>
  <c r="AD11" i="2"/>
  <c r="AD202" i="2"/>
  <c r="AD7" i="2"/>
  <c r="AD8" i="2"/>
  <c r="AD458" i="2"/>
  <c r="AD459" i="2"/>
  <c r="AD460" i="2"/>
  <c r="AD15" i="2"/>
  <c r="AD201" i="2"/>
  <c r="AD104" i="2"/>
  <c r="AD9" i="2"/>
  <c r="AD461" i="2"/>
  <c r="AD21" i="2"/>
  <c r="AD28" i="2"/>
  <c r="AD19" i="2"/>
  <c r="AD359" i="2"/>
  <c r="AD12" i="2"/>
  <c r="AD39" i="2"/>
  <c r="AD17" i="2"/>
  <c r="AD207" i="2"/>
  <c r="AD319" i="2"/>
  <c r="AD47" i="2"/>
  <c r="AD26" i="2"/>
  <c r="AD327" i="2"/>
  <c r="AD13" i="2"/>
  <c r="AD20" i="2"/>
  <c r="AD43" i="2"/>
  <c r="AD31" i="2"/>
  <c r="AD209" i="2"/>
  <c r="AD18" i="2"/>
  <c r="AD16" i="2"/>
  <c r="AD41" i="2"/>
  <c r="AD258" i="2"/>
  <c r="AD29" i="2"/>
  <c r="AD71" i="2"/>
  <c r="AD214" i="2"/>
  <c r="AD164" i="2"/>
  <c r="AD36" i="2"/>
  <c r="AD213" i="2"/>
  <c r="AD53" i="2"/>
  <c r="AD50" i="2"/>
  <c r="AD210" i="2"/>
  <c r="AD448" i="2"/>
  <c r="AD211" i="2"/>
  <c r="AD24" i="2"/>
  <c r="AD48" i="2"/>
  <c r="AD225" i="2"/>
  <c r="AD22" i="2"/>
  <c r="AD449" i="2"/>
  <c r="AD216" i="2"/>
  <c r="AD96" i="2"/>
  <c r="AD62" i="2"/>
  <c r="AD360" i="2"/>
  <c r="AD234" i="2"/>
  <c r="AD361" i="2"/>
  <c r="AD46" i="2"/>
  <c r="AD462" i="2"/>
  <c r="AD49" i="2"/>
  <c r="AD246" i="2"/>
  <c r="AD204" i="2"/>
  <c r="AD219" i="2"/>
  <c r="AD276" i="2"/>
  <c r="AD113" i="2"/>
  <c r="AD51" i="2"/>
  <c r="AD151" i="2"/>
  <c r="AD32" i="2"/>
  <c r="AD35" i="2"/>
  <c r="AD45" i="2"/>
  <c r="AD27" i="2"/>
  <c r="AD450" i="2"/>
  <c r="AD165" i="2"/>
  <c r="AD72" i="2"/>
  <c r="AD44" i="2"/>
  <c r="AD451" i="2"/>
  <c r="AD80" i="2"/>
  <c r="AD166" i="2"/>
  <c r="AD40" i="2"/>
  <c r="AD30" i="2"/>
  <c r="AD232" i="2"/>
  <c r="AD153" i="2"/>
  <c r="AD291" i="2"/>
  <c r="AD243" i="2"/>
  <c r="AD105" i="2"/>
  <c r="AD249" i="2"/>
  <c r="AD64" i="2"/>
  <c r="AD362" i="2"/>
  <c r="AD252" i="2"/>
  <c r="AD77" i="2"/>
  <c r="AD255" i="2"/>
  <c r="AD99" i="2"/>
  <c r="AD192" i="2"/>
  <c r="AD85" i="2"/>
  <c r="AD100" i="2"/>
  <c r="AD168" i="2"/>
  <c r="AD239" i="2"/>
  <c r="AD363" i="2"/>
  <c r="AD307" i="2"/>
  <c r="AD82" i="2"/>
  <c r="AD81" i="2"/>
  <c r="AD452" i="2"/>
  <c r="AD70" i="2"/>
  <c r="AD364" i="2"/>
  <c r="AD227" i="2"/>
  <c r="AD261" i="2"/>
  <c r="AD365" i="2"/>
  <c r="AD257" i="2"/>
  <c r="AD83" i="2"/>
  <c r="AD119" i="2"/>
  <c r="AD68" i="2"/>
  <c r="AD167" i="2"/>
  <c r="AD10" i="2"/>
  <c r="AD366" i="2"/>
  <c r="AD367" i="2"/>
  <c r="AD334" i="2"/>
  <c r="AD222" i="2"/>
  <c r="AD123" i="2"/>
  <c r="AD247" i="2"/>
  <c r="AD368" i="2"/>
  <c r="AD116" i="2"/>
  <c r="AD109" i="2"/>
  <c r="AD229" i="2"/>
  <c r="AD289" i="2"/>
  <c r="AD184" i="2"/>
  <c r="AD240" i="2"/>
  <c r="AD185" i="2"/>
  <c r="AD228" i="2"/>
  <c r="AD320" i="2"/>
  <c r="AD95" i="2"/>
  <c r="AD131" i="2"/>
  <c r="AD122" i="2"/>
  <c r="AD128" i="2"/>
  <c r="AD121" i="2"/>
  <c r="AD124" i="2"/>
  <c r="AD295" i="2"/>
  <c r="AD221" i="2"/>
  <c r="AD369" i="2"/>
  <c r="AD67" i="2"/>
  <c r="AD69" i="2"/>
  <c r="AD152" i="2"/>
  <c r="AD233" i="2"/>
  <c r="AD84" i="2"/>
  <c r="AD273" i="2"/>
  <c r="AD63" i="2"/>
  <c r="AD335" i="2"/>
  <c r="AD370" i="2"/>
  <c r="AD223" i="2"/>
  <c r="AD154" i="2"/>
  <c r="AD224" i="2"/>
  <c r="AD76" i="2"/>
  <c r="AD325" i="2"/>
  <c r="AD466" i="2"/>
  <c r="AD282" i="2"/>
  <c r="AD342" i="2"/>
  <c r="AD115" i="2"/>
  <c r="AD371" i="2"/>
  <c r="AD268" i="2"/>
  <c r="AD312" i="2"/>
  <c r="AD156" i="2"/>
  <c r="AD372" i="2"/>
  <c r="AD283" i="2"/>
  <c r="AD129" i="2"/>
  <c r="AD125" i="2"/>
  <c r="AD453" i="2"/>
  <c r="AD321" i="2"/>
  <c r="AD238" i="2"/>
  <c r="AD117" i="2"/>
  <c r="AD226" i="2"/>
  <c r="AD265" i="2"/>
  <c r="AD132" i="2"/>
  <c r="AD253" i="2"/>
  <c r="AD373" i="2"/>
  <c r="AD374" i="2"/>
  <c r="AD143" i="2"/>
  <c r="AD375" i="2"/>
  <c r="AD79" i="2"/>
  <c r="AD130" i="2"/>
  <c r="AD120" i="2"/>
  <c r="AD293" i="2"/>
  <c r="AD242" i="2"/>
  <c r="AD275" i="2"/>
  <c r="AD274" i="2"/>
  <c r="AD260" i="2"/>
  <c r="AD250" i="2"/>
  <c r="AD376" i="2"/>
  <c r="AD110" i="2"/>
  <c r="AD351" i="2"/>
  <c r="AD266" i="2"/>
  <c r="AD280" i="2"/>
  <c r="AD277" i="2"/>
  <c r="AD218" i="2"/>
  <c r="AD180" i="2"/>
  <c r="AD467" i="2"/>
  <c r="AD468" i="2"/>
  <c r="AD469" i="2"/>
  <c r="AD235" i="2"/>
  <c r="AD98" i="2"/>
  <c r="AD377" i="2"/>
  <c r="AD118" i="2"/>
  <c r="AD378" i="2"/>
  <c r="AD254" i="2"/>
  <c r="AD157" i="2"/>
  <c r="AD186" i="2"/>
  <c r="AD190" i="2"/>
  <c r="AD494" i="2"/>
  <c r="AD352" i="2"/>
  <c r="AD183" i="2"/>
  <c r="AD278" i="2"/>
  <c r="AD379" i="2"/>
  <c r="AD380" i="2"/>
  <c r="AD248" i="2"/>
  <c r="AD322" i="2"/>
  <c r="AD220" i="2"/>
  <c r="AD181" i="2"/>
  <c r="AD470" i="2"/>
  <c r="AD381" i="2"/>
  <c r="AD382" i="2"/>
  <c r="AD471" i="2"/>
  <c r="AD383" i="2"/>
  <c r="AD384" i="2"/>
  <c r="AD281" i="2"/>
  <c r="AD284" i="2"/>
  <c r="AD285" i="2"/>
  <c r="AD251" i="2"/>
  <c r="AD256" i="2"/>
  <c r="AD385" i="2"/>
  <c r="AD386" i="2"/>
  <c r="AD349" i="2"/>
  <c r="AD387" i="2"/>
  <c r="AD292" i="2"/>
  <c r="AD140" i="2"/>
  <c r="AD388" i="2"/>
  <c r="AD454" i="2"/>
  <c r="AD245" i="2"/>
  <c r="AD472" i="2"/>
  <c r="AD389" i="2"/>
  <c r="AD144" i="2"/>
  <c r="AD390" i="2"/>
  <c r="AD391" i="2"/>
  <c r="AD208" i="2"/>
  <c r="AD236" i="2"/>
  <c r="AD296" i="2"/>
  <c r="AD392" i="2"/>
  <c r="AD112" i="2"/>
  <c r="AD267" i="2"/>
  <c r="AD294" i="2"/>
  <c r="AD145" i="2"/>
  <c r="AD286" i="2"/>
  <c r="AD473" i="2"/>
  <c r="AD393" i="2"/>
  <c r="AD163" i="2"/>
  <c r="AD173" i="2"/>
  <c r="AD215" i="2"/>
  <c r="AD264" i="2"/>
  <c r="AD205" i="2"/>
  <c r="AD206" i="2"/>
  <c r="AD326" i="2"/>
  <c r="AD279" i="2"/>
  <c r="AD455" i="2"/>
  <c r="AD394" i="2"/>
  <c r="AD171" i="2"/>
  <c r="AD290" i="2"/>
  <c r="AD297" i="2"/>
  <c r="AD463" i="2"/>
  <c r="AD395" i="2"/>
  <c r="AD262" i="2"/>
  <c r="AD107" i="2"/>
  <c r="AD146" i="2"/>
  <c r="AD302" i="2"/>
  <c r="AD348" i="2"/>
  <c r="AD396" i="2"/>
  <c r="AD474" i="2"/>
  <c r="AD475" i="2"/>
  <c r="AD303" i="2"/>
  <c r="AD287" i="2"/>
  <c r="AD476" i="2"/>
  <c r="AD155" i="2"/>
  <c r="AD298" i="2"/>
  <c r="AD397" i="2"/>
  <c r="AD398" i="2"/>
  <c r="AD399" i="2"/>
  <c r="AD299" i="2"/>
  <c r="AD400" i="2"/>
  <c r="AD477" i="2"/>
  <c r="AD464" i="2"/>
  <c r="AD401" i="2"/>
  <c r="AD402" i="2"/>
  <c r="AD172" i="2"/>
  <c r="AD403" i="2"/>
  <c r="AD328" i="2"/>
  <c r="AD329" i="2"/>
  <c r="AD176" i="2"/>
  <c r="AD300" i="2"/>
  <c r="AD288" i="2"/>
  <c r="AD478" i="2"/>
  <c r="AD479" i="2"/>
  <c r="AD177" i="2"/>
  <c r="AD333" i="2"/>
  <c r="AD108" i="2"/>
  <c r="AD133" i="2"/>
  <c r="AD480" i="2"/>
  <c r="AD404" i="2"/>
  <c r="AD23" i="2"/>
  <c r="AD241" i="2"/>
  <c r="AD263" i="2"/>
  <c r="AD102" i="2"/>
  <c r="AD317" i="2"/>
  <c r="AD182" i="2"/>
  <c r="AD169" i="2"/>
  <c r="AD405" i="2"/>
  <c r="AD406" i="2"/>
  <c r="AD147" i="2"/>
  <c r="AD456" i="2"/>
  <c r="AD407" i="2"/>
  <c r="AD408" i="2"/>
  <c r="AD409" i="2"/>
  <c r="AD410" i="2"/>
  <c r="AD159" i="2"/>
  <c r="AD411" i="2"/>
  <c r="AD481" i="2"/>
  <c r="AD482" i="2"/>
  <c r="AD412" i="2"/>
  <c r="AD301" i="2"/>
  <c r="AD413" i="2"/>
  <c r="AD311" i="2"/>
  <c r="AD414" i="2"/>
  <c r="AD114" i="2"/>
  <c r="AD465" i="2"/>
  <c r="AD415" i="2"/>
  <c r="AD416" i="2"/>
  <c r="AD237" i="2"/>
  <c r="AD193" i="2"/>
  <c r="AD194" i="2"/>
  <c r="AD305" i="2"/>
  <c r="AD483" i="2"/>
  <c r="AD484" i="2"/>
  <c r="AD457" i="2"/>
  <c r="AD272" i="2"/>
  <c r="AD313" i="2"/>
  <c r="AD417" i="2"/>
  <c r="AD174" i="2"/>
  <c r="AD175" i="2"/>
  <c r="AD135" i="2"/>
  <c r="AD485" i="2"/>
  <c r="AD323" i="2"/>
  <c r="AD230" i="2"/>
  <c r="AD101" i="2"/>
  <c r="AD259" i="2"/>
  <c r="AD269" i="2"/>
  <c r="AD111" i="2"/>
  <c r="AD308" i="2"/>
  <c r="AD106" i="2"/>
  <c r="AD170" i="2"/>
  <c r="AD418" i="2"/>
  <c r="AD270" i="2"/>
  <c r="AD353" i="2"/>
  <c r="AD419" i="2"/>
  <c r="AD420" i="2"/>
  <c r="AD318" i="2"/>
  <c r="AD421" i="2"/>
  <c r="AD354" i="2"/>
  <c r="AD422" i="2"/>
  <c r="AD423" i="2"/>
  <c r="AD424" i="2"/>
  <c r="AD425" i="2"/>
  <c r="AD426" i="2"/>
  <c r="AD427" i="2"/>
  <c r="AD97" i="2"/>
  <c r="AD161" i="2"/>
  <c r="AD271" i="2"/>
  <c r="AD428" i="2"/>
  <c r="AD355" i="2"/>
  <c r="AD486" i="2"/>
  <c r="AD429" i="2"/>
  <c r="AD430" i="2"/>
  <c r="AD324" i="2"/>
  <c r="AD178" i="2"/>
  <c r="AD431" i="2"/>
  <c r="AD432" i="2"/>
  <c r="AD339" i="2"/>
  <c r="AD433" i="2"/>
  <c r="AD434" i="2"/>
  <c r="AD189" i="2"/>
  <c r="AD187" i="2"/>
  <c r="AD435" i="2"/>
  <c r="AD356" i="2"/>
  <c r="AD436" i="2"/>
  <c r="AD437" i="2"/>
  <c r="AD487" i="2"/>
  <c r="AD488" i="2"/>
  <c r="AD489" i="2"/>
  <c r="AD490" i="2"/>
  <c r="AD491" i="2"/>
  <c r="AD492" i="2"/>
  <c r="AD493" i="2"/>
  <c r="AD158" i="2"/>
  <c r="AD330" i="2"/>
  <c r="AD336" i="2"/>
  <c r="AD310" i="2"/>
  <c r="AD331" i="2"/>
  <c r="AD197" i="2"/>
  <c r="AD198" i="2"/>
  <c r="AD195" i="2"/>
  <c r="AD160" i="2"/>
  <c r="AD103" i="2"/>
  <c r="AD314" i="2"/>
  <c r="AD309" i="2"/>
  <c r="AD438" i="2"/>
  <c r="AD439" i="2"/>
  <c r="AD440" i="2"/>
  <c r="AD306" i="2"/>
  <c r="AD441" i="2"/>
  <c r="AD442" i="2"/>
  <c r="AD357" i="2"/>
  <c r="AD350" i="2"/>
  <c r="AD358" i="2"/>
  <c r="AD443" i="2"/>
  <c r="AD444" i="2"/>
  <c r="AD445" i="2"/>
  <c r="AD446" i="2"/>
  <c r="AD447" i="2"/>
  <c r="AD315" i="2"/>
  <c r="AD316" i="2"/>
  <c r="C53" i="12" l="1"/>
  <c r="C51" i="12"/>
  <c r="C52" i="12"/>
  <c r="C50" i="12"/>
  <c r="C49" i="12"/>
  <c r="C48" i="12"/>
  <c r="C47" i="12"/>
  <c r="C54" i="12"/>
  <c r="AE523" i="2"/>
  <c r="AE527" i="2" s="1"/>
  <c r="AD523" i="2"/>
  <c r="H7" i="12"/>
  <c r="I7" i="12" s="1"/>
  <c r="C41" i="12"/>
  <c r="C38" i="12"/>
  <c r="C37" i="12"/>
  <c r="C42" i="12"/>
  <c r="C40" i="12"/>
  <c r="C36" i="12"/>
  <c r="C39" i="12"/>
  <c r="C43" i="12"/>
  <c r="C31" i="12"/>
  <c r="C30" i="12"/>
  <c r="C28" i="12"/>
  <c r="C27" i="12"/>
  <c r="C29" i="12"/>
  <c r="C26" i="12"/>
  <c r="C25" i="12"/>
  <c r="C32" i="12"/>
  <c r="H4" i="12"/>
  <c r="I4" i="12" s="1"/>
  <c r="J9" i="12"/>
  <c r="H9" i="12"/>
  <c r="I9" i="12" s="1"/>
  <c r="C17" i="12"/>
  <c r="C16" i="12"/>
  <c r="C20" i="12"/>
  <c r="C19" i="12"/>
  <c r="C18" i="12"/>
  <c r="C15" i="12"/>
  <c r="C14" i="12"/>
  <c r="C21" i="12"/>
  <c r="J8" i="12"/>
  <c r="J6" i="12"/>
  <c r="J5" i="12"/>
  <c r="H6" i="12"/>
  <c r="I6" i="12" s="1"/>
  <c r="H5" i="12"/>
  <c r="I5" i="12" s="1"/>
  <c r="J3" i="12"/>
  <c r="J4" i="12"/>
  <c r="J7" i="12"/>
  <c r="H8" i="12"/>
  <c r="I8" i="12" s="1"/>
  <c r="H3" i="12"/>
  <c r="C5" i="12"/>
  <c r="C7" i="12"/>
  <c r="C4" i="12"/>
  <c r="C6" i="12"/>
  <c r="C8" i="12"/>
  <c r="C9" i="12"/>
  <c r="C3" i="12"/>
  <c r="C10" i="12"/>
  <c r="J10" i="12" l="1"/>
  <c r="H10" i="12"/>
  <c r="I10" i="12" s="1"/>
  <c r="I3" i="12"/>
  <c r="O7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B10" i="10"/>
  <c r="O5" i="10"/>
  <c r="O4" i="10"/>
  <c r="C18" i="10"/>
  <c r="O18" i="10" s="1"/>
  <c r="D18" i="10"/>
  <c r="E18" i="10"/>
  <c r="F18" i="10"/>
  <c r="G18" i="10"/>
  <c r="H18" i="10"/>
  <c r="I18" i="10"/>
  <c r="J18" i="10"/>
  <c r="K18" i="10"/>
  <c r="L18" i="10"/>
  <c r="M18" i="10"/>
  <c r="N18" i="10"/>
  <c r="D17" i="10"/>
  <c r="E17" i="10"/>
  <c r="F17" i="10"/>
  <c r="G17" i="10"/>
  <c r="H17" i="10"/>
  <c r="I17" i="10"/>
  <c r="J17" i="10"/>
  <c r="K17" i="10"/>
  <c r="L17" i="10"/>
  <c r="M17" i="10"/>
  <c r="N17" i="10"/>
  <c r="C17" i="10"/>
  <c r="O17" i="10" s="1"/>
  <c r="S465" i="11"/>
  <c r="S464" i="11"/>
  <c r="S463" i="11"/>
  <c r="S462" i="11"/>
  <c r="S461" i="11"/>
  <c r="S460" i="11"/>
  <c r="S459" i="11"/>
  <c r="S458" i="11"/>
  <c r="S457" i="11"/>
  <c r="S456" i="11"/>
  <c r="S455" i="11"/>
  <c r="S454" i="11"/>
  <c r="S453" i="11"/>
  <c r="S452" i="11"/>
  <c r="S451" i="11"/>
  <c r="S450" i="11"/>
  <c r="S449" i="11"/>
  <c r="S448" i="11"/>
  <c r="S447" i="11"/>
  <c r="S446" i="11"/>
  <c r="S445" i="11"/>
  <c r="S444" i="11"/>
  <c r="S443" i="11"/>
  <c r="S442" i="11"/>
  <c r="S441" i="11"/>
  <c r="S440" i="11"/>
  <c r="S439" i="11"/>
  <c r="S438" i="11"/>
  <c r="S437" i="11"/>
  <c r="S436" i="11"/>
  <c r="S435" i="11"/>
  <c r="S434" i="11"/>
  <c r="S433" i="11"/>
  <c r="S432" i="11"/>
  <c r="S431" i="11"/>
  <c r="S430" i="11"/>
  <c r="S429" i="11"/>
  <c r="S428" i="11"/>
  <c r="S427" i="11"/>
  <c r="S426" i="11"/>
  <c r="S425" i="11"/>
  <c r="S424" i="11"/>
  <c r="S423" i="11"/>
  <c r="S422" i="11"/>
  <c r="S421" i="11"/>
  <c r="S420" i="11"/>
  <c r="S419" i="11"/>
  <c r="S418" i="11"/>
  <c r="S417" i="11"/>
  <c r="S416" i="11"/>
  <c r="S415" i="11"/>
  <c r="S414" i="11"/>
  <c r="S413" i="11"/>
  <c r="S412" i="11"/>
  <c r="S411" i="11"/>
  <c r="S410" i="11"/>
  <c r="S409" i="11"/>
  <c r="S408" i="11"/>
  <c r="S407" i="11"/>
  <c r="S406" i="11"/>
  <c r="S405" i="11"/>
  <c r="S404" i="11"/>
  <c r="S403" i="11"/>
  <c r="S402" i="11"/>
  <c r="S401" i="11"/>
  <c r="S400" i="11"/>
  <c r="S399" i="11"/>
  <c r="S398" i="11"/>
  <c r="S397" i="11"/>
  <c r="S396" i="11"/>
  <c r="S395" i="11"/>
  <c r="S394" i="11"/>
  <c r="S393" i="11"/>
  <c r="S392" i="11"/>
  <c r="S391" i="11"/>
  <c r="S390" i="11"/>
  <c r="S389" i="11"/>
  <c r="S388" i="11"/>
  <c r="S387" i="11"/>
  <c r="S386" i="11"/>
  <c r="S385" i="11"/>
  <c r="S384" i="11"/>
  <c r="S383" i="11"/>
  <c r="S382" i="11"/>
  <c r="S381" i="11"/>
  <c r="S380" i="11"/>
  <c r="S379" i="11"/>
  <c r="S378" i="11"/>
  <c r="S377" i="11"/>
  <c r="S376" i="11"/>
  <c r="S375" i="11"/>
  <c r="S374" i="11"/>
  <c r="S373" i="11"/>
  <c r="S372" i="11"/>
  <c r="S371" i="11"/>
  <c r="S370" i="11"/>
  <c r="S369" i="11"/>
  <c r="S368" i="11"/>
  <c r="S367" i="11"/>
  <c r="S366" i="11"/>
  <c r="S365" i="11"/>
  <c r="S364" i="11"/>
  <c r="S363" i="11"/>
  <c r="S362" i="11"/>
  <c r="S361" i="11"/>
  <c r="S360" i="11"/>
  <c r="S359" i="11"/>
  <c r="S358" i="11"/>
  <c r="S357" i="11"/>
  <c r="S356" i="11"/>
  <c r="S355" i="11"/>
  <c r="S354" i="11"/>
  <c r="S353" i="11"/>
  <c r="S352" i="11"/>
  <c r="S351" i="11"/>
  <c r="S350" i="11"/>
  <c r="S349" i="11"/>
  <c r="S348" i="11"/>
  <c r="S347" i="11"/>
  <c r="S346" i="11"/>
  <c r="S345" i="11"/>
  <c r="S344" i="11"/>
  <c r="S343" i="11"/>
  <c r="S342" i="11"/>
  <c r="S341" i="11"/>
  <c r="S340" i="11"/>
  <c r="S339" i="11"/>
  <c r="S338" i="11"/>
  <c r="S337" i="11"/>
  <c r="S336" i="11"/>
  <c r="S335" i="11"/>
  <c r="S334" i="11"/>
  <c r="S333" i="11"/>
  <c r="S332" i="11"/>
  <c r="S331" i="11"/>
  <c r="S330" i="11"/>
  <c r="S329" i="11"/>
  <c r="S328" i="11"/>
  <c r="S327" i="11"/>
  <c r="S326" i="11"/>
  <c r="S325" i="11"/>
  <c r="S324" i="11"/>
  <c r="S323" i="11"/>
  <c r="S322" i="11"/>
  <c r="S321" i="11"/>
  <c r="S320" i="11"/>
  <c r="S319" i="11"/>
  <c r="S318" i="11"/>
  <c r="S317" i="11"/>
  <c r="S316" i="11"/>
  <c r="S315" i="11"/>
  <c r="S314" i="11"/>
  <c r="S313" i="11"/>
  <c r="S312" i="11"/>
  <c r="S311" i="11"/>
  <c r="S310" i="11"/>
  <c r="S309" i="11"/>
  <c r="S308" i="11"/>
  <c r="S307" i="11"/>
  <c r="S306" i="11"/>
  <c r="S305" i="11"/>
  <c r="S304" i="11"/>
  <c r="S303" i="11"/>
  <c r="S302" i="11"/>
  <c r="S301" i="11"/>
  <c r="S300" i="11"/>
  <c r="S299" i="11"/>
  <c r="S298" i="11"/>
  <c r="S297" i="11"/>
  <c r="S296" i="11"/>
  <c r="S295" i="11"/>
  <c r="S294" i="11"/>
  <c r="S293" i="11"/>
  <c r="S292" i="11"/>
  <c r="S291" i="11"/>
  <c r="S290" i="11"/>
  <c r="S289" i="11"/>
  <c r="S288" i="11"/>
  <c r="S287" i="11"/>
  <c r="S286" i="11"/>
  <c r="S285" i="11"/>
  <c r="S284" i="11"/>
  <c r="S283" i="11"/>
  <c r="S282" i="11"/>
  <c r="S281" i="11"/>
  <c r="S280" i="11"/>
  <c r="S279" i="11"/>
  <c r="S278" i="11"/>
  <c r="S277" i="11"/>
  <c r="S276" i="11"/>
  <c r="S275" i="11"/>
  <c r="S274" i="11"/>
  <c r="S273" i="11"/>
  <c r="S272" i="11"/>
  <c r="S271" i="11"/>
  <c r="S270" i="11"/>
  <c r="C270" i="11"/>
  <c r="S269" i="11"/>
  <c r="S268" i="11"/>
  <c r="S267" i="11"/>
  <c r="S266" i="11"/>
  <c r="S265" i="11"/>
  <c r="S264" i="11"/>
  <c r="S263" i="11"/>
  <c r="S262" i="11"/>
  <c r="S261" i="11"/>
  <c r="S260" i="11"/>
  <c r="S259" i="11"/>
  <c r="S258" i="11"/>
  <c r="S257" i="11"/>
  <c r="S256" i="11"/>
  <c r="S255" i="11"/>
  <c r="S254" i="11"/>
  <c r="S253" i="11"/>
  <c r="S252" i="11"/>
  <c r="S251" i="11"/>
  <c r="S250" i="11"/>
  <c r="S249" i="11"/>
  <c r="S248" i="11"/>
  <c r="S247" i="11"/>
  <c r="S246" i="11"/>
  <c r="C246" i="11"/>
  <c r="S245" i="11"/>
  <c r="S244" i="11"/>
  <c r="S243" i="11"/>
  <c r="S242" i="11"/>
  <c r="S241" i="11"/>
  <c r="S240" i="11"/>
  <c r="S239" i="11"/>
  <c r="S238" i="11"/>
  <c r="S237" i="11"/>
  <c r="S236" i="11"/>
  <c r="S235" i="11"/>
  <c r="S234" i="11"/>
  <c r="S233" i="11"/>
  <c r="S232" i="11"/>
  <c r="S231" i="11"/>
  <c r="S230" i="11"/>
  <c r="S229" i="11"/>
  <c r="S228" i="11"/>
  <c r="S227" i="11"/>
  <c r="S226" i="11"/>
  <c r="S225" i="11"/>
  <c r="S224" i="11"/>
  <c r="S223" i="11"/>
  <c r="S222" i="11"/>
  <c r="S221" i="11"/>
  <c r="S220" i="11"/>
  <c r="S219" i="11"/>
  <c r="S218" i="11"/>
  <c r="S217" i="11"/>
  <c r="S216" i="11"/>
  <c r="S215" i="11"/>
  <c r="S214" i="11"/>
  <c r="S213" i="11"/>
  <c r="S212" i="11"/>
  <c r="S211" i="11"/>
  <c r="S210" i="11"/>
  <c r="S209" i="11"/>
  <c r="S208" i="11"/>
  <c r="S207" i="11"/>
  <c r="S206" i="11"/>
  <c r="S205" i="11"/>
  <c r="S204" i="11"/>
  <c r="S203" i="11"/>
  <c r="S202" i="11"/>
  <c r="S201" i="11"/>
  <c r="S200" i="11"/>
  <c r="S199" i="11"/>
  <c r="S198" i="11"/>
  <c r="S197" i="11"/>
  <c r="S196" i="11"/>
  <c r="S195" i="11"/>
  <c r="S194" i="11"/>
  <c r="S193" i="11"/>
  <c r="S192" i="11"/>
  <c r="S191" i="11"/>
  <c r="S190" i="11"/>
  <c r="S189" i="11"/>
  <c r="S188" i="11"/>
  <c r="S187" i="11"/>
  <c r="S186" i="11"/>
  <c r="S185" i="11"/>
  <c r="S184" i="11"/>
  <c r="S183" i="11"/>
  <c r="S182" i="11"/>
  <c r="S181" i="11"/>
  <c r="S180" i="11"/>
  <c r="S179" i="11"/>
  <c r="S178" i="11"/>
  <c r="S177" i="11"/>
  <c r="S176" i="11"/>
  <c r="S175" i="11"/>
  <c r="S174" i="11"/>
  <c r="S173" i="11"/>
  <c r="S172" i="11"/>
  <c r="S171" i="11"/>
  <c r="S170" i="11"/>
  <c r="S169" i="11"/>
  <c r="S168" i="11"/>
  <c r="S167" i="11"/>
  <c r="S166" i="11"/>
  <c r="S165" i="11"/>
  <c r="S164" i="11"/>
  <c r="S163" i="11"/>
  <c r="S162" i="11"/>
  <c r="S161" i="11"/>
  <c r="S160" i="11"/>
  <c r="S159" i="11"/>
  <c r="C159" i="11"/>
  <c r="S158" i="11"/>
  <c r="S157" i="11"/>
  <c r="S156" i="11"/>
  <c r="S155" i="11"/>
  <c r="S154" i="11"/>
  <c r="S153" i="11"/>
  <c r="S152" i="11"/>
  <c r="S151" i="11"/>
  <c r="S150" i="11"/>
  <c r="S149" i="11"/>
  <c r="S148" i="11"/>
  <c r="S147" i="11"/>
  <c r="S146" i="11"/>
  <c r="S145" i="11"/>
  <c r="S144" i="11"/>
  <c r="S143" i="11"/>
  <c r="S142" i="11"/>
  <c r="S141" i="11"/>
  <c r="S140" i="11"/>
  <c r="S139" i="11"/>
  <c r="S138" i="11"/>
  <c r="S137" i="11"/>
  <c r="S136" i="11"/>
  <c r="S135" i="11"/>
  <c r="S134" i="11"/>
  <c r="S133" i="11"/>
  <c r="S132" i="11"/>
  <c r="S131" i="11"/>
  <c r="S130" i="11"/>
  <c r="S129" i="11"/>
  <c r="S128" i="11"/>
  <c r="S127" i="11"/>
  <c r="C127" i="11"/>
  <c r="S126" i="11"/>
  <c r="C126" i="11"/>
  <c r="S125" i="11"/>
  <c r="C125" i="11"/>
  <c r="S124" i="11"/>
  <c r="S123" i="11"/>
  <c r="S122" i="11"/>
  <c r="S121" i="11"/>
  <c r="S120" i="11"/>
  <c r="C120" i="11"/>
  <c r="S119" i="11"/>
  <c r="S118" i="11"/>
  <c r="S117" i="11"/>
  <c r="S116" i="11"/>
  <c r="C116" i="11"/>
  <c r="S115" i="11"/>
  <c r="S114" i="11"/>
  <c r="S113" i="11"/>
  <c r="S112" i="11"/>
  <c r="S111" i="11"/>
  <c r="S110" i="11"/>
  <c r="S109" i="11"/>
  <c r="S108" i="11"/>
  <c r="S107" i="11"/>
  <c r="C107" i="11"/>
  <c r="S106" i="11"/>
  <c r="S105" i="11"/>
  <c r="S104" i="11"/>
  <c r="S103" i="11"/>
  <c r="C103" i="11"/>
  <c r="S102" i="11"/>
  <c r="S101" i="11"/>
  <c r="S100" i="11"/>
  <c r="S99" i="11"/>
  <c r="S98" i="11"/>
  <c r="S97" i="11"/>
  <c r="S96" i="11"/>
  <c r="S95" i="11"/>
  <c r="S94" i="11"/>
  <c r="S93" i="11"/>
  <c r="S92" i="11"/>
  <c r="S91" i="11"/>
  <c r="S90" i="11"/>
  <c r="S89" i="11"/>
  <c r="S88" i="11"/>
  <c r="S87" i="11"/>
  <c r="S86" i="11"/>
  <c r="S85" i="11"/>
  <c r="S84" i="11"/>
  <c r="S83" i="11"/>
  <c r="S82" i="11"/>
  <c r="S81" i="11"/>
  <c r="S80" i="11"/>
  <c r="S79" i="11"/>
  <c r="S78" i="11"/>
  <c r="S77" i="11"/>
  <c r="S76" i="11"/>
  <c r="S75" i="11"/>
  <c r="S74" i="11"/>
  <c r="S73" i="11"/>
  <c r="C73" i="11"/>
  <c r="S72" i="11"/>
  <c r="S71" i="11"/>
  <c r="S70" i="11"/>
  <c r="C70" i="11"/>
  <c r="S69" i="11"/>
  <c r="S68" i="11"/>
  <c r="S67" i="11"/>
  <c r="S66" i="11"/>
  <c r="S65" i="11"/>
  <c r="S64" i="11"/>
  <c r="S63" i="11"/>
  <c r="C63" i="11"/>
  <c r="S62" i="11"/>
  <c r="S61" i="11"/>
  <c r="S60" i="11"/>
  <c r="S59" i="11"/>
  <c r="S58" i="11"/>
  <c r="S57" i="11"/>
  <c r="S56" i="11"/>
  <c r="S55" i="11"/>
  <c r="S54" i="11"/>
  <c r="S53" i="11"/>
  <c r="S52" i="11"/>
  <c r="S51" i="11"/>
  <c r="C51" i="11"/>
  <c r="S50" i="11"/>
  <c r="S49" i="11"/>
  <c r="S48" i="11"/>
  <c r="S47" i="11"/>
  <c r="S46" i="11"/>
  <c r="S45" i="11"/>
  <c r="S44" i="11"/>
  <c r="S43" i="11"/>
  <c r="S42" i="11"/>
  <c r="S41" i="11"/>
  <c r="S40" i="11"/>
  <c r="S39" i="11"/>
  <c r="C39" i="11"/>
  <c r="S38" i="11"/>
  <c r="S37" i="11"/>
  <c r="C37" i="11"/>
  <c r="S36" i="11"/>
  <c r="S35" i="11"/>
  <c r="S34" i="11"/>
  <c r="S33" i="11"/>
  <c r="S32" i="11"/>
  <c r="S31" i="11"/>
  <c r="S30" i="11"/>
  <c r="S29" i="11"/>
  <c r="S28" i="11"/>
  <c r="S27" i="11"/>
  <c r="S26" i="11"/>
  <c r="S25" i="11"/>
  <c r="S24" i="11"/>
  <c r="S23" i="11"/>
  <c r="S22" i="11"/>
  <c r="S21" i="11"/>
  <c r="C21" i="11"/>
  <c r="S20" i="11"/>
  <c r="S19" i="11"/>
  <c r="S18" i="11"/>
  <c r="S17" i="11"/>
  <c r="S16" i="11"/>
  <c r="S15" i="11"/>
  <c r="S14" i="11"/>
  <c r="S13" i="11"/>
  <c r="S12" i="11"/>
  <c r="S11" i="11"/>
  <c r="S10" i="11"/>
  <c r="S9" i="11"/>
  <c r="S8" i="11"/>
  <c r="S7" i="11"/>
  <c r="S6" i="11"/>
  <c r="S5" i="11"/>
  <c r="S4" i="11"/>
  <c r="S3" i="11"/>
  <c r="O6" i="10" l="1"/>
  <c r="O10" i="10" s="1"/>
  <c r="O8" i="10"/>
  <c r="O9" i="10"/>
  <c r="P4" i="10" l="1"/>
  <c r="P7" i="10" l="1"/>
  <c r="P8" i="10"/>
  <c r="P9" i="10"/>
  <c r="P10" i="10"/>
  <c r="P6" i="10"/>
  <c r="P5" i="10"/>
  <c r="G4" i="8"/>
  <c r="G5" i="8"/>
  <c r="G6" i="8"/>
  <c r="G7" i="8"/>
  <c r="G8" i="8"/>
  <c r="G9" i="8"/>
  <c r="G10" i="8"/>
  <c r="G11" i="8"/>
  <c r="G12" i="8"/>
  <c r="G14" i="8"/>
  <c r="G3" i="8"/>
  <c r="E4" i="8"/>
  <c r="E5" i="8"/>
  <c r="E6" i="8"/>
  <c r="E7" i="8"/>
  <c r="E8" i="8"/>
  <c r="E9" i="8"/>
  <c r="E10" i="8"/>
  <c r="E11" i="8"/>
  <c r="E12" i="8"/>
  <c r="E14" i="8"/>
  <c r="E3" i="8"/>
  <c r="F13" i="8"/>
  <c r="G13" i="8" s="1"/>
  <c r="D13" i="8"/>
  <c r="E13" i="8" s="1"/>
  <c r="O4" i="7"/>
  <c r="O7" i="7" s="1"/>
  <c r="G7" i="7"/>
  <c r="E6" i="7"/>
  <c r="D6" i="7"/>
  <c r="B6" i="7"/>
  <c r="C6" i="7"/>
  <c r="F6" i="7"/>
  <c r="H6" i="7"/>
  <c r="I6" i="7"/>
  <c r="J6" i="7"/>
  <c r="K6" i="7"/>
  <c r="L6" i="7"/>
  <c r="M6" i="7"/>
  <c r="N6" i="7"/>
  <c r="N7" i="7"/>
  <c r="M7" i="7"/>
  <c r="L7" i="7"/>
  <c r="K7" i="7"/>
  <c r="J7" i="7"/>
  <c r="I7" i="7"/>
  <c r="H7" i="7"/>
  <c r="F7" i="7"/>
  <c r="C7" i="7"/>
  <c r="B7" i="7"/>
  <c r="G6" i="7" l="1"/>
  <c r="E7" i="7"/>
  <c r="D7" i="7"/>
  <c r="O6" i="7" l="1"/>
  <c r="D10" i="12"/>
  <c r="E53" i="12" l="1"/>
  <c r="E49" i="12"/>
  <c r="E48" i="12"/>
  <c r="E52" i="12"/>
  <c r="E50" i="12"/>
  <c r="E51" i="12"/>
  <c r="E47" i="12"/>
  <c r="E54" i="12"/>
  <c r="E41" i="12"/>
  <c r="E42" i="12"/>
  <c r="E40" i="12"/>
  <c r="E39" i="12"/>
  <c r="E38" i="12"/>
  <c r="E37" i="12"/>
  <c r="E36" i="12"/>
  <c r="E43" i="12"/>
  <c r="E25" i="12"/>
  <c r="E31" i="12"/>
  <c r="E27" i="12"/>
  <c r="E26" i="12"/>
  <c r="E30" i="12"/>
  <c r="E28" i="12"/>
  <c r="E29" i="12"/>
  <c r="E32" i="12"/>
  <c r="E3" i="12"/>
  <c r="E19" i="12"/>
  <c r="E18" i="12"/>
  <c r="E17" i="12"/>
  <c r="E15" i="12"/>
  <c r="E16" i="12"/>
  <c r="E14" i="12"/>
  <c r="E20" i="12"/>
  <c r="E21" i="12"/>
  <c r="E9" i="12"/>
  <c r="K9" i="12"/>
  <c r="K7" i="12"/>
  <c r="K10" i="12"/>
  <c r="E7" i="12"/>
  <c r="K3" i="12"/>
  <c r="E6" i="12"/>
  <c r="K4" i="12"/>
  <c r="E5" i="12"/>
  <c r="K5" i="12"/>
  <c r="E4" i="12"/>
  <c r="K6" i="12"/>
  <c r="E8" i="12"/>
  <c r="K8" i="12"/>
  <c r="E10" i="12"/>
</calcChain>
</file>

<file path=xl/sharedStrings.xml><?xml version="1.0" encoding="utf-8"?>
<sst xmlns="http://schemas.openxmlformats.org/spreadsheetml/2006/main" count="3384" uniqueCount="1303">
  <si>
    <t>合計</t>
    <rPh sb="0" eb="2">
      <t>ゴウケイ</t>
    </rPh>
    <phoneticPr fontId="3"/>
  </si>
  <si>
    <t>数量</t>
    <phoneticPr fontId="3"/>
  </si>
  <si>
    <t>金額</t>
    <phoneticPr fontId="3"/>
  </si>
  <si>
    <t>商品符号</t>
    <rPh sb="0" eb="4">
      <t>ショウヒンフゴウ</t>
    </rPh>
    <phoneticPr fontId="3"/>
  </si>
  <si>
    <t>商品名称</t>
    <rPh sb="0" eb="4">
      <t>ショウヒンメイショウ</t>
    </rPh>
    <phoneticPr fontId="3"/>
  </si>
  <si>
    <t>MUSE</t>
  </si>
  <si>
    <t>ONE　 BY 　KOSE　　BALANCING TUNER</t>
  </si>
  <si>
    <t>MUYE</t>
  </si>
  <si>
    <t>ONE BY KOSE  SERUM  VEIL</t>
  </si>
  <si>
    <t>MUYF</t>
  </si>
  <si>
    <t>MUZO</t>
  </si>
  <si>
    <t>ONE  BY  KOSE  THE WATER MATE</t>
  </si>
  <si>
    <t>MUWX</t>
  </si>
  <si>
    <t>ONE  BY  KOSE  THE　WRINKLESS  S</t>
  </si>
  <si>
    <t>MUCP</t>
  </si>
  <si>
    <t>ONE  BY  KOSE  DOUBLE BLACK WASHER</t>
  </si>
  <si>
    <t>YNXU001</t>
  </si>
  <si>
    <t>VISÉE  LASH LONG MANIA</t>
  </si>
  <si>
    <t>YNYK001</t>
  </si>
  <si>
    <t>VISEE  GEMMY RICH  EYES BE-1</t>
  </si>
  <si>
    <t>YNYK005</t>
  </si>
  <si>
    <t>VISEE  GEMMY RICH  EYES BL-5</t>
  </si>
  <si>
    <t>YNDL460</t>
  </si>
  <si>
    <t>VISEE RICHE Crystal Duo Lipstick 460</t>
  </si>
  <si>
    <t>YNUC007</t>
  </si>
  <si>
    <t>VISEE  AVANT  MULTI STICK COLOR 007</t>
  </si>
  <si>
    <t>YNUC008</t>
  </si>
  <si>
    <t>VISEE  AVANT  MULTI STICK COLOR 008</t>
  </si>
  <si>
    <t>YNUC009</t>
  </si>
  <si>
    <t>VISEE  AVANT  MULTI STICK COLOR 009</t>
  </si>
  <si>
    <t>YNUC010</t>
  </si>
  <si>
    <t>VISEE  AVANT  MULTI STICK COLOR 010</t>
  </si>
  <si>
    <t>YNUA034</t>
  </si>
  <si>
    <t>VISEE  AVANT  SINGLE EYE COLOR 034</t>
  </si>
  <si>
    <t>YNYK006</t>
  </si>
  <si>
    <t>VISEE  GEMMY RICH  EYES PK-6</t>
  </si>
  <si>
    <t>YNYK007</t>
  </si>
  <si>
    <t>VISEE  GEMMY RICH  EYES GY-7</t>
  </si>
  <si>
    <t>YNYK008</t>
  </si>
  <si>
    <t>VISEE  GEMMY RICH  EYES BE-8</t>
  </si>
  <si>
    <t>YNIM001</t>
  </si>
  <si>
    <t>VISEE  COLOR IMPACT  LIQUID LINER BK001</t>
  </si>
  <si>
    <t>YNIM340</t>
  </si>
  <si>
    <t>VISEE  COLOR IMPACT  LIQUID LINER BR340</t>
  </si>
  <si>
    <t>YNIM440</t>
  </si>
  <si>
    <t>VISEE  COLOR IMPACT  LIQUID LINER RD440</t>
  </si>
  <si>
    <t>YNDL262</t>
  </si>
  <si>
    <t>VISEE  CRYSTAL DUO  LIPSTICK OR262</t>
  </si>
  <si>
    <t>YNUE001</t>
  </si>
  <si>
    <t>VISEE  AVANT  LIPSTICK 001</t>
  </si>
  <si>
    <t>YNUE002</t>
  </si>
  <si>
    <t>VISEE  AVANT  LIPSTICK 002</t>
  </si>
  <si>
    <t>YNUE003</t>
  </si>
  <si>
    <t>VISEE  AVANT  LIPSTICK 003</t>
  </si>
  <si>
    <t>YNUE004</t>
  </si>
  <si>
    <t>VISEE  AVANT  LIPSTICK 004</t>
  </si>
  <si>
    <t>YNUE006</t>
  </si>
  <si>
    <t>VISEE  AVANT  LIPSTICK 006</t>
  </si>
  <si>
    <t>YNUE007</t>
  </si>
  <si>
    <t>VISEE  AVANT  LIPSTICK 007</t>
  </si>
  <si>
    <t>YNUE008</t>
  </si>
  <si>
    <t>VISEE  AVANT  LIPSTICK 008</t>
  </si>
  <si>
    <t>YNUE009</t>
  </si>
  <si>
    <t>VISEE  AVANT  LIPSTICK 009</t>
  </si>
  <si>
    <t>YNUE011</t>
  </si>
  <si>
    <t>VISEE  AVANT  LIPSTICK 011</t>
  </si>
  <si>
    <t>YNUE012</t>
  </si>
  <si>
    <t>VISEE  AVANT  LIPSTICK 012</t>
  </si>
  <si>
    <t>YNUE013</t>
  </si>
  <si>
    <t>VISEE  AVANT  LIPSTICK 013</t>
  </si>
  <si>
    <t>YNUE014</t>
  </si>
  <si>
    <t>VISEE  AVANT  LIPSTICK 014</t>
  </si>
  <si>
    <t>YNUE015</t>
  </si>
  <si>
    <t>VISEE  AVANT  LIPSTICK 015</t>
  </si>
  <si>
    <t>YNUE016</t>
  </si>
  <si>
    <t>VISEE  AVANT  LIPSTICK 016</t>
  </si>
  <si>
    <t>YNUE018</t>
  </si>
  <si>
    <t>VISEE  AVANT  LIPSTICK 018</t>
  </si>
  <si>
    <t>YNUE019</t>
  </si>
  <si>
    <t>VISEE  AVANT  LIPSTICK 019</t>
  </si>
  <si>
    <t>YNUE020</t>
  </si>
  <si>
    <t>VISEE  AVANT  LIPSTICK 020</t>
  </si>
  <si>
    <t>YNUF</t>
  </si>
  <si>
    <t>VISEE  AVANT  LIP　PRIMER</t>
  </si>
  <si>
    <t>YNCG005</t>
  </si>
  <si>
    <t>VISEE  LIP &amp; CHEEK　 CREAM　N BE-5</t>
  </si>
  <si>
    <t>YNCG007</t>
  </si>
  <si>
    <t>VISEE  LIP &amp; CHEEK　 CREAM　N OR-7</t>
  </si>
  <si>
    <t>YNCG009</t>
  </si>
  <si>
    <t>VISEE  LIP &amp; CHEEK　 CREAM　N BR-9</t>
  </si>
  <si>
    <t>YNCG010</t>
  </si>
  <si>
    <t>VISEE  LIP &amp; CHEEK　 CREAM　N SP-10</t>
  </si>
  <si>
    <t>YNIT001</t>
  </si>
  <si>
    <t>VISEE  MELTY SHARP  GEL LINER BK001</t>
  </si>
  <si>
    <t>YNIT321</t>
  </si>
  <si>
    <t>VISEE  MELTY SHARP  GEL LINER BR321</t>
  </si>
  <si>
    <t>YNUE021</t>
  </si>
  <si>
    <t>VISEE  AVANT  LIPSTICK 021</t>
  </si>
  <si>
    <t>YNUE022</t>
  </si>
  <si>
    <t>VISEE  AVANT  LIPSTICK 022</t>
  </si>
  <si>
    <t>YNUE023</t>
  </si>
  <si>
    <t>VISEE  AVANT  LIPSTICK 023</t>
  </si>
  <si>
    <t>YNUE024</t>
  </si>
  <si>
    <t>VISEE  AVANT  LIPSTICK 024</t>
  </si>
  <si>
    <t>YNUE025</t>
  </si>
  <si>
    <t>VISEE  AVANT  LIPSTICK 025</t>
  </si>
  <si>
    <t>YNUG001</t>
  </si>
  <si>
    <t>VISEE  AVANT  LIQUID　　EYE COLOR 001</t>
  </si>
  <si>
    <t>YNUG005</t>
  </si>
  <si>
    <t>VISEE  AVANT  LIQUID　　EYE COLOR 005</t>
  </si>
  <si>
    <t>YNYJ004</t>
  </si>
  <si>
    <t>VISEE  DOUBLE　VEIL  EYES BL-4</t>
  </si>
  <si>
    <t>YNBN300</t>
  </si>
  <si>
    <t>VISEE  EYEBROW　 PENCIL　S BR300</t>
  </si>
  <si>
    <t>YNBN301</t>
  </si>
  <si>
    <t>VISEE  EYEBROW　 PENCIL　S BR301</t>
  </si>
  <si>
    <t>YNBN303</t>
  </si>
  <si>
    <t>VISEE  EYEBROW　 PENCIL　S BR303</t>
  </si>
  <si>
    <t>YNBN304</t>
  </si>
  <si>
    <t>VISEE  EYEBROW　 PENCIL　S BR304</t>
  </si>
  <si>
    <t>YNBN305</t>
  </si>
  <si>
    <t>VISEE  EYEBROW　 PENCIL　S BR305</t>
  </si>
  <si>
    <t>YNBN001</t>
  </si>
  <si>
    <t>VISEE  EYEBROW　 PENCIL　S GY001</t>
  </si>
  <si>
    <t>YNBO001</t>
  </si>
  <si>
    <t>VISEE  EYEBROW POWDER BR-1</t>
  </si>
  <si>
    <t>YNBO002</t>
  </si>
  <si>
    <t>VISEE  EYEBROW POWDER BR-2</t>
  </si>
  <si>
    <t>YNBO003</t>
  </si>
  <si>
    <t>VISEE  EYEBROW POWDER BR-3</t>
  </si>
  <si>
    <t>YNUR001</t>
  </si>
  <si>
    <t>VISEE  AVANT  LIP　&amp;　EYE 　COLOR　　PENCIL 001</t>
  </si>
  <si>
    <t>YNUR002</t>
  </si>
  <si>
    <t>VISEE  AVANT  LIP　&amp;　EYE 　COLOR　　PENCIL 002</t>
  </si>
  <si>
    <t>YNUR003</t>
  </si>
  <si>
    <t>VISEE  AVANT  LIP　&amp;　EYE 　COLOR　　PENCIL 003</t>
  </si>
  <si>
    <t>YNUR004</t>
  </si>
  <si>
    <t>VISEE  AVANT  LIP　&amp;　EYE 　COLOR　　PENCIL 004</t>
  </si>
  <si>
    <t>YNUR005</t>
  </si>
  <si>
    <t>VISEE  AVANT  LIP　&amp;　EYE 　COLOR　　PENCIL 005</t>
  </si>
  <si>
    <t>YNUR006</t>
  </si>
  <si>
    <t>VISEE  AVANT  LIP　&amp;　EYE 　COLOR　　PENCIL 006</t>
  </si>
  <si>
    <t>YNUR007</t>
  </si>
  <si>
    <t>VISEE  AVANT  LIP　&amp;　EYE 　COLOR　　PENCIL 007</t>
  </si>
  <si>
    <t>YNUR008</t>
  </si>
  <si>
    <t>VISEE  AVANT  LIP　&amp;　EYE 　COLOR　　PENCIL 008</t>
  </si>
  <si>
    <t>YNUR009</t>
  </si>
  <si>
    <t>VISEE  AVANT  LIP　&amp;　EYE 　COLOR　　PENCIL 009</t>
  </si>
  <si>
    <t>YNUR010</t>
  </si>
  <si>
    <t>VISEE  AVANT  LIP　&amp;　EYE 　COLOR　　PENCIL 010</t>
  </si>
  <si>
    <t>YNUR011</t>
  </si>
  <si>
    <t>VISEE  AVANT  LIP　&amp;　EYE 　COLOR　　PENCIL 011</t>
  </si>
  <si>
    <t>YNUR012</t>
  </si>
  <si>
    <t>VISEE  AVANT  LIP　&amp;　EYE 　COLOR　　PENCIL 012</t>
  </si>
  <si>
    <t>YNUR013</t>
  </si>
  <si>
    <t>VISEE  AVANT  LIP　&amp;　EYE 　COLOR　　PENCIL 013</t>
  </si>
  <si>
    <t>YNUR014</t>
  </si>
  <si>
    <t>VISEE  AVANT  LIP　&amp;　EYE 　COLOR　　PENCIL 014</t>
  </si>
  <si>
    <t>YNUE027</t>
  </si>
  <si>
    <t>VISEE  AVANT  LIPSTICK 027</t>
  </si>
  <si>
    <t>YNUE028</t>
  </si>
  <si>
    <t>VISEE  AVANT  LIPSTICK 028</t>
  </si>
  <si>
    <t>YNUE029</t>
  </si>
  <si>
    <t>VISEE  AVANT  LIPSTICK 029</t>
  </si>
  <si>
    <t>YNUE030</t>
  </si>
  <si>
    <t>VISEE  AVANT  LIPSTICK 030</t>
  </si>
  <si>
    <t>YNCP620</t>
  </si>
  <si>
    <t>VISEE  FOGGY ON  CHEEKS　N RO620</t>
  </si>
  <si>
    <t>YNCP821</t>
  </si>
  <si>
    <t>VISEE  FOGGY ON  CHEEKS　N BE821</t>
  </si>
  <si>
    <t>YNCP820</t>
  </si>
  <si>
    <t>VISEE  FOGGY ON  CHEEKS　N PK820</t>
  </si>
  <si>
    <t>YNCP420</t>
  </si>
  <si>
    <t>VISEE  FOGGY ON  CHEEKS　N RD420</t>
  </si>
  <si>
    <t>YNYI001</t>
  </si>
  <si>
    <t>VISEE  GLOSSY RICH  EYES　N BE-1</t>
  </si>
  <si>
    <t>YNYI002</t>
  </si>
  <si>
    <t>VISEE  GLOSSY RICH  EYES　N OR-2</t>
  </si>
  <si>
    <t>YNYI003</t>
  </si>
  <si>
    <t>VISEE  GLOSSY RICH  EYES　N PK-3</t>
  </si>
  <si>
    <t>YNYI004</t>
  </si>
  <si>
    <t>VISEE  GLOSSY RICH  EYES　N PK-4</t>
  </si>
  <si>
    <t>YNYI005</t>
  </si>
  <si>
    <t>VISEE  GLOSSY RICH  EYES　N BR-5</t>
  </si>
  <si>
    <t>YNYI006</t>
  </si>
  <si>
    <t>VISEE  GLOSSY RICH  EYES　N RD-6</t>
  </si>
  <si>
    <t>YNCP822</t>
  </si>
  <si>
    <t>VISEE  FOGGY ON  CHEEKS　N PK822</t>
  </si>
  <si>
    <t>YNUC011</t>
  </si>
  <si>
    <t>VISEE  AVANT  MULTI STICK COLOR 011</t>
  </si>
  <si>
    <t>YNUC012</t>
  </si>
  <si>
    <t>VISEE  AVANT  MULTI STICK COLOR 012</t>
  </si>
  <si>
    <t>YNUC013</t>
  </si>
  <si>
    <t>VISEE  AVANT  MULTI STICK COLOR 013</t>
  </si>
  <si>
    <t>YNUC014</t>
  </si>
  <si>
    <t>VISEE  AVANT  MULTI STICK COLOR 014</t>
  </si>
  <si>
    <t>YNUR015</t>
  </si>
  <si>
    <t>VISEE  AVANT  LIP　&amp;　EYE 　COLOR　　PENCIL 015</t>
  </si>
  <si>
    <t>YNUR016</t>
  </si>
  <si>
    <t>VISEE  AVANT  LIP　&amp;　EYE 　COLOR　　PENCIL 016</t>
  </si>
  <si>
    <t>YNFF405</t>
  </si>
  <si>
    <t>VISEE  FILTER　SKIN  FOUNDATION OC-405</t>
  </si>
  <si>
    <t>YNFF310</t>
  </si>
  <si>
    <t>VISEE  FILTER　SKIN  FOUNDATION BO-310</t>
  </si>
  <si>
    <t>YNFX</t>
  </si>
  <si>
    <t>VISEE  POWDER FOUNDATION  CASE　N</t>
  </si>
  <si>
    <t>YNYJ007</t>
  </si>
  <si>
    <t>VISEE  DOUBLE　VEIL  EYES GR-7</t>
  </si>
  <si>
    <t>YNUE031</t>
  </si>
  <si>
    <t>VISEE  AVANT  LIPSTICK 031</t>
  </si>
  <si>
    <t>YNUE032</t>
  </si>
  <si>
    <t>VISEE  AVANT  LIPSTICK 032</t>
  </si>
  <si>
    <t>DLIB</t>
  </si>
  <si>
    <t>CURL KEEP MAGIC</t>
  </si>
  <si>
    <t>YNIM140</t>
  </si>
  <si>
    <t>VISEE  COLOR IMPACT  LIQUID LINER PU140</t>
  </si>
  <si>
    <t>YNUR017</t>
  </si>
  <si>
    <t>VISEE  AVANT  LIP　&amp;　EYE 　COLOR　　PENCIL 017</t>
  </si>
  <si>
    <t>YNUR018</t>
  </si>
  <si>
    <t>VISEE  AVANT  LIP　&amp;　EYE 　COLOR　　PENCIL 018</t>
  </si>
  <si>
    <t>YNUR019</t>
  </si>
  <si>
    <t>VISEE  AVANT  LIP　&amp;　EYE 　COLOR　　PENCIL 019</t>
  </si>
  <si>
    <t>YNUR020</t>
  </si>
  <si>
    <t>VISEE  AVANT  LIP　&amp;　EYE 　COLOR　　PENCIL 020</t>
  </si>
  <si>
    <t>YNUJ</t>
  </si>
  <si>
    <t>VISEE  AVANT  MULTI 　GLOW FIXER</t>
  </si>
  <si>
    <t>YNUK101</t>
  </si>
  <si>
    <t>VISEE  AVANT  LIPSTICK　 CREAMY MATTE 101</t>
  </si>
  <si>
    <t>YNUK102</t>
  </si>
  <si>
    <t>VISEE  AVANT  LIPSTICK　 CREAMY MATTE 102</t>
  </si>
  <si>
    <t>YNUK103</t>
  </si>
  <si>
    <t>VISEE  AVANT  LIPSTICK　 CREAMY MATTE 103</t>
  </si>
  <si>
    <t>YNUK104</t>
  </si>
  <si>
    <t>VISEE  AVANT  LIPSTICK　 CREAMY MATTE 104</t>
  </si>
  <si>
    <t>YNUK105</t>
  </si>
  <si>
    <t>VISEE  AVANT  LIPSTICK　 CREAMY MATTE 105</t>
  </si>
  <si>
    <t>YNUK106</t>
  </si>
  <si>
    <t>VISEE  AVANT  LIPSTICK　 CREAMY MATTE 106</t>
  </si>
  <si>
    <t>YNUK107</t>
  </si>
  <si>
    <t>VISEE  AVANT  LIPSTICK　 CREAMY MATTE 107</t>
  </si>
  <si>
    <t>YNUK108</t>
  </si>
  <si>
    <t>VISEE  AVANT  LIPSTICK　 CREAMY MATTE 108</t>
  </si>
  <si>
    <t>YNBJ001</t>
  </si>
  <si>
    <t>VISEE  INSTANT  EYEBROW COLOR BR-1</t>
  </si>
  <si>
    <t>YNBJ002</t>
  </si>
  <si>
    <t>VISEE  INSTANT  EYEBROW COLOR BR-2</t>
  </si>
  <si>
    <t>YNBJ003</t>
  </si>
  <si>
    <t>VISEE  INSTANT  EYEBROW COLOR BR-3</t>
  </si>
  <si>
    <t>YNBJ004</t>
  </si>
  <si>
    <t>VISEE  INSTANT  EYEBROW COLOR BR-4</t>
  </si>
  <si>
    <t>YNBJ005</t>
  </si>
  <si>
    <t>VISEE  INSTANT  EYEBROW COLOR BR-5</t>
  </si>
  <si>
    <t>DXQU001</t>
  </si>
  <si>
    <t>FASIO  PENCIL &amp; POWDER　EYEBROW 01</t>
  </si>
  <si>
    <t>DXQD003</t>
  </si>
  <si>
    <t>FASIO  LIQUID &amp; POWDER　EYEBROW 03</t>
  </si>
  <si>
    <t>DXQU002</t>
  </si>
  <si>
    <t>FASIO  PENCIL &amp; POWDER　EYEBROW 02</t>
  </si>
  <si>
    <t>DXQT001</t>
  </si>
  <si>
    <t>FASIO  EYEBROW　　PENCIL 01</t>
  </si>
  <si>
    <t>DXQT002</t>
  </si>
  <si>
    <t>FASIO  EYEBROW　　PENCIL 02</t>
  </si>
  <si>
    <t>DXQT003</t>
  </si>
  <si>
    <t>FASIO  EYEBROW　　PENCIL 03</t>
  </si>
  <si>
    <t>DXQW001</t>
  </si>
  <si>
    <t>FASIO  EYEBROW　　MASCARA 01</t>
  </si>
  <si>
    <t>DXQW002</t>
  </si>
  <si>
    <t>FASIO  EYEBROW　　MASCARA 02</t>
  </si>
  <si>
    <t>DXQW003</t>
  </si>
  <si>
    <t>FASIO  EYEBROW　　MASCARA 03</t>
  </si>
  <si>
    <t>DXQY001</t>
  </si>
  <si>
    <t>FASIO  PENCIL EYELINER 01</t>
  </si>
  <si>
    <t>DXQY002</t>
  </si>
  <si>
    <t>FASIO  PENCIL EYELINER 02</t>
  </si>
  <si>
    <t>DXQY003</t>
  </si>
  <si>
    <t>FASIO  PENCIL EYELINER 03</t>
  </si>
  <si>
    <t>DXQY004</t>
  </si>
  <si>
    <t>FASIO  PENCIL EYELINER 04</t>
  </si>
  <si>
    <t>DXQX001</t>
  </si>
  <si>
    <t>FASIO  LIQUID EYELINER 01</t>
  </si>
  <si>
    <t>DXQX002</t>
  </si>
  <si>
    <t>FASIO  LIQUID EYELINER 02</t>
  </si>
  <si>
    <t>DXQX000</t>
  </si>
  <si>
    <t>FASIO  LIQUID EYELINER 00</t>
  </si>
  <si>
    <t>DXQI001</t>
  </si>
  <si>
    <t>FASIO  PERMANENT CURL  MASCARA WP  VOLUME 01</t>
  </si>
  <si>
    <t>DXQI002</t>
  </si>
  <si>
    <t>FASIO  PERMANENT CURL  MASCARA WP  VOLUME 02</t>
  </si>
  <si>
    <t>DXQJ001</t>
  </si>
  <si>
    <t>FASIO  PERMANENT CURL  MASCARA WP  LONG 01</t>
  </si>
  <si>
    <t>DXQJ002</t>
  </si>
  <si>
    <t>FASIO  PERMANENT CURL  MASCARA WP  LONG 02</t>
  </si>
  <si>
    <t>DXQN001</t>
  </si>
  <si>
    <t>FASIO  PERMANENT CURL  FIXER F 01</t>
  </si>
  <si>
    <t>DXQQ004</t>
  </si>
  <si>
    <t>FASIO  MULTI FACE STICK 04</t>
  </si>
  <si>
    <t>DXQQ002</t>
  </si>
  <si>
    <t>FASIO  MULTI FACE STICK 02</t>
  </si>
  <si>
    <t>DXQQ003</t>
  </si>
  <si>
    <t>FASIO  MULTI FACE STICK 03</t>
  </si>
  <si>
    <t>YNRM311</t>
  </si>
  <si>
    <t>VISEE  MINI　BALM　　LIPSTICK BR311</t>
  </si>
  <si>
    <t>YNRM610</t>
  </si>
  <si>
    <t>VISEE  MINI　BALM　　LIPSTICK RO610</t>
  </si>
  <si>
    <t>DLSO</t>
  </si>
  <si>
    <t>PORE　　SMOOTH　　PRIMER</t>
  </si>
  <si>
    <t>YNUE033</t>
  </si>
  <si>
    <t>VISEE  AVANT  LIPSTICK 033</t>
  </si>
  <si>
    <t>YNUE034</t>
  </si>
  <si>
    <t>VISEE  AVANT  LIPSTICK 034</t>
  </si>
  <si>
    <t>YNIU300</t>
  </si>
  <si>
    <t>VISEE  BROWNS　 CREAMY PENCIL BR300</t>
  </si>
  <si>
    <t>YNIU301</t>
  </si>
  <si>
    <t>VISEE  BROWNS　 CREAMY PENCIL BR301</t>
  </si>
  <si>
    <t>YNIU302</t>
  </si>
  <si>
    <t>VISEE  BROWNS　 CREAMY PENCIL BR302</t>
  </si>
  <si>
    <t>YNIU303</t>
  </si>
  <si>
    <t>VISEE  BROWNS　 CREAMY PENCIL BR303</t>
  </si>
  <si>
    <t>YNIU304</t>
  </si>
  <si>
    <t>VISEE  BROWNS　 CREAMY PENCIL BR304</t>
  </si>
  <si>
    <t>DXBU001</t>
  </si>
  <si>
    <t>FASIO  AIRY STAY  OIL BLOCKER 01</t>
  </si>
  <si>
    <t>DXBY002</t>
  </si>
  <si>
    <t>FASIO  AIRY STAY  POWDER 02</t>
  </si>
  <si>
    <t>DXBY001</t>
  </si>
  <si>
    <t>FASIO  AIRY STAY  POWDER 01</t>
  </si>
  <si>
    <t>DXBZ002</t>
  </si>
  <si>
    <t>DXBZ001</t>
  </si>
  <si>
    <t>DXBX405</t>
  </si>
  <si>
    <t>FASIO  AIRY STAY  LIQUID FOUNDATION 405</t>
  </si>
  <si>
    <t>DXBX410</t>
  </si>
  <si>
    <t>FASIO  AIRY STAY  LIQUID FOUNDATION 410</t>
  </si>
  <si>
    <t>DXBX415</t>
  </si>
  <si>
    <t>FASIO  AIRY STAY  LIQUID FOUNDATION 415</t>
  </si>
  <si>
    <t>YNUR021</t>
  </si>
  <si>
    <t>VISEE  AVANT  LIP　&amp;　EYE 　COLOR　　PENCIL 021</t>
  </si>
  <si>
    <t>YNUR022</t>
  </si>
  <si>
    <t>VISEE  AVANT  LIP　&amp;　EYE 　COLOR　　PENCIL 022</t>
  </si>
  <si>
    <t>YNFC</t>
  </si>
  <si>
    <t>VISEE  TONE UP  PRIMER　　CARE</t>
  </si>
  <si>
    <t>YNBO004</t>
  </si>
  <si>
    <t>VISEE  EYEBROW POWDER BR-4</t>
  </si>
  <si>
    <t>YNQF001</t>
  </si>
  <si>
    <t>VISEE  FOGGY GLOW FILTER 01</t>
  </si>
  <si>
    <t>DXWQ001</t>
  </si>
  <si>
    <t>FASIO  PERMANENT CURL  MASCARA HYBRID  LONG 01</t>
  </si>
  <si>
    <t>DXWQ002</t>
  </si>
  <si>
    <t>FASIO  PERMANENT CURL  MASCARA HYBRID  LONG 02</t>
  </si>
  <si>
    <t>DXWP001</t>
  </si>
  <si>
    <t>FASIO  PERMANENT CURL  MASCARA HYBRID  VOLUME 01</t>
  </si>
  <si>
    <t>DXWP002</t>
  </si>
  <si>
    <t>FASIO  PERMANENT CURL  MASCARA HYBRID  VOLUME 02</t>
  </si>
  <si>
    <t>YNIX380</t>
  </si>
  <si>
    <t>VISEE  ANTIQUE PASTEL  LINER BE380</t>
  </si>
  <si>
    <t>YNIX381</t>
  </si>
  <si>
    <t>VISEE  ANTIQUE PASTEL  LINER BR381</t>
  </si>
  <si>
    <t>YNIX280</t>
  </si>
  <si>
    <t>VISEE  ANTIQUE PASTEL  LINER OR280</t>
  </si>
  <si>
    <t>YNIX880</t>
  </si>
  <si>
    <t>VISEE  ANTIQUE PASTEL  LINER PK880</t>
  </si>
  <si>
    <t>YNIX180</t>
  </si>
  <si>
    <t>VISEE  ANTIQUE PASTEL  LINER PU180</t>
  </si>
  <si>
    <t>YNYV001</t>
  </si>
  <si>
    <t>VISEE  PANORAMA　DESIGN　　EYE PALETTE BR-1</t>
  </si>
  <si>
    <t>YNYV002</t>
  </si>
  <si>
    <t>VISEE  PANORAMA　DESIGN　　EYE PALETTE BR-2</t>
  </si>
  <si>
    <t>YNYV003</t>
  </si>
  <si>
    <t>VISEE  PANORAMA　DESIGN　　EYE PALETTE BR-3</t>
  </si>
  <si>
    <t>YNYV004</t>
  </si>
  <si>
    <t>VISEE  PANORAMA　DESIGN　　EYE PALETTE BR-4</t>
  </si>
  <si>
    <t>YNYV005</t>
  </si>
  <si>
    <t>VISEE  PANORAMA　DESIGN　　EYE PALETTE BR-5</t>
  </si>
  <si>
    <t>DLHN</t>
  </si>
  <si>
    <t>MEDICATED　　ALLERTECT　　HAND　　MILK</t>
  </si>
  <si>
    <t>DXQQ020</t>
  </si>
  <si>
    <t>FASIO  MULTI FACE STICK 20</t>
  </si>
  <si>
    <t>DXQQ018</t>
  </si>
  <si>
    <t>FASIO  MULTI FACE STICK 18</t>
  </si>
  <si>
    <t>DXQQ019</t>
  </si>
  <si>
    <t>FASIO  MULTI FACE STICK 19</t>
  </si>
  <si>
    <t>DXQQ016</t>
  </si>
  <si>
    <t>FASIO  MULTI FACE STICK 16</t>
  </si>
  <si>
    <t>DXQQ017</t>
  </si>
  <si>
    <t>FASIO  MULTI FACE STICK 17</t>
  </si>
  <si>
    <t>DXXY</t>
  </si>
  <si>
    <t>FASIO  POWDER FOUNDATION  CASE</t>
  </si>
  <si>
    <t>YNRC830</t>
  </si>
  <si>
    <t>VISEE  DIAMOND  TINT　 SERUM PK830</t>
  </si>
  <si>
    <t>YNRB320</t>
  </si>
  <si>
    <t>VISEE  CANDY STAIN BR320</t>
  </si>
  <si>
    <t>DLID</t>
  </si>
  <si>
    <t>CURL KEEP MAGIC　　ESSENCE　REMOVER</t>
  </si>
  <si>
    <t>DXKB405</t>
  </si>
  <si>
    <t>FASIO  AIRY　STAY 　POWDER FOUNDATION 405</t>
  </si>
  <si>
    <t>DXKB410</t>
  </si>
  <si>
    <t>FASIO  AIRY　STAY 　POWDER FOUNDATION 410</t>
  </si>
  <si>
    <t>DXKB415</t>
  </si>
  <si>
    <t>FASIO  AIRY　STAY 　POWDER FOUNDATION 415</t>
  </si>
  <si>
    <t>YNBX</t>
  </si>
  <si>
    <t>VISEE  EYEBROW　 ENHANCER</t>
  </si>
  <si>
    <t>YNCP320</t>
  </si>
  <si>
    <t>VISEE  FOGGY ON  CHEEKS　N BR320</t>
  </si>
  <si>
    <t>DXQG</t>
  </si>
  <si>
    <t>FASIO  LASH REPAIR　SERUM</t>
  </si>
  <si>
    <t>YNBW910</t>
  </si>
  <si>
    <t>VISEE  GLITTER 　IMPACT LINER BL910</t>
  </si>
  <si>
    <t>YNBW210</t>
  </si>
  <si>
    <t>VISEE  GLITTER 　IMPACT LINER OR210</t>
  </si>
  <si>
    <t>YNCF</t>
  </si>
  <si>
    <t>VISEE  RED TRICK EYE　 CONCEALER</t>
  </si>
  <si>
    <t>YNRD440</t>
  </si>
  <si>
    <t>VISEE　　NUANCE MATTE 　ROUGE RD440</t>
  </si>
  <si>
    <t>YNRD240</t>
  </si>
  <si>
    <t>VISEE　　NUANCE MATTE 　ROUGE OR240</t>
  </si>
  <si>
    <t>YNRD840</t>
  </si>
  <si>
    <t>VISEE　　NUANCE MATTE 　ROUGE PK840</t>
  </si>
  <si>
    <t>YNRD841</t>
  </si>
  <si>
    <t>VISEE　　NUANCE MATTE 　ROUGE PK841</t>
  </si>
  <si>
    <t>YNRD340</t>
  </si>
  <si>
    <t>VISEE　　NUANCE MATTE 　ROUGE BR340</t>
  </si>
  <si>
    <t>YNRD640</t>
  </si>
  <si>
    <t>VISEE　　NUANCE MATTE 　ROUGE RO640</t>
  </si>
  <si>
    <t>YNBV003</t>
  </si>
  <si>
    <t>VISEE　　NUANCE　MATTE　CREATOR BR-3</t>
  </si>
  <si>
    <t>YNBV001</t>
  </si>
  <si>
    <t>VISEE　　NUANCE　MATTE　CREATOR BE-1</t>
  </si>
  <si>
    <t>YNBV002</t>
  </si>
  <si>
    <t>VISEE　　NUANCE　MATTE　CREATOR RD-2</t>
  </si>
  <si>
    <t>YNBV004</t>
  </si>
  <si>
    <t>VISEE　　NUANCE　MATTE　CREATOR PK-4</t>
  </si>
  <si>
    <t>YNBV005</t>
  </si>
  <si>
    <t>VISEE　　NUANCE　MATTE　CREATOR GY-5</t>
  </si>
  <si>
    <t>MUZT</t>
  </si>
  <si>
    <t>ONE BY KOSE  DEEP HYDRATOR</t>
  </si>
  <si>
    <t>MSYJ</t>
  </si>
  <si>
    <t>ONE  BY  KOSE  MELANOSHOT  W</t>
  </si>
  <si>
    <t>MSYK</t>
  </si>
  <si>
    <t>MSYN</t>
  </si>
  <si>
    <t>YNVE002</t>
  </si>
  <si>
    <t>VISEE　　GLOSSY EYE VEIL BR-2</t>
  </si>
  <si>
    <t>YNVE004</t>
  </si>
  <si>
    <t>VISEE　　GLOSSY EYE VEIL PU-4</t>
  </si>
  <si>
    <t>YNRE001</t>
  </si>
  <si>
    <t>VISEE　　ESSENCE LIP PLUMPER SP001</t>
  </si>
  <si>
    <t>DLEP</t>
  </si>
  <si>
    <t>MAKE　KEEP　　POWDER</t>
  </si>
  <si>
    <t>YNFB001</t>
  </si>
  <si>
    <t>VISEE  GLOW BALM　 FOUNDATION 01</t>
  </si>
  <si>
    <t>YNFB002</t>
  </si>
  <si>
    <t>VISEE  GLOW BALM　 FOUNDATION 02</t>
  </si>
  <si>
    <t>YNFB000</t>
  </si>
  <si>
    <t>VISEE  GLOW BALM　 FOUNDATION 00</t>
  </si>
  <si>
    <t>YNRT001</t>
  </si>
  <si>
    <t>VISEE  GLOW TRICK SP001</t>
  </si>
  <si>
    <t>YNST300</t>
  </si>
  <si>
    <t>VISEE  SHADE TRICK BR300</t>
  </si>
  <si>
    <t>DXJC002</t>
  </si>
  <si>
    <t>FASIO  AIRY STAY  BB　TINT　　UV 02</t>
  </si>
  <si>
    <t>DXJC003</t>
  </si>
  <si>
    <t>FASIO  AIRY STAY  BB　TINT　　UV 03</t>
  </si>
  <si>
    <t>DXJC001</t>
  </si>
  <si>
    <t>FASIO  AIRY STAY  BB　TINT　　UV 01</t>
  </si>
  <si>
    <t>DXPO000</t>
  </si>
  <si>
    <t>FASIO  PORE　　SMOOTH　　PRIMER 00</t>
  </si>
  <si>
    <t>YNRF850</t>
  </si>
  <si>
    <t>VISEE　　NENMAKU FAKE 　ROUGE PK850</t>
  </si>
  <si>
    <t>YNRF851</t>
  </si>
  <si>
    <t>VISEE　　NENMAKU FAKE 　ROUGE PK851</t>
  </si>
  <si>
    <t>YNRF250</t>
  </si>
  <si>
    <t>VISEE　　NENMAKU FAKE 　ROUGE OR250</t>
  </si>
  <si>
    <t>YNRF650</t>
  </si>
  <si>
    <t>VISEE　　NENMAKU FAKE 　ROUGE RO650</t>
  </si>
  <si>
    <t>YNRF350</t>
  </si>
  <si>
    <t>VISEE　　NENMAKU FAKE 　ROUGE BR350</t>
  </si>
  <si>
    <t>YNRF450</t>
  </si>
  <si>
    <t>VISEE　　NENMAKU FAKE 　ROUGE RD450</t>
  </si>
  <si>
    <t>YNYV009</t>
  </si>
  <si>
    <t>VISEE  PANORAMA　DESIGN　　EYE PALETTE BE-9</t>
  </si>
  <si>
    <t>MUCH</t>
  </si>
  <si>
    <t>ONE  BY  KOSE  PORE CLEAR OIL</t>
  </si>
  <si>
    <t>DLBK</t>
  </si>
  <si>
    <t>MAKE　KEEP　　PRIMER</t>
  </si>
  <si>
    <t>DXAY002</t>
  </si>
  <si>
    <t>FASIO  HITONURI ROUGE 02</t>
  </si>
  <si>
    <t>DXAY007</t>
  </si>
  <si>
    <t>FASIO  HITONURI ROUGE 07</t>
  </si>
  <si>
    <t>DXAY008</t>
  </si>
  <si>
    <t>FASIO  HITONURI ROUGE 08</t>
  </si>
  <si>
    <t>YNCH030</t>
  </si>
  <si>
    <t>VISEE  EYEBROW  SWORD PENCIL &amp; POWDER BR30</t>
  </si>
  <si>
    <t>YNCH031</t>
  </si>
  <si>
    <t>VISEE  EYEBROW  SWORD PENCIL &amp; POWDER BR31</t>
  </si>
  <si>
    <t>YNCH032</t>
  </si>
  <si>
    <t>VISEE  EYEBROW  SWORD PENCIL &amp; POWDER BR32</t>
  </si>
  <si>
    <t>YNBO006</t>
  </si>
  <si>
    <t>VISEE  EYEBROW POWDER BR-6</t>
  </si>
  <si>
    <t>YNCI001</t>
  </si>
  <si>
    <t>VISEE　　BLOW LIFT SP-1</t>
  </si>
  <si>
    <t>DXYI001</t>
  </si>
  <si>
    <t>FASIO  WATERPROOF EYEBROW  DROP 01</t>
  </si>
  <si>
    <t>DXYI002</t>
  </si>
  <si>
    <t>FASIO  WATERPROOF EYEBROW  DROP 02</t>
  </si>
  <si>
    <t>DXYI003</t>
  </si>
  <si>
    <t>FASIO  WATERPROOF EYEBROW  DROP 03</t>
  </si>
  <si>
    <t>MUSC</t>
  </si>
  <si>
    <t>ONE  BY  KOSE  SERUM SHIELD</t>
  </si>
  <si>
    <t>DXYF001</t>
  </si>
  <si>
    <t>FASIO  ULTRA WP MASCARA  VOLUME 01</t>
  </si>
  <si>
    <t>DXYF002</t>
  </si>
  <si>
    <t>FASIO  ULTRA WP MASCARA  VOLUME 02</t>
  </si>
  <si>
    <t>DXYG001</t>
  </si>
  <si>
    <t>FASIO  ULTRA WP MASCARA  LONG 01</t>
  </si>
  <si>
    <t>DXYG002</t>
  </si>
  <si>
    <t>FASIO  ULTRA WP MASCARA  LONG 02</t>
  </si>
  <si>
    <t>DXYH000</t>
  </si>
  <si>
    <t>FASIO  ULTRA WP MASCARA  NATURAL 00</t>
  </si>
  <si>
    <t>DXYX001</t>
  </si>
  <si>
    <t>FASIO  WATERPROOF EYEBROW  SLIM 01</t>
  </si>
  <si>
    <t>DXYX002</t>
  </si>
  <si>
    <t>FASIO  WATERPROOF EYEBROW  SLIM 02</t>
  </si>
  <si>
    <t>DXYX003</t>
  </si>
  <si>
    <t>FASIO  WATERPROOF EYEBROW  SLIM 03</t>
  </si>
  <si>
    <t>YNQM001</t>
  </si>
  <si>
    <t>VISEE　　TONE UP SKIN　DESIGNER 01</t>
  </si>
  <si>
    <t>YNQM002</t>
  </si>
  <si>
    <t>VISEE　　TONE UP SKIN　DESIGNER 02</t>
  </si>
  <si>
    <t>YNQM003</t>
  </si>
  <si>
    <t>VISEE　　TONE UP SKIN　DESIGNER 03</t>
  </si>
  <si>
    <t>YNRG170</t>
  </si>
  <si>
    <t>VISEE　　GEMMY TINT SERUM PU170</t>
  </si>
  <si>
    <t>YNRG870</t>
  </si>
  <si>
    <t>VISEE　　GEMMY TINT SERUM PK870</t>
  </si>
  <si>
    <t>YNRG370</t>
  </si>
  <si>
    <t>VISEE　　GEMMY TINT SERUM BE370</t>
  </si>
  <si>
    <t>YNRG871</t>
  </si>
  <si>
    <t>VISEE　　GEMMY TINT SERUM PK871</t>
  </si>
  <si>
    <t>YNRG270</t>
  </si>
  <si>
    <t>VISEE　　GEMMY TINT SERUM OR270</t>
  </si>
  <si>
    <t>MUWI</t>
  </si>
  <si>
    <t>ONE　　BY　　KOSE　　WRINKLE　　DOUBLE　REPAIR</t>
  </si>
  <si>
    <t>DXFX001</t>
  </si>
  <si>
    <t>FASIO  AIRY STAY  BB　TINT　　MOIST 01</t>
  </si>
  <si>
    <t>DXFX002</t>
  </si>
  <si>
    <t>FASIO  AIRY STAY  BB　TINT　　MOIST 02</t>
  </si>
  <si>
    <t>DXFX003</t>
  </si>
  <si>
    <t>FASIO  AIRY STAY  BB　TINT　　MOIST 03</t>
  </si>
  <si>
    <t>YNMA001</t>
  </si>
  <si>
    <t>VISEE　　COLOR ACCENT MASCARA WT001</t>
  </si>
  <si>
    <t>YNMA100</t>
  </si>
  <si>
    <t>VISEE　　COLOR ACCENT MASCARA PU100</t>
  </si>
  <si>
    <t>YNBV006</t>
  </si>
  <si>
    <t>VISEE　　NUANCE　MATTE　CREATOR GR-6</t>
  </si>
  <si>
    <t>YNBV007</t>
  </si>
  <si>
    <t>VISEE　　NUANCE　MATTE　CREATOR PU-7</t>
  </si>
  <si>
    <t>YNGV001</t>
  </si>
  <si>
    <t>VISEE　　NUANCE　DEWY　CREATOR BE-1</t>
  </si>
  <si>
    <t>YNGV002</t>
  </si>
  <si>
    <t>VISEE　　NUANCE　DEWY　CREATOR BE-2</t>
  </si>
  <si>
    <t>YNGV003</t>
  </si>
  <si>
    <t>VISEE　　NUANCE　DEWY　CREATOR PK-3</t>
  </si>
  <si>
    <t>YNGV004</t>
  </si>
  <si>
    <t>VISEE　　NUANCE　DEWY　CREATOR OR-4</t>
  </si>
  <si>
    <t>YNGV005</t>
  </si>
  <si>
    <t>VISEE　　NUANCE　DEWY　CREATOR GY-5</t>
  </si>
  <si>
    <t>YNRE300</t>
  </si>
  <si>
    <t>VISEE　　ESSENCE LIP PLUMPER BE300</t>
  </si>
  <si>
    <t>YNRE900</t>
  </si>
  <si>
    <t>VISEE　　ESSENCE LIP PLUMPER BL900</t>
  </si>
  <si>
    <t>YNRE100</t>
  </si>
  <si>
    <t>VISEE　　ESSENCE LIP PLUMPER PU100</t>
  </si>
  <si>
    <t>DXXU101</t>
  </si>
  <si>
    <t>FASIO  ULTRA WP MASCARA  LONG 101</t>
  </si>
  <si>
    <t>DXXU102</t>
  </si>
  <si>
    <t>FASIO  ULTRA WP MASCARA  LONG 102</t>
  </si>
  <si>
    <t>DXXU103</t>
  </si>
  <si>
    <t>FASIO  ULTRA WP MASCARA  LONG 103</t>
  </si>
  <si>
    <t>YNVA001</t>
  </si>
  <si>
    <t>VISEE　 30TH GLAMOROUS LAYERED PALETTE 01</t>
  </si>
  <si>
    <t>YNVA002</t>
  </si>
  <si>
    <t>VISEE　 30TH GLAMOROUS LAYERED PALETTE 02</t>
  </si>
  <si>
    <t>YNVB001</t>
  </si>
  <si>
    <t>VISEE　　30TH VOLUME LIP　MAKER 01</t>
  </si>
  <si>
    <t>YNVB003</t>
  </si>
  <si>
    <t>VISEE　　30TH VOLUME LIP　MAKER 03</t>
  </si>
  <si>
    <t>MUCI</t>
  </si>
  <si>
    <t>YNKA300</t>
  </si>
  <si>
    <t>VISEE　　THE　CONTOUR COLOR　(POWDER) BE300</t>
  </si>
  <si>
    <t>YNKA800</t>
  </si>
  <si>
    <t>VISEE　　THE　CONTOUR COLOR　(POWDER) PK800</t>
  </si>
  <si>
    <t>YNKA001</t>
  </si>
  <si>
    <t>VISEE　　THE　CONTOUR COLOR　(POWDER) SP001</t>
  </si>
  <si>
    <t>YNKA350</t>
  </si>
  <si>
    <t>VISEE　　THE　CONTOUR COLOR　(POWDER) BR350</t>
  </si>
  <si>
    <t>YNKA351</t>
  </si>
  <si>
    <t>VISEE　　THE　CONTOUR COLOR　(POWDER) BR351</t>
  </si>
  <si>
    <t>YNKF101</t>
  </si>
  <si>
    <t>VISEE　　THE　CONTOUR COLOR (CREAM) PU101</t>
  </si>
  <si>
    <t>YNKF302</t>
  </si>
  <si>
    <t>VISEE　　THE　CONTOUR COLOR (CREAM) BE302</t>
  </si>
  <si>
    <t>YNKF354</t>
  </si>
  <si>
    <t>VISEE　　THE　CONTOUR COLOR (CREAM) BR354</t>
  </si>
  <si>
    <t>YNGB001</t>
  </si>
  <si>
    <t>VISEE  EXTRA SKINNY CONCEALER 01</t>
  </si>
  <si>
    <t>YNGB002</t>
  </si>
  <si>
    <t>VISEE  EXTRA SKINNY CONCEALER 02</t>
  </si>
  <si>
    <t>YNGB003</t>
  </si>
  <si>
    <t>VISEE  EXTRA SKINNY CONCEALER 03</t>
  </si>
  <si>
    <t>YNGB004</t>
  </si>
  <si>
    <t>VISEE  EXTRA SKINNY CONCEALER 04</t>
  </si>
  <si>
    <t>DLEA</t>
  </si>
  <si>
    <t>MAKE　KEEP　　MIST　　EX　+</t>
  </si>
  <si>
    <t>DLEB</t>
  </si>
  <si>
    <t>YNRF852</t>
  </si>
  <si>
    <t>VISEE　　NENMAKU FAKE 　ROUGE PK852</t>
  </si>
  <si>
    <t>YNRF351</t>
  </si>
  <si>
    <t>VISEE　　NENMAKU FAKE 　ROUGE BE351</t>
  </si>
  <si>
    <t>MUPD</t>
  </si>
  <si>
    <t>ONE  BY  KOSE　　CLEAR　PEEL　SERUM</t>
  </si>
  <si>
    <t>MUPE</t>
  </si>
  <si>
    <t>MUXA</t>
  </si>
  <si>
    <t>ONE BY KOSE  SERUM VEIL  DEEP REPAIR</t>
  </si>
  <si>
    <t>YNKB</t>
  </si>
  <si>
    <t>VISEE　　CUSTOMIZED　CASE</t>
  </si>
  <si>
    <t>YNQH020</t>
  </si>
  <si>
    <t>VISEE　　TONE UP SKIN　DESIGNER　　(SHEER) 20</t>
  </si>
  <si>
    <t>YNIZ001</t>
  </si>
  <si>
    <t>VISEE　　EXTRA SHARP  LIQUID LINER BK001</t>
  </si>
  <si>
    <t>DXKN001</t>
  </si>
  <si>
    <t>FASIO  ULTRA COVER CONCEALER  WP 01</t>
  </si>
  <si>
    <t>DXKN002</t>
  </si>
  <si>
    <t>FASIO  ULTRA COVER CONCEALER  WP 02</t>
  </si>
  <si>
    <t>DXKO000</t>
  </si>
  <si>
    <t>FASIO  ULTRA COVER EYE CONCEALER  WP 00</t>
  </si>
  <si>
    <t>DXNC001</t>
  </si>
  <si>
    <t>FASHIO　　UV PROTECT BASE 01</t>
  </si>
  <si>
    <t>DXNC002</t>
  </si>
  <si>
    <t>FASHIO　　UV PROTECT BASE 02</t>
  </si>
  <si>
    <t>YNKG100</t>
  </si>
  <si>
    <t>VISEE　　THE　CONTOUR COLOR　(POWDER) PU100</t>
  </si>
  <si>
    <t>YNKG200</t>
  </si>
  <si>
    <t>VISEE　　THE　CONTOUR COLOR　(POWDER) OR200</t>
  </si>
  <si>
    <t>YNKG002</t>
  </si>
  <si>
    <t>VISEE　　THE　CONTOUR COLOR　(POWDER) SP002</t>
  </si>
  <si>
    <t>YNKG003</t>
  </si>
  <si>
    <t>VISEE　　THE　CONTOUR COLOR　(POWDER) SP003</t>
  </si>
  <si>
    <t>YNKG004</t>
  </si>
  <si>
    <t>VISEE　　THE　CONTOUR COLOR　(POWDER) SP004</t>
  </si>
  <si>
    <t>YNKG352</t>
  </si>
  <si>
    <t>VISEE　　THE　CONTOUR COLOR　(POWDER) BR352</t>
  </si>
  <si>
    <t>YNKG353</t>
  </si>
  <si>
    <t>VISEE　　THE　CONTOUR COLOR　(POWDER) BR353</t>
  </si>
  <si>
    <t>YNRF251</t>
  </si>
  <si>
    <t>VISEE　　NENMAKU FAKE 　ROUGE OR251</t>
  </si>
  <si>
    <t>YNRF853</t>
  </si>
  <si>
    <t>VISEE　　NENMAKU FAKE 　ROUGE PK853</t>
  </si>
  <si>
    <t>YNIZ310</t>
  </si>
  <si>
    <t>VISEE　　EXTRA SHARP  LIQUID LINER BR310</t>
  </si>
  <si>
    <t>YNIZ311</t>
  </si>
  <si>
    <t>VISEE　　EXTRA SHARP  LIQUID LINER BR311</t>
  </si>
  <si>
    <t>YNIZ410</t>
  </si>
  <si>
    <t>VISEE　　EXTRA SHARP  LIQUID LINER RD410</t>
  </si>
  <si>
    <t>YNRI830</t>
  </si>
  <si>
    <t>VISEE　　NENMAKU FAKE 　LIQUID PK830</t>
  </si>
  <si>
    <t>YNRI831</t>
  </si>
  <si>
    <t>VISEE　　NENMAKU FAKE 　LIQUID PK831</t>
  </si>
  <si>
    <t>YNRI330</t>
  </si>
  <si>
    <t>VISEE　　NENMAKU FAKE 　LIQUID BE330</t>
  </si>
  <si>
    <t>YNRI230</t>
  </si>
  <si>
    <t>VISEE　　NENMAKU FAKE 　LIQUID OR230</t>
  </si>
  <si>
    <t>YNRI331</t>
  </si>
  <si>
    <t>VISEE　　NENMAKU FAKE 　LIQUID BR331</t>
  </si>
  <si>
    <t>YNRI430</t>
  </si>
  <si>
    <t>VISEE　　NENMAKU FAKE 　LIQUID RD430</t>
  </si>
  <si>
    <t>DLCD</t>
  </si>
  <si>
    <t>MAKE　KEEP　　POWDER　　COOL</t>
  </si>
  <si>
    <t>DLCE</t>
  </si>
  <si>
    <t>MAKE　KEEP　　PRIMER　　COOL</t>
  </si>
  <si>
    <t>MUXC</t>
  </si>
  <si>
    <t>MUXD</t>
  </si>
  <si>
    <t>DXAN001</t>
  </si>
  <si>
    <t>FASIO  LASH PERM MASCARA  LONG &amp; VOLUME 01</t>
  </si>
  <si>
    <t>DXAN002</t>
  </si>
  <si>
    <t>FASIO  LASH PERM MASCARA  LONG &amp; VOLUME 02</t>
  </si>
  <si>
    <t>DXAO001</t>
  </si>
  <si>
    <t>FASIO  LASH PERM MASCARA  SKINNY 01</t>
  </si>
  <si>
    <t>DXJP</t>
  </si>
  <si>
    <t>FASIO  QUICK MASCARA REMOVER</t>
  </si>
  <si>
    <t>YNGV006</t>
  </si>
  <si>
    <t>VISEE　　NUANCE　DEWY　CREATOR OR-6</t>
  </si>
  <si>
    <t>YNGV007</t>
  </si>
  <si>
    <t>VISEE　　NUANCE　DEWY　CREATOR PK-7</t>
  </si>
  <si>
    <t>YNRE002</t>
  </si>
  <si>
    <t>VISEE　　ESSENCE LIP PLUMPER SP002</t>
  </si>
  <si>
    <t>YNRE200</t>
  </si>
  <si>
    <t>VISEE　　ESSENCE LIP PLUMPER OR200</t>
  </si>
  <si>
    <t>YNRE800</t>
  </si>
  <si>
    <t>VISEE　　ESSENCE LIP PLUMPER PK800</t>
  </si>
  <si>
    <t>YNDY001</t>
  </si>
  <si>
    <t>VISEE  KILLER EYE TRIO BR-1</t>
  </si>
  <si>
    <t>YNDY002</t>
  </si>
  <si>
    <t>VISEE  KILLER EYE TRIO BR-2</t>
  </si>
  <si>
    <t>YNDY003</t>
  </si>
  <si>
    <t>VISEE  KILLER EYE TRIO OR-3</t>
  </si>
  <si>
    <t>YNDY004</t>
  </si>
  <si>
    <t>VISEE  KILLER EYE TRIO PK-4</t>
  </si>
  <si>
    <t>YNDY005</t>
  </si>
  <si>
    <t>VISEE  KILLER EYE TRIO PU-5</t>
  </si>
  <si>
    <t>DXWJ001</t>
  </si>
  <si>
    <t>FASIO  WATERPROOF EYEBROW  ULTRA SLIM 01</t>
  </si>
  <si>
    <t>DXWJ002</t>
  </si>
  <si>
    <t>FASIO  WATERPROOF EYEBROW  ULTRA SLIM 02</t>
  </si>
  <si>
    <t>DXWJ003</t>
  </si>
  <si>
    <t>FASIO  WATERPROOF EYEBROW  ULTRA SLIM 03</t>
  </si>
  <si>
    <t>DXWK003</t>
  </si>
  <si>
    <t>FASIO  WATERPROOF EYEBROW  WIDE TYPE 03</t>
  </si>
  <si>
    <t>YNRE801</t>
  </si>
  <si>
    <t>VISEE　　ESSENCE LIP PLUMPER PK801</t>
  </si>
  <si>
    <t>YNRE301</t>
  </si>
  <si>
    <t>VISEE　　ESSENCE LIP PLUMPER BR301</t>
  </si>
  <si>
    <t>YNRE003</t>
  </si>
  <si>
    <t>VISEE　　ESSENCE LIP PLUMPER SP003</t>
  </si>
  <si>
    <t>YNBO007</t>
  </si>
  <si>
    <t>VISEE  EYEBROW POWDER BR-7</t>
  </si>
  <si>
    <t>YNBO008</t>
  </si>
  <si>
    <t>VISEE  EYEBROW POWDER BR-8</t>
  </si>
  <si>
    <t>YNBO009</t>
  </si>
  <si>
    <t>VISEE  EYEBROW POWDER BR-9</t>
  </si>
  <si>
    <t>YNCT001</t>
  </si>
  <si>
    <t>VISEE  3D GLITTER EYE LIQUID WT-1</t>
  </si>
  <si>
    <t>YNCT004</t>
  </si>
  <si>
    <t>VISEE  3D GLITTER EYE LIQUID OR-4</t>
  </si>
  <si>
    <t>YNCT002</t>
  </si>
  <si>
    <t>VISEE  3D GLITTER EYE LIQUID GD-2</t>
  </si>
  <si>
    <t>YNCT003</t>
  </si>
  <si>
    <t>VISEE  3D GLITTER EYE LIQUID PK-3</t>
  </si>
  <si>
    <t>YNRF352</t>
  </si>
  <si>
    <t>VISEE  NENMAKU FAKE  ROUGE BR352</t>
  </si>
  <si>
    <t>YNRF651</t>
  </si>
  <si>
    <t>VISEE  NENMAKU FAKE  ROUGE RO651</t>
  </si>
  <si>
    <t>YNGC001</t>
  </si>
  <si>
    <t>VISEE  COLOR DUO TRICK CONCEALER 01</t>
  </si>
  <si>
    <t>YNGC002</t>
  </si>
  <si>
    <t>VISEE  COLOR DUO TRICK CONCEALER 02</t>
  </si>
  <si>
    <t>YNGC003</t>
  </si>
  <si>
    <t>VISEE  COLOR DUO TRICK CONCEALER 03</t>
  </si>
  <si>
    <t>YNGC004</t>
  </si>
  <si>
    <t>VISEE  COLOR DUO TRICK CONCEALER 04</t>
  </si>
  <si>
    <t>YNGD005</t>
  </si>
  <si>
    <t>VISEE  COLOR DUO TRICK CONCEALER 05</t>
  </si>
  <si>
    <t>YNGD006</t>
  </si>
  <si>
    <t>VISEE  COLOR DUO TRICK CONCEALER 06</t>
  </si>
  <si>
    <t>YNGD007</t>
  </si>
  <si>
    <t>VISEE  COLOR DUO TRICK CONCEALER 07</t>
  </si>
  <si>
    <t>YNGD008</t>
  </si>
  <si>
    <t>VISEE  COLOR DUO TRICK CONCEALER 08</t>
  </si>
  <si>
    <t>YNZH001</t>
  </si>
  <si>
    <t>VISEE  TRINITAS GLOW POWDER 01</t>
  </si>
  <si>
    <t>YNZH002</t>
  </si>
  <si>
    <t>VISEE  TRINITAS GLOW POWDER 02</t>
  </si>
  <si>
    <t>YNXX001</t>
  </si>
  <si>
    <t>VISEE  W MOOD EYES BR-1</t>
  </si>
  <si>
    <t>YNXX002</t>
  </si>
  <si>
    <t>VISEE  W MOOD EYES BR-2</t>
  </si>
  <si>
    <t>YNXX003</t>
  </si>
  <si>
    <t>VISEE  W MOOD EYES GY-3</t>
  </si>
  <si>
    <t>YNXX004</t>
  </si>
  <si>
    <t>VISEE  W MOOD EYES OR-4</t>
  </si>
  <si>
    <t>YNXX005</t>
  </si>
  <si>
    <t>VISEE  W MOOD EYES PK-5</t>
  </si>
  <si>
    <t>YNXX006</t>
  </si>
  <si>
    <t>VISEE  W MOOD EYES BL-6</t>
  </si>
  <si>
    <t>MUTE</t>
    <phoneticPr fontId="3"/>
  </si>
  <si>
    <t>ONE BY KOSE SERUM VEIL</t>
  </si>
  <si>
    <t>YNUC001</t>
  </si>
  <si>
    <t>VISEE AVANT MULTI STICK COLOR</t>
  </si>
  <si>
    <t>YNUA025</t>
  </si>
  <si>
    <t>YNUC002</t>
    <phoneticPr fontId="3"/>
  </si>
  <si>
    <t>YNUC003</t>
    <phoneticPr fontId="3"/>
  </si>
  <si>
    <t>YNUC004</t>
    <phoneticPr fontId="3"/>
  </si>
  <si>
    <t>YNUC005</t>
    <phoneticPr fontId="3"/>
  </si>
  <si>
    <t>VISEE AVANT MULTI STICK COLOR</t>
    <phoneticPr fontId="3"/>
  </si>
  <si>
    <t>VISEE AVANT SINGLE EYECOLOR</t>
    <phoneticPr fontId="3"/>
  </si>
  <si>
    <t>YNCP421</t>
  </si>
  <si>
    <t>VISEE FOGGY ON CHEEKS　N</t>
  </si>
  <si>
    <t>No.</t>
    <phoneticPr fontId="3"/>
  </si>
  <si>
    <t>MAKE　KEEP　　MIST　　EX　+＜35mL＞</t>
    <phoneticPr fontId="3"/>
  </si>
  <si>
    <t>ONE  BY  KOSE  PORE CLEAR OIL（Refill）</t>
    <phoneticPr fontId="3"/>
  </si>
  <si>
    <t>JANコード</t>
    <phoneticPr fontId="3"/>
  </si>
  <si>
    <t>DLCH</t>
    <phoneticPr fontId="3"/>
  </si>
  <si>
    <t>MAKE KEEP MIST EX + SAKURA CHERRY</t>
    <phoneticPr fontId="3"/>
  </si>
  <si>
    <t>DLCJ</t>
    <phoneticPr fontId="3"/>
  </si>
  <si>
    <t>MAKE KEEP POWDER SAKURA CHERRY</t>
    <phoneticPr fontId="3"/>
  </si>
  <si>
    <t>YNRI332</t>
    <phoneticPr fontId="3"/>
  </si>
  <si>
    <t>VISEE　　NENMAKU FAKE 　LIQUID</t>
    <phoneticPr fontId="3"/>
  </si>
  <si>
    <t>YNRI832</t>
    <phoneticPr fontId="3"/>
  </si>
  <si>
    <t>DXUW000</t>
    <phoneticPr fontId="3"/>
  </si>
  <si>
    <t>FASIO MAYUKESHI MASCARA</t>
    <phoneticPr fontId="3"/>
  </si>
  <si>
    <t>DLSC</t>
    <phoneticPr fontId="3"/>
  </si>
  <si>
    <t>SUPER UV PROTECTOR</t>
    <phoneticPr fontId="3"/>
  </si>
  <si>
    <t>YNBJ007</t>
    <phoneticPr fontId="3"/>
  </si>
  <si>
    <t xml:space="preserve"> VISEE INSTANT EYEBROW COLOR</t>
    <phoneticPr fontId="3"/>
  </si>
  <si>
    <t>YNFF410</t>
    <phoneticPr fontId="3"/>
  </si>
  <si>
    <t xml:space="preserve"> VISEE FILTER　SKIN FOUNDATION</t>
    <phoneticPr fontId="3"/>
  </si>
  <si>
    <t>YNFF415</t>
    <phoneticPr fontId="3"/>
  </si>
  <si>
    <t>DXQQ001</t>
    <phoneticPr fontId="3"/>
  </si>
  <si>
    <t>FASIO MULTI FACE STICK</t>
  </si>
  <si>
    <t>DXQQ012</t>
  </si>
  <si>
    <t>DXQQ010</t>
  </si>
  <si>
    <t>DXQQ009</t>
    <phoneticPr fontId="3"/>
  </si>
  <si>
    <t>DXQQ007</t>
    <phoneticPr fontId="3"/>
  </si>
  <si>
    <t>DXQQ006</t>
    <phoneticPr fontId="3"/>
  </si>
  <si>
    <t>DXQQ005</t>
    <phoneticPr fontId="3"/>
  </si>
  <si>
    <t>DXWK002</t>
    <phoneticPr fontId="3"/>
  </si>
  <si>
    <t>FASIO WATERPROOF EYEBROW WIDE TYPE</t>
    <phoneticPr fontId="3"/>
  </si>
  <si>
    <t>DXWK001</t>
    <phoneticPr fontId="3"/>
  </si>
  <si>
    <t>MSYB</t>
    <phoneticPr fontId="3"/>
  </si>
  <si>
    <t>DXWN101</t>
    <phoneticPr fontId="3"/>
  </si>
  <si>
    <t>DXWN102</t>
    <phoneticPr fontId="3"/>
  </si>
  <si>
    <t>DXWN103</t>
  </si>
  <si>
    <t>MUCF</t>
    <phoneticPr fontId="3"/>
  </si>
  <si>
    <t>YNED001</t>
    <phoneticPr fontId="3"/>
  </si>
  <si>
    <t>DLCC</t>
    <phoneticPr fontId="3"/>
  </si>
  <si>
    <t>DLCG</t>
    <phoneticPr fontId="3"/>
  </si>
  <si>
    <t>MAKE　KEEP　　MIST　　EX　+　　COOL</t>
    <phoneticPr fontId="3"/>
  </si>
  <si>
    <t>MAKE KEEP MIST EX + MOIST TEA</t>
    <phoneticPr fontId="3"/>
  </si>
  <si>
    <t>FASIO LASH PERM MASCARA SKINNY</t>
    <phoneticPr fontId="3"/>
  </si>
  <si>
    <t xml:space="preserve"> ONE BY KOSE MELANOSHOT W　 LARGE SIZE　LIMITED KIT</t>
    <phoneticPr fontId="3"/>
  </si>
  <si>
    <t>ONE BY KOSE PORE CLEAR SCRUB WASH</t>
    <phoneticPr fontId="3"/>
  </si>
  <si>
    <t>VISEE　　WIDE TRICK W LINER</t>
    <phoneticPr fontId="3"/>
  </si>
  <si>
    <t>DLFP</t>
    <phoneticPr fontId="3"/>
  </si>
  <si>
    <t>YNUA039</t>
    <phoneticPr fontId="3"/>
  </si>
  <si>
    <t>DXVM</t>
    <phoneticPr fontId="3"/>
  </si>
  <si>
    <t>YNCJ004</t>
    <phoneticPr fontId="3"/>
  </si>
  <si>
    <t>YNUA010</t>
  </si>
  <si>
    <t>YNCJ003</t>
    <phoneticPr fontId="3"/>
  </si>
  <si>
    <t>YNUA009</t>
    <phoneticPr fontId="3"/>
  </si>
  <si>
    <t>YNCJ002</t>
    <phoneticPr fontId="3"/>
  </si>
  <si>
    <t>YNCJ001</t>
    <phoneticPr fontId="3"/>
  </si>
  <si>
    <t>YNCO004</t>
    <phoneticPr fontId="3"/>
  </si>
  <si>
    <t>YNCO003</t>
    <phoneticPr fontId="3"/>
  </si>
  <si>
    <t>YNCO002</t>
    <phoneticPr fontId="3"/>
  </si>
  <si>
    <t>YNCO001</t>
    <phoneticPr fontId="3"/>
  </si>
  <si>
    <t>DLCA</t>
    <phoneticPr fontId="3"/>
  </si>
  <si>
    <t>DXND410</t>
    <phoneticPr fontId="3"/>
  </si>
  <si>
    <t>DXND405</t>
    <phoneticPr fontId="3"/>
  </si>
  <si>
    <t>DXND205</t>
    <phoneticPr fontId="3"/>
  </si>
  <si>
    <t>YNRF854</t>
    <phoneticPr fontId="3"/>
  </si>
  <si>
    <t>YNRF451</t>
    <phoneticPr fontId="3"/>
  </si>
  <si>
    <t>MAKE KEEP OIL BLOCK POWDER PAPER</t>
    <phoneticPr fontId="3"/>
  </si>
  <si>
    <t>MAKE KEEP POWDER EX</t>
    <phoneticPr fontId="3"/>
  </si>
  <si>
    <t>ASIO EYELASH REPAIR SERUM</t>
    <phoneticPr fontId="3"/>
  </si>
  <si>
    <t>VISEE AVANT SINGLE EYE COLOR 039</t>
    <phoneticPr fontId="3"/>
  </si>
  <si>
    <t>VISEE AVANT SINGLE EYE COLOR 010</t>
    <phoneticPr fontId="3"/>
  </si>
  <si>
    <t>VISEE AVANT SINGLE EYE COLOR 009</t>
    <phoneticPr fontId="3"/>
  </si>
  <si>
    <t>VISEE FLUFF DESIGN EYEBROW COLOR 004</t>
    <phoneticPr fontId="3"/>
  </si>
  <si>
    <t>VISEE FLUFF DESIGN EYEBROW COLOR 003</t>
    <phoneticPr fontId="3"/>
  </si>
  <si>
    <t>VISEE FLUFF DESIGN EYEBROW COLOR 002</t>
    <phoneticPr fontId="3"/>
  </si>
  <si>
    <t>VISEE FLUFF DESIGN EYEBROW COLOR 001</t>
    <phoneticPr fontId="3"/>
  </si>
  <si>
    <t>VISEE FLUFF DESIGN EYEBROW POWDER 004</t>
    <phoneticPr fontId="3"/>
  </si>
  <si>
    <t>VISEE FLUFF DESIGN EYEBROW POWDER 003</t>
    <phoneticPr fontId="3"/>
  </si>
  <si>
    <t>VISEE FLUFF DESIGN EYEBROW POWDER 002</t>
  </si>
  <si>
    <t>VISEE FLUFF DESIGN EYEBROW POWDER 001</t>
  </si>
  <si>
    <t>FASIO HITONURI COVER POWDER FOUNDATION 410</t>
    <phoneticPr fontId="3"/>
  </si>
  <si>
    <t>FASIO HITONURI COVER POWDER FOUNDATION 405</t>
    <phoneticPr fontId="3"/>
  </si>
  <si>
    <t>FASIO HITONURI COVER POWDER FOUNDATION 205</t>
    <phoneticPr fontId="3"/>
  </si>
  <si>
    <t>VISEE　　NENMAKU FAKE 　ROUGE 854</t>
    <phoneticPr fontId="3"/>
  </si>
  <si>
    <t>VISEE　　NENMAKU FAKE 　ROUGE 451</t>
    <phoneticPr fontId="3"/>
  </si>
  <si>
    <t>DXQD002</t>
    <phoneticPr fontId="3"/>
  </si>
  <si>
    <t>YNIU001</t>
    <phoneticPr fontId="3"/>
  </si>
  <si>
    <t>DXNC003</t>
    <phoneticPr fontId="3"/>
  </si>
  <si>
    <t>DXNC004</t>
    <phoneticPr fontId="3"/>
  </si>
  <si>
    <t>FASIO　　UV PROTECT BASE</t>
    <phoneticPr fontId="3"/>
  </si>
  <si>
    <t>FASIO LIQUID &amp; POWDER　EYEBROW</t>
    <phoneticPr fontId="3"/>
  </si>
  <si>
    <t>VISEE BROWNS　 CREAMY PENCIL</t>
    <phoneticPr fontId="3"/>
  </si>
  <si>
    <t>WeChat</t>
    <phoneticPr fontId="3"/>
  </si>
  <si>
    <t>7月</t>
  </si>
  <si>
    <t>7月</t>
    <rPh sb="1" eb="2">
      <t>ガツ</t>
    </rPh>
    <phoneticPr fontId="3"/>
  </si>
  <si>
    <t>8月</t>
  </si>
  <si>
    <t>9月</t>
  </si>
  <si>
    <t>10月</t>
  </si>
  <si>
    <t>11月</t>
  </si>
  <si>
    <t>12月</t>
  </si>
  <si>
    <t>1月</t>
    <rPh sb="1" eb="2">
      <t>ガツ</t>
    </rPh>
    <phoneticPr fontId="3"/>
  </si>
  <si>
    <t>2月</t>
  </si>
  <si>
    <t>3月</t>
  </si>
  <si>
    <t>4月</t>
  </si>
  <si>
    <t>5月</t>
  </si>
  <si>
    <t>6月</t>
  </si>
  <si>
    <t>WeChat構成比</t>
    <rPh sb="6" eb="9">
      <t>コウセイヒ</t>
    </rPh>
    <phoneticPr fontId="3"/>
  </si>
  <si>
    <t>構成比</t>
    <rPh sb="0" eb="3">
      <t>コウセイヒ</t>
    </rPh>
    <phoneticPr fontId="3"/>
  </si>
  <si>
    <t>UNQ売上　TTL</t>
    <rPh sb="3" eb="5">
      <t>ウリアゲ</t>
    </rPh>
    <phoneticPr fontId="3"/>
  </si>
  <si>
    <t>WeChat売上</t>
    <rPh sb="6" eb="8">
      <t>ウリアゲ</t>
    </rPh>
    <phoneticPr fontId="3"/>
  </si>
  <si>
    <t>単位：千円</t>
    <phoneticPr fontId="3"/>
  </si>
  <si>
    <t>その他</t>
    <rPh sb="2" eb="3">
      <t>ホカ</t>
    </rPh>
    <phoneticPr fontId="3"/>
  </si>
  <si>
    <t>ONE BY KOSE DEEP HYDRATOR</t>
  </si>
  <si>
    <t>ONE BY KOSE THE WATER MATE</t>
  </si>
  <si>
    <t>SEKKISEI  BRIGHTENING  ESSENCE LOTION</t>
  </si>
  <si>
    <t>SEKKISEI  BRIGHTENING  EMULSION</t>
  </si>
  <si>
    <t>SEKKISEI  BRIGHTENING　　ESSENCE LOTION</t>
  </si>
  <si>
    <t>SEKKISEI  BRIGHTENING  CLEANSING OIL</t>
  </si>
  <si>
    <t>SEKKISEI  BRIGHTENING CREAM</t>
  </si>
  <si>
    <t>SEKKISEI  BRIGHTENING 　ESSENCE LOTION</t>
  </si>
  <si>
    <t>SEKKISEI  BRIGHTENING  FOAM CLEANSER</t>
  </si>
  <si>
    <t>ONE BY KOSE MELANOSHOT W MASK</t>
  </si>
  <si>
    <t>数量</t>
    <phoneticPr fontId="3"/>
  </si>
  <si>
    <t>TTL</t>
    <phoneticPr fontId="3"/>
  </si>
  <si>
    <t>11位以下</t>
    <rPh sb="2" eb="3">
      <t>イ</t>
    </rPh>
    <rPh sb="3" eb="5">
      <t>イカ</t>
    </rPh>
    <phoneticPr fontId="3"/>
  </si>
  <si>
    <t>金額（千円）</t>
    <rPh sb="3" eb="5">
      <t>センエン</t>
    </rPh>
    <phoneticPr fontId="3"/>
  </si>
  <si>
    <t>No.</t>
    <phoneticPr fontId="3"/>
  </si>
  <si>
    <t>Tmall旗艦店</t>
    <rPh sb="5" eb="8">
      <t>キカンテン</t>
    </rPh>
    <phoneticPr fontId="3"/>
  </si>
  <si>
    <t>最高</t>
    <rPh sb="0" eb="2">
      <t>サイコウ</t>
    </rPh>
    <phoneticPr fontId="3"/>
  </si>
  <si>
    <t>最低</t>
    <rPh sb="0" eb="2">
      <t>サイテイ</t>
    </rPh>
    <phoneticPr fontId="3"/>
  </si>
  <si>
    <t>Douyin旗艦店</t>
    <rPh sb="6" eb="9">
      <t>キカンテン</t>
    </rPh>
    <phoneticPr fontId="3"/>
  </si>
  <si>
    <t>単位：元</t>
    <rPh sb="0" eb="2">
      <t>タンイ</t>
    </rPh>
    <rPh sb="3" eb="4">
      <t>ゲン</t>
    </rPh>
    <phoneticPr fontId="3"/>
  </si>
  <si>
    <t>定価</t>
    <rPh sb="0" eb="2">
      <t>テイカ</t>
    </rPh>
    <phoneticPr fontId="3"/>
  </si>
  <si>
    <t>中国KOSE</t>
    <rPh sb="0" eb="2">
      <t>チュウゴク</t>
    </rPh>
    <phoneticPr fontId="3"/>
  </si>
  <si>
    <t>Online未導入</t>
    <rPh sb="6" eb="7">
      <t>ミ</t>
    </rPh>
    <rPh sb="7" eb="9">
      <t>ドウニュウ</t>
    </rPh>
    <phoneticPr fontId="3"/>
  </si>
  <si>
    <t>MAKE　KEEP　MIST　EX　+</t>
    <phoneticPr fontId="3"/>
  </si>
  <si>
    <t>日本定価
（円）</t>
    <rPh sb="0" eb="2">
      <t>ニホン</t>
    </rPh>
    <rPh sb="2" eb="4">
      <t>テイカ</t>
    </rPh>
    <rPh sb="6" eb="7">
      <t>エン</t>
    </rPh>
    <phoneticPr fontId="3"/>
  </si>
  <si>
    <t>FASIO</t>
  </si>
  <si>
    <t>FASIO</t>
    <phoneticPr fontId="3"/>
  </si>
  <si>
    <t>ONE  BY  KOSE</t>
  </si>
  <si>
    <t>ONE  BY  KOSE</t>
    <phoneticPr fontId="3"/>
  </si>
  <si>
    <t>ブランド</t>
    <phoneticPr fontId="3"/>
  </si>
  <si>
    <t>VISEE</t>
  </si>
  <si>
    <t>SEK  BRIGHTENING</t>
    <phoneticPr fontId="3"/>
  </si>
  <si>
    <t>VISEE</t>
    <phoneticPr fontId="3"/>
  </si>
  <si>
    <t>FASIO</t>
    <phoneticPr fontId="3"/>
  </si>
  <si>
    <t>ブランド</t>
    <phoneticPr fontId="3"/>
  </si>
  <si>
    <t>単位：千円</t>
    <rPh sb="0" eb="2">
      <t>タンイ</t>
    </rPh>
    <rPh sb="3" eb="5">
      <t>センエン</t>
    </rPh>
    <phoneticPr fontId="3"/>
  </si>
  <si>
    <t>金額</t>
    <rPh sb="0" eb="2">
      <t>キンガク</t>
    </rPh>
    <phoneticPr fontId="3"/>
  </si>
  <si>
    <t>ONE  BY  KOSE  PORE CLEAR OIL（Refill）</t>
  </si>
  <si>
    <t>DLFP</t>
  </si>
  <si>
    <t>DLCH</t>
  </si>
  <si>
    <t>MAKE KEEP MIST EX + SAKURA CHERRY</t>
  </si>
  <si>
    <t>DLCC</t>
  </si>
  <si>
    <t>MAKE　KEEP　　MIST　　EX　+　　COOL</t>
  </si>
  <si>
    <t>MAKE KEEP POWDER SAKURA CHERRY</t>
  </si>
  <si>
    <t>累計</t>
    <rPh sb="0" eb="2">
      <t>ルイケイ</t>
    </rPh>
    <phoneticPr fontId="3"/>
  </si>
  <si>
    <t>CURL KEEP</t>
    <phoneticPr fontId="3"/>
  </si>
  <si>
    <t>MAKE　KEEP　　MIST　　EX　+</t>
    <phoneticPr fontId="3"/>
  </si>
  <si>
    <t>MAKE　KEEP</t>
    <phoneticPr fontId="3"/>
  </si>
  <si>
    <t>MAKE　KEEP</t>
    <phoneticPr fontId="3"/>
  </si>
  <si>
    <t>CURL KEEP MAGIC</t>
    <phoneticPr fontId="3"/>
  </si>
  <si>
    <t>CURL KEEP</t>
    <phoneticPr fontId="3"/>
  </si>
  <si>
    <t>CURL KEEP</t>
    <phoneticPr fontId="3"/>
  </si>
  <si>
    <t>MAKE KEEP</t>
    <phoneticPr fontId="3"/>
  </si>
  <si>
    <t>金額</t>
    <phoneticPr fontId="3"/>
  </si>
  <si>
    <t>合計</t>
    <rPh sb="0" eb="2">
      <t>ゴウケイ</t>
    </rPh>
    <phoneticPr fontId="3"/>
  </si>
  <si>
    <t>YNRE300</t>
    <phoneticPr fontId="3"/>
  </si>
  <si>
    <t>DXNI001</t>
    <phoneticPr fontId="3"/>
  </si>
  <si>
    <t>DXNI002</t>
    <phoneticPr fontId="3"/>
  </si>
  <si>
    <t>DXNG001</t>
    <phoneticPr fontId="3"/>
  </si>
  <si>
    <t>DXNG002</t>
    <phoneticPr fontId="3"/>
  </si>
  <si>
    <t>DXNG003</t>
    <phoneticPr fontId="3"/>
  </si>
  <si>
    <t>YNUA053</t>
    <phoneticPr fontId="3"/>
  </si>
  <si>
    <t>FASIO ULTRA WP MASCARA CURL 001</t>
    <phoneticPr fontId="3"/>
  </si>
  <si>
    <t>FASIO ULTRA WP MASCARA CURL 002</t>
  </si>
  <si>
    <t>FASIO ULTRA WP MASCARA CURL 003</t>
  </si>
  <si>
    <t>FASIO ULTRA WP LIQUID EYELINER 001</t>
    <phoneticPr fontId="3"/>
  </si>
  <si>
    <t>FASIO ULTRA WP LIQUID EYELINER 002</t>
  </si>
  <si>
    <t>VISEE AVANT SINGLE EYE COLOR 053</t>
    <phoneticPr fontId="3"/>
  </si>
  <si>
    <t>MTSW</t>
  </si>
  <si>
    <t>MTSE</t>
  </si>
  <si>
    <t>MTSD</t>
  </si>
  <si>
    <t>BALI</t>
    <phoneticPr fontId="3"/>
  </si>
  <si>
    <t>BAQY</t>
  </si>
  <si>
    <t>BAWX</t>
  </si>
  <si>
    <t>BAET</t>
  </si>
  <si>
    <t>BAEU</t>
  </si>
  <si>
    <t>BAAV</t>
  </si>
  <si>
    <t>BAPO</t>
  </si>
  <si>
    <t>BAPN</t>
  </si>
  <si>
    <t>BASU001</t>
  </si>
  <si>
    <t>BASU002</t>
  </si>
  <si>
    <t>BAHU</t>
  </si>
  <si>
    <t>BAFT205</t>
  </si>
  <si>
    <t>BAFT305</t>
  </si>
  <si>
    <t>BAFT310</t>
  </si>
  <si>
    <t>BAFT405</t>
  </si>
  <si>
    <t>BAFT410</t>
  </si>
  <si>
    <t>BAFT415</t>
  </si>
  <si>
    <t>BARD</t>
  </si>
  <si>
    <t>INFINITY  KOSE  ADVANCED  WHITE STICK  XX</t>
  </si>
  <si>
    <t>INFINITY  KOSE  MORNING RENEW WASH</t>
  </si>
  <si>
    <t>INFINITY　　KOSE　　ESTHETIC　CLEANSING　CREAM　　EX</t>
  </si>
  <si>
    <t>INFINITY  KOSE  LIFT　&amp;　TONE　UP　BASE</t>
  </si>
  <si>
    <t>INFINITY  KOSE  Innovative Bright Lotion  XX</t>
  </si>
  <si>
    <t>INFINITY  KOSE  Innovative Bright Emulsion  XX</t>
  </si>
  <si>
    <t>INFINITY  KOSE  MULTI-PROTECTION  DAY SERUM UV 01</t>
  </si>
  <si>
    <t>INFINITY  KOSE  MULTI-PROTECTION  DAY SERUM UV 02</t>
  </si>
  <si>
    <t>INFINITY  KOSE  BEAUTY HAND SERUM  WRINKLE &amp; BRIGHT</t>
  </si>
  <si>
    <t>INFINITY  KOSE  SKIN LUMINANCE FOUNDATION PO-205</t>
  </si>
  <si>
    <t>INFINITY  KOSE  SKIN LUMINANCE FOUNDATION BO-305</t>
  </si>
  <si>
    <t>INFINITY  KOSE  SKIN LUMINANCE FOUNDATION BO-310</t>
  </si>
  <si>
    <t>INFINITY  KOSE  SKIN LUMINANCE FOUNDATION OC-405</t>
  </si>
  <si>
    <t>INFINITY  KOSE  SKIN LUMINANCE FOUNDATION OC-410</t>
  </si>
  <si>
    <t>INFINITY  KOSE  SKIN LUMINANCE FOUNDATION OC-415</t>
  </si>
  <si>
    <t>INFINITY  KOSE  The Repair  Lotion</t>
  </si>
  <si>
    <t>YNRJ880</t>
  </si>
  <si>
    <t>VISEE  ESSENCE  PLUMP BALM OR280</t>
  </si>
  <si>
    <t>YNRJ881</t>
  </si>
  <si>
    <t>VISEE  ESSENCE  PLUMP BALM BE380</t>
  </si>
  <si>
    <t>YNRJ380</t>
  </si>
  <si>
    <t>VISEE  ESSENCE  PLUMP BALM RD480</t>
  </si>
  <si>
    <t>YNRJ280</t>
  </si>
  <si>
    <t>VISEE  ESSENCE  PLUMP BALM RO680</t>
  </si>
  <si>
    <t>YNRJ680</t>
  </si>
  <si>
    <t>VISEE  ESSENCE  PLUMP BALM PK880</t>
  </si>
  <si>
    <t>YNRJ480</t>
  </si>
  <si>
    <t>VISEE  ESSENCE  PLUMP BALM PK881</t>
  </si>
  <si>
    <t>YNMH001</t>
  </si>
  <si>
    <t>VISEE  DETAIL FIT MASCARA 01</t>
  </si>
  <si>
    <t>YNMH002</t>
  </si>
  <si>
    <t>VISEE  DETAIL FIT MASCARA 02</t>
  </si>
  <si>
    <t>YNPI001</t>
  </si>
  <si>
    <t>VISEE  VOLUME W LIP LINER 01</t>
  </si>
  <si>
    <t>YNPI002</t>
  </si>
  <si>
    <t>VISEE  VOLUME W LIP LINER 02</t>
  </si>
  <si>
    <t>YNUA001</t>
    <phoneticPr fontId="3"/>
  </si>
  <si>
    <t>VISEE  AVANT  SINGLE EYE COLOR 001</t>
    <phoneticPr fontId="3"/>
  </si>
  <si>
    <t>YNUA024</t>
    <phoneticPr fontId="3"/>
  </si>
  <si>
    <t>VISEE  AVANT  SINGLE EYE COLOR 024</t>
    <phoneticPr fontId="3"/>
  </si>
  <si>
    <t>DXND415</t>
    <phoneticPr fontId="3"/>
  </si>
  <si>
    <t>FASIO  HITONURI COVER  POWDER FOUNDATION 415</t>
    <phoneticPr fontId="3"/>
  </si>
  <si>
    <t>MUSG</t>
    <phoneticPr fontId="3"/>
  </si>
  <si>
    <t>MUSH</t>
  </si>
  <si>
    <t>ONE  BY  KOSE  SERUM VEIL  LOTION</t>
    <phoneticPr fontId="3"/>
  </si>
  <si>
    <t>MUSN</t>
    <phoneticPr fontId="3"/>
  </si>
  <si>
    <t>ONE  BY  KOSE  SERUM VEIL  EMULSION</t>
  </si>
  <si>
    <t>MUSO</t>
  </si>
  <si>
    <t>MAKE KEEP POWDER ＥＸ</t>
  </si>
  <si>
    <t>MAKE　KEEP　　MIST　　EX　+＜35mL＞</t>
  </si>
  <si>
    <t>ONE BY KOSE PORE CLEAR SCRUB WASH</t>
  </si>
  <si>
    <t>MUZU</t>
  </si>
  <si>
    <t>MTSX</t>
  </si>
  <si>
    <t>MTSC</t>
  </si>
  <si>
    <t>MUWT</t>
  </si>
  <si>
    <t>MUZP</t>
  </si>
  <si>
    <t>SUPER UV PROTECTOR</t>
  </si>
  <si>
    <t>VISEE　　NENMAKU FAKE 　ROUGE 854</t>
  </si>
  <si>
    <t>VISEE　　NENMAKU FAKE 　ROUGE 451</t>
  </si>
  <si>
    <t>MTOL</t>
  </si>
  <si>
    <t>MTOK</t>
  </si>
  <si>
    <t>MTSY</t>
  </si>
  <si>
    <t>MTSU</t>
  </si>
  <si>
    <t>MTOM</t>
  </si>
  <si>
    <t>MTON</t>
  </si>
  <si>
    <t>MTOJ</t>
  </si>
  <si>
    <t>VISEE　　NENMAKU FAKE 　LIQUID</t>
  </si>
  <si>
    <t>MAKE KEEP POWDER EX</t>
  </si>
  <si>
    <t>FASIO MAYUKESHI MASCARA</t>
  </si>
  <si>
    <t>FASIO LASH PERM MASCARA SKINNY</t>
  </si>
  <si>
    <t>VISEE FLUFF DESIGN EYEBROW POWDER 003</t>
  </si>
  <si>
    <t>VISEE FLUFF DESIGN EYEBROW COLOR 002</t>
  </si>
  <si>
    <t>MTSF</t>
  </si>
  <si>
    <t>VISEE FLUFF DESIGN EYEBROW COLOR 004</t>
  </si>
  <si>
    <t>MAKE KEEP MIST EX + MOIST TEA</t>
  </si>
  <si>
    <t>VISEE FLUFF DESIGN EYEBROW COLOR 003</t>
  </si>
  <si>
    <t>VISEE FLUFF DESIGN EYEBROW POWDER 004</t>
  </si>
  <si>
    <t>FASIO LIQUID &amp; POWDER　EYEBROW</t>
  </si>
  <si>
    <t>VISEE FLUFF DESIGN EYEBROW COLOR 001</t>
  </si>
  <si>
    <t xml:space="preserve"> VISEE FILTER　SKIN FOUNDATION</t>
  </si>
  <si>
    <t>ASIO EYELASH REPAIR SERUM</t>
  </si>
  <si>
    <t>MSYZ</t>
  </si>
  <si>
    <t>VISEE AVANT SINGLE EYECOLOR</t>
  </si>
  <si>
    <t>FASIO HITONURI COVER POWDER FOUNDATION 205</t>
  </si>
  <si>
    <t xml:space="preserve"> VISEE INSTANT EYEBROW COLOR</t>
  </si>
  <si>
    <t>VISEE　　WIDE TRICK W LINER</t>
  </si>
  <si>
    <t>FASIO HITONURI COVER POWDER FOUNDATION 405</t>
  </si>
  <si>
    <t xml:space="preserve"> ONE BY KOSE MELANOSHOT W　 LARGE SIZE　LIMITED KIT</t>
  </si>
  <si>
    <t>VISEE AVANT SINGLE EYE COLOR 039</t>
  </si>
  <si>
    <t>VISEE AVANT SINGLE EYE COLOR 010</t>
  </si>
  <si>
    <t>VISEE AVANT SINGLE EYE COLOR 009</t>
  </si>
  <si>
    <t>FASIO HITONURI COVER POWDER FOUNDATION 410</t>
  </si>
  <si>
    <t>FASIO WATERPROOF EYEBROW WIDE TYPE</t>
  </si>
  <si>
    <t>VISEE BROWNS　 CREAMY PENCIL</t>
  </si>
  <si>
    <t>FASIO　　UV PROTECT BASE</t>
  </si>
  <si>
    <t>MUCF</t>
  </si>
  <si>
    <t>2025年1~9月累計</t>
    <rPh sb="4" eb="5">
      <t>ネン</t>
    </rPh>
    <rPh sb="8" eb="9">
      <t>ガツ</t>
    </rPh>
    <rPh sb="9" eb="11">
      <t>ルイケイ</t>
    </rPh>
    <phoneticPr fontId="3"/>
  </si>
  <si>
    <t>BAEW</t>
  </si>
  <si>
    <t>BAEV</t>
  </si>
  <si>
    <t>BADI</t>
  </si>
  <si>
    <t>INFINITY  KOSE  POWDER FOUNDATION CASE</t>
  </si>
  <si>
    <t>BAOM</t>
  </si>
  <si>
    <t>INFINITY  KOSE  SKIN INTEGRATION OIL MASK</t>
  </si>
  <si>
    <t>BAKW</t>
  </si>
  <si>
    <t>INFINITY  KOSE  TREATMENT WASH</t>
  </si>
  <si>
    <t>BAOK</t>
  </si>
  <si>
    <t>INFINITY  KOSE  SKIN INTEGRATION OIL</t>
  </si>
  <si>
    <t>BAON</t>
  </si>
  <si>
    <t>BAPL</t>
  </si>
  <si>
    <t>BAPM</t>
  </si>
  <si>
    <t>BARU</t>
  </si>
  <si>
    <t>INFINITY  KOSE  The Repair  Gel Cream</t>
  </si>
  <si>
    <t>BAKG</t>
  </si>
  <si>
    <t>INFINITY  KOSE  TREATMENT  CLEANSING CREAM</t>
  </si>
  <si>
    <t>BARJ</t>
  </si>
  <si>
    <t>INFINITY  KOSE  The Repair  Serum</t>
  </si>
  <si>
    <t>BAIK</t>
  </si>
  <si>
    <t>INFINITY  KOSE  PRESTIGIOUS  GLOBAL REJUVENATING DUAL CREAM</t>
  </si>
  <si>
    <t>BARM</t>
  </si>
  <si>
    <t>INFINITY  KOSE  The Repair  Emulsion</t>
  </si>
  <si>
    <t>BARA</t>
  </si>
  <si>
    <t>BART</t>
  </si>
  <si>
    <t>DXQQ008</t>
  </si>
  <si>
    <t>FASIO  MULTI FACE STICK 08</t>
  </si>
  <si>
    <t>DXKF001</t>
  </si>
  <si>
    <t>DXKF002</t>
  </si>
  <si>
    <t>DXKF003</t>
  </si>
  <si>
    <t>FASIO  BB TINT  UV COVER 01</t>
  </si>
  <si>
    <t>FASIO  BB TINT  UV COVER 02</t>
  </si>
  <si>
    <t>FASIO  BB TINT  UV COVER 03</t>
  </si>
  <si>
    <t>DXKT000</t>
  </si>
  <si>
    <t>DXKU001</t>
  </si>
  <si>
    <t>DXKV000</t>
  </si>
  <si>
    <t>FASIO  MAKEUP BASE CREAM 00</t>
  </si>
  <si>
    <t>FASIO  MAKEUP BASE CREAM  (COVER) 01</t>
  </si>
  <si>
    <t>FASIO  EYE CREAM  CONCEALER 00</t>
  </si>
  <si>
    <t>YNRE201</t>
  </si>
  <si>
    <t>YNRE802</t>
  </si>
  <si>
    <t>VISEE　　ESSENCE LIP PLUMPER OR201</t>
  </si>
  <si>
    <t>VISEE　　ESSENCE LIP PLUMPER PK802</t>
  </si>
  <si>
    <t>YNTY003</t>
  </si>
  <si>
    <t>VISEE  LAYERED FLEURI CHEEK RO-3</t>
  </si>
  <si>
    <t>MUVE</t>
  </si>
  <si>
    <t>ONE  BY  KOSE  THE WRINKLESS W</t>
  </si>
  <si>
    <t>MUVF</t>
  </si>
  <si>
    <t>INFINITY  KOSE  BEAUTY LIP SERUM</t>
    <phoneticPr fontId="3"/>
  </si>
  <si>
    <t>INFINITY</t>
    <phoneticPr fontId="3"/>
  </si>
  <si>
    <t>FASIO  PORE　　SMOOTH　　PRIMER 00</t>
    <phoneticPr fontId="3"/>
  </si>
  <si>
    <t>FASIO</t>
    <phoneticPr fontId="3"/>
  </si>
  <si>
    <t>ONE  BY  KOSE  SERUM SHIELD</t>
    <phoneticPr fontId="3"/>
  </si>
  <si>
    <t>ONE  BY  KOSE</t>
    <phoneticPr fontId="3"/>
  </si>
  <si>
    <t>VISEE　　ESSENCE LIP PLUMPER SP001</t>
    <phoneticPr fontId="3"/>
  </si>
  <si>
    <t>CCS</t>
    <phoneticPr fontId="3"/>
  </si>
  <si>
    <t>ONE  BY  KOSE  MELANOSHOT  W</t>
    <phoneticPr fontId="3"/>
  </si>
  <si>
    <t>SEKKISEI  BRIGHTENING  ESSENCE LOTION</t>
    <phoneticPr fontId="3"/>
  </si>
  <si>
    <t>SEKKISEI</t>
    <phoneticPr fontId="3"/>
  </si>
  <si>
    <t>ブランド</t>
    <phoneticPr fontId="3"/>
  </si>
  <si>
    <t>合計</t>
    <rPh sb="0" eb="2">
      <t>ゴウケイ</t>
    </rPh>
    <phoneticPr fontId="3"/>
  </si>
  <si>
    <t>MKM</t>
    <phoneticPr fontId="3"/>
  </si>
  <si>
    <t>MKM</t>
    <phoneticPr fontId="3"/>
  </si>
  <si>
    <t>DXUV003</t>
  </si>
  <si>
    <t>DLCK</t>
  </si>
  <si>
    <t>MKM</t>
  </si>
  <si>
    <t>MAKE KEEP MIST EX + FF</t>
  </si>
  <si>
    <t>MAKE KEEP MIST EX + FF</t>
    <phoneticPr fontId="3"/>
  </si>
  <si>
    <t>FASIO TINT LIP UV</t>
    <phoneticPr fontId="3"/>
  </si>
  <si>
    <t>MSYC</t>
    <phoneticPr fontId="3"/>
  </si>
  <si>
    <t>MSYG</t>
  </si>
  <si>
    <t>MSYD</t>
  </si>
  <si>
    <t>MSYE</t>
  </si>
  <si>
    <r>
      <t xml:space="preserve"> ONE BY KOSE MELANOSHOT</t>
    </r>
    <r>
      <rPr>
        <sz val="10"/>
        <color theme="1"/>
        <rFont val="Microsoft YaHei"/>
        <family val="1"/>
        <charset val="134"/>
      </rPr>
      <t xml:space="preserve">  </t>
    </r>
    <r>
      <rPr>
        <sz val="10"/>
        <color theme="1"/>
        <rFont val="UD デジタル 教科書体 NK"/>
        <family val="1"/>
        <charset val="128"/>
      </rPr>
      <t>P</t>
    </r>
    <phoneticPr fontId="3"/>
  </si>
  <si>
    <t>1月</t>
    <rPh sb="1" eb="2">
      <t>ガツ</t>
    </rPh>
    <phoneticPr fontId="3"/>
  </si>
  <si>
    <t>年間トータル</t>
    <rPh sb="0" eb="2">
      <t>ネンカン</t>
    </rPh>
    <phoneticPr fontId="3"/>
  </si>
  <si>
    <t>BARB</t>
  </si>
  <si>
    <t>BARN</t>
  </si>
  <si>
    <t>BARO</t>
  </si>
  <si>
    <t>BARQ</t>
  </si>
  <si>
    <t>BAUV</t>
  </si>
  <si>
    <t>BAUX</t>
  </si>
  <si>
    <t>DLBJ001</t>
  </si>
  <si>
    <t>MSYF</t>
  </si>
  <si>
    <t>YNRN350</t>
  </si>
  <si>
    <t>YNRN351</t>
  </si>
  <si>
    <t>YNRN352</t>
  </si>
  <si>
    <t>YNRN450</t>
  </si>
  <si>
    <t>YNRN650</t>
  </si>
  <si>
    <t>YNRN850</t>
  </si>
  <si>
    <t>YNRN851</t>
  </si>
  <si>
    <t>YNRN852</t>
  </si>
  <si>
    <t>YNTY007</t>
  </si>
  <si>
    <t>YNXX007</t>
  </si>
  <si>
    <t>YNXX008</t>
  </si>
  <si>
    <t>VISEE  NENMAKU FAKE  ROUGE II BR350</t>
  </si>
  <si>
    <t>VISEE  NENMAKU FAKE  ROUGE II BE351</t>
  </si>
  <si>
    <t>VISEE  NENMAKU FAKE  ROUGE II BE352</t>
  </si>
  <si>
    <t>VISEE  NENMAKU FAKE  ROUGE II RD450</t>
  </si>
  <si>
    <t>VISEE  NENMAKU FAKE  ROUGE II RO650</t>
  </si>
  <si>
    <t>VISEE  NENMAKU FAKE  ROUGE II PK850</t>
  </si>
  <si>
    <t>VISEE  NENMAKU FAKE  ROUGE II PK851</t>
  </si>
  <si>
    <t>VISEE  NENMAKU FAKE  ROUGE II PK852</t>
  </si>
  <si>
    <t>VISEE  W MOOD EYES BE-7</t>
  </si>
  <si>
    <t>VISEE  W MOOD EYES PU-8</t>
  </si>
  <si>
    <t>VISEE  LAYERED FLEURI CHEEK RD-7</t>
  </si>
  <si>
    <t>ONE  BY  KOSE  MELANOSHOT P</t>
  </si>
  <si>
    <t>MAKE KEEP  PRIMER UV 01</t>
  </si>
  <si>
    <t>INFINITY  KOSE  UNLIMITED KEY</t>
  </si>
  <si>
    <t>２月</t>
    <rPh sb="1" eb="2">
      <t>ガツ</t>
    </rPh>
    <phoneticPr fontId="3"/>
  </si>
  <si>
    <t>2月</t>
    <rPh sb="1" eb="2">
      <t>ガツ</t>
    </rPh>
    <phoneticPr fontId="3"/>
  </si>
  <si>
    <t>BAAR</t>
  </si>
  <si>
    <t>BAAT</t>
  </si>
  <si>
    <t>BAPX</t>
  </si>
  <si>
    <t>BAPY</t>
  </si>
  <si>
    <t>BASM</t>
  </si>
  <si>
    <t>BASR</t>
  </si>
  <si>
    <t>DXDM001</t>
  </si>
  <si>
    <t>DXDM002</t>
  </si>
  <si>
    <t>DXDM003</t>
  </si>
  <si>
    <t>DXDM004</t>
  </si>
  <si>
    <t>DXDN001</t>
  </si>
  <si>
    <t>DXDN002</t>
  </si>
  <si>
    <t>DXUJ001</t>
  </si>
  <si>
    <t>DXUJ002</t>
  </si>
  <si>
    <t>YNTY001</t>
  </si>
  <si>
    <t>YNTY002</t>
  </si>
  <si>
    <t>YNTY004</t>
  </si>
  <si>
    <t>YNTY006</t>
  </si>
  <si>
    <t>YNTY008</t>
  </si>
  <si>
    <t>YNUA026</t>
  </si>
  <si>
    <t>YNUA054</t>
  </si>
  <si>
    <t>VISEE  LAYERED FLEURI CHEEK PK-6</t>
  </si>
  <si>
    <t>4971710619782</t>
  </si>
  <si>
    <t>4971710619737</t>
  </si>
  <si>
    <t>4971710619768</t>
  </si>
  <si>
    <t>4971710619805</t>
  </si>
  <si>
    <t>4971710619744</t>
  </si>
  <si>
    <t>VISEE  LAYERED FLEURI CHEEK PK-1</t>
  </si>
  <si>
    <t>VISEE  LAYERED FLEURI CHEEK OR-4</t>
  </si>
  <si>
    <t>VISEE  LAYERED FLEURI CHEEK BR-8</t>
  </si>
  <si>
    <t>VISEE  LAYERED FLEURI CHEEK PK-2</t>
  </si>
  <si>
    <t>VISEE  AVANT  SINGLE EYE COLOR 026</t>
  </si>
  <si>
    <t>VISEE  AVANT  SINGLE EYE COLOR 054</t>
  </si>
  <si>
    <t>FASIO  FACE COLOR UV 02</t>
    <phoneticPr fontId="3"/>
  </si>
  <si>
    <t>FASIO  FACE COLOR UV 01</t>
    <phoneticPr fontId="3"/>
  </si>
  <si>
    <t>FASIO  FACE COLOR UV 03</t>
  </si>
  <si>
    <t>FASIO  FACE COLOR UV 04</t>
  </si>
  <si>
    <t>FASIO  BB TINT  CUSHION FOUNDATION  COVER 01</t>
  </si>
  <si>
    <t>FASIO  BB TINT  CUSHION FOUNDATION  COVER 02</t>
  </si>
  <si>
    <t>FASIO  FACE COLOR UV  (LUMINIZER) 01</t>
  </si>
  <si>
    <t>FASIO  FACE COLOR UV  (LUMINIZER) 02</t>
  </si>
  <si>
    <t>INFINITY  ASTRINGENT N</t>
  </si>
  <si>
    <t>INFINITY  KOSE  Innovative Bright Serum  XX</t>
  </si>
  <si>
    <t>INFINITY  VITAL COMFORT MASK</t>
  </si>
  <si>
    <t>3月</t>
    <rPh sb="1" eb="2">
      <t>ガツ</t>
    </rPh>
    <phoneticPr fontId="3"/>
  </si>
  <si>
    <t>FASIO  BB TINT  CUSHION FOUNDATION  COVER 03</t>
  </si>
  <si>
    <t>DXUJ003</t>
    <phoneticPr fontId="3"/>
  </si>
  <si>
    <t>MTBJ</t>
    <phoneticPr fontId="3"/>
  </si>
  <si>
    <t>SEKKISEI  BRIGHTENING  HERBAL MULTI GEL CREAM</t>
  </si>
  <si>
    <t>4月</t>
    <rPh sb="1" eb="2">
      <t>ガツ</t>
    </rPh>
    <phoneticPr fontId="3"/>
  </si>
  <si>
    <t>DLSC</t>
  </si>
  <si>
    <r>
      <t>ONE BY KOSE MELANOSHOT</t>
    </r>
    <r>
      <rPr>
        <sz val="10"/>
        <color theme="1"/>
        <rFont val="Microsoft YaHei"/>
        <family val="1"/>
        <charset val="134"/>
      </rPr>
      <t xml:space="preserve">  </t>
    </r>
    <r>
      <rPr>
        <sz val="10"/>
        <color theme="1"/>
        <rFont val="UD デジタル 教科書体 NK"/>
        <family val="1"/>
        <charset val="128"/>
      </rPr>
      <t>P</t>
    </r>
    <phoneticPr fontId="3"/>
  </si>
  <si>
    <t>BAKZ</t>
  </si>
  <si>
    <t>DLCN</t>
  </si>
  <si>
    <t>DLCQ</t>
  </si>
  <si>
    <t>DLCR</t>
  </si>
  <si>
    <t>DXJX001</t>
  </si>
  <si>
    <t>DXJX002</t>
  </si>
  <si>
    <t>DXUT001</t>
  </si>
  <si>
    <t>YNDX001</t>
  </si>
  <si>
    <t>YNGW001</t>
  </si>
  <si>
    <t>YNGW002</t>
  </si>
  <si>
    <t>YNGW003</t>
  </si>
  <si>
    <t>YNGW004</t>
  </si>
  <si>
    <t>YNGW005</t>
  </si>
  <si>
    <t>YNMI001</t>
  </si>
  <si>
    <t>YNMI332</t>
  </si>
  <si>
    <t>YNMI430</t>
  </si>
  <si>
    <t>YNMI830</t>
  </si>
  <si>
    <t>YNMI831</t>
  </si>
  <si>
    <t>YNRJ681</t>
  </si>
  <si>
    <t>YNRJ882</t>
  </si>
  <si>
    <t>YNTY005</t>
  </si>
  <si>
    <t>5月</t>
    <rPh sb="1" eb="2">
      <t>ガツ</t>
    </rPh>
    <phoneticPr fontId="3"/>
  </si>
  <si>
    <t>4971710632422</t>
  </si>
  <si>
    <t>4971710632439</t>
  </si>
  <si>
    <t>4971710632446</t>
  </si>
  <si>
    <t>4971710632453</t>
  </si>
  <si>
    <t>VISEE  NUANCE DEWY CREATOR  CLEAR TYPE BE-1</t>
  </si>
  <si>
    <t>VISEE  NUANCE DEWY CREATOR  CLEAR TYPE BE-2</t>
  </si>
  <si>
    <t>VISEE  NUANCE DEWY CREATOR  CLEAR TYPE OR-3</t>
  </si>
  <si>
    <t>VISEE  NUANCE DEWY CREATOR  CLEAR TYPE RD-4</t>
  </si>
  <si>
    <t>VISEE  NUANCE DEWY CREATOR  CLEAR TYPE PK-5</t>
  </si>
  <si>
    <t>4971710632460</t>
  </si>
  <si>
    <t>4971710619775</t>
  </si>
  <si>
    <t>VISEE  LAYERED FLEURI CHEEK PU-5</t>
  </si>
  <si>
    <t>4971710628166</t>
  </si>
  <si>
    <t>4971710628180</t>
  </si>
  <si>
    <t>4971710628197</t>
  </si>
  <si>
    <t>4971710628203</t>
  </si>
  <si>
    <t>4971710628210</t>
  </si>
  <si>
    <t>4971710633009</t>
  </si>
  <si>
    <t>4971710633078</t>
  </si>
  <si>
    <t>VISEE  MELTY FIT  GEL LINER BK001</t>
  </si>
  <si>
    <t>VISEE  MELTY FIT  GEL LINER BR332</t>
  </si>
  <si>
    <t>VISEE  MELTY FIT  GEL LINER RD430</t>
  </si>
  <si>
    <t>VISEE  MELTY FIT  GEL LINER PK830</t>
  </si>
  <si>
    <t>VISEE  MELTY FIT  GEL LINER BE831</t>
  </si>
  <si>
    <t>VISEE  ESSENCE  PLUMP BALM RO681</t>
  </si>
  <si>
    <t>VISEE  ESSENCE  PLUMP BALM PK882</t>
  </si>
  <si>
    <t>INFINITY  KOSE  MAKEUP SPONGE  P</t>
  </si>
  <si>
    <t>MAKE KEEP MIST EX + COOL S</t>
  </si>
  <si>
    <t>MAKE KEEP POWDER EX COOL</t>
  </si>
  <si>
    <t>MAKE KEEP PRIMER UV COOL</t>
  </si>
  <si>
    <t>4971710638905</t>
  </si>
  <si>
    <t>VISEE  COLOR LOCK EYE BASE 01</t>
  </si>
  <si>
    <t>4971710635836</t>
  </si>
  <si>
    <t>4971710635843</t>
  </si>
  <si>
    <t>FASIO  BB TINT UV  COOL 01</t>
  </si>
  <si>
    <t>FASIO  BB TINT UV  COOL 02</t>
  </si>
  <si>
    <t>FASIO  LIP ESSENCE UV 01</t>
  </si>
  <si>
    <t>DLCA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</si>
</sst>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_);[Red]\(0\)"/>
    <numFmt numFmtId="177" formatCode="yyyy&quot;年&quot;m&quot;月&quot;;@"/>
    <numFmt numFmtId="178" formatCode="[$RM-4409]#,##0.00;\-[$RM-4409]#,##0.00"/>
  </numFmts>
  <fonts count="24"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charset val="128"/>
    </font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0"/>
      <color theme="1"/>
      <name val="UD デジタル 教科書体 NP-R"/>
      <family val="1"/>
      <charset val="128"/>
    </font>
    <font>
      <b/>
      <sz val="10"/>
      <color theme="1"/>
      <name val="UD デジタル 教科書体 NP-R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HG??????M-PRO"/>
      <family val="2"/>
    </font>
    <font>
      <sz val="9"/>
      <color theme="1"/>
      <name val="UD デジタル 教科書体 NP-R"/>
      <family val="1"/>
      <charset val="128"/>
    </font>
    <font>
      <b/>
      <sz val="9"/>
      <color theme="1"/>
      <name val="UD デジタル 教科書体 NP-R"/>
      <family val="1"/>
      <charset val="128"/>
    </font>
    <font>
      <sz val="9"/>
      <name val="UD デジタル 教科書体 NP-R"/>
      <family val="1"/>
      <charset val="128"/>
    </font>
    <font>
      <b/>
      <sz val="6"/>
      <color theme="1"/>
      <name val="UD デジタル 教科書体 NP-R"/>
      <family val="1"/>
      <charset val="128"/>
    </font>
    <font>
      <sz val="6"/>
      <color theme="1"/>
      <name val="UD デジタル 教科書体 NP-R"/>
      <family val="1"/>
      <charset val="128"/>
    </font>
    <font>
      <b/>
      <sz val="8"/>
      <color theme="1"/>
      <name val="UD デジタル 教科書体 NP-R"/>
      <family val="1"/>
      <charset val="128"/>
    </font>
    <font>
      <sz val="8"/>
      <color theme="1"/>
      <name val="UD デジタル 教科書体 NP-R"/>
      <family val="1"/>
      <charset val="128"/>
    </font>
    <font>
      <b/>
      <sz val="10"/>
      <color theme="1"/>
      <name val="UD デジタル 教科書体 NK"/>
      <family val="1"/>
      <charset val="128"/>
    </font>
    <font>
      <sz val="10"/>
      <color theme="1"/>
      <name val="UD デジタル 教科書体 NK"/>
      <family val="1"/>
      <charset val="128"/>
    </font>
    <font>
      <sz val="10"/>
      <name val="UD デジタル 教科書体 NK"/>
      <family val="1"/>
      <charset val="128"/>
    </font>
    <font>
      <b/>
      <sz val="9"/>
      <color theme="1"/>
      <name val="UD デジタル 教科書体 NK"/>
      <family val="1"/>
      <charset val="128"/>
    </font>
    <font>
      <sz val="9"/>
      <color theme="1"/>
      <name val="UD デジタル 教科書体 NK"/>
      <family val="1"/>
      <charset val="128"/>
    </font>
    <font>
      <sz val="9"/>
      <name val="UD デジタル 教科書体 NK"/>
      <family val="1"/>
      <charset val="128"/>
    </font>
    <font>
      <sz val="11"/>
      <color theme="1"/>
      <name val="UD デジタル 教科書体 NK"/>
      <family val="1"/>
      <charset val="128"/>
    </font>
    <font>
      <sz val="10"/>
      <color theme="1"/>
      <name val="Microsoft YaHei"/>
      <family val="1"/>
      <charset val="134"/>
    </font>
    <font>
      <sz val="11"/>
      <color theme="1"/>
      <name val="ＭＳ Ｐ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51">
    <border>
      <left/>
      <right/>
      <top/>
      <bottom/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/>
      <right style="medium">
        <color indexed="64"/>
      </right>
      <top/>
      <bottom style="hair">
        <color auto="1"/>
      </bottom>
      <diagonal/>
    </border>
    <border>
      <left style="medium">
        <color indexed="64"/>
      </left>
      <right style="thin">
        <color indexed="64"/>
      </right>
      <top/>
      <bottom style="hair">
        <color auto="1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medium">
        <color indexed="64"/>
      </bottom>
      <diagonal/>
    </border>
    <border>
      <left/>
      <right style="thin">
        <color auto="1"/>
      </right>
      <top style="hair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</borders>
  <cellStyleXfs count="8">
    <xf numFmtId="0" fontId="0" fillId="0" borderId="0"/>
    <xf numFmtId="38" fontId="2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/>
    <xf numFmtId="40" fontId="7" fillId="0" borderId="0" applyFont="0" applyFill="0" applyBorder="0" applyAlignment="0" applyProtection="0"/>
    <xf numFmtId="178" fontId="1" fillId="0" borderId="0">
      <alignment vertical="center"/>
    </xf>
    <xf numFmtId="178" fontId="23" fillId="0" borderId="0">
      <alignment vertical="center"/>
    </xf>
  </cellStyleXfs>
  <cellXfs count="182">
    <xf numFmtId="0" fontId="0" fillId="0" borderId="0" xfId="0"/>
    <xf numFmtId="0" fontId="4" fillId="0" borderId="0" xfId="0" applyFont="1"/>
    <xf numFmtId="176" fontId="4" fillId="0" borderId="0" xfId="1" applyNumberFormat="1" applyFont="1" applyAlignment="1"/>
    <xf numFmtId="176" fontId="4" fillId="0" borderId="0" xfId="0" applyNumberFormat="1" applyFont="1"/>
    <xf numFmtId="176" fontId="5" fillId="0" borderId="3" xfId="1" applyNumberFormat="1" applyFont="1" applyBorder="1" applyAlignment="1">
      <alignment horizontal="center" vertical="top"/>
    </xf>
    <xf numFmtId="176" fontId="5" fillId="0" borderId="17" xfId="1" applyNumberFormat="1" applyFont="1" applyBorder="1" applyAlignment="1">
      <alignment horizontal="center" vertical="top"/>
    </xf>
    <xf numFmtId="176" fontId="5" fillId="3" borderId="3" xfId="1" applyNumberFormat="1" applyFont="1" applyFill="1" applyBorder="1" applyAlignment="1">
      <alignment horizontal="center" vertical="top"/>
    </xf>
    <xf numFmtId="176" fontId="4" fillId="0" borderId="20" xfId="0" applyNumberFormat="1" applyFont="1" applyBorder="1"/>
    <xf numFmtId="176" fontId="4" fillId="0" borderId="6" xfId="0" applyNumberFormat="1" applyFont="1" applyBorder="1"/>
    <xf numFmtId="176" fontId="4" fillId="0" borderId="14" xfId="0" applyNumberFormat="1" applyFont="1" applyBorder="1"/>
    <xf numFmtId="0" fontId="4" fillId="0" borderId="10" xfId="0" applyFont="1" applyBorder="1"/>
    <xf numFmtId="38" fontId="4" fillId="0" borderId="7" xfId="1" applyFont="1" applyBorder="1" applyAlignment="1"/>
    <xf numFmtId="38" fontId="4" fillId="0" borderId="18" xfId="1" applyFont="1" applyBorder="1" applyAlignment="1"/>
    <xf numFmtId="176" fontId="4" fillId="0" borderId="9" xfId="0" applyNumberFormat="1" applyFont="1" applyBorder="1"/>
    <xf numFmtId="176" fontId="4" fillId="0" borderId="15" xfId="0" applyNumberFormat="1" applyFont="1" applyBorder="1"/>
    <xf numFmtId="0" fontId="4" fillId="0" borderId="11" xfId="0" applyFont="1" applyBorder="1"/>
    <xf numFmtId="38" fontId="4" fillId="0" borderId="2" xfId="1" applyFont="1" applyBorder="1" applyAlignment="1"/>
    <xf numFmtId="38" fontId="4" fillId="0" borderId="19" xfId="1" applyFont="1" applyBorder="1" applyAlignment="1"/>
    <xf numFmtId="176" fontId="4" fillId="0" borderId="21" xfId="0" applyNumberFormat="1" applyFont="1" applyBorder="1"/>
    <xf numFmtId="38" fontId="4" fillId="0" borderId="23" xfId="1" applyFont="1" applyBorder="1" applyAlignment="1"/>
    <xf numFmtId="38" fontId="4" fillId="0" borderId="24" xfId="1" applyFont="1" applyBorder="1" applyAlignment="1"/>
    <xf numFmtId="38" fontId="4" fillId="2" borderId="28" xfId="1" applyFont="1" applyFill="1" applyBorder="1" applyAlignment="1"/>
    <xf numFmtId="38" fontId="4" fillId="0" borderId="0" xfId="1" applyFont="1" applyAlignment="1"/>
    <xf numFmtId="176" fontId="4" fillId="0" borderId="0" xfId="0" applyNumberFormat="1" applyFont="1" applyBorder="1"/>
    <xf numFmtId="38" fontId="4" fillId="2" borderId="25" xfId="1" applyFont="1" applyFill="1" applyBorder="1" applyAlignment="1"/>
    <xf numFmtId="38" fontId="4" fillId="2" borderId="26" xfId="1" applyFont="1" applyFill="1" applyBorder="1" applyAlignment="1"/>
    <xf numFmtId="0" fontId="5" fillId="0" borderId="12" xfId="0" applyFont="1" applyBorder="1" applyAlignment="1">
      <alignment horizontal="center" vertical="center"/>
    </xf>
    <xf numFmtId="0" fontId="4" fillId="0" borderId="15" xfId="0" applyFont="1" applyBorder="1"/>
    <xf numFmtId="0" fontId="5" fillId="0" borderId="12" xfId="0" applyFont="1" applyBorder="1" applyAlignment="1">
      <alignment vertical="center"/>
    </xf>
    <xf numFmtId="176" fontId="5" fillId="0" borderId="30" xfId="1" applyNumberFormat="1" applyFont="1" applyBorder="1" applyAlignment="1">
      <alignment vertical="top"/>
    </xf>
    <xf numFmtId="176" fontId="5" fillId="3" borderId="30" xfId="0" applyNumberFormat="1" applyFont="1" applyFill="1" applyBorder="1" applyAlignment="1"/>
    <xf numFmtId="0" fontId="5" fillId="0" borderId="13" xfId="0" applyFont="1" applyBorder="1" applyAlignment="1">
      <alignment vertical="center"/>
    </xf>
    <xf numFmtId="176" fontId="4" fillId="0" borderId="2" xfId="1" applyNumberFormat="1" applyFont="1" applyBorder="1" applyAlignment="1"/>
    <xf numFmtId="38" fontId="4" fillId="0" borderId="0" xfId="1" applyFont="1" applyBorder="1" applyAlignment="1"/>
    <xf numFmtId="176" fontId="5" fillId="2" borderId="30" xfId="0" applyNumberFormat="1" applyFont="1" applyFill="1" applyBorder="1" applyAlignment="1">
      <alignment horizontal="center"/>
    </xf>
    <xf numFmtId="177" fontId="5" fillId="0" borderId="29" xfId="1" applyNumberFormat="1" applyFont="1" applyBorder="1" applyAlignment="1">
      <alignment vertical="top"/>
    </xf>
    <xf numFmtId="176" fontId="4" fillId="0" borderId="31" xfId="0" applyNumberFormat="1" applyFont="1" applyBorder="1"/>
    <xf numFmtId="0" fontId="4" fillId="0" borderId="31" xfId="0" applyFont="1" applyBorder="1"/>
    <xf numFmtId="38" fontId="4" fillId="0" borderId="6" xfId="1" applyFont="1" applyBorder="1" applyAlignment="1"/>
    <xf numFmtId="38" fontId="4" fillId="3" borderId="10" xfId="1" applyFont="1" applyFill="1" applyBorder="1" applyAlignment="1"/>
    <xf numFmtId="0" fontId="4" fillId="0" borderId="47" xfId="0" applyFont="1" applyBorder="1"/>
    <xf numFmtId="9" fontId="4" fillId="0" borderId="47" xfId="3" applyFont="1" applyBorder="1" applyAlignment="1"/>
    <xf numFmtId="38" fontId="4" fillId="0" borderId="47" xfId="1" applyFont="1" applyBorder="1" applyAlignment="1">
      <alignment horizontal="right"/>
    </xf>
    <xf numFmtId="0" fontId="4" fillId="0" borderId="47" xfId="0" applyFont="1" applyBorder="1" applyAlignment="1">
      <alignment horizontal="right" vertical="center" wrapText="1"/>
    </xf>
    <xf numFmtId="176" fontId="4" fillId="0" borderId="47" xfId="1" applyNumberFormat="1" applyFont="1" applyBorder="1" applyAlignment="1">
      <alignment horizontal="center" vertical="top"/>
    </xf>
    <xf numFmtId="38" fontId="8" fillId="0" borderId="47" xfId="1" applyFont="1" applyBorder="1" applyAlignment="1"/>
    <xf numFmtId="38" fontId="8" fillId="3" borderId="47" xfId="1" applyFont="1" applyFill="1" applyBorder="1" applyAlignment="1"/>
    <xf numFmtId="38" fontId="8" fillId="0" borderId="47" xfId="1" applyFont="1" applyFill="1" applyBorder="1" applyAlignment="1"/>
    <xf numFmtId="9" fontId="8" fillId="0" borderId="47" xfId="3" applyFont="1" applyBorder="1" applyAlignment="1"/>
    <xf numFmtId="9" fontId="8" fillId="3" borderId="47" xfId="3" applyFont="1" applyFill="1" applyBorder="1" applyAlignment="1"/>
    <xf numFmtId="38" fontId="8" fillId="6" borderId="47" xfId="1" applyFont="1" applyFill="1" applyBorder="1" applyAlignment="1"/>
    <xf numFmtId="9" fontId="8" fillId="6" borderId="47" xfId="3" applyFont="1" applyFill="1" applyBorder="1" applyAlignment="1"/>
    <xf numFmtId="38" fontId="9" fillId="6" borderId="47" xfId="1" applyFont="1" applyFill="1" applyBorder="1" applyAlignment="1">
      <alignment horizontal="center" vertical="top"/>
    </xf>
    <xf numFmtId="38" fontId="10" fillId="6" borderId="47" xfId="1" applyFont="1" applyFill="1" applyBorder="1" applyAlignment="1"/>
    <xf numFmtId="9" fontId="10" fillId="6" borderId="47" xfId="3" applyFont="1" applyFill="1" applyBorder="1" applyAlignment="1"/>
    <xf numFmtId="38" fontId="8" fillId="5" borderId="47" xfId="1" applyFont="1" applyFill="1" applyBorder="1" applyAlignment="1"/>
    <xf numFmtId="9" fontId="8" fillId="5" borderId="47" xfId="3" applyFont="1" applyFill="1" applyBorder="1" applyAlignment="1"/>
    <xf numFmtId="0" fontId="0" fillId="6" borderId="0" xfId="0" applyFill="1" applyAlignment="1">
      <alignment vertical="center"/>
    </xf>
    <xf numFmtId="0" fontId="8" fillId="6" borderId="0" xfId="0" applyFont="1" applyFill="1" applyAlignment="1">
      <alignment vertical="center"/>
    </xf>
    <xf numFmtId="176" fontId="13" fillId="6" borderId="47" xfId="1" applyNumberFormat="1" applyFont="1" applyFill="1" applyBorder="1" applyAlignment="1">
      <alignment horizontal="center" vertical="center"/>
    </xf>
    <xf numFmtId="176" fontId="14" fillId="6" borderId="47" xfId="0" applyNumberFormat="1" applyFont="1" applyFill="1" applyBorder="1" applyAlignment="1"/>
    <xf numFmtId="0" fontId="14" fillId="6" borderId="47" xfId="0" applyFont="1" applyFill="1" applyBorder="1" applyAlignment="1"/>
    <xf numFmtId="38" fontId="14" fillId="6" borderId="47" xfId="1" applyFont="1" applyFill="1" applyBorder="1" applyAlignment="1">
      <alignment horizontal="right"/>
    </xf>
    <xf numFmtId="38" fontId="14" fillId="6" borderId="47" xfId="1" applyFont="1" applyFill="1" applyBorder="1" applyAlignment="1"/>
    <xf numFmtId="176" fontId="14" fillId="6" borderId="13" xfId="0" applyNumberFormat="1" applyFont="1" applyFill="1" applyBorder="1" applyAlignment="1"/>
    <xf numFmtId="0" fontId="14" fillId="6" borderId="13" xfId="0" applyFont="1" applyFill="1" applyBorder="1" applyAlignment="1"/>
    <xf numFmtId="38" fontId="14" fillId="6" borderId="13" xfId="1" applyFont="1" applyFill="1" applyBorder="1" applyAlignment="1">
      <alignment horizontal="right"/>
    </xf>
    <xf numFmtId="38" fontId="12" fillId="6" borderId="13" xfId="1" applyFont="1" applyFill="1" applyBorder="1" applyAlignment="1">
      <alignment horizontal="right"/>
    </xf>
    <xf numFmtId="38" fontId="14" fillId="6" borderId="13" xfId="1" applyFont="1" applyFill="1" applyBorder="1" applyAlignment="1"/>
    <xf numFmtId="38" fontId="14" fillId="6" borderId="43" xfId="1" applyFont="1" applyFill="1" applyBorder="1" applyAlignment="1">
      <alignment horizontal="right"/>
    </xf>
    <xf numFmtId="38" fontId="14" fillId="6" borderId="48" xfId="1" applyFont="1" applyFill="1" applyBorder="1" applyAlignment="1">
      <alignment horizontal="right"/>
    </xf>
    <xf numFmtId="0" fontId="0" fillId="6" borderId="47" xfId="0" applyFill="1" applyBorder="1" applyAlignment="1">
      <alignment vertical="center"/>
    </xf>
    <xf numFmtId="176" fontId="4" fillId="0" borderId="10" xfId="0" applyNumberFormat="1" applyFont="1" applyBorder="1"/>
    <xf numFmtId="176" fontId="4" fillId="0" borderId="11" xfId="0" applyNumberFormat="1" applyFont="1" applyBorder="1"/>
    <xf numFmtId="0" fontId="4" fillId="0" borderId="47" xfId="0" applyFont="1" applyBorder="1" applyAlignment="1">
      <alignment horizontal="left"/>
    </xf>
    <xf numFmtId="38" fontId="4" fillId="0" borderId="47" xfId="1" applyFont="1" applyBorder="1" applyAlignment="1">
      <alignment horizontal="left"/>
    </xf>
    <xf numFmtId="0" fontId="4" fillId="0" borderId="47" xfId="0" applyFont="1" applyBorder="1" applyAlignment="1">
      <alignment horizontal="left" vertical="center" wrapText="1"/>
    </xf>
    <xf numFmtId="176" fontId="4" fillId="5" borderId="47" xfId="1" applyNumberFormat="1" applyFont="1" applyFill="1" applyBorder="1" applyAlignment="1">
      <alignment horizontal="center" vertical="top"/>
    </xf>
    <xf numFmtId="0" fontId="5" fillId="0" borderId="47" xfId="0" applyFont="1" applyBorder="1" applyAlignment="1">
      <alignment vertical="center"/>
    </xf>
    <xf numFmtId="38" fontId="8" fillId="6" borderId="47" xfId="1" applyNumberFormat="1" applyFont="1" applyFill="1" applyBorder="1" applyAlignment="1"/>
    <xf numFmtId="38" fontId="8" fillId="6" borderId="47" xfId="1" applyNumberFormat="1" applyFont="1" applyFill="1" applyBorder="1" applyAlignment="1">
      <alignment vertical="center"/>
    </xf>
    <xf numFmtId="38" fontId="8" fillId="0" borderId="47" xfId="3" applyNumberFormat="1" applyFont="1" applyBorder="1" applyAlignment="1"/>
    <xf numFmtId="38" fontId="8" fillId="0" borderId="47" xfId="0" applyNumberFormat="1" applyFont="1" applyBorder="1"/>
    <xf numFmtId="38" fontId="8" fillId="0" borderId="47" xfId="1" applyNumberFormat="1" applyFont="1" applyBorder="1" applyAlignment="1"/>
    <xf numFmtId="176" fontId="4" fillId="3" borderId="47" xfId="0" applyNumberFormat="1" applyFont="1" applyFill="1" applyBorder="1" applyAlignment="1">
      <alignment horizontal="center" vertical="center"/>
    </xf>
    <xf numFmtId="0" fontId="4" fillId="6" borderId="0" xfId="0" applyFont="1" applyFill="1"/>
    <xf numFmtId="176" fontId="4" fillId="6" borderId="0" xfId="0" applyNumberFormat="1" applyFont="1" applyFill="1"/>
    <xf numFmtId="9" fontId="8" fillId="0" borderId="47" xfId="3" applyFont="1" applyBorder="1" applyAlignment="1">
      <alignment horizontal="right"/>
    </xf>
    <xf numFmtId="176" fontId="8" fillId="0" borderId="47" xfId="1" applyNumberFormat="1" applyFont="1" applyFill="1" applyBorder="1" applyAlignment="1">
      <alignment horizontal="right" vertical="center"/>
    </xf>
    <xf numFmtId="38" fontId="8" fillId="0" borderId="47" xfId="0" applyNumberFormat="1" applyFont="1" applyBorder="1" applyAlignment="1">
      <alignment vertical="center"/>
    </xf>
    <xf numFmtId="9" fontId="8" fillId="6" borderId="0" xfId="3" applyFont="1" applyFill="1" applyBorder="1" applyAlignment="1"/>
    <xf numFmtId="0" fontId="16" fillId="0" borderId="0" xfId="0" applyFont="1"/>
    <xf numFmtId="176" fontId="15" fillId="0" borderId="16" xfId="1" applyNumberFormat="1" applyFont="1" applyBorder="1" applyAlignment="1">
      <alignment horizontal="center" vertical="top"/>
    </xf>
    <xf numFmtId="176" fontId="15" fillId="0" borderId="3" xfId="1" applyNumberFormat="1" applyFont="1" applyBorder="1" applyAlignment="1">
      <alignment horizontal="center" vertical="top"/>
    </xf>
    <xf numFmtId="176" fontId="15" fillId="0" borderId="5" xfId="1" applyNumberFormat="1" applyFont="1" applyBorder="1" applyAlignment="1">
      <alignment horizontal="center" vertical="top"/>
    </xf>
    <xf numFmtId="176" fontId="15" fillId="0" borderId="17" xfId="1" applyNumberFormat="1" applyFont="1" applyBorder="1" applyAlignment="1">
      <alignment horizontal="center" vertical="top"/>
    </xf>
    <xf numFmtId="176" fontId="15" fillId="3" borderId="5" xfId="1" applyNumberFormat="1" applyFont="1" applyFill="1" applyBorder="1" applyAlignment="1">
      <alignment horizontal="center" vertical="top"/>
    </xf>
    <xf numFmtId="176" fontId="15" fillId="3" borderId="3" xfId="1" applyNumberFormat="1" applyFont="1" applyFill="1" applyBorder="1" applyAlignment="1">
      <alignment horizontal="center" vertical="top"/>
    </xf>
    <xf numFmtId="176" fontId="16" fillId="0" borderId="20" xfId="0" applyNumberFormat="1" applyFont="1" applyBorder="1"/>
    <xf numFmtId="176" fontId="16" fillId="0" borderId="6" xfId="0" applyNumberFormat="1" applyFont="1" applyBorder="1"/>
    <xf numFmtId="176" fontId="16" fillId="0" borderId="14" xfId="0" applyNumberFormat="1" applyFont="1" applyBorder="1"/>
    <xf numFmtId="0" fontId="16" fillId="0" borderId="10" xfId="0" applyFont="1" applyBorder="1"/>
    <xf numFmtId="38" fontId="16" fillId="0" borderId="4" xfId="1" applyFont="1" applyBorder="1" applyAlignment="1"/>
    <xf numFmtId="38" fontId="16" fillId="0" borderId="7" xfId="1" applyFont="1" applyBorder="1" applyAlignment="1"/>
    <xf numFmtId="38" fontId="16" fillId="0" borderId="8" xfId="1" applyFont="1" applyBorder="1" applyAlignment="1"/>
    <xf numFmtId="38" fontId="16" fillId="0" borderId="18" xfId="1" applyFont="1" applyBorder="1" applyAlignment="1"/>
    <xf numFmtId="38" fontId="16" fillId="0" borderId="6" xfId="1" applyFont="1" applyBorder="1" applyAlignment="1"/>
    <xf numFmtId="38" fontId="16" fillId="3" borderId="10" xfId="1" applyFont="1" applyFill="1" applyBorder="1" applyAlignment="1"/>
    <xf numFmtId="176" fontId="16" fillId="0" borderId="9" xfId="0" applyNumberFormat="1" applyFont="1" applyBorder="1"/>
    <xf numFmtId="176" fontId="16" fillId="0" borderId="15" xfId="0" applyNumberFormat="1" applyFont="1" applyBorder="1"/>
    <xf numFmtId="38" fontId="16" fillId="0" borderId="1" xfId="1" applyFont="1" applyBorder="1" applyAlignment="1"/>
    <xf numFmtId="38" fontId="16" fillId="0" borderId="2" xfId="1" applyFont="1" applyBorder="1" applyAlignment="1"/>
    <xf numFmtId="38" fontId="16" fillId="3" borderId="14" xfId="1" applyFont="1" applyFill="1" applyBorder="1" applyAlignment="1"/>
    <xf numFmtId="38" fontId="17" fillId="3" borderId="14" xfId="1" applyFont="1" applyFill="1" applyBorder="1" applyAlignment="1"/>
    <xf numFmtId="38" fontId="16" fillId="0" borderId="22" xfId="1" applyFont="1" applyBorder="1" applyAlignment="1"/>
    <xf numFmtId="38" fontId="16" fillId="0" borderId="23" xfId="1" applyFont="1" applyBorder="1" applyAlignment="1"/>
    <xf numFmtId="38" fontId="16" fillId="2" borderId="28" xfId="1" applyFont="1" applyFill="1" applyBorder="1" applyAlignment="1"/>
    <xf numFmtId="38" fontId="16" fillId="0" borderId="0" xfId="1" applyFont="1" applyAlignment="1"/>
    <xf numFmtId="176" fontId="16" fillId="0" borderId="0" xfId="1" applyNumberFormat="1" applyFont="1" applyAlignment="1"/>
    <xf numFmtId="176" fontId="16" fillId="0" borderId="0" xfId="0" applyNumberFormat="1" applyFont="1"/>
    <xf numFmtId="176" fontId="16" fillId="0" borderId="10" xfId="0" applyNumberFormat="1" applyFont="1" applyBorder="1"/>
    <xf numFmtId="38" fontId="19" fillId="3" borderId="10" xfId="1" applyFont="1" applyFill="1" applyBorder="1" applyAlignment="1"/>
    <xf numFmtId="38" fontId="20" fillId="3" borderId="14" xfId="1" applyFont="1" applyFill="1" applyBorder="1" applyAlignment="1"/>
    <xf numFmtId="38" fontId="19" fillId="3" borderId="13" xfId="1" applyFont="1" applyFill="1" applyBorder="1" applyAlignment="1"/>
    <xf numFmtId="0" fontId="18" fillId="0" borderId="47" xfId="0" applyFont="1" applyBorder="1" applyAlignment="1">
      <alignment horizontal="center" vertical="center"/>
    </xf>
    <xf numFmtId="176" fontId="18" fillId="3" borderId="50" xfId="1" applyNumberFormat="1" applyFont="1" applyFill="1" applyBorder="1" applyAlignment="1">
      <alignment horizontal="center" vertical="top"/>
    </xf>
    <xf numFmtId="176" fontId="16" fillId="0" borderId="13" xfId="0" applyNumberFormat="1" applyFont="1" applyFill="1" applyBorder="1"/>
    <xf numFmtId="9" fontId="19" fillId="3" borderId="10" xfId="3" applyFont="1" applyFill="1" applyBorder="1" applyAlignment="1"/>
    <xf numFmtId="9" fontId="19" fillId="3" borderId="20" xfId="3" applyFont="1" applyFill="1" applyBorder="1" applyAlignment="1"/>
    <xf numFmtId="9" fontId="19" fillId="3" borderId="14" xfId="3" applyFont="1" applyFill="1" applyBorder="1" applyAlignment="1"/>
    <xf numFmtId="9" fontId="19" fillId="3" borderId="13" xfId="3" applyFont="1" applyFill="1" applyBorder="1" applyAlignment="1"/>
    <xf numFmtId="9" fontId="19" fillId="3" borderId="49" xfId="3" applyFont="1" applyFill="1" applyBorder="1" applyAlignment="1"/>
    <xf numFmtId="176" fontId="18" fillId="3" borderId="27" xfId="1" applyNumberFormat="1" applyFont="1" applyFill="1" applyBorder="1" applyAlignment="1">
      <alignment horizontal="center" vertical="top"/>
    </xf>
    <xf numFmtId="176" fontId="18" fillId="3" borderId="47" xfId="1" applyNumberFormat="1" applyFont="1" applyFill="1" applyBorder="1" applyAlignment="1">
      <alignment horizontal="center" vertical="top"/>
    </xf>
    <xf numFmtId="0" fontId="21" fillId="0" borderId="0" xfId="0" applyFont="1"/>
    <xf numFmtId="176" fontId="15" fillId="4" borderId="43" xfId="1" applyNumberFormat="1" applyFont="1" applyFill="1" applyBorder="1" applyAlignment="1">
      <alignment horizontal="center" vertical="top"/>
    </xf>
    <xf numFmtId="176" fontId="15" fillId="4" borderId="44" xfId="1" applyNumberFormat="1" applyFont="1" applyFill="1" applyBorder="1" applyAlignment="1">
      <alignment horizontal="center" vertical="top"/>
    </xf>
    <xf numFmtId="176" fontId="16" fillId="0" borderId="35" xfId="0" applyNumberFormat="1" applyFont="1" applyBorder="1"/>
    <xf numFmtId="38" fontId="16" fillId="4" borderId="20" xfId="1" applyFont="1" applyFill="1" applyBorder="1" applyAlignment="1"/>
    <xf numFmtId="38" fontId="16" fillId="4" borderId="36" xfId="1" applyFont="1" applyFill="1" applyBorder="1" applyAlignment="1"/>
    <xf numFmtId="176" fontId="16" fillId="0" borderId="37" xfId="0" applyNumberFormat="1" applyFont="1" applyBorder="1"/>
    <xf numFmtId="0" fontId="16" fillId="0" borderId="11" xfId="0" applyFont="1" applyBorder="1"/>
    <xf numFmtId="38" fontId="16" fillId="4" borderId="14" xfId="1" applyFont="1" applyFill="1" applyBorder="1" applyAlignment="1"/>
    <xf numFmtId="176" fontId="16" fillId="0" borderId="38" xfId="0" applyNumberFormat="1" applyFont="1" applyBorder="1"/>
    <xf numFmtId="176" fontId="16" fillId="0" borderId="39" xfId="0" applyNumberFormat="1" applyFont="1" applyBorder="1"/>
    <xf numFmtId="0" fontId="16" fillId="0" borderId="40" xfId="0" applyFont="1" applyBorder="1"/>
    <xf numFmtId="38" fontId="16" fillId="4" borderId="41" xfId="1" applyFont="1" applyFill="1" applyBorder="1" applyAlignment="1"/>
    <xf numFmtId="38" fontId="16" fillId="4" borderId="42" xfId="1" applyFont="1" applyFill="1" applyBorder="1" applyAlignment="1"/>
    <xf numFmtId="38" fontId="20" fillId="3" borderId="10" xfId="1" applyFont="1" applyFill="1" applyBorder="1" applyAlignment="1"/>
    <xf numFmtId="38" fontId="16" fillId="2" borderId="25" xfId="1" applyFont="1" applyFill="1" applyBorder="1" applyAlignment="1"/>
    <xf numFmtId="38" fontId="16" fillId="2" borderId="26" xfId="1" applyFont="1" applyFill="1" applyBorder="1" applyAlignment="1"/>
    <xf numFmtId="38" fontId="16" fillId="2" borderId="27" xfId="1" applyFont="1" applyFill="1" applyBorder="1" applyAlignment="1"/>
    <xf numFmtId="38" fontId="16" fillId="3" borderId="20" xfId="1" applyFont="1" applyFill="1" applyBorder="1" applyAlignment="1"/>
    <xf numFmtId="176" fontId="15" fillId="0" borderId="29" xfId="1" applyNumberFormat="1" applyFont="1" applyBorder="1" applyAlignment="1">
      <alignment horizontal="center" vertical="top"/>
    </xf>
    <xf numFmtId="176" fontId="15" fillId="0" borderId="30" xfId="1" applyNumberFormat="1" applyFont="1" applyBorder="1" applyAlignment="1">
      <alignment horizontal="center" vertical="top"/>
    </xf>
    <xf numFmtId="0" fontId="15" fillId="0" borderId="12" xfId="0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176" fontId="15" fillId="3" borderId="29" xfId="0" applyNumberFormat="1" applyFont="1" applyFill="1" applyBorder="1" applyAlignment="1">
      <alignment horizontal="center"/>
    </xf>
    <xf numFmtId="176" fontId="15" fillId="3" borderId="30" xfId="0" applyNumberFormat="1" applyFont="1" applyFill="1" applyBorder="1" applyAlignment="1">
      <alignment horizontal="center"/>
    </xf>
    <xf numFmtId="0" fontId="4" fillId="5" borderId="47" xfId="0" applyFont="1" applyFill="1" applyBorder="1" applyAlignment="1">
      <alignment horizontal="center" vertical="center"/>
    </xf>
    <xf numFmtId="176" fontId="4" fillId="3" borderId="47" xfId="0" applyNumberFormat="1" applyFont="1" applyFill="1" applyBorder="1" applyAlignment="1">
      <alignment horizontal="center" vertical="center"/>
    </xf>
    <xf numFmtId="176" fontId="4" fillId="5" borderId="47" xfId="1" applyNumberFormat="1" applyFont="1" applyFill="1" applyBorder="1" applyAlignment="1">
      <alignment horizontal="center"/>
    </xf>
    <xf numFmtId="38" fontId="9" fillId="0" borderId="47" xfId="1" applyFont="1" applyBorder="1" applyAlignment="1">
      <alignment horizontal="center" vertical="center"/>
    </xf>
    <xf numFmtId="38" fontId="8" fillId="5" borderId="47" xfId="1" applyFont="1" applyFill="1" applyBorder="1" applyAlignment="1">
      <alignment horizontal="center"/>
    </xf>
    <xf numFmtId="38" fontId="9" fillId="6" borderId="25" xfId="1" applyFont="1" applyFill="1" applyBorder="1" applyAlignment="1">
      <alignment horizontal="center"/>
    </xf>
    <xf numFmtId="38" fontId="9" fillId="6" borderId="26" xfId="1" applyFont="1" applyFill="1" applyBorder="1" applyAlignment="1">
      <alignment horizontal="center"/>
    </xf>
    <xf numFmtId="38" fontId="9" fillId="6" borderId="27" xfId="1" applyFont="1" applyFill="1" applyBorder="1" applyAlignment="1">
      <alignment horizont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15" fillId="0" borderId="33" xfId="0" applyFont="1" applyBorder="1" applyAlignment="1">
      <alignment horizontal="center" vertical="center"/>
    </xf>
    <xf numFmtId="176" fontId="15" fillId="4" borderId="45" xfId="0" applyNumberFormat="1" applyFont="1" applyFill="1" applyBorder="1" applyAlignment="1">
      <alignment horizontal="center"/>
    </xf>
    <xf numFmtId="176" fontId="15" fillId="4" borderId="46" xfId="0" applyNumberFormat="1" applyFont="1" applyFill="1" applyBorder="1" applyAlignment="1">
      <alignment horizontal="center"/>
    </xf>
    <xf numFmtId="0" fontId="15" fillId="0" borderId="32" xfId="0" applyFont="1" applyBorder="1" applyAlignment="1">
      <alignment horizontal="center" vertical="center"/>
    </xf>
    <xf numFmtId="0" fontId="15" fillId="0" borderId="34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176" fontId="13" fillId="6" borderId="25" xfId="1" applyNumberFormat="1" applyFont="1" applyFill="1" applyBorder="1" applyAlignment="1">
      <alignment horizontal="center" vertical="center"/>
    </xf>
    <xf numFmtId="176" fontId="13" fillId="6" borderId="27" xfId="1" applyNumberFormat="1" applyFont="1" applyFill="1" applyBorder="1" applyAlignment="1">
      <alignment horizontal="center" vertical="center"/>
    </xf>
    <xf numFmtId="0" fontId="13" fillId="6" borderId="47" xfId="0" applyFont="1" applyFill="1" applyBorder="1" applyAlignment="1">
      <alignment horizontal="center" vertical="center"/>
    </xf>
    <xf numFmtId="0" fontId="11" fillId="6" borderId="47" xfId="0" applyFont="1" applyFill="1" applyBorder="1" applyAlignment="1">
      <alignment horizontal="center" vertical="center"/>
    </xf>
    <xf numFmtId="176" fontId="13" fillId="6" borderId="47" xfId="1" applyNumberFormat="1" applyFont="1" applyFill="1" applyBorder="1" applyAlignment="1">
      <alignment horizontal="center" vertical="center" wrapText="1"/>
    </xf>
    <xf numFmtId="176" fontId="13" fillId="6" borderId="47" xfId="1" applyNumberFormat="1" applyFont="1" applyFill="1" applyBorder="1" applyAlignment="1">
      <alignment horizontal="center" vertical="center"/>
    </xf>
  </cellXfs>
  <cellStyles count="8">
    <cellStyle name="パーセント" xfId="3" builtinId="5"/>
    <cellStyle name="桁区切り" xfId="1" builtinId="6"/>
    <cellStyle name="桁区切り 2 4" xfId="2" xr:uid="{00000000-0005-0000-0000-000002000000}"/>
    <cellStyle name="標準" xfId="0" builtinId="0"/>
    <cellStyle name="標準 2" xfId="7" xr:uid="{A10DFF1D-E424-4D1A-89CD-9BA5CC81D2EF}"/>
    <cellStyle name="標準 5" xfId="6" xr:uid="{4C466F23-FC92-4325-A768-5E50043FD033}"/>
    <cellStyle name="쉼표 [0] 2" xfId="4" xr:uid="{00000000-0005-0000-0000-000004000000}"/>
    <cellStyle name="쉼표 2" xfId="5" xr:uid="{00000000-0005-0000-0000-000005000000}"/>
  </cellStyles>
  <dxfs count="39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CCFFCC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UD デジタル 教科書体 NP-R" panose="02020400000000000000" pitchFamily="18" charset="-128"/>
                <a:ea typeface="UD デジタル 教科書体 NP-R" panose="02020400000000000000" pitchFamily="18" charset="-128"/>
                <a:cs typeface="+mn-cs"/>
              </a:defRPr>
            </a:pPr>
            <a:r>
              <a:rPr lang="en-US"/>
              <a:t>24</a:t>
            </a:r>
            <a:r>
              <a:rPr lang="zh-TW"/>
              <a:t>年</a:t>
            </a:r>
            <a:r>
              <a:rPr lang="en-US"/>
              <a:t>7</a:t>
            </a:r>
            <a:r>
              <a:rPr lang="zh-TW"/>
              <a:t>月～</a:t>
            </a:r>
            <a:r>
              <a:rPr lang="en-US"/>
              <a:t>25</a:t>
            </a:r>
            <a:r>
              <a:rPr lang="zh-TW"/>
              <a:t>年</a:t>
            </a:r>
            <a:r>
              <a:rPr lang="en-US"/>
              <a:t>7</a:t>
            </a:r>
            <a:r>
              <a:rPr lang="zh-TW"/>
              <a:t>月</a:t>
            </a:r>
            <a:r>
              <a:rPr lang="ja-JP"/>
              <a:t>ブランド別</a:t>
            </a:r>
            <a:r>
              <a:rPr lang="zh-TW"/>
              <a:t>売上推移</a:t>
            </a:r>
            <a:endParaRPr lang="ja-JP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UD デジタル 教科書体 NP-R" panose="02020400000000000000" pitchFamily="18" charset="-128"/>
              <a:ea typeface="UD デジタル 教科書体 NP-R" panose="02020400000000000000" pitchFamily="18" charset="-128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ブランド別売上推移!$A$4</c:f>
              <c:strCache>
                <c:ptCount val="1"/>
                <c:pt idx="0">
                  <c:v>MAKE KEEP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ブランド別売上推移!$B$3:$N$3</c:f>
              <c:strCache>
                <c:ptCount val="13"/>
                <c:pt idx="0">
                  <c:v>7月</c:v>
                </c:pt>
                <c:pt idx="1">
                  <c:v>8月</c:v>
                </c:pt>
                <c:pt idx="2">
                  <c:v>9月</c:v>
                </c:pt>
                <c:pt idx="3">
                  <c:v>10月</c:v>
                </c:pt>
                <c:pt idx="4">
                  <c:v>11月</c:v>
                </c:pt>
                <c:pt idx="5">
                  <c:v>12月</c:v>
                </c:pt>
                <c:pt idx="6">
                  <c:v>1月</c:v>
                </c:pt>
                <c:pt idx="7">
                  <c:v>2月</c:v>
                </c:pt>
                <c:pt idx="8">
                  <c:v>3月</c:v>
                </c:pt>
                <c:pt idx="9">
                  <c:v>4月</c:v>
                </c:pt>
                <c:pt idx="10">
                  <c:v>5月</c:v>
                </c:pt>
                <c:pt idx="11">
                  <c:v>6月</c:v>
                </c:pt>
                <c:pt idx="12">
                  <c:v>7月</c:v>
                </c:pt>
              </c:strCache>
            </c:strRef>
          </c:cat>
          <c:val>
            <c:numRef>
              <c:f>ブランド別売上推移!$B$4:$N$4</c:f>
              <c:numCache>
                <c:formatCode>0_);[Red]\(0\)</c:formatCode>
                <c:ptCount val="13"/>
                <c:pt idx="0" formatCode="#,##0_);[Red]\(#,##0\)">
                  <c:v>0</c:v>
                </c:pt>
                <c:pt idx="1">
                  <c:v>501.6</c:v>
                </c:pt>
                <c:pt idx="2">
                  <c:v>128.69999999999999</c:v>
                </c:pt>
                <c:pt idx="3">
                  <c:v>120.34</c:v>
                </c:pt>
                <c:pt idx="4">
                  <c:v>729.96</c:v>
                </c:pt>
                <c:pt idx="5">
                  <c:v>126.5</c:v>
                </c:pt>
                <c:pt idx="6">
                  <c:v>2071.08</c:v>
                </c:pt>
                <c:pt idx="7">
                  <c:v>2502.94</c:v>
                </c:pt>
                <c:pt idx="8">
                  <c:v>5663.68</c:v>
                </c:pt>
                <c:pt idx="9">
                  <c:v>11088.88</c:v>
                </c:pt>
                <c:pt idx="10">
                  <c:v>21080.84</c:v>
                </c:pt>
                <c:pt idx="11">
                  <c:v>11433.306</c:v>
                </c:pt>
                <c:pt idx="12">
                  <c:v>29359.901999999998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DB-44C1-B6C2-194D2D250A17}"/>
            </c:ext>
          </c:extLst>
        </c:ser>
        <c:ser>
          <c:idx val="1"/>
          <c:order val="1"/>
          <c:tx>
            <c:strRef>
              <c:f>ブランド別売上推移!$A$5</c:f>
              <c:strCache>
                <c:ptCount val="1"/>
                <c:pt idx="0">
                  <c:v>CURL KEEP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ブランド別売上推移!$B$3:$N$3</c:f>
              <c:strCache>
                <c:ptCount val="13"/>
                <c:pt idx="0">
                  <c:v>7月</c:v>
                </c:pt>
                <c:pt idx="1">
                  <c:v>8月</c:v>
                </c:pt>
                <c:pt idx="2">
                  <c:v>9月</c:v>
                </c:pt>
                <c:pt idx="3">
                  <c:v>10月</c:v>
                </c:pt>
                <c:pt idx="4">
                  <c:v>11月</c:v>
                </c:pt>
                <c:pt idx="5">
                  <c:v>12月</c:v>
                </c:pt>
                <c:pt idx="6">
                  <c:v>1月</c:v>
                </c:pt>
                <c:pt idx="7">
                  <c:v>2月</c:v>
                </c:pt>
                <c:pt idx="8">
                  <c:v>3月</c:v>
                </c:pt>
                <c:pt idx="9">
                  <c:v>4月</c:v>
                </c:pt>
                <c:pt idx="10">
                  <c:v>5月</c:v>
                </c:pt>
                <c:pt idx="11">
                  <c:v>6月</c:v>
                </c:pt>
                <c:pt idx="12">
                  <c:v>7月</c:v>
                </c:pt>
              </c:strCache>
            </c:strRef>
          </c:cat>
          <c:val>
            <c:numRef>
              <c:f>ブランド別売上推移!$B$5:$N$5</c:f>
              <c:numCache>
                <c:formatCode>#,##0_);[Red]\(#,##0\)</c:formatCode>
                <c:ptCount val="13"/>
                <c:pt idx="0">
                  <c:v>0</c:v>
                </c:pt>
                <c:pt idx="1">
                  <c:v>20.350000000000001</c:v>
                </c:pt>
                <c:pt idx="2">
                  <c:v>14.85</c:v>
                </c:pt>
                <c:pt idx="3">
                  <c:v>0</c:v>
                </c:pt>
                <c:pt idx="4">
                  <c:v>273.24</c:v>
                </c:pt>
                <c:pt idx="5">
                  <c:v>0</c:v>
                </c:pt>
                <c:pt idx="6">
                  <c:v>1438.8</c:v>
                </c:pt>
                <c:pt idx="7">
                  <c:v>1485</c:v>
                </c:pt>
                <c:pt idx="8">
                  <c:v>70.400000000000006</c:v>
                </c:pt>
                <c:pt idx="9">
                  <c:v>1078</c:v>
                </c:pt>
                <c:pt idx="10">
                  <c:v>24.75</c:v>
                </c:pt>
                <c:pt idx="11">
                  <c:v>0</c:v>
                </c:pt>
                <c:pt idx="12">
                  <c:v>1889.25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9DB-44C1-B6C2-194D2D250A17}"/>
            </c:ext>
          </c:extLst>
        </c:ser>
        <c:ser>
          <c:idx val="2"/>
          <c:order val="2"/>
          <c:tx>
            <c:strRef>
              <c:f>ブランド別売上推移!$A$6</c:f>
              <c:strCache>
                <c:ptCount val="1"/>
                <c:pt idx="0">
                  <c:v>FASIO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ブランド別売上推移!$B$3:$N$3</c:f>
              <c:strCache>
                <c:ptCount val="13"/>
                <c:pt idx="0">
                  <c:v>7月</c:v>
                </c:pt>
                <c:pt idx="1">
                  <c:v>8月</c:v>
                </c:pt>
                <c:pt idx="2">
                  <c:v>9月</c:v>
                </c:pt>
                <c:pt idx="3">
                  <c:v>10月</c:v>
                </c:pt>
                <c:pt idx="4">
                  <c:v>11月</c:v>
                </c:pt>
                <c:pt idx="5">
                  <c:v>12月</c:v>
                </c:pt>
                <c:pt idx="6">
                  <c:v>1月</c:v>
                </c:pt>
                <c:pt idx="7">
                  <c:v>2月</c:v>
                </c:pt>
                <c:pt idx="8">
                  <c:v>3月</c:v>
                </c:pt>
                <c:pt idx="9">
                  <c:v>4月</c:v>
                </c:pt>
                <c:pt idx="10">
                  <c:v>5月</c:v>
                </c:pt>
                <c:pt idx="11">
                  <c:v>6月</c:v>
                </c:pt>
                <c:pt idx="12">
                  <c:v>7月</c:v>
                </c:pt>
              </c:strCache>
            </c:strRef>
          </c:cat>
          <c:val>
            <c:numRef>
              <c:f>ブランド別売上推移!$B$6:$N$6</c:f>
              <c:numCache>
                <c:formatCode>#,##0_);[Red]\(#,##0\)</c:formatCode>
                <c:ptCount val="13"/>
                <c:pt idx="0">
                  <c:v>73.48</c:v>
                </c:pt>
                <c:pt idx="1">
                  <c:v>451.78</c:v>
                </c:pt>
                <c:pt idx="2">
                  <c:v>290.89499999999998</c:v>
                </c:pt>
                <c:pt idx="3">
                  <c:v>564.44000000000005</c:v>
                </c:pt>
                <c:pt idx="4">
                  <c:v>967.005</c:v>
                </c:pt>
                <c:pt idx="5">
                  <c:v>324.64999999999998</c:v>
                </c:pt>
                <c:pt idx="6">
                  <c:v>2021.557</c:v>
                </c:pt>
                <c:pt idx="7">
                  <c:v>474.81299999999999</c:v>
                </c:pt>
                <c:pt idx="8">
                  <c:v>420.93200000000002</c:v>
                </c:pt>
                <c:pt idx="9">
                  <c:v>955.09400000000005</c:v>
                </c:pt>
                <c:pt idx="10">
                  <c:v>1416.2639999999999</c:v>
                </c:pt>
                <c:pt idx="11">
                  <c:v>230.40600000000001</c:v>
                </c:pt>
                <c:pt idx="12">
                  <c:v>1344.808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9DB-44C1-B6C2-194D2D250A17}"/>
            </c:ext>
          </c:extLst>
        </c:ser>
        <c:ser>
          <c:idx val="3"/>
          <c:order val="3"/>
          <c:tx>
            <c:strRef>
              <c:f>ブランド別売上推移!$A$7</c:f>
              <c:strCache>
                <c:ptCount val="1"/>
                <c:pt idx="0">
                  <c:v>ONE  BY  KOSE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ブランド別売上推移!$B$3:$N$3</c:f>
              <c:strCache>
                <c:ptCount val="13"/>
                <c:pt idx="0">
                  <c:v>7月</c:v>
                </c:pt>
                <c:pt idx="1">
                  <c:v>8月</c:v>
                </c:pt>
                <c:pt idx="2">
                  <c:v>9月</c:v>
                </c:pt>
                <c:pt idx="3">
                  <c:v>10月</c:v>
                </c:pt>
                <c:pt idx="4">
                  <c:v>11月</c:v>
                </c:pt>
                <c:pt idx="5">
                  <c:v>12月</c:v>
                </c:pt>
                <c:pt idx="6">
                  <c:v>1月</c:v>
                </c:pt>
                <c:pt idx="7">
                  <c:v>2月</c:v>
                </c:pt>
                <c:pt idx="8">
                  <c:v>3月</c:v>
                </c:pt>
                <c:pt idx="9">
                  <c:v>4月</c:v>
                </c:pt>
                <c:pt idx="10">
                  <c:v>5月</c:v>
                </c:pt>
                <c:pt idx="11">
                  <c:v>6月</c:v>
                </c:pt>
                <c:pt idx="12">
                  <c:v>7月</c:v>
                </c:pt>
              </c:strCache>
            </c:strRef>
          </c:cat>
          <c:val>
            <c:numRef>
              <c:f>ブランド別売上推移!$B$7:$N$7</c:f>
              <c:numCache>
                <c:formatCode>#,##0_);[Red]\(#,##0\)</c:formatCode>
                <c:ptCount val="13"/>
                <c:pt idx="0">
                  <c:v>528</c:v>
                </c:pt>
                <c:pt idx="1">
                  <c:v>1771.2750000000001</c:v>
                </c:pt>
                <c:pt idx="2">
                  <c:v>953.15</c:v>
                </c:pt>
                <c:pt idx="3">
                  <c:v>1702.25</c:v>
                </c:pt>
                <c:pt idx="4">
                  <c:v>4365.9549999999999</c:v>
                </c:pt>
                <c:pt idx="5">
                  <c:v>5857.665</c:v>
                </c:pt>
                <c:pt idx="6">
                  <c:v>19166.455000000002</c:v>
                </c:pt>
                <c:pt idx="7">
                  <c:v>12896.51</c:v>
                </c:pt>
                <c:pt idx="8">
                  <c:v>7596.7650000000003</c:v>
                </c:pt>
                <c:pt idx="9">
                  <c:v>11935.165000000001</c:v>
                </c:pt>
                <c:pt idx="10">
                  <c:v>34265.879999999997</c:v>
                </c:pt>
                <c:pt idx="11">
                  <c:v>6872.69</c:v>
                </c:pt>
                <c:pt idx="12">
                  <c:v>13735.424999999999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9DB-44C1-B6C2-194D2D250A17}"/>
            </c:ext>
          </c:extLst>
        </c:ser>
        <c:ser>
          <c:idx val="4"/>
          <c:order val="4"/>
          <c:tx>
            <c:strRef>
              <c:f>ブランド別売上推移!$A$8</c:f>
              <c:strCache>
                <c:ptCount val="1"/>
                <c:pt idx="0">
                  <c:v>SEK  BRIGHTENING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ブランド別売上推移!$B$3:$N$3</c:f>
              <c:strCache>
                <c:ptCount val="13"/>
                <c:pt idx="0">
                  <c:v>7月</c:v>
                </c:pt>
                <c:pt idx="1">
                  <c:v>8月</c:v>
                </c:pt>
                <c:pt idx="2">
                  <c:v>9月</c:v>
                </c:pt>
                <c:pt idx="3">
                  <c:v>10月</c:v>
                </c:pt>
                <c:pt idx="4">
                  <c:v>11月</c:v>
                </c:pt>
                <c:pt idx="5">
                  <c:v>12月</c:v>
                </c:pt>
                <c:pt idx="6">
                  <c:v>1月</c:v>
                </c:pt>
                <c:pt idx="7">
                  <c:v>2月</c:v>
                </c:pt>
                <c:pt idx="8">
                  <c:v>3月</c:v>
                </c:pt>
                <c:pt idx="9">
                  <c:v>4月</c:v>
                </c:pt>
                <c:pt idx="10">
                  <c:v>5月</c:v>
                </c:pt>
                <c:pt idx="11">
                  <c:v>6月</c:v>
                </c:pt>
                <c:pt idx="12">
                  <c:v>7月</c:v>
                </c:pt>
              </c:strCache>
            </c:strRef>
          </c:cat>
          <c:val>
            <c:numRef>
              <c:f>ブランド別売上推移!$B$8:$N$8</c:f>
              <c:numCache>
                <c:formatCode>#,##0_);[Red]\(#,##0\)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6288.4250000000002</c:v>
                </c:pt>
                <c:pt idx="11">
                  <c:v>136.4</c:v>
                </c:pt>
                <c:pt idx="12">
                  <c:v>1681.68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9DB-44C1-B6C2-194D2D250A17}"/>
            </c:ext>
          </c:extLst>
        </c:ser>
        <c:ser>
          <c:idx val="5"/>
          <c:order val="5"/>
          <c:tx>
            <c:strRef>
              <c:f>ブランド別売上推移!$A$9</c:f>
              <c:strCache>
                <c:ptCount val="1"/>
                <c:pt idx="0">
                  <c:v>VISEE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ブランド別売上推移!$B$3:$N$3</c:f>
              <c:strCache>
                <c:ptCount val="13"/>
                <c:pt idx="0">
                  <c:v>7月</c:v>
                </c:pt>
                <c:pt idx="1">
                  <c:v>8月</c:v>
                </c:pt>
                <c:pt idx="2">
                  <c:v>9月</c:v>
                </c:pt>
                <c:pt idx="3">
                  <c:v>10月</c:v>
                </c:pt>
                <c:pt idx="4">
                  <c:v>11月</c:v>
                </c:pt>
                <c:pt idx="5">
                  <c:v>12月</c:v>
                </c:pt>
                <c:pt idx="6">
                  <c:v>1月</c:v>
                </c:pt>
                <c:pt idx="7">
                  <c:v>2月</c:v>
                </c:pt>
                <c:pt idx="8">
                  <c:v>3月</c:v>
                </c:pt>
                <c:pt idx="9">
                  <c:v>4月</c:v>
                </c:pt>
                <c:pt idx="10">
                  <c:v>5月</c:v>
                </c:pt>
                <c:pt idx="11">
                  <c:v>6月</c:v>
                </c:pt>
                <c:pt idx="12">
                  <c:v>7月</c:v>
                </c:pt>
              </c:strCache>
            </c:strRef>
          </c:cat>
          <c:val>
            <c:numRef>
              <c:f>ブランド別売上推移!$B$9:$N$9</c:f>
              <c:numCache>
                <c:formatCode>#,##0_);[Red]\(#,##0\)</c:formatCode>
                <c:ptCount val="13"/>
                <c:pt idx="0">
                  <c:v>2357.41</c:v>
                </c:pt>
                <c:pt idx="1">
                  <c:v>1181.395</c:v>
                </c:pt>
                <c:pt idx="2">
                  <c:v>1575.71</c:v>
                </c:pt>
                <c:pt idx="3">
                  <c:v>3389.5070000000001</c:v>
                </c:pt>
                <c:pt idx="4">
                  <c:v>4320.2830000000004</c:v>
                </c:pt>
                <c:pt idx="5">
                  <c:v>1056.165</c:v>
                </c:pt>
                <c:pt idx="6">
                  <c:v>6192.7139999999999</c:v>
                </c:pt>
                <c:pt idx="7">
                  <c:v>6153.2370000000001</c:v>
                </c:pt>
                <c:pt idx="8">
                  <c:v>3436.32</c:v>
                </c:pt>
                <c:pt idx="9">
                  <c:v>3260.9140000000002</c:v>
                </c:pt>
                <c:pt idx="10">
                  <c:v>3393.4989999999998</c:v>
                </c:pt>
                <c:pt idx="11">
                  <c:v>2465.5250000000001</c:v>
                </c:pt>
                <c:pt idx="12">
                  <c:v>2481.788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B6-445F-BD35-AEA324F834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9086416"/>
        <c:axId val="859092648"/>
      </c:lineChart>
      <c:catAx>
        <c:axId val="859086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UD デジタル 教科書体 NP-R" panose="02020400000000000000" pitchFamily="18" charset="-128"/>
                <a:ea typeface="UD デジタル 教科書体 NP-R" panose="02020400000000000000" pitchFamily="18" charset="-128"/>
                <a:cs typeface="+mn-cs"/>
              </a:defRPr>
            </a:pPr>
            <a:endParaRPr lang="ja-JP"/>
          </a:p>
        </c:txPr>
        <c:crossAx val="859092648"/>
        <c:crosses val="autoZero"/>
        <c:auto val="1"/>
        <c:lblAlgn val="ctr"/>
        <c:lblOffset val="100"/>
        <c:noMultiLvlLbl val="0"/>
      </c:catAx>
      <c:valAx>
        <c:axId val="859092648"/>
        <c:scaling>
          <c:orientation val="minMax"/>
        </c:scaling>
        <c:delete val="0"/>
        <c:axPos val="l"/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UD デジタル 教科書体 NP-R" panose="02020400000000000000" pitchFamily="18" charset="-128"/>
                <a:ea typeface="UD デジタル 教科書体 NP-R" panose="02020400000000000000" pitchFamily="18" charset="-128"/>
                <a:cs typeface="+mn-cs"/>
              </a:defRPr>
            </a:pPr>
            <a:endParaRPr lang="ja-JP"/>
          </a:p>
        </c:txPr>
        <c:crossAx val="859086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UD デジタル 教科書体 NP-R" panose="02020400000000000000" pitchFamily="18" charset="-128"/>
              <a:ea typeface="UD デジタル 教科書体 NP-R" panose="02020400000000000000" pitchFamily="18" charset="-128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UD デジタル 教科書体 NP-R" panose="02020400000000000000" pitchFamily="18" charset="-128"/>
          <a:ea typeface="UD デジタル 教科書体 NP-R" panose="02020400000000000000" pitchFamily="18" charset="-128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UD デジタル 教科書体 NP-R" panose="02020400000000000000" pitchFamily="18" charset="-128"/>
              <a:ea typeface="UD デジタル 教科書体 NP-R" panose="02020400000000000000" pitchFamily="18" charset="-128"/>
              <a:cs typeface="+mj-cs"/>
            </a:defRPr>
          </a:pPr>
          <a:endParaRPr lang="ja-JP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アイテム別売上推移!$D$1:$D$2</c:f>
              <c:strCache>
                <c:ptCount val="2"/>
                <c:pt idx="0">
                  <c:v>2025年1~9月累計</c:v>
                </c:pt>
                <c:pt idx="1">
                  <c:v>数量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shade val="41000"/>
                      <a:lumMod val="60000"/>
                      <a:lumOff val="40000"/>
                    </a:schemeClr>
                  </a:gs>
                  <a:gs pos="0">
                    <a:schemeClr val="accent1">
                      <a:shade val="41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582-4B64-8ED0-2CCC6C7CC644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1">
                      <a:shade val="53000"/>
                      <a:lumMod val="60000"/>
                      <a:lumOff val="40000"/>
                    </a:schemeClr>
                  </a:gs>
                  <a:gs pos="0">
                    <a:schemeClr val="accent1">
                      <a:shade val="53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582-4B64-8ED0-2CCC6C7CC644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1">
                      <a:shade val="65000"/>
                      <a:lumMod val="60000"/>
                      <a:lumOff val="40000"/>
                    </a:schemeClr>
                  </a:gs>
                  <a:gs pos="0">
                    <a:schemeClr val="accent1">
                      <a:shade val="65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582-4B64-8ED0-2CCC6C7CC644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1">
                      <a:shade val="76000"/>
                      <a:lumMod val="60000"/>
                      <a:lumOff val="40000"/>
                    </a:schemeClr>
                  </a:gs>
                  <a:gs pos="0">
                    <a:schemeClr val="accent1">
                      <a:shade val="76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582-4B64-8ED0-2CCC6C7CC644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1">
                      <a:shade val="88000"/>
                      <a:lumMod val="60000"/>
                      <a:lumOff val="40000"/>
                    </a:schemeClr>
                  </a:gs>
                  <a:gs pos="0">
                    <a:schemeClr val="accent1">
                      <a:shade val="88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582-4B64-8ED0-2CCC6C7CC644}"/>
              </c:ext>
            </c:extLst>
          </c:dPt>
          <c:dPt>
            <c:idx val="5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B582-4B64-8ED0-2CCC6C7CC644}"/>
              </c:ext>
            </c:extLst>
          </c:dPt>
          <c:dPt>
            <c:idx val="6"/>
            <c:bubble3D val="0"/>
            <c:spPr>
              <a:gradFill>
                <a:gsLst>
                  <a:gs pos="100000">
                    <a:schemeClr val="accent1">
                      <a:tint val="89000"/>
                      <a:lumMod val="60000"/>
                      <a:lumOff val="40000"/>
                    </a:schemeClr>
                  </a:gs>
                  <a:gs pos="0">
                    <a:schemeClr val="accent1">
                      <a:tint val="89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B582-4B64-8ED0-2CCC6C7CC644}"/>
              </c:ext>
            </c:extLst>
          </c:dPt>
          <c:dPt>
            <c:idx val="7"/>
            <c:bubble3D val="0"/>
            <c:spPr>
              <a:gradFill>
                <a:gsLst>
                  <a:gs pos="100000">
                    <a:schemeClr val="accent1">
                      <a:tint val="77000"/>
                      <a:lumMod val="60000"/>
                      <a:lumOff val="40000"/>
                    </a:schemeClr>
                  </a:gs>
                  <a:gs pos="0">
                    <a:schemeClr val="accent1">
                      <a:tint val="77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B582-4B64-8ED0-2CCC6C7CC644}"/>
              </c:ext>
            </c:extLst>
          </c:dPt>
          <c:dPt>
            <c:idx val="8"/>
            <c:bubble3D val="0"/>
            <c:spPr>
              <a:gradFill>
                <a:gsLst>
                  <a:gs pos="100000">
                    <a:schemeClr val="accent1">
                      <a:tint val="65000"/>
                      <a:lumMod val="60000"/>
                      <a:lumOff val="40000"/>
                    </a:schemeClr>
                  </a:gs>
                  <a:gs pos="0">
                    <a:schemeClr val="accent1">
                      <a:tint val="65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B582-4B64-8ED0-2CCC6C7CC644}"/>
              </c:ext>
            </c:extLst>
          </c:dPt>
          <c:dPt>
            <c:idx val="9"/>
            <c:bubble3D val="0"/>
            <c:spPr>
              <a:gradFill>
                <a:gsLst>
                  <a:gs pos="100000">
                    <a:schemeClr val="accent1">
                      <a:tint val="54000"/>
                      <a:lumMod val="60000"/>
                      <a:lumOff val="40000"/>
                    </a:schemeClr>
                  </a:gs>
                  <a:gs pos="0">
                    <a:schemeClr val="accent1">
                      <a:tint val="54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B582-4B64-8ED0-2CCC6C7CC644}"/>
              </c:ext>
            </c:extLst>
          </c:dPt>
          <c:dPt>
            <c:idx val="10"/>
            <c:bubble3D val="0"/>
            <c:spPr>
              <a:gradFill>
                <a:gsLst>
                  <a:gs pos="100000">
                    <a:schemeClr val="accent1">
                      <a:tint val="42000"/>
                      <a:lumMod val="60000"/>
                      <a:lumOff val="40000"/>
                    </a:schemeClr>
                  </a:gs>
                  <a:gs pos="0">
                    <a:schemeClr val="accent1">
                      <a:tint val="42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B582-4B64-8ED0-2CCC6C7CC64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アイテム別売上推移!$B$3:$B$13</c:f>
              <c:strCache>
                <c:ptCount val="11"/>
                <c:pt idx="0">
                  <c:v>DLEA</c:v>
                </c:pt>
                <c:pt idx="1">
                  <c:v>MUSC</c:v>
                </c:pt>
                <c:pt idx="2">
                  <c:v>MUCI</c:v>
                </c:pt>
                <c:pt idx="3">
                  <c:v>DLFP</c:v>
                </c:pt>
                <c:pt idx="4">
                  <c:v>DLIB</c:v>
                </c:pt>
                <c:pt idx="5">
                  <c:v>DLCE</c:v>
                </c:pt>
                <c:pt idx="6">
                  <c:v>DLCH</c:v>
                </c:pt>
                <c:pt idx="7">
                  <c:v>DLCC</c:v>
                </c:pt>
                <c:pt idx="8">
                  <c:v>YNRE001</c:v>
                </c:pt>
                <c:pt idx="9">
                  <c:v>MUCF</c:v>
                </c:pt>
                <c:pt idx="10">
                  <c:v>11位以下</c:v>
                </c:pt>
              </c:strCache>
            </c:strRef>
          </c:cat>
          <c:val>
            <c:numRef>
              <c:f>アイテム別売上推移!$D$3:$D$13</c:f>
              <c:numCache>
                <c:formatCode>#,##0_);[Red]\(#,##0\)</c:formatCode>
                <c:ptCount val="11"/>
                <c:pt idx="0">
                  <c:v>165812</c:v>
                </c:pt>
                <c:pt idx="1">
                  <c:v>37000</c:v>
                </c:pt>
                <c:pt idx="2">
                  <c:v>34332</c:v>
                </c:pt>
                <c:pt idx="3">
                  <c:v>23462</c:v>
                </c:pt>
                <c:pt idx="4">
                  <c:v>18400</c:v>
                </c:pt>
                <c:pt idx="5">
                  <c:v>7800</c:v>
                </c:pt>
                <c:pt idx="6">
                  <c:v>6700</c:v>
                </c:pt>
                <c:pt idx="7">
                  <c:v>6456</c:v>
                </c:pt>
                <c:pt idx="8">
                  <c:v>6357</c:v>
                </c:pt>
                <c:pt idx="9">
                  <c:v>5698</c:v>
                </c:pt>
                <c:pt idx="10">
                  <c:v>119184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0F-4365-9101-537C95DD04D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アイテム別売上推移!$F$1:$F$2</c15:sqref>
                        </c15:formulaRef>
                      </c:ext>
                    </c:extLst>
                    <c:strCache>
                      <c:ptCount val="2"/>
                      <c:pt idx="0">
                        <c:v>2025年1~9月累計</c:v>
                      </c:pt>
                      <c:pt idx="1">
                        <c:v>金額（千円）</c:v>
                      </c:pt>
                    </c:strCache>
                  </c:strRef>
                </c:tx>
                <c:dPt>
                  <c:idx val="0"/>
                  <c:bubble3D val="0"/>
                  <c:spPr>
                    <a:gradFill>
                      <a:gsLst>
                        <a:gs pos="100000">
                          <a:schemeClr val="accent1">
                            <a:shade val="41000"/>
                            <a:lumMod val="60000"/>
                            <a:lumOff val="40000"/>
                          </a:schemeClr>
                        </a:gs>
                        <a:gs pos="0">
                          <a:schemeClr val="accent1">
                            <a:shade val="41000"/>
                          </a:schemeClr>
                        </a:gs>
                      </a:gsLst>
                      <a:lin ang="5400000" scaled="0"/>
                    </a:gra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7-B582-4B64-8ED0-2CCC6C7CC644}"/>
                    </c:ext>
                  </c:extLst>
                </c:dPt>
                <c:dPt>
                  <c:idx val="1"/>
                  <c:bubble3D val="0"/>
                  <c:spPr>
                    <a:gradFill>
                      <a:gsLst>
                        <a:gs pos="100000">
                          <a:schemeClr val="accent1">
                            <a:shade val="53000"/>
                            <a:lumMod val="60000"/>
                            <a:lumOff val="40000"/>
                          </a:schemeClr>
                        </a:gs>
                        <a:gs pos="0">
                          <a:schemeClr val="accent1">
                            <a:shade val="53000"/>
                          </a:schemeClr>
                        </a:gs>
                      </a:gsLst>
                      <a:lin ang="5400000" scaled="0"/>
                    </a:gra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9-B582-4B64-8ED0-2CCC6C7CC644}"/>
                    </c:ext>
                  </c:extLst>
                </c:dPt>
                <c:dPt>
                  <c:idx val="2"/>
                  <c:bubble3D val="0"/>
                  <c:spPr>
                    <a:gradFill>
                      <a:gsLst>
                        <a:gs pos="100000">
                          <a:schemeClr val="accent1">
                            <a:shade val="65000"/>
                            <a:lumMod val="60000"/>
                            <a:lumOff val="40000"/>
                          </a:schemeClr>
                        </a:gs>
                        <a:gs pos="0">
                          <a:schemeClr val="accent1">
                            <a:shade val="65000"/>
                          </a:schemeClr>
                        </a:gs>
                      </a:gsLst>
                      <a:lin ang="5400000" scaled="0"/>
                    </a:gra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B-B582-4B64-8ED0-2CCC6C7CC644}"/>
                    </c:ext>
                  </c:extLst>
                </c:dPt>
                <c:dPt>
                  <c:idx val="3"/>
                  <c:bubble3D val="0"/>
                  <c:spPr>
                    <a:gradFill>
                      <a:gsLst>
                        <a:gs pos="100000">
                          <a:schemeClr val="accent1">
                            <a:shade val="76000"/>
                            <a:lumMod val="60000"/>
                            <a:lumOff val="40000"/>
                          </a:schemeClr>
                        </a:gs>
                        <a:gs pos="0">
                          <a:schemeClr val="accent1">
                            <a:shade val="76000"/>
                          </a:schemeClr>
                        </a:gs>
                      </a:gsLst>
                      <a:lin ang="5400000" scaled="0"/>
                    </a:gra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D-B582-4B64-8ED0-2CCC6C7CC644}"/>
                    </c:ext>
                  </c:extLst>
                </c:dPt>
                <c:dPt>
                  <c:idx val="4"/>
                  <c:bubble3D val="0"/>
                  <c:spPr>
                    <a:gradFill>
                      <a:gsLst>
                        <a:gs pos="100000">
                          <a:schemeClr val="accent1">
                            <a:shade val="88000"/>
                            <a:lumMod val="60000"/>
                            <a:lumOff val="40000"/>
                          </a:schemeClr>
                        </a:gs>
                        <a:gs pos="0">
                          <a:schemeClr val="accent1">
                            <a:shade val="88000"/>
                          </a:schemeClr>
                        </a:gs>
                      </a:gsLst>
                      <a:lin ang="5400000" scaled="0"/>
                    </a:gra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F-B582-4B64-8ED0-2CCC6C7CC644}"/>
                    </c:ext>
                  </c:extLst>
                </c:dPt>
                <c:dPt>
                  <c:idx val="5"/>
                  <c:bubble3D val="0"/>
                  <c:spPr>
                    <a:gradFill>
                      <a:gsLst>
                        <a:gs pos="100000">
                          <a:schemeClr val="accent1">
                            <a:lumMod val="60000"/>
                            <a:lumOff val="40000"/>
                          </a:schemeClr>
                        </a:gs>
                        <a:gs pos="0">
                          <a:schemeClr val="accent1"/>
                        </a:gs>
                      </a:gsLst>
                      <a:lin ang="5400000" scaled="0"/>
                    </a:gra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1-B582-4B64-8ED0-2CCC6C7CC644}"/>
                    </c:ext>
                  </c:extLst>
                </c:dPt>
                <c:dPt>
                  <c:idx val="6"/>
                  <c:bubble3D val="0"/>
                  <c:spPr>
                    <a:gradFill>
                      <a:gsLst>
                        <a:gs pos="100000">
                          <a:schemeClr val="accent1">
                            <a:tint val="89000"/>
                            <a:lumMod val="60000"/>
                            <a:lumOff val="40000"/>
                          </a:schemeClr>
                        </a:gs>
                        <a:gs pos="0">
                          <a:schemeClr val="accent1">
                            <a:tint val="89000"/>
                          </a:schemeClr>
                        </a:gs>
                      </a:gsLst>
                      <a:lin ang="5400000" scaled="0"/>
                    </a:gra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3-B582-4B64-8ED0-2CCC6C7CC644}"/>
                    </c:ext>
                  </c:extLst>
                </c:dPt>
                <c:dPt>
                  <c:idx val="7"/>
                  <c:bubble3D val="0"/>
                  <c:spPr>
                    <a:gradFill>
                      <a:gsLst>
                        <a:gs pos="100000">
                          <a:schemeClr val="accent1">
                            <a:tint val="77000"/>
                            <a:lumMod val="60000"/>
                            <a:lumOff val="40000"/>
                          </a:schemeClr>
                        </a:gs>
                        <a:gs pos="0">
                          <a:schemeClr val="accent1">
                            <a:tint val="77000"/>
                          </a:schemeClr>
                        </a:gs>
                      </a:gsLst>
                      <a:lin ang="5400000" scaled="0"/>
                    </a:gra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5-B582-4B64-8ED0-2CCC6C7CC644}"/>
                    </c:ext>
                  </c:extLst>
                </c:dPt>
                <c:dPt>
                  <c:idx val="8"/>
                  <c:bubble3D val="0"/>
                  <c:spPr>
                    <a:gradFill>
                      <a:gsLst>
                        <a:gs pos="100000">
                          <a:schemeClr val="accent1">
                            <a:tint val="65000"/>
                            <a:lumMod val="60000"/>
                            <a:lumOff val="40000"/>
                          </a:schemeClr>
                        </a:gs>
                        <a:gs pos="0">
                          <a:schemeClr val="accent1">
                            <a:tint val="65000"/>
                          </a:schemeClr>
                        </a:gs>
                      </a:gsLst>
                      <a:lin ang="5400000" scaled="0"/>
                    </a:gra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7-B582-4B64-8ED0-2CCC6C7CC644}"/>
                    </c:ext>
                  </c:extLst>
                </c:dPt>
                <c:dPt>
                  <c:idx val="9"/>
                  <c:bubble3D val="0"/>
                  <c:spPr>
                    <a:gradFill>
                      <a:gsLst>
                        <a:gs pos="100000">
                          <a:schemeClr val="accent1">
                            <a:tint val="54000"/>
                            <a:lumMod val="60000"/>
                            <a:lumOff val="40000"/>
                          </a:schemeClr>
                        </a:gs>
                        <a:gs pos="0">
                          <a:schemeClr val="accent1">
                            <a:tint val="54000"/>
                          </a:schemeClr>
                        </a:gs>
                      </a:gsLst>
                      <a:lin ang="5400000" scaled="0"/>
                    </a:gra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9-B582-4B64-8ED0-2CCC6C7CC644}"/>
                    </c:ext>
                  </c:extLst>
                </c:dPt>
                <c:dPt>
                  <c:idx val="10"/>
                  <c:bubble3D val="0"/>
                  <c:spPr>
                    <a:gradFill>
                      <a:gsLst>
                        <a:gs pos="100000">
                          <a:schemeClr val="accent1">
                            <a:tint val="42000"/>
                            <a:lumMod val="60000"/>
                            <a:lumOff val="40000"/>
                          </a:schemeClr>
                        </a:gs>
                        <a:gs pos="0">
                          <a:schemeClr val="accent1">
                            <a:tint val="42000"/>
                          </a:schemeClr>
                        </a:gs>
                      </a:gsLst>
                      <a:lin ang="5400000" scaled="0"/>
                    </a:gra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B-B582-4B64-8ED0-2CCC6C7CC644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dk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ja-JP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dk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アイテム別売上推移!$B$3:$B$13</c15:sqref>
                        </c15:formulaRef>
                      </c:ext>
                    </c:extLst>
                    <c:strCache>
                      <c:ptCount val="11"/>
                      <c:pt idx="0">
                        <c:v>DLEA</c:v>
                      </c:pt>
                      <c:pt idx="1">
                        <c:v>MUSC</c:v>
                      </c:pt>
                      <c:pt idx="2">
                        <c:v>MUCI</c:v>
                      </c:pt>
                      <c:pt idx="3">
                        <c:v>DLFP</c:v>
                      </c:pt>
                      <c:pt idx="4">
                        <c:v>DLIB</c:v>
                      </c:pt>
                      <c:pt idx="5">
                        <c:v>DLCE</c:v>
                      </c:pt>
                      <c:pt idx="6">
                        <c:v>DLCH</c:v>
                      </c:pt>
                      <c:pt idx="7">
                        <c:v>DLCC</c:v>
                      </c:pt>
                      <c:pt idx="8">
                        <c:v>YNRE001</c:v>
                      </c:pt>
                      <c:pt idx="9">
                        <c:v>MUCF</c:v>
                      </c:pt>
                      <c:pt idx="10">
                        <c:v>11位以下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アイテム別売上推移!$F$3:$F$13</c15:sqref>
                        </c15:formulaRef>
                      </c:ext>
                    </c:extLst>
                    <c:numCache>
                      <c:formatCode>#,##0_);[Red]\(#,##0\)</c:formatCode>
                      <c:ptCount val="11"/>
                      <c:pt idx="0">
                        <c:v>109435.92</c:v>
                      </c:pt>
                      <c:pt idx="1">
                        <c:v>101750</c:v>
                      </c:pt>
                      <c:pt idx="2">
                        <c:v>28323.9</c:v>
                      </c:pt>
                      <c:pt idx="3">
                        <c:v>16259.165999999999</c:v>
                      </c:pt>
                      <c:pt idx="4">
                        <c:v>9108</c:v>
                      </c:pt>
                      <c:pt idx="5">
                        <c:v>5148</c:v>
                      </c:pt>
                      <c:pt idx="6">
                        <c:v>4422</c:v>
                      </c:pt>
                      <c:pt idx="7">
                        <c:v>4260.96</c:v>
                      </c:pt>
                      <c:pt idx="8">
                        <c:v>4545.2550000000001</c:v>
                      </c:pt>
                      <c:pt idx="9">
                        <c:v>5641.02</c:v>
                      </c:pt>
                      <c:pt idx="10">
                        <c:v>154503.728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B70F-4365-9101-537C95DD04D4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ysClr val="window" lastClr="FFFFFF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1" i="0" u="none" strike="noStrike" kern="1200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UD デジタル 教科書体 NP-R" panose="02020400000000000000" pitchFamily="18" charset="-128"/>
                <a:ea typeface="UD デジタル 教科書体 NP-R" panose="02020400000000000000" pitchFamily="18" charset="-128"/>
                <a:cs typeface="+mj-cs"/>
              </a:defRPr>
            </a:pPr>
            <a:r>
              <a:rPr lang="en-US" altLang="ja-JP" sz="1050">
                <a:solidFill>
                  <a:schemeClr val="tx1">
                    <a:lumMod val="65000"/>
                    <a:lumOff val="35000"/>
                  </a:schemeClr>
                </a:solidFill>
                <a:latin typeface="UD デジタル 教科書体 NP-R" panose="02020400000000000000" pitchFamily="18" charset="-128"/>
                <a:ea typeface="UD デジタル 教科書体 NP-R" panose="02020400000000000000" pitchFamily="18" charset="-128"/>
              </a:rPr>
              <a:t>2024</a:t>
            </a:r>
            <a:r>
              <a:rPr lang="ja-JP" altLang="en-US" sz="1050">
                <a:solidFill>
                  <a:schemeClr val="tx1">
                    <a:lumMod val="65000"/>
                    <a:lumOff val="35000"/>
                  </a:schemeClr>
                </a:solidFill>
                <a:latin typeface="UD デジタル 教科書体 NP-R" panose="02020400000000000000" pitchFamily="18" charset="-128"/>
                <a:ea typeface="UD デジタル 教科書体 NP-R" panose="02020400000000000000" pitchFamily="18" charset="-128"/>
              </a:rPr>
              <a:t>年</a:t>
            </a:r>
            <a:r>
              <a:rPr lang="en-US" altLang="ja-JP" sz="1050">
                <a:solidFill>
                  <a:schemeClr val="tx1">
                    <a:lumMod val="65000"/>
                    <a:lumOff val="35000"/>
                  </a:schemeClr>
                </a:solidFill>
                <a:latin typeface="UD デジタル 教科書体 NP-R" panose="02020400000000000000" pitchFamily="18" charset="-128"/>
                <a:ea typeface="UD デジタル 教科書体 NP-R" panose="02020400000000000000" pitchFamily="18" charset="-128"/>
              </a:rPr>
              <a:t>7</a:t>
            </a:r>
            <a:r>
              <a:rPr lang="ja-JP" altLang="en-US" sz="1050">
                <a:solidFill>
                  <a:schemeClr val="tx1">
                    <a:lumMod val="65000"/>
                    <a:lumOff val="35000"/>
                  </a:schemeClr>
                </a:solidFill>
                <a:latin typeface="UD デジタル 教科書体 NP-R" panose="02020400000000000000" pitchFamily="18" charset="-128"/>
                <a:ea typeface="UD デジタル 教科書体 NP-R" panose="02020400000000000000" pitchFamily="18" charset="-128"/>
              </a:rPr>
              <a:t>月～</a:t>
            </a:r>
            <a:r>
              <a:rPr lang="en-US" altLang="ja-JP" sz="1050">
                <a:solidFill>
                  <a:schemeClr val="tx1">
                    <a:lumMod val="65000"/>
                    <a:lumOff val="35000"/>
                  </a:schemeClr>
                </a:solidFill>
                <a:latin typeface="UD デジタル 教科書体 NP-R" panose="02020400000000000000" pitchFamily="18" charset="-128"/>
                <a:ea typeface="UD デジタル 教科書体 NP-R" panose="02020400000000000000" pitchFamily="18" charset="-128"/>
              </a:rPr>
              <a:t>2025</a:t>
            </a:r>
            <a:r>
              <a:rPr lang="ja-JP" altLang="en-US" sz="1050">
                <a:solidFill>
                  <a:schemeClr val="tx1">
                    <a:lumMod val="65000"/>
                    <a:lumOff val="35000"/>
                  </a:schemeClr>
                </a:solidFill>
                <a:latin typeface="UD デジタル 教科書体 NP-R" panose="02020400000000000000" pitchFamily="18" charset="-128"/>
                <a:ea typeface="UD デジタル 教科書体 NP-R" panose="02020400000000000000" pitchFamily="18" charset="-128"/>
              </a:rPr>
              <a:t>年</a:t>
            </a:r>
            <a:r>
              <a:rPr lang="en-US" altLang="ja-JP" sz="1050">
                <a:solidFill>
                  <a:schemeClr val="tx1">
                    <a:lumMod val="65000"/>
                    <a:lumOff val="35000"/>
                  </a:schemeClr>
                </a:solidFill>
                <a:latin typeface="UD デジタル 教科書体 NP-R" panose="02020400000000000000" pitchFamily="18" charset="-128"/>
                <a:ea typeface="UD デジタル 教科書体 NP-R" panose="02020400000000000000" pitchFamily="18" charset="-128"/>
              </a:rPr>
              <a:t>7</a:t>
            </a:r>
            <a:r>
              <a:rPr lang="ja-JP" altLang="en-US" sz="1050">
                <a:solidFill>
                  <a:schemeClr val="tx1">
                    <a:lumMod val="65000"/>
                    <a:lumOff val="35000"/>
                  </a:schemeClr>
                </a:solidFill>
                <a:latin typeface="UD デジタル 教科書体 NP-R" panose="02020400000000000000" pitchFamily="18" charset="-128"/>
                <a:ea typeface="UD デジタル 教科書体 NP-R" panose="02020400000000000000" pitchFamily="18" charset="-128"/>
              </a:rPr>
              <a:t>月累計 金額（千円）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UD デジタル 教科書体 NP-R" panose="02020400000000000000" pitchFamily="18" charset="-128"/>
              <a:ea typeface="UD デジタル 教科書体 NP-R" panose="02020400000000000000" pitchFamily="18" charset="-128"/>
              <a:cs typeface="+mj-cs"/>
            </a:defRPr>
          </a:pPr>
          <a:endParaRPr lang="ja-JP"/>
        </a:p>
      </c:txPr>
    </c:title>
    <c:autoTitleDeleted val="0"/>
    <c:plotArea>
      <c:layout/>
      <c:pieChart>
        <c:varyColors val="1"/>
        <c:ser>
          <c:idx val="1"/>
          <c:order val="1"/>
          <c:tx>
            <c:strRef>
              <c:f>アイテム別売上推移!$F$1:$F$2</c:f>
              <c:strCache>
                <c:ptCount val="2"/>
                <c:pt idx="0">
                  <c:v>2025年1~9月累計</c:v>
                </c:pt>
                <c:pt idx="1">
                  <c:v>金額（千円）</c:v>
                </c:pt>
              </c:strCache>
              <c:extLst xmlns:c15="http://schemas.microsoft.com/office/drawing/2012/chart"/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3">
                      <a:shade val="41000"/>
                      <a:lumMod val="60000"/>
                      <a:lumOff val="40000"/>
                    </a:schemeClr>
                  </a:gs>
                  <a:gs pos="0">
                    <a:schemeClr val="accent3">
                      <a:shade val="41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00E7-491D-A89D-D7EBF74FC02D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3">
                      <a:shade val="53000"/>
                      <a:lumMod val="60000"/>
                      <a:lumOff val="40000"/>
                    </a:schemeClr>
                  </a:gs>
                  <a:gs pos="0">
                    <a:schemeClr val="accent3">
                      <a:shade val="53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A-00E7-491D-A89D-D7EBF74FC02D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shade val="65000"/>
                      <a:lumMod val="60000"/>
                      <a:lumOff val="40000"/>
                    </a:schemeClr>
                  </a:gs>
                  <a:gs pos="0">
                    <a:schemeClr val="accent3">
                      <a:shade val="65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C-00E7-491D-A89D-D7EBF74FC02D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3">
                      <a:shade val="76000"/>
                      <a:lumMod val="60000"/>
                      <a:lumOff val="40000"/>
                    </a:schemeClr>
                  </a:gs>
                  <a:gs pos="0">
                    <a:schemeClr val="accent3">
                      <a:shade val="76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E-00E7-491D-A89D-D7EBF74FC02D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3">
                      <a:shade val="88000"/>
                      <a:lumMod val="60000"/>
                      <a:lumOff val="40000"/>
                    </a:schemeClr>
                  </a:gs>
                  <a:gs pos="0">
                    <a:schemeClr val="accent3">
                      <a:shade val="88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0-00E7-491D-A89D-D7EBF74FC02D}"/>
              </c:ext>
            </c:extLst>
          </c:dPt>
          <c:dPt>
            <c:idx val="5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2-00E7-491D-A89D-D7EBF74FC02D}"/>
              </c:ext>
            </c:extLst>
          </c:dPt>
          <c:dPt>
            <c:idx val="6"/>
            <c:bubble3D val="0"/>
            <c:spPr>
              <a:gradFill>
                <a:gsLst>
                  <a:gs pos="100000">
                    <a:schemeClr val="accent3">
                      <a:tint val="89000"/>
                      <a:lumMod val="60000"/>
                      <a:lumOff val="40000"/>
                    </a:schemeClr>
                  </a:gs>
                  <a:gs pos="0">
                    <a:schemeClr val="accent3">
                      <a:tint val="89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4-00E7-491D-A89D-D7EBF74FC02D}"/>
              </c:ext>
            </c:extLst>
          </c:dPt>
          <c:dPt>
            <c:idx val="7"/>
            <c:bubble3D val="0"/>
            <c:spPr>
              <a:gradFill>
                <a:gsLst>
                  <a:gs pos="100000">
                    <a:schemeClr val="accent3">
                      <a:tint val="77000"/>
                      <a:lumMod val="60000"/>
                      <a:lumOff val="40000"/>
                    </a:schemeClr>
                  </a:gs>
                  <a:gs pos="0">
                    <a:schemeClr val="accent3">
                      <a:tint val="77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6-00E7-491D-A89D-D7EBF74FC02D}"/>
              </c:ext>
            </c:extLst>
          </c:dPt>
          <c:dPt>
            <c:idx val="8"/>
            <c:bubble3D val="0"/>
            <c:spPr>
              <a:gradFill>
                <a:gsLst>
                  <a:gs pos="100000">
                    <a:schemeClr val="accent3">
                      <a:tint val="65000"/>
                      <a:lumMod val="60000"/>
                      <a:lumOff val="40000"/>
                    </a:schemeClr>
                  </a:gs>
                  <a:gs pos="0">
                    <a:schemeClr val="accent3">
                      <a:tint val="65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8-00E7-491D-A89D-D7EBF74FC02D}"/>
              </c:ext>
            </c:extLst>
          </c:dPt>
          <c:dPt>
            <c:idx val="9"/>
            <c:bubble3D val="0"/>
            <c:spPr>
              <a:gradFill>
                <a:gsLst>
                  <a:gs pos="100000">
                    <a:schemeClr val="accent3">
                      <a:tint val="54000"/>
                      <a:lumMod val="60000"/>
                      <a:lumOff val="40000"/>
                    </a:schemeClr>
                  </a:gs>
                  <a:gs pos="0">
                    <a:schemeClr val="accent3">
                      <a:tint val="54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A-00E7-491D-A89D-D7EBF74FC02D}"/>
              </c:ext>
            </c:extLst>
          </c:dPt>
          <c:dPt>
            <c:idx val="10"/>
            <c:bubble3D val="0"/>
            <c:spPr>
              <a:gradFill>
                <a:gsLst>
                  <a:gs pos="100000">
                    <a:schemeClr val="accent3">
                      <a:tint val="42000"/>
                      <a:lumMod val="60000"/>
                      <a:lumOff val="40000"/>
                    </a:schemeClr>
                  </a:gs>
                  <a:gs pos="0">
                    <a:schemeClr val="accent3">
                      <a:tint val="42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C-00E7-491D-A89D-D7EBF74FC02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bestFit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5="http://schemas.microsoft.com/office/drawing/2012/chart">
              <c:ext xmlns:c15="http://schemas.microsoft.com/office/drawing/2012/chart" uri="{CE6537A1-D6FC-4f65-9D91-7224C49458BB}"/>
            </c:extLst>
          </c:dLbls>
          <c:cat>
            <c:strRef>
              <c:f>アイテム別売上推移!$B$3:$B$13</c:f>
              <c:strCache>
                <c:ptCount val="11"/>
                <c:pt idx="0">
                  <c:v>DLEA</c:v>
                </c:pt>
                <c:pt idx="1">
                  <c:v>MUSC</c:v>
                </c:pt>
                <c:pt idx="2">
                  <c:v>MUCI</c:v>
                </c:pt>
                <c:pt idx="3">
                  <c:v>DLFP</c:v>
                </c:pt>
                <c:pt idx="4">
                  <c:v>DLIB</c:v>
                </c:pt>
                <c:pt idx="5">
                  <c:v>DLCE</c:v>
                </c:pt>
                <c:pt idx="6">
                  <c:v>DLCH</c:v>
                </c:pt>
                <c:pt idx="7">
                  <c:v>DLCC</c:v>
                </c:pt>
                <c:pt idx="8">
                  <c:v>YNRE001</c:v>
                </c:pt>
                <c:pt idx="9">
                  <c:v>MUCF</c:v>
                </c:pt>
                <c:pt idx="10">
                  <c:v>11位以下</c:v>
                </c:pt>
              </c:strCache>
              <c:extLst xmlns:c15="http://schemas.microsoft.com/office/drawing/2012/chart"/>
            </c:strRef>
          </c:cat>
          <c:val>
            <c:numRef>
              <c:f>アイテム別売上推移!$F$3:$F$13</c:f>
              <c:numCache>
                <c:formatCode>#,##0_);[Red]\(#,##0\)</c:formatCode>
                <c:ptCount val="11"/>
                <c:pt idx="0">
                  <c:v>109435.92</c:v>
                </c:pt>
                <c:pt idx="1">
                  <c:v>101750</c:v>
                </c:pt>
                <c:pt idx="2">
                  <c:v>28323.9</c:v>
                </c:pt>
                <c:pt idx="3">
                  <c:v>16259.165999999999</c:v>
                </c:pt>
                <c:pt idx="4">
                  <c:v>9108</c:v>
                </c:pt>
                <c:pt idx="5">
                  <c:v>5148</c:v>
                </c:pt>
                <c:pt idx="6">
                  <c:v>4422</c:v>
                </c:pt>
                <c:pt idx="7">
                  <c:v>4260.96</c:v>
                </c:pt>
                <c:pt idx="8">
                  <c:v>4545.2550000000001</c:v>
                </c:pt>
                <c:pt idx="9">
                  <c:v>5641.02</c:v>
                </c:pt>
                <c:pt idx="10">
                  <c:v>154503.728</c:v>
                </c:pt>
              </c:numCache>
              <c:extLst xmlns:c15="http://schemas.microsoft.com/office/drawing/2012/chart"/>
            </c:numRef>
          </c:val>
          <c:extLst>
            <c:ext xmlns:c16="http://schemas.microsoft.com/office/drawing/2014/chart" uri="{C3380CC4-5D6E-409C-BE32-E72D297353CC}">
              <c16:uniqueId val="{0000002D-00E7-491D-A89D-D7EBF74FC02D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アイテム別売上推移!$D$1:$D$2</c15:sqref>
                        </c15:formulaRef>
                      </c:ext>
                    </c:extLst>
                    <c:strCache>
                      <c:ptCount val="2"/>
                      <c:pt idx="0">
                        <c:v>2025年1~9月累計</c:v>
                      </c:pt>
                      <c:pt idx="1">
                        <c:v>数量</c:v>
                      </c:pt>
                    </c:strCache>
                  </c:strRef>
                </c:tx>
                <c:dPt>
                  <c:idx val="0"/>
                  <c:bubble3D val="0"/>
                  <c:spPr>
                    <a:gradFill>
                      <a:gsLst>
                        <a:gs pos="100000">
                          <a:schemeClr val="accent3">
                            <a:shade val="41000"/>
                            <a:lumMod val="60000"/>
                            <a:lumOff val="40000"/>
                          </a:schemeClr>
                        </a:gs>
                        <a:gs pos="0">
                          <a:schemeClr val="accent3">
                            <a:shade val="41000"/>
                          </a:schemeClr>
                        </a:gs>
                      </a:gsLst>
                      <a:lin ang="5400000" scaled="0"/>
                    </a:gra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1-00E7-491D-A89D-D7EBF74FC02D}"/>
                    </c:ext>
                  </c:extLst>
                </c:dPt>
                <c:dPt>
                  <c:idx val="1"/>
                  <c:bubble3D val="0"/>
                  <c:spPr>
                    <a:gradFill>
                      <a:gsLst>
                        <a:gs pos="100000">
                          <a:schemeClr val="accent3">
                            <a:shade val="53000"/>
                            <a:lumMod val="60000"/>
                            <a:lumOff val="40000"/>
                          </a:schemeClr>
                        </a:gs>
                        <a:gs pos="0">
                          <a:schemeClr val="accent3">
                            <a:shade val="53000"/>
                          </a:schemeClr>
                        </a:gs>
                      </a:gsLst>
                      <a:lin ang="5400000" scaled="0"/>
                    </a:gra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3-00E7-491D-A89D-D7EBF74FC02D}"/>
                    </c:ext>
                  </c:extLst>
                </c:dPt>
                <c:dPt>
                  <c:idx val="2"/>
                  <c:bubble3D val="0"/>
                  <c:spPr>
                    <a:gradFill>
                      <a:gsLst>
                        <a:gs pos="100000">
                          <a:schemeClr val="accent3">
                            <a:shade val="65000"/>
                            <a:lumMod val="60000"/>
                            <a:lumOff val="40000"/>
                          </a:schemeClr>
                        </a:gs>
                        <a:gs pos="0">
                          <a:schemeClr val="accent3">
                            <a:shade val="65000"/>
                          </a:schemeClr>
                        </a:gs>
                      </a:gsLst>
                      <a:lin ang="5400000" scaled="0"/>
                    </a:gra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5-00E7-491D-A89D-D7EBF74FC02D}"/>
                    </c:ext>
                  </c:extLst>
                </c:dPt>
                <c:dPt>
                  <c:idx val="3"/>
                  <c:bubble3D val="0"/>
                  <c:spPr>
                    <a:gradFill>
                      <a:gsLst>
                        <a:gs pos="100000">
                          <a:schemeClr val="accent3">
                            <a:shade val="76000"/>
                            <a:lumMod val="60000"/>
                            <a:lumOff val="40000"/>
                          </a:schemeClr>
                        </a:gs>
                        <a:gs pos="0">
                          <a:schemeClr val="accent3">
                            <a:shade val="76000"/>
                          </a:schemeClr>
                        </a:gs>
                      </a:gsLst>
                      <a:lin ang="5400000" scaled="0"/>
                    </a:gra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7-00E7-491D-A89D-D7EBF74FC02D}"/>
                    </c:ext>
                  </c:extLst>
                </c:dPt>
                <c:dPt>
                  <c:idx val="4"/>
                  <c:bubble3D val="0"/>
                  <c:spPr>
                    <a:gradFill>
                      <a:gsLst>
                        <a:gs pos="100000">
                          <a:schemeClr val="accent3">
                            <a:shade val="88000"/>
                            <a:lumMod val="60000"/>
                            <a:lumOff val="40000"/>
                          </a:schemeClr>
                        </a:gs>
                        <a:gs pos="0">
                          <a:schemeClr val="accent3">
                            <a:shade val="88000"/>
                          </a:schemeClr>
                        </a:gs>
                      </a:gsLst>
                      <a:lin ang="5400000" scaled="0"/>
                    </a:gra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9-00E7-491D-A89D-D7EBF74FC02D}"/>
                    </c:ext>
                  </c:extLst>
                </c:dPt>
                <c:dPt>
                  <c:idx val="5"/>
                  <c:bubble3D val="0"/>
                  <c:spPr>
                    <a:gradFill>
                      <a:gsLst>
                        <a:gs pos="100000">
                          <a:schemeClr val="accent3">
                            <a:lumMod val="60000"/>
                            <a:lumOff val="40000"/>
                          </a:schemeClr>
                        </a:gs>
                        <a:gs pos="0">
                          <a:schemeClr val="accent3"/>
                        </a:gs>
                      </a:gsLst>
                      <a:lin ang="5400000" scaled="0"/>
                    </a:gra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B-00E7-491D-A89D-D7EBF74FC02D}"/>
                    </c:ext>
                  </c:extLst>
                </c:dPt>
                <c:dPt>
                  <c:idx val="6"/>
                  <c:bubble3D val="0"/>
                  <c:spPr>
                    <a:gradFill>
                      <a:gsLst>
                        <a:gs pos="100000">
                          <a:schemeClr val="accent3">
                            <a:tint val="89000"/>
                            <a:lumMod val="60000"/>
                            <a:lumOff val="40000"/>
                          </a:schemeClr>
                        </a:gs>
                        <a:gs pos="0">
                          <a:schemeClr val="accent3">
                            <a:tint val="89000"/>
                          </a:schemeClr>
                        </a:gs>
                      </a:gsLst>
                      <a:lin ang="5400000" scaled="0"/>
                    </a:gra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D-00E7-491D-A89D-D7EBF74FC02D}"/>
                    </c:ext>
                  </c:extLst>
                </c:dPt>
                <c:dPt>
                  <c:idx val="7"/>
                  <c:bubble3D val="0"/>
                  <c:spPr>
                    <a:gradFill>
                      <a:gsLst>
                        <a:gs pos="100000">
                          <a:schemeClr val="accent3">
                            <a:tint val="77000"/>
                            <a:lumMod val="60000"/>
                            <a:lumOff val="40000"/>
                          </a:schemeClr>
                        </a:gs>
                        <a:gs pos="0">
                          <a:schemeClr val="accent3">
                            <a:tint val="77000"/>
                          </a:schemeClr>
                        </a:gs>
                      </a:gsLst>
                      <a:lin ang="5400000" scaled="0"/>
                    </a:gra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F-00E7-491D-A89D-D7EBF74FC02D}"/>
                    </c:ext>
                  </c:extLst>
                </c:dPt>
                <c:dPt>
                  <c:idx val="8"/>
                  <c:bubble3D val="0"/>
                  <c:spPr>
                    <a:gradFill>
                      <a:gsLst>
                        <a:gs pos="100000">
                          <a:schemeClr val="accent3">
                            <a:tint val="65000"/>
                            <a:lumMod val="60000"/>
                            <a:lumOff val="40000"/>
                          </a:schemeClr>
                        </a:gs>
                        <a:gs pos="0">
                          <a:schemeClr val="accent3">
                            <a:tint val="65000"/>
                          </a:schemeClr>
                        </a:gs>
                      </a:gsLst>
                      <a:lin ang="5400000" scaled="0"/>
                    </a:gra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1-00E7-491D-A89D-D7EBF74FC02D}"/>
                    </c:ext>
                  </c:extLst>
                </c:dPt>
                <c:dPt>
                  <c:idx val="9"/>
                  <c:bubble3D val="0"/>
                  <c:spPr>
                    <a:gradFill>
                      <a:gsLst>
                        <a:gs pos="100000">
                          <a:schemeClr val="accent3">
                            <a:tint val="54000"/>
                            <a:lumMod val="60000"/>
                            <a:lumOff val="40000"/>
                          </a:schemeClr>
                        </a:gs>
                        <a:gs pos="0">
                          <a:schemeClr val="accent3">
                            <a:tint val="54000"/>
                          </a:schemeClr>
                        </a:gs>
                      </a:gsLst>
                      <a:lin ang="5400000" scaled="0"/>
                    </a:gra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3-00E7-491D-A89D-D7EBF74FC02D}"/>
                    </c:ext>
                  </c:extLst>
                </c:dPt>
                <c:dPt>
                  <c:idx val="10"/>
                  <c:bubble3D val="0"/>
                  <c:spPr>
                    <a:gradFill>
                      <a:gsLst>
                        <a:gs pos="100000">
                          <a:schemeClr val="accent3">
                            <a:tint val="42000"/>
                            <a:lumMod val="60000"/>
                            <a:lumOff val="40000"/>
                          </a:schemeClr>
                        </a:gs>
                        <a:gs pos="0">
                          <a:schemeClr val="accent3">
                            <a:tint val="42000"/>
                          </a:schemeClr>
                        </a:gs>
                      </a:gsLst>
                      <a:lin ang="5400000" scaled="0"/>
                    </a:gra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5-00E7-491D-A89D-D7EBF74FC02D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dk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ja-JP"/>
                    </a:p>
                  </c:txPr>
                  <c:dLblPos val="bestFit"/>
                  <c:showLegendKey val="0"/>
                  <c:showVal val="0"/>
                  <c:showCatName val="1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dk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アイテム別売上推移!$B$3:$B$13</c15:sqref>
                        </c15:formulaRef>
                      </c:ext>
                    </c:extLst>
                    <c:strCache>
                      <c:ptCount val="11"/>
                      <c:pt idx="0">
                        <c:v>DLEA</c:v>
                      </c:pt>
                      <c:pt idx="1">
                        <c:v>MUSC</c:v>
                      </c:pt>
                      <c:pt idx="2">
                        <c:v>MUCI</c:v>
                      </c:pt>
                      <c:pt idx="3">
                        <c:v>DLFP</c:v>
                      </c:pt>
                      <c:pt idx="4">
                        <c:v>DLIB</c:v>
                      </c:pt>
                      <c:pt idx="5">
                        <c:v>DLCE</c:v>
                      </c:pt>
                      <c:pt idx="6">
                        <c:v>DLCH</c:v>
                      </c:pt>
                      <c:pt idx="7">
                        <c:v>DLCC</c:v>
                      </c:pt>
                      <c:pt idx="8">
                        <c:v>YNRE001</c:v>
                      </c:pt>
                      <c:pt idx="9">
                        <c:v>MUCF</c:v>
                      </c:pt>
                      <c:pt idx="10">
                        <c:v>11位以下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アイテム別売上推移!$D$3:$D$13</c15:sqref>
                        </c15:formulaRef>
                      </c:ext>
                    </c:extLst>
                    <c:numCache>
                      <c:formatCode>#,##0_);[Red]\(#,##0\)</c:formatCode>
                      <c:ptCount val="11"/>
                      <c:pt idx="0">
                        <c:v>165812</c:v>
                      </c:pt>
                      <c:pt idx="1">
                        <c:v>37000</c:v>
                      </c:pt>
                      <c:pt idx="2">
                        <c:v>34332</c:v>
                      </c:pt>
                      <c:pt idx="3">
                        <c:v>23462</c:v>
                      </c:pt>
                      <c:pt idx="4">
                        <c:v>18400</c:v>
                      </c:pt>
                      <c:pt idx="5">
                        <c:v>7800</c:v>
                      </c:pt>
                      <c:pt idx="6">
                        <c:v>6700</c:v>
                      </c:pt>
                      <c:pt idx="7">
                        <c:v>6456</c:v>
                      </c:pt>
                      <c:pt idx="8">
                        <c:v>6357</c:v>
                      </c:pt>
                      <c:pt idx="9">
                        <c:v>5698</c:v>
                      </c:pt>
                      <c:pt idx="10">
                        <c:v>119184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16-00E7-491D-A89D-D7EBF74FC02D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ysClr val="window" lastClr="FFFFFF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UD デジタル 教科書体 NP-R" panose="02020400000000000000" pitchFamily="18" charset="-128"/>
                <a:ea typeface="UD デジタル 教科書体 NP-R" panose="02020400000000000000" pitchFamily="18" charset="-128"/>
                <a:cs typeface="+mn-cs"/>
              </a:defRPr>
            </a:pPr>
            <a:r>
              <a:rPr lang="en-US" sz="1200"/>
              <a:t>24</a:t>
            </a:r>
            <a:r>
              <a:rPr lang="ja-JP" sz="1200"/>
              <a:t>年</a:t>
            </a:r>
            <a:r>
              <a:rPr lang="en-US" sz="1200"/>
              <a:t>7</a:t>
            </a:r>
            <a:r>
              <a:rPr lang="ja-JP" sz="1200"/>
              <a:t>月～</a:t>
            </a:r>
            <a:r>
              <a:rPr lang="en-US" sz="1200"/>
              <a:t>25</a:t>
            </a:r>
            <a:r>
              <a:rPr lang="ja-JP" sz="1200"/>
              <a:t>年</a:t>
            </a:r>
            <a:r>
              <a:rPr lang="en-US" sz="1200"/>
              <a:t>7</a:t>
            </a:r>
            <a:r>
              <a:rPr lang="ja-JP" sz="1200"/>
              <a:t>月月別売上推移（単位：千円）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UD デジタル 教科書体 NP-R" panose="02020400000000000000" pitchFamily="18" charset="-128"/>
              <a:ea typeface="UD デジタル 教科書体 NP-R" panose="02020400000000000000" pitchFamily="18" charset="-128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6.2456631277254725E-2"/>
          <c:y val="0.17685185185185184"/>
          <c:w val="0.89961532890580453"/>
          <c:h val="0.7124387576552930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月別実績!$A$5</c:f>
              <c:strCache>
                <c:ptCount val="1"/>
                <c:pt idx="0">
                  <c:v>WeChat売上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月別実績!$B$3:$N$3</c:f>
              <c:strCache>
                <c:ptCount val="13"/>
                <c:pt idx="0">
                  <c:v>7月</c:v>
                </c:pt>
                <c:pt idx="1">
                  <c:v>8月</c:v>
                </c:pt>
                <c:pt idx="2">
                  <c:v>9月</c:v>
                </c:pt>
                <c:pt idx="3">
                  <c:v>10月</c:v>
                </c:pt>
                <c:pt idx="4">
                  <c:v>11月</c:v>
                </c:pt>
                <c:pt idx="5">
                  <c:v>12月</c:v>
                </c:pt>
                <c:pt idx="6">
                  <c:v>1月</c:v>
                </c:pt>
                <c:pt idx="7">
                  <c:v>2月</c:v>
                </c:pt>
                <c:pt idx="8">
                  <c:v>3月</c:v>
                </c:pt>
                <c:pt idx="9">
                  <c:v>4月</c:v>
                </c:pt>
                <c:pt idx="10">
                  <c:v>5月</c:v>
                </c:pt>
                <c:pt idx="11">
                  <c:v>6月</c:v>
                </c:pt>
                <c:pt idx="12">
                  <c:v>7月</c:v>
                </c:pt>
              </c:strCache>
            </c:strRef>
          </c:cat>
          <c:val>
            <c:numRef>
              <c:f>月別実績!$B$5:$N$5</c:f>
              <c:numCache>
                <c:formatCode>#,##0_);[Red]\(#,##0\)</c:formatCode>
                <c:ptCount val="13"/>
                <c:pt idx="0">
                  <c:v>2958.89</c:v>
                </c:pt>
                <c:pt idx="1">
                  <c:v>3926.4</c:v>
                </c:pt>
                <c:pt idx="2">
                  <c:v>2963.3049999999998</c:v>
                </c:pt>
                <c:pt idx="3">
                  <c:v>5776.5370000000003</c:v>
                </c:pt>
                <c:pt idx="4">
                  <c:v>10656.442999999999</c:v>
                </c:pt>
                <c:pt idx="5">
                  <c:v>7364.98</c:v>
                </c:pt>
                <c:pt idx="6">
                  <c:v>30890.606</c:v>
                </c:pt>
                <c:pt idx="7">
                  <c:v>23512.5</c:v>
                </c:pt>
                <c:pt idx="8">
                  <c:v>17188.097000000002</c:v>
                </c:pt>
                <c:pt idx="9">
                  <c:v>28318.053</c:v>
                </c:pt>
                <c:pt idx="10">
                  <c:v>66469.657999999996</c:v>
                </c:pt>
                <c:pt idx="11">
                  <c:v>21138.327000000001</c:v>
                </c:pt>
                <c:pt idx="12">
                  <c:v>50492.853000000003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F2-469B-987F-794E39B6737C}"/>
            </c:ext>
          </c:extLst>
        </c:ser>
        <c:ser>
          <c:idx val="1"/>
          <c:order val="1"/>
          <c:tx>
            <c:strRef>
              <c:f>月別実績!$A$6</c:f>
              <c:strCache>
                <c:ptCount val="1"/>
                <c:pt idx="0">
                  <c:v>その他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月別実績!$B$3:$N$3</c:f>
              <c:strCache>
                <c:ptCount val="13"/>
                <c:pt idx="0">
                  <c:v>7月</c:v>
                </c:pt>
                <c:pt idx="1">
                  <c:v>8月</c:v>
                </c:pt>
                <c:pt idx="2">
                  <c:v>9月</c:v>
                </c:pt>
                <c:pt idx="3">
                  <c:v>10月</c:v>
                </c:pt>
                <c:pt idx="4">
                  <c:v>11月</c:v>
                </c:pt>
                <c:pt idx="5">
                  <c:v>12月</c:v>
                </c:pt>
                <c:pt idx="6">
                  <c:v>1月</c:v>
                </c:pt>
                <c:pt idx="7">
                  <c:v>2月</c:v>
                </c:pt>
                <c:pt idx="8">
                  <c:v>3月</c:v>
                </c:pt>
                <c:pt idx="9">
                  <c:v>4月</c:v>
                </c:pt>
                <c:pt idx="10">
                  <c:v>5月</c:v>
                </c:pt>
                <c:pt idx="11">
                  <c:v>6月</c:v>
                </c:pt>
                <c:pt idx="12">
                  <c:v>7月</c:v>
                </c:pt>
              </c:strCache>
            </c:strRef>
          </c:cat>
          <c:val>
            <c:numRef>
              <c:f>月別実績!$B$6:$N$6</c:f>
              <c:numCache>
                <c:formatCode>#,##0_);[Red]\(#,##0\)</c:formatCode>
                <c:ptCount val="13"/>
                <c:pt idx="0">
                  <c:v>3660.7450000000003</c:v>
                </c:pt>
                <c:pt idx="1">
                  <c:v>1617.4950000000003</c:v>
                </c:pt>
                <c:pt idx="2">
                  <c:v>2460.5900000000006</c:v>
                </c:pt>
                <c:pt idx="3">
                  <c:v>7017.5499999999993</c:v>
                </c:pt>
                <c:pt idx="4">
                  <c:v>5014.9000000000015</c:v>
                </c:pt>
                <c:pt idx="5">
                  <c:v>275</c:v>
                </c:pt>
                <c:pt idx="6">
                  <c:v>4.0000000008149073E-3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2424.0149999999994</c:v>
                </c:pt>
                <c:pt idx="11">
                  <c:v>8488.6450000000004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F2-469B-987F-794E39B673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47918192"/>
        <c:axId val="747918520"/>
      </c:barChart>
      <c:lineChart>
        <c:grouping val="standard"/>
        <c:varyColors val="0"/>
        <c:ser>
          <c:idx val="2"/>
          <c:order val="2"/>
          <c:tx>
            <c:strRef>
              <c:f>月別実績!$A$7</c:f>
              <c:strCache>
                <c:ptCount val="1"/>
                <c:pt idx="0">
                  <c:v>WeChat構成比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UD デジタル 教科書体 NP-R" panose="02020400000000000000" pitchFamily="18" charset="-128"/>
                    <a:ea typeface="UD デジタル 教科書体 NP-R" panose="02020400000000000000" pitchFamily="18" charset="-128"/>
                    <a:cs typeface="+mn-cs"/>
                  </a:defRPr>
                </a:pPr>
                <a:endParaRPr lang="ja-JP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月別実績!$B$3:$N$3</c:f>
              <c:strCache>
                <c:ptCount val="13"/>
                <c:pt idx="0">
                  <c:v>7月</c:v>
                </c:pt>
                <c:pt idx="1">
                  <c:v>8月</c:v>
                </c:pt>
                <c:pt idx="2">
                  <c:v>9月</c:v>
                </c:pt>
                <c:pt idx="3">
                  <c:v>10月</c:v>
                </c:pt>
                <c:pt idx="4">
                  <c:v>11月</c:v>
                </c:pt>
                <c:pt idx="5">
                  <c:v>12月</c:v>
                </c:pt>
                <c:pt idx="6">
                  <c:v>1月</c:v>
                </c:pt>
                <c:pt idx="7">
                  <c:v>2月</c:v>
                </c:pt>
                <c:pt idx="8">
                  <c:v>3月</c:v>
                </c:pt>
                <c:pt idx="9">
                  <c:v>4月</c:v>
                </c:pt>
                <c:pt idx="10">
                  <c:v>5月</c:v>
                </c:pt>
                <c:pt idx="11">
                  <c:v>6月</c:v>
                </c:pt>
                <c:pt idx="12">
                  <c:v>7月</c:v>
                </c:pt>
              </c:strCache>
            </c:strRef>
          </c:cat>
          <c:val>
            <c:numRef>
              <c:f>月別実績!$B$7:$N$7</c:f>
              <c:numCache>
                <c:formatCode>0%</c:formatCode>
                <c:ptCount val="13"/>
                <c:pt idx="0">
                  <c:v>0.44698688069659426</c:v>
                </c:pt>
                <c:pt idx="1">
                  <c:v>0.70823852183347624</c:v>
                </c:pt>
                <c:pt idx="2">
                  <c:v>0.54634261909568671</c:v>
                </c:pt>
                <c:pt idx="3">
                  <c:v>0.45150052520355693</c:v>
                </c:pt>
                <c:pt idx="4">
                  <c:v>0.6799955179335937</c:v>
                </c:pt>
                <c:pt idx="5">
                  <c:v>0.9640051413747156</c:v>
                </c:pt>
                <c:pt idx="6">
                  <c:v>0.99999987051081218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0.96481512895966515</c:v>
                </c:pt>
                <c:pt idx="11">
                  <c:v>0.71348253206571366</c:v>
                </c:pt>
                <c:pt idx="1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6AF2-469B-987F-794E39B673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upDownBars>
          <c:gapWidth val="150"/>
          <c:upBars>
            <c:spPr>
              <a:solidFill>
                <a:schemeClr val="lt1"/>
              </a:solidFill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upBars>
          <c:downBars>
            <c:spPr>
              <a:solidFill>
                <a:schemeClr val="dk1">
                  <a:lumMod val="75000"/>
                  <a:lumOff val="25000"/>
                </a:schemeClr>
              </a:solidFill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downBars>
        </c:upDownBars>
        <c:marker val="1"/>
        <c:smooth val="0"/>
        <c:axId val="510524680"/>
        <c:axId val="510521400"/>
      </c:lineChart>
      <c:catAx>
        <c:axId val="747918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UD デジタル 教科書体 NP-R" panose="02020400000000000000" pitchFamily="18" charset="-128"/>
                <a:ea typeface="UD デジタル 教科書体 NP-R" panose="02020400000000000000" pitchFamily="18" charset="-128"/>
                <a:cs typeface="+mn-cs"/>
              </a:defRPr>
            </a:pPr>
            <a:endParaRPr lang="ja-JP"/>
          </a:p>
        </c:txPr>
        <c:crossAx val="747918520"/>
        <c:crosses val="autoZero"/>
        <c:auto val="1"/>
        <c:lblAlgn val="ctr"/>
        <c:lblOffset val="100"/>
        <c:noMultiLvlLbl val="0"/>
      </c:catAx>
      <c:valAx>
        <c:axId val="747918520"/>
        <c:scaling>
          <c:orientation val="minMax"/>
          <c:max val="70000"/>
        </c:scaling>
        <c:delete val="0"/>
        <c:axPos val="l"/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UD デジタル 教科書体 NP-R" panose="02020400000000000000" pitchFamily="18" charset="-128"/>
                <a:ea typeface="UD デジタル 教科書体 NP-R" panose="02020400000000000000" pitchFamily="18" charset="-128"/>
                <a:cs typeface="+mn-cs"/>
              </a:defRPr>
            </a:pPr>
            <a:endParaRPr lang="ja-JP"/>
          </a:p>
        </c:txPr>
        <c:crossAx val="747918192"/>
        <c:crosses val="autoZero"/>
        <c:crossBetween val="between"/>
      </c:valAx>
      <c:valAx>
        <c:axId val="510521400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UD デジタル 教科書体 NP-R" panose="02020400000000000000" pitchFamily="18" charset="-128"/>
                <a:ea typeface="UD デジタル 教科書体 NP-R" panose="02020400000000000000" pitchFamily="18" charset="-128"/>
                <a:cs typeface="+mn-cs"/>
              </a:defRPr>
            </a:pPr>
            <a:endParaRPr lang="ja-JP"/>
          </a:p>
        </c:txPr>
        <c:crossAx val="510524680"/>
        <c:crosses val="max"/>
        <c:crossBetween val="between"/>
      </c:valAx>
      <c:catAx>
        <c:axId val="51052468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1052140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ayout>
        <c:manualLayout>
          <c:xMode val="edge"/>
          <c:yMode val="edge"/>
          <c:x val="7.5966285036288272E-2"/>
          <c:y val="2.8529819189268012E-2"/>
          <c:w val="0.14386382259721858"/>
          <c:h val="0.153828554449561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UD デジタル 教科書体 NP-R" panose="02020400000000000000" pitchFamily="18" charset="-128"/>
              <a:ea typeface="UD デジタル 教科書体 NP-R" panose="02020400000000000000" pitchFamily="18" charset="-128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UD デジタル 教科書体 NP-R" panose="02020400000000000000" pitchFamily="18" charset="-128"/>
          <a:ea typeface="UD デジタル 教科書体 NP-R" panose="02020400000000000000" pitchFamily="18" charset="-128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グラフ作成用!$D$2</c:f>
              <c:strCache>
                <c:ptCount val="1"/>
                <c:pt idx="0">
                  <c:v>合計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accent6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UD デジタル 教科書体 NP-R" panose="02020400000000000000" pitchFamily="18" charset="-128"/>
                    <a:ea typeface="UD デジタル 教科書体 NP-R" panose="02020400000000000000" pitchFamily="18" charset="-128"/>
                    <a:cs typeface="+mn-cs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グラフ作成用!$E$1:$M$1</c:f>
              <c:numCache>
                <c:formatCode>yyyy"年"m"月";@</c:formatCode>
                <c:ptCount val="9"/>
                <c:pt idx="0">
                  <c:v>45658</c:v>
                </c:pt>
                <c:pt idx="1">
                  <c:v>45690</c:v>
                </c:pt>
                <c:pt idx="2">
                  <c:v>45722</c:v>
                </c:pt>
                <c:pt idx="3">
                  <c:v>45754</c:v>
                </c:pt>
                <c:pt idx="4">
                  <c:v>45786</c:v>
                </c:pt>
                <c:pt idx="5">
                  <c:v>45818</c:v>
                </c:pt>
                <c:pt idx="6">
                  <c:v>45848</c:v>
                </c:pt>
                <c:pt idx="7">
                  <c:v>45880</c:v>
                </c:pt>
                <c:pt idx="8">
                  <c:v>45912</c:v>
                </c:pt>
              </c:numCache>
            </c:numRef>
          </c:cat>
          <c:val>
            <c:numRef>
              <c:f>グラフ作成用!$E$2:$M$2</c:f>
              <c:numCache>
                <c:formatCode>#,##0_);[Red]\(#,##0\)</c:formatCode>
                <c:ptCount val="9"/>
                <c:pt idx="0">
                  <c:v>30890.606000000003</c:v>
                </c:pt>
                <c:pt idx="1">
                  <c:v>20628.739999999998</c:v>
                </c:pt>
                <c:pt idx="2">
                  <c:v>17188.097000000002</c:v>
                </c:pt>
                <c:pt idx="3">
                  <c:v>28318.053</c:v>
                </c:pt>
                <c:pt idx="4">
                  <c:v>66469.657999999996</c:v>
                </c:pt>
                <c:pt idx="5">
                  <c:v>21138.327000000001</c:v>
                </c:pt>
                <c:pt idx="6">
                  <c:v>50492.853000000003</c:v>
                </c:pt>
                <c:pt idx="7">
                  <c:v>39510.953999999998</c:v>
                </c:pt>
                <c:pt idx="8">
                  <c:v>165876.90100000001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FF-43B1-B138-97984F7A2C3D}"/>
            </c:ext>
          </c:extLst>
        </c:ser>
        <c:ser>
          <c:idx val="1"/>
          <c:order val="1"/>
          <c:tx>
            <c:strRef>
              <c:f>グラフ作成用!$D$3</c:f>
              <c:strCache>
                <c:ptCount val="1"/>
                <c:pt idx="0">
                  <c:v>MAKE　KEEP　　MIST　　EX　+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グラフ作成用!$E$1:$M$1</c:f>
              <c:numCache>
                <c:formatCode>yyyy"年"m"月";@</c:formatCode>
                <c:ptCount val="9"/>
                <c:pt idx="0">
                  <c:v>45658</c:v>
                </c:pt>
                <c:pt idx="1">
                  <c:v>45690</c:v>
                </c:pt>
                <c:pt idx="2">
                  <c:v>45722</c:v>
                </c:pt>
                <c:pt idx="3">
                  <c:v>45754</c:v>
                </c:pt>
                <c:pt idx="4">
                  <c:v>45786</c:v>
                </c:pt>
                <c:pt idx="5">
                  <c:v>45818</c:v>
                </c:pt>
                <c:pt idx="6">
                  <c:v>45848</c:v>
                </c:pt>
                <c:pt idx="7">
                  <c:v>45880</c:v>
                </c:pt>
                <c:pt idx="8">
                  <c:v>45912</c:v>
                </c:pt>
              </c:numCache>
            </c:numRef>
          </c:cat>
          <c:val>
            <c:numRef>
              <c:f>グラフ作成用!$E$3:$M$3</c:f>
              <c:numCache>
                <c:formatCode>#,##0_);[Red]\(#,##0\)</c:formatCode>
                <c:ptCount val="9"/>
                <c:pt idx="0">
                  <c:v>1333.2</c:v>
                </c:pt>
                <c:pt idx="1">
                  <c:v>2360.8200000000002</c:v>
                </c:pt>
                <c:pt idx="2">
                  <c:v>5488.56</c:v>
                </c:pt>
                <c:pt idx="3">
                  <c:v>8102.16</c:v>
                </c:pt>
                <c:pt idx="4">
                  <c:v>13332.66</c:v>
                </c:pt>
                <c:pt idx="5">
                  <c:v>9139.68</c:v>
                </c:pt>
                <c:pt idx="6">
                  <c:v>20606.52</c:v>
                </c:pt>
                <c:pt idx="7">
                  <c:v>6600</c:v>
                </c:pt>
                <c:pt idx="8">
                  <c:v>42472.32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AFF-43B1-B138-97984F7A2C3D}"/>
            </c:ext>
          </c:extLst>
        </c:ser>
        <c:ser>
          <c:idx val="2"/>
          <c:order val="2"/>
          <c:tx>
            <c:strRef>
              <c:f>グラフ作成用!$D$4</c:f>
              <c:strCache>
                <c:ptCount val="1"/>
                <c:pt idx="0">
                  <c:v>ONE  BY  KOSE  SERUM SHIELD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グラフ作成用!$E$1:$M$1</c:f>
              <c:numCache>
                <c:formatCode>yyyy"年"m"月";@</c:formatCode>
                <c:ptCount val="9"/>
                <c:pt idx="0">
                  <c:v>45658</c:v>
                </c:pt>
                <c:pt idx="1">
                  <c:v>45690</c:v>
                </c:pt>
                <c:pt idx="2">
                  <c:v>45722</c:v>
                </c:pt>
                <c:pt idx="3">
                  <c:v>45754</c:v>
                </c:pt>
                <c:pt idx="4">
                  <c:v>45786</c:v>
                </c:pt>
                <c:pt idx="5">
                  <c:v>45818</c:v>
                </c:pt>
                <c:pt idx="6">
                  <c:v>45848</c:v>
                </c:pt>
                <c:pt idx="7">
                  <c:v>45880</c:v>
                </c:pt>
                <c:pt idx="8">
                  <c:v>45912</c:v>
                </c:pt>
              </c:numCache>
            </c:numRef>
          </c:cat>
          <c:val>
            <c:numRef>
              <c:f>グラフ作成用!$E$4:$M$4</c:f>
              <c:numCache>
                <c:formatCode>#,##0_);[Red]\(#,##0\)</c:formatCode>
                <c:ptCount val="9"/>
                <c:pt idx="0">
                  <c:v>9190.5</c:v>
                </c:pt>
                <c:pt idx="1">
                  <c:v>7312.25</c:v>
                </c:pt>
                <c:pt idx="2">
                  <c:v>2546.5</c:v>
                </c:pt>
                <c:pt idx="3">
                  <c:v>6083</c:v>
                </c:pt>
                <c:pt idx="4">
                  <c:v>16464.25</c:v>
                </c:pt>
                <c:pt idx="5">
                  <c:v>3080</c:v>
                </c:pt>
                <c:pt idx="6">
                  <c:v>7144.5</c:v>
                </c:pt>
                <c:pt idx="7" formatCode="General">
                  <c:v>4675</c:v>
                </c:pt>
                <c:pt idx="8">
                  <c:v>45254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AFF-43B1-B138-97984F7A2C3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708574064"/>
        <c:axId val="708569472"/>
      </c:barChart>
      <c:dateAx>
        <c:axId val="708574064"/>
        <c:scaling>
          <c:orientation val="minMax"/>
        </c:scaling>
        <c:delete val="0"/>
        <c:axPos val="b"/>
        <c:numFmt formatCode="yyyy&quot;年&quot;m&quot;月&quot;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UD デジタル 教科書体 NP-R" panose="02020400000000000000" pitchFamily="18" charset="-128"/>
                <a:ea typeface="UD デジタル 教科書体 NP-R" panose="02020400000000000000" pitchFamily="18" charset="-128"/>
                <a:cs typeface="+mn-cs"/>
              </a:defRPr>
            </a:pPr>
            <a:endParaRPr lang="ja-JP"/>
          </a:p>
        </c:txPr>
        <c:crossAx val="708569472"/>
        <c:crosses val="autoZero"/>
        <c:auto val="1"/>
        <c:lblOffset val="100"/>
        <c:baseTimeUnit val="months"/>
      </c:dateAx>
      <c:valAx>
        <c:axId val="70856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UD デジタル 教科書体 NP-R" panose="02020400000000000000" pitchFamily="18" charset="-128"/>
                <a:ea typeface="UD デジタル 教科書体 NP-R" panose="02020400000000000000" pitchFamily="18" charset="-128"/>
                <a:cs typeface="+mn-cs"/>
              </a:defRPr>
            </a:pPr>
            <a:endParaRPr lang="ja-JP"/>
          </a:p>
        </c:txPr>
        <c:crossAx val="708574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UD デジタル 教科書体 NP-R" panose="02020400000000000000" pitchFamily="18" charset="-128"/>
              <a:ea typeface="UD デジタル 教科書体 NP-R" panose="02020400000000000000" pitchFamily="18" charset="-128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700">
          <a:latin typeface="UD デジタル 教科書体 NP-R" panose="02020400000000000000" pitchFamily="18" charset="-128"/>
          <a:ea typeface="UD デジタル 教科書体 NP-R" panose="02020400000000000000" pitchFamily="18" charset="-128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384969</xdr:colOff>
      <xdr:row>20</xdr:row>
      <xdr:rowOff>160338</xdr:rowOff>
    </xdr:from>
    <xdr:to>
      <xdr:col>13</xdr:col>
      <xdr:colOff>555625</xdr:colOff>
      <xdr:row>36</xdr:row>
      <xdr:rowOff>109538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231775</xdr:colOff>
      <xdr:row>1</xdr:row>
      <xdr:rowOff>12700</xdr:rowOff>
    </xdr:from>
    <xdr:to>
      <xdr:col>14</xdr:col>
      <xdr:colOff>6350</xdr:colOff>
      <xdr:row>19</xdr:row>
      <xdr:rowOff>146050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596900</xdr:colOff>
      <xdr:row>1</xdr:row>
      <xdr:rowOff>0</xdr:rowOff>
    </xdr:from>
    <xdr:to>
      <xdr:col>20</xdr:col>
      <xdr:colOff>371475</xdr:colOff>
      <xdr:row>19</xdr:row>
      <xdr:rowOff>133350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531812</xdr:colOff>
      <xdr:row>9</xdr:row>
      <xdr:rowOff>136526</xdr:rowOff>
    </xdr:from>
    <xdr:to>
      <xdr:col>17</xdr:col>
      <xdr:colOff>444500</xdr:colOff>
      <xdr:row>25</xdr:row>
      <xdr:rowOff>85726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488156</xdr:colOff>
      <xdr:row>11</xdr:row>
      <xdr:rowOff>136525</xdr:rowOff>
    </xdr:from>
    <xdr:to>
      <xdr:col>11</xdr:col>
      <xdr:colOff>365125</xdr:colOff>
      <xdr:row>24</xdr:row>
      <xdr:rowOff>87311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23175\Downloads\0319&#32013;&#21697;&#26360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30.&#20107;&#26989;&#25512;&#36914;&#35506;/&#9733;&#9733;&#30452;&#36676;&#20107;&#26989;&#12481;&#12540;&#12512;/&#9733;&#9733;&#20849;&#36890;/&#21462;&#25201;&#21830;&#21697;&#12522;&#12473;&#12488;/&#9734;&#12304;xxxxnese&#12305;&#36234;&#22659;EC_&#21462;&#25201;&#21830;&#21697;&#12510;&#12473;&#12479;_&#12304;&#19978;&#26360;&#27880;&#24847;&#12305;%20%20xlsx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30.&#20107;&#26989;&#25512;&#36914;&#35506;/&#9733;&#9733;&#30452;&#36676;&#20107;&#26989;&#12481;&#12540;&#12512;/&#36234;&#22659;EC/UNQ/&#12304;SEK&#12305;&#36234;&#22659;EC_&#21462;&#25201;&#21830;&#21697;&#12510;&#12473;&#12479;_&#12304;&#19978;&#26360;&#27880;&#24847;&#12305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23175\Downloads\BB900_&#21830;&#21697;&#36664;&#20986;&#23455;&#32318;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Sheet3"/>
      <sheetName val="Sheet1"/>
    </sheetNames>
    <sheetDataSet>
      <sheetData sheetId="0">
        <row r="3">
          <cell r="A3" t="str">
            <v>行ラベル</v>
          </cell>
          <cell r="B3" t="str">
            <v>合計 / 数量</v>
          </cell>
          <cell r="C3" t="str">
            <v>合計 / 原価金額</v>
          </cell>
        </row>
        <row r="4">
          <cell r="A4" t="str">
            <v>BAAR</v>
          </cell>
          <cell r="B4">
            <v>5</v>
          </cell>
          <cell r="C4">
            <v>13200</v>
          </cell>
        </row>
        <row r="5">
          <cell r="A5" t="str">
            <v>BAAT</v>
          </cell>
          <cell r="B5">
            <v>5</v>
          </cell>
          <cell r="C5">
            <v>13750</v>
          </cell>
        </row>
        <row r="6">
          <cell r="A6" t="str">
            <v>BAAV</v>
          </cell>
          <cell r="B6">
            <v>30</v>
          </cell>
          <cell r="C6">
            <v>66000</v>
          </cell>
        </row>
        <row r="7">
          <cell r="A7" t="str">
            <v>BADI</v>
          </cell>
          <cell r="B7">
            <v>10</v>
          </cell>
          <cell r="C7">
            <v>8250</v>
          </cell>
        </row>
        <row r="8">
          <cell r="A8" t="str">
            <v>BAET</v>
          </cell>
          <cell r="B8">
            <v>30</v>
          </cell>
          <cell r="C8">
            <v>49500</v>
          </cell>
        </row>
        <row r="9">
          <cell r="A9" t="str">
            <v>BAEU</v>
          </cell>
          <cell r="B9">
            <v>30</v>
          </cell>
          <cell r="C9">
            <v>46200</v>
          </cell>
        </row>
        <row r="10">
          <cell r="A10" t="str">
            <v>BAFT205</v>
          </cell>
          <cell r="B10">
            <v>6</v>
          </cell>
          <cell r="C10">
            <v>15510</v>
          </cell>
        </row>
        <row r="11">
          <cell r="A11" t="str">
            <v>BAFT305</v>
          </cell>
          <cell r="B11">
            <v>6</v>
          </cell>
          <cell r="C11">
            <v>15510</v>
          </cell>
        </row>
        <row r="12">
          <cell r="A12" t="str">
            <v>BAFT310</v>
          </cell>
          <cell r="B12">
            <v>6</v>
          </cell>
          <cell r="C12">
            <v>15510</v>
          </cell>
        </row>
        <row r="13">
          <cell r="A13" t="str">
            <v>BAFT405</v>
          </cell>
          <cell r="B13">
            <v>10</v>
          </cell>
          <cell r="C13">
            <v>25850</v>
          </cell>
        </row>
        <row r="14">
          <cell r="A14" t="str">
            <v>BAFT410</v>
          </cell>
          <cell r="B14">
            <v>10</v>
          </cell>
          <cell r="C14">
            <v>25850</v>
          </cell>
        </row>
        <row r="15">
          <cell r="A15" t="str">
            <v>BAFT415</v>
          </cell>
          <cell r="B15">
            <v>5</v>
          </cell>
          <cell r="C15">
            <v>12925</v>
          </cell>
        </row>
        <row r="16">
          <cell r="A16" t="str">
            <v>BAHU</v>
          </cell>
          <cell r="B16">
            <v>30</v>
          </cell>
          <cell r="C16">
            <v>26400</v>
          </cell>
        </row>
        <row r="17">
          <cell r="A17" t="str">
            <v>BALI</v>
          </cell>
          <cell r="B17">
            <v>80</v>
          </cell>
          <cell r="C17">
            <v>66000</v>
          </cell>
        </row>
        <row r="18">
          <cell r="A18" t="str">
            <v>BAPN</v>
          </cell>
          <cell r="B18">
            <v>5</v>
          </cell>
          <cell r="C18">
            <v>18425</v>
          </cell>
        </row>
        <row r="19">
          <cell r="A19" t="str">
            <v>BAPO</v>
          </cell>
          <cell r="B19">
            <v>5</v>
          </cell>
          <cell r="C19">
            <v>18425</v>
          </cell>
        </row>
        <row r="20">
          <cell r="A20" t="str">
            <v>BAPX</v>
          </cell>
          <cell r="B20">
            <v>5</v>
          </cell>
          <cell r="C20">
            <v>29700</v>
          </cell>
        </row>
        <row r="21">
          <cell r="A21" t="str">
            <v>BAPY</v>
          </cell>
          <cell r="B21">
            <v>5</v>
          </cell>
          <cell r="C21">
            <v>28875</v>
          </cell>
        </row>
        <row r="22">
          <cell r="A22" t="str">
            <v>BAQY</v>
          </cell>
          <cell r="B22">
            <v>10</v>
          </cell>
          <cell r="C22">
            <v>44000</v>
          </cell>
        </row>
        <row r="23">
          <cell r="A23" t="str">
            <v>BARA</v>
          </cell>
          <cell r="B23">
            <v>5</v>
          </cell>
          <cell r="C23">
            <v>13200</v>
          </cell>
        </row>
        <row r="24">
          <cell r="A24" t="str">
            <v>BARB</v>
          </cell>
          <cell r="B24">
            <v>5</v>
          </cell>
          <cell r="C24">
            <v>19250</v>
          </cell>
        </row>
        <row r="25">
          <cell r="A25" t="str">
            <v>BARD</v>
          </cell>
          <cell r="B25">
            <v>6</v>
          </cell>
          <cell r="C25">
            <v>20460</v>
          </cell>
        </row>
        <row r="26">
          <cell r="A26" t="str">
            <v>BARM</v>
          </cell>
          <cell r="B26">
            <v>5</v>
          </cell>
          <cell r="C26">
            <v>14300</v>
          </cell>
        </row>
        <row r="27">
          <cell r="A27" t="str">
            <v>BARN</v>
          </cell>
          <cell r="B27">
            <v>5</v>
          </cell>
          <cell r="C27">
            <v>20900</v>
          </cell>
        </row>
        <row r="28">
          <cell r="A28" t="str">
            <v>BASM</v>
          </cell>
          <cell r="B28">
            <v>5</v>
          </cell>
          <cell r="C28">
            <v>16500</v>
          </cell>
        </row>
        <row r="29">
          <cell r="A29" t="str">
            <v>BASR</v>
          </cell>
          <cell r="B29">
            <v>5</v>
          </cell>
          <cell r="C29">
            <v>3300</v>
          </cell>
        </row>
        <row r="30">
          <cell r="A30" t="str">
            <v>BASU001</v>
          </cell>
          <cell r="B30">
            <v>5</v>
          </cell>
          <cell r="C30">
            <v>8800</v>
          </cell>
        </row>
        <row r="31">
          <cell r="A31" t="str">
            <v>BASU002</v>
          </cell>
          <cell r="B31">
            <v>5</v>
          </cell>
          <cell r="C31">
            <v>8800</v>
          </cell>
        </row>
        <row r="32">
          <cell r="A32" t="str">
            <v>BAWX</v>
          </cell>
          <cell r="B32">
            <v>10</v>
          </cell>
          <cell r="C32">
            <v>13750</v>
          </cell>
        </row>
        <row r="33">
          <cell r="A33" t="str">
            <v>DLBJ001</v>
          </cell>
          <cell r="B33">
            <v>72</v>
          </cell>
          <cell r="C33">
            <v>51480</v>
          </cell>
        </row>
        <row r="34">
          <cell r="A34" t="str">
            <v>DLBK</v>
          </cell>
          <cell r="B34">
            <v>78</v>
          </cell>
          <cell r="C34">
            <v>51480</v>
          </cell>
        </row>
        <row r="35">
          <cell r="A35" t="str">
            <v>DLCA</v>
          </cell>
          <cell r="B35">
            <v>0</v>
          </cell>
          <cell r="C35">
            <v>0</v>
          </cell>
        </row>
        <row r="36">
          <cell r="A36" t="str">
            <v>DLCK</v>
          </cell>
          <cell r="B36">
            <v>9360</v>
          </cell>
          <cell r="C36">
            <v>6692400</v>
          </cell>
        </row>
        <row r="37">
          <cell r="A37" t="str">
            <v>DLEA</v>
          </cell>
          <cell r="B37">
            <v>7500</v>
          </cell>
          <cell r="C37">
            <v>5362500</v>
          </cell>
        </row>
        <row r="38">
          <cell r="A38" t="str">
            <v>DLEB</v>
          </cell>
          <cell r="B38">
            <v>678</v>
          </cell>
          <cell r="C38">
            <v>320694</v>
          </cell>
        </row>
        <row r="39">
          <cell r="A39" t="str">
            <v>DLFP</v>
          </cell>
          <cell r="B39">
            <v>1128</v>
          </cell>
          <cell r="C39">
            <v>781704</v>
          </cell>
        </row>
        <row r="40">
          <cell r="A40" t="str">
            <v>DLIB</v>
          </cell>
          <cell r="B40">
            <v>1050</v>
          </cell>
          <cell r="C40">
            <v>519750</v>
          </cell>
        </row>
        <row r="41">
          <cell r="A41" t="str">
            <v>DLSC</v>
          </cell>
          <cell r="B41">
            <v>93</v>
          </cell>
          <cell r="C41">
            <v>66495</v>
          </cell>
        </row>
        <row r="42">
          <cell r="A42" t="str">
            <v>DXAO001</v>
          </cell>
          <cell r="B42">
            <v>50</v>
          </cell>
          <cell r="C42">
            <v>33000</v>
          </cell>
        </row>
        <row r="43">
          <cell r="A43" t="str">
            <v>DXDM001</v>
          </cell>
          <cell r="B43">
            <v>3</v>
          </cell>
          <cell r="C43">
            <v>1980</v>
          </cell>
        </row>
        <row r="44">
          <cell r="A44" t="str">
            <v>DXDM002</v>
          </cell>
          <cell r="B44">
            <v>6</v>
          </cell>
          <cell r="C44">
            <v>3960</v>
          </cell>
        </row>
        <row r="45">
          <cell r="A45" t="str">
            <v>DXDM003</v>
          </cell>
          <cell r="B45">
            <v>3</v>
          </cell>
          <cell r="C45">
            <v>1980</v>
          </cell>
        </row>
        <row r="46">
          <cell r="A46" t="str">
            <v>DXDM004</v>
          </cell>
          <cell r="B46">
            <v>3</v>
          </cell>
          <cell r="C46">
            <v>1980</v>
          </cell>
        </row>
        <row r="47">
          <cell r="A47" t="str">
            <v>DXDN001</v>
          </cell>
          <cell r="B47">
            <v>3</v>
          </cell>
          <cell r="C47">
            <v>1980</v>
          </cell>
        </row>
        <row r="48">
          <cell r="A48" t="str">
            <v>DXDN002</v>
          </cell>
          <cell r="B48">
            <v>3</v>
          </cell>
          <cell r="C48">
            <v>1980</v>
          </cell>
        </row>
        <row r="49">
          <cell r="A49" t="str">
            <v>DXFX002</v>
          </cell>
          <cell r="B49">
            <v>30</v>
          </cell>
          <cell r="C49">
            <v>19800</v>
          </cell>
        </row>
        <row r="50">
          <cell r="A50" t="str">
            <v>DXFX003</v>
          </cell>
          <cell r="B50">
            <v>30</v>
          </cell>
          <cell r="C50">
            <v>19800</v>
          </cell>
        </row>
        <row r="51">
          <cell r="A51" t="str">
            <v>DXJC001</v>
          </cell>
          <cell r="B51">
            <v>60</v>
          </cell>
          <cell r="C51">
            <v>39600</v>
          </cell>
        </row>
        <row r="52">
          <cell r="A52" t="str">
            <v>DXJP</v>
          </cell>
          <cell r="B52">
            <v>20</v>
          </cell>
          <cell r="C52">
            <v>9240</v>
          </cell>
        </row>
        <row r="53">
          <cell r="A53" t="str">
            <v>DXKB405</v>
          </cell>
          <cell r="B53">
            <v>80</v>
          </cell>
          <cell r="C53">
            <v>70400</v>
          </cell>
        </row>
        <row r="54">
          <cell r="A54" t="str">
            <v>DXKB410</v>
          </cell>
          <cell r="B54">
            <v>150</v>
          </cell>
          <cell r="C54">
            <v>132000</v>
          </cell>
        </row>
        <row r="55">
          <cell r="A55" t="str">
            <v>DXKB415</v>
          </cell>
          <cell r="B55">
            <v>65</v>
          </cell>
          <cell r="C55">
            <v>57200</v>
          </cell>
        </row>
        <row r="56">
          <cell r="A56" t="str">
            <v>DXKF001</v>
          </cell>
          <cell r="B56">
            <v>30</v>
          </cell>
          <cell r="C56">
            <v>19800</v>
          </cell>
        </row>
        <row r="57">
          <cell r="A57" t="str">
            <v>DXKF002</v>
          </cell>
          <cell r="B57">
            <v>30</v>
          </cell>
          <cell r="C57">
            <v>19800</v>
          </cell>
        </row>
        <row r="58">
          <cell r="A58" t="str">
            <v>DXKF003</v>
          </cell>
          <cell r="B58">
            <v>30</v>
          </cell>
          <cell r="C58">
            <v>19800</v>
          </cell>
        </row>
        <row r="59">
          <cell r="A59" t="str">
            <v>DXKO000</v>
          </cell>
          <cell r="B59">
            <v>50</v>
          </cell>
          <cell r="C59">
            <v>27500</v>
          </cell>
        </row>
        <row r="60">
          <cell r="A60" t="str">
            <v>DXKT000</v>
          </cell>
          <cell r="B60">
            <v>30</v>
          </cell>
          <cell r="C60">
            <v>19800</v>
          </cell>
        </row>
        <row r="61">
          <cell r="A61" t="str">
            <v>DXKU001</v>
          </cell>
          <cell r="B61">
            <v>30</v>
          </cell>
          <cell r="C61">
            <v>19800</v>
          </cell>
        </row>
        <row r="62">
          <cell r="A62" t="str">
            <v>DXKV000</v>
          </cell>
          <cell r="B62">
            <v>30</v>
          </cell>
          <cell r="C62">
            <v>19800</v>
          </cell>
        </row>
        <row r="63">
          <cell r="A63" t="str">
            <v>DXNC001</v>
          </cell>
          <cell r="B63">
            <v>30</v>
          </cell>
          <cell r="C63">
            <v>18150</v>
          </cell>
        </row>
        <row r="64">
          <cell r="A64" t="str">
            <v>DXNC002</v>
          </cell>
          <cell r="B64">
            <v>30</v>
          </cell>
          <cell r="C64">
            <v>18150</v>
          </cell>
        </row>
        <row r="65">
          <cell r="A65" t="str">
            <v>DXND205</v>
          </cell>
          <cell r="B65">
            <v>20</v>
          </cell>
          <cell r="C65">
            <v>17600</v>
          </cell>
        </row>
        <row r="66">
          <cell r="A66" t="str">
            <v>DXND405</v>
          </cell>
          <cell r="B66">
            <v>30</v>
          </cell>
          <cell r="C66">
            <v>26400</v>
          </cell>
        </row>
        <row r="67">
          <cell r="A67" t="str">
            <v>DXND410</v>
          </cell>
          <cell r="B67">
            <v>30</v>
          </cell>
          <cell r="C67">
            <v>26400</v>
          </cell>
        </row>
        <row r="68">
          <cell r="A68" t="str">
            <v>DXND415</v>
          </cell>
          <cell r="B68">
            <v>20</v>
          </cell>
          <cell r="C68">
            <v>17600</v>
          </cell>
        </row>
        <row r="69">
          <cell r="A69" t="str">
            <v>DXNG001</v>
          </cell>
          <cell r="B69">
            <v>30</v>
          </cell>
          <cell r="C69">
            <v>19800</v>
          </cell>
        </row>
        <row r="70">
          <cell r="A70" t="str">
            <v>DXNG002</v>
          </cell>
          <cell r="B70">
            <v>30</v>
          </cell>
          <cell r="C70">
            <v>19800</v>
          </cell>
        </row>
        <row r="71">
          <cell r="A71" t="str">
            <v>DXNI001</v>
          </cell>
          <cell r="B71">
            <v>10</v>
          </cell>
          <cell r="C71">
            <v>7150</v>
          </cell>
        </row>
        <row r="72">
          <cell r="A72" t="str">
            <v>DXNI002</v>
          </cell>
          <cell r="B72">
            <v>10</v>
          </cell>
          <cell r="C72">
            <v>7150</v>
          </cell>
        </row>
        <row r="73">
          <cell r="A73" t="str">
            <v>DXPO000</v>
          </cell>
          <cell r="B73">
            <v>50</v>
          </cell>
          <cell r="C73">
            <v>24750</v>
          </cell>
        </row>
        <row r="74">
          <cell r="A74" t="str">
            <v>DXQT002</v>
          </cell>
          <cell r="B74">
            <v>30</v>
          </cell>
          <cell r="C74">
            <v>9060</v>
          </cell>
        </row>
        <row r="75">
          <cell r="A75" t="str">
            <v>DXQY002</v>
          </cell>
          <cell r="B75">
            <v>30</v>
          </cell>
          <cell r="C75">
            <v>16500</v>
          </cell>
        </row>
        <row r="76">
          <cell r="A76" t="str">
            <v>DXUJ001</v>
          </cell>
          <cell r="B76">
            <v>5</v>
          </cell>
          <cell r="C76">
            <v>6325</v>
          </cell>
        </row>
        <row r="77">
          <cell r="A77" t="str">
            <v>DXUJ002</v>
          </cell>
          <cell r="B77">
            <v>5</v>
          </cell>
          <cell r="C77">
            <v>6325</v>
          </cell>
        </row>
        <row r="78">
          <cell r="A78" t="str">
            <v>DXVM</v>
          </cell>
          <cell r="B78">
            <v>180</v>
          </cell>
          <cell r="C78">
            <v>118800</v>
          </cell>
        </row>
        <row r="79">
          <cell r="A79" t="str">
            <v>DXWJ001</v>
          </cell>
          <cell r="B79">
            <v>30</v>
          </cell>
          <cell r="C79">
            <v>10710</v>
          </cell>
        </row>
        <row r="80">
          <cell r="A80" t="str">
            <v>DXWN101</v>
          </cell>
          <cell r="B80">
            <v>20</v>
          </cell>
          <cell r="C80">
            <v>13200</v>
          </cell>
        </row>
        <row r="81">
          <cell r="A81" t="str">
            <v>DXWN102</v>
          </cell>
          <cell r="B81">
            <v>30</v>
          </cell>
          <cell r="C81">
            <v>19800</v>
          </cell>
        </row>
        <row r="82">
          <cell r="A82" t="str">
            <v>DXXY</v>
          </cell>
          <cell r="B82">
            <v>80</v>
          </cell>
          <cell r="C82">
            <v>26400</v>
          </cell>
        </row>
        <row r="83">
          <cell r="A83" t="str">
            <v>DXYF001</v>
          </cell>
          <cell r="B83">
            <v>30</v>
          </cell>
          <cell r="C83">
            <v>19800</v>
          </cell>
        </row>
        <row r="84">
          <cell r="A84" t="str">
            <v>DXYG001</v>
          </cell>
          <cell r="B84">
            <v>30</v>
          </cell>
          <cell r="C84">
            <v>19800</v>
          </cell>
        </row>
        <row r="85">
          <cell r="A85" t="str">
            <v>DXYI001</v>
          </cell>
          <cell r="B85">
            <v>30</v>
          </cell>
          <cell r="C85">
            <v>16500</v>
          </cell>
        </row>
        <row r="86">
          <cell r="A86" t="str">
            <v>DXYI002</v>
          </cell>
          <cell r="B86">
            <v>30</v>
          </cell>
          <cell r="C86">
            <v>16500</v>
          </cell>
        </row>
        <row r="87">
          <cell r="A87" t="str">
            <v>DXYX001</v>
          </cell>
          <cell r="B87">
            <v>30</v>
          </cell>
          <cell r="C87">
            <v>16500</v>
          </cell>
        </row>
        <row r="88">
          <cell r="A88" t="str">
            <v>DXYX002</v>
          </cell>
          <cell r="B88">
            <v>30</v>
          </cell>
          <cell r="C88">
            <v>16500</v>
          </cell>
        </row>
        <row r="89">
          <cell r="A89" t="str">
            <v>MSYC</v>
          </cell>
          <cell r="B89">
            <v>237</v>
          </cell>
          <cell r="C89">
            <v>742995</v>
          </cell>
        </row>
        <row r="90">
          <cell r="A90" t="str">
            <v>MSYD</v>
          </cell>
          <cell r="B90">
            <v>187</v>
          </cell>
          <cell r="C90">
            <v>555390</v>
          </cell>
        </row>
        <row r="91">
          <cell r="A91" t="str">
            <v>MSYE</v>
          </cell>
          <cell r="B91">
            <v>0</v>
          </cell>
          <cell r="C91">
            <v>0</v>
          </cell>
        </row>
        <row r="92">
          <cell r="A92" t="str">
            <v>MSYF</v>
          </cell>
          <cell r="B92">
            <v>152</v>
          </cell>
          <cell r="C92">
            <v>618640</v>
          </cell>
        </row>
        <row r="93">
          <cell r="A93" t="str">
            <v>MSYJ</v>
          </cell>
          <cell r="B93">
            <v>10</v>
          </cell>
          <cell r="C93">
            <v>29150</v>
          </cell>
        </row>
        <row r="94">
          <cell r="A94" t="str">
            <v>MSYK</v>
          </cell>
          <cell r="B94">
            <v>10</v>
          </cell>
          <cell r="C94">
            <v>27500</v>
          </cell>
        </row>
        <row r="95">
          <cell r="A95" t="str">
            <v>MSYN</v>
          </cell>
          <cell r="B95">
            <v>10</v>
          </cell>
          <cell r="C95">
            <v>37950</v>
          </cell>
        </row>
        <row r="96">
          <cell r="A96" t="str">
            <v>MTOJ</v>
          </cell>
          <cell r="B96">
            <v>226</v>
          </cell>
          <cell r="C96">
            <v>335610</v>
          </cell>
        </row>
        <row r="97">
          <cell r="A97" t="str">
            <v>MTOK</v>
          </cell>
          <cell r="B97">
            <v>240</v>
          </cell>
          <cell r="C97">
            <v>290400</v>
          </cell>
        </row>
        <row r="98">
          <cell r="A98" t="str">
            <v>MTOL</v>
          </cell>
          <cell r="B98">
            <v>210</v>
          </cell>
          <cell r="C98">
            <v>265650</v>
          </cell>
        </row>
        <row r="99">
          <cell r="A99" t="str">
            <v>MTOM</v>
          </cell>
          <cell r="B99">
            <v>72</v>
          </cell>
          <cell r="C99">
            <v>25344</v>
          </cell>
        </row>
        <row r="100">
          <cell r="A100" t="str">
            <v>MTSC</v>
          </cell>
          <cell r="B100">
            <v>1173</v>
          </cell>
          <cell r="C100">
            <v>2451570</v>
          </cell>
        </row>
        <row r="101">
          <cell r="A101" t="str">
            <v>MTSD</v>
          </cell>
          <cell r="B101">
            <v>473</v>
          </cell>
          <cell r="C101">
            <v>1066615</v>
          </cell>
        </row>
        <row r="102">
          <cell r="A102" t="str">
            <v>MTSE</v>
          </cell>
          <cell r="B102">
            <v>90</v>
          </cell>
          <cell r="C102">
            <v>287100</v>
          </cell>
        </row>
        <row r="103">
          <cell r="A103" t="str">
            <v>MTSF</v>
          </cell>
          <cell r="B103">
            <v>96</v>
          </cell>
          <cell r="C103">
            <v>30624</v>
          </cell>
        </row>
        <row r="104">
          <cell r="A104" t="str">
            <v>MTSU</v>
          </cell>
          <cell r="B104">
            <v>204</v>
          </cell>
          <cell r="C104">
            <v>482460</v>
          </cell>
        </row>
        <row r="105">
          <cell r="A105" t="str">
            <v>MTSW</v>
          </cell>
          <cell r="B105">
            <v>2144</v>
          </cell>
          <cell r="C105">
            <v>5778080</v>
          </cell>
        </row>
        <row r="106">
          <cell r="A106" t="str">
            <v>MTSX</v>
          </cell>
          <cell r="B106">
            <v>1440</v>
          </cell>
          <cell r="C106">
            <v>2692800</v>
          </cell>
        </row>
        <row r="107">
          <cell r="A107" t="str">
            <v>MTSY</v>
          </cell>
          <cell r="B107">
            <v>372</v>
          </cell>
          <cell r="C107">
            <v>797940</v>
          </cell>
        </row>
        <row r="108">
          <cell r="A108" t="str">
            <v>MUCH</v>
          </cell>
          <cell r="B108">
            <v>292</v>
          </cell>
          <cell r="C108">
            <v>289080</v>
          </cell>
        </row>
        <row r="109">
          <cell r="A109" t="str">
            <v>MUCI</v>
          </cell>
          <cell r="B109">
            <v>5000</v>
          </cell>
          <cell r="C109">
            <v>4125000</v>
          </cell>
        </row>
        <row r="110">
          <cell r="A110" t="str">
            <v>MUPD</v>
          </cell>
          <cell r="B110">
            <v>156</v>
          </cell>
          <cell r="C110">
            <v>300300</v>
          </cell>
        </row>
        <row r="111">
          <cell r="A111" t="str">
            <v>MUPE</v>
          </cell>
          <cell r="B111">
            <v>290</v>
          </cell>
          <cell r="C111">
            <v>526350</v>
          </cell>
        </row>
        <row r="112">
          <cell r="A112" t="str">
            <v>MUSC</v>
          </cell>
          <cell r="B112">
            <v>4172</v>
          </cell>
          <cell r="C112">
            <v>12390840</v>
          </cell>
        </row>
        <row r="113">
          <cell r="A113" t="str">
            <v>MUSG</v>
          </cell>
          <cell r="B113">
            <v>118</v>
          </cell>
          <cell r="C113">
            <v>194700</v>
          </cell>
        </row>
        <row r="114">
          <cell r="A114" t="str">
            <v>MUSH</v>
          </cell>
          <cell r="B114">
            <v>488</v>
          </cell>
          <cell r="C114">
            <v>697840</v>
          </cell>
        </row>
        <row r="115">
          <cell r="A115" t="str">
            <v>MUSN</v>
          </cell>
          <cell r="B115">
            <v>112</v>
          </cell>
          <cell r="C115">
            <v>215600</v>
          </cell>
        </row>
        <row r="116">
          <cell r="A116" t="str">
            <v>MUSO</v>
          </cell>
          <cell r="B116">
            <v>162</v>
          </cell>
          <cell r="C116">
            <v>258390</v>
          </cell>
        </row>
        <row r="117">
          <cell r="A117" t="str">
            <v>MUVE</v>
          </cell>
          <cell r="B117">
            <v>192</v>
          </cell>
          <cell r="C117">
            <v>612480</v>
          </cell>
        </row>
        <row r="118">
          <cell r="A118" t="str">
            <v>MUVF</v>
          </cell>
          <cell r="B118">
            <v>297</v>
          </cell>
          <cell r="C118">
            <v>1225125</v>
          </cell>
        </row>
        <row r="119">
          <cell r="A119" t="str">
            <v>MUWI</v>
          </cell>
          <cell r="B119">
            <v>322</v>
          </cell>
          <cell r="C119">
            <v>478170</v>
          </cell>
        </row>
        <row r="120">
          <cell r="A120" t="str">
            <v>MUXD</v>
          </cell>
          <cell r="B120">
            <v>744</v>
          </cell>
          <cell r="C120">
            <v>3682800</v>
          </cell>
        </row>
        <row r="121">
          <cell r="A121" t="str">
            <v>MUZT</v>
          </cell>
          <cell r="B121">
            <v>6</v>
          </cell>
          <cell r="C121">
            <v>10560</v>
          </cell>
        </row>
        <row r="122">
          <cell r="A122" t="str">
            <v>MUZU</v>
          </cell>
          <cell r="B122">
            <v>474</v>
          </cell>
          <cell r="C122">
            <v>756030</v>
          </cell>
        </row>
        <row r="123">
          <cell r="A123" t="str">
            <v>YNBN001</v>
          </cell>
          <cell r="B123">
            <v>30</v>
          </cell>
          <cell r="C123">
            <v>8910</v>
          </cell>
        </row>
        <row r="124">
          <cell r="A124" t="str">
            <v>YNBV005</v>
          </cell>
          <cell r="B124">
            <v>30</v>
          </cell>
          <cell r="C124">
            <v>19800</v>
          </cell>
        </row>
        <row r="125">
          <cell r="A125" t="str">
            <v>YNBX</v>
          </cell>
          <cell r="B125">
            <v>60</v>
          </cell>
          <cell r="C125">
            <v>36300</v>
          </cell>
        </row>
        <row r="126">
          <cell r="A126" t="str">
            <v>YNCH030</v>
          </cell>
          <cell r="B126">
            <v>30</v>
          </cell>
          <cell r="C126">
            <v>19800</v>
          </cell>
        </row>
        <row r="127">
          <cell r="A127" t="str">
            <v>YNCH031</v>
          </cell>
          <cell r="B127">
            <v>30</v>
          </cell>
          <cell r="C127">
            <v>19800</v>
          </cell>
        </row>
        <row r="128">
          <cell r="A128" t="str">
            <v>YNCH032</v>
          </cell>
          <cell r="B128">
            <v>30</v>
          </cell>
          <cell r="C128">
            <v>19800</v>
          </cell>
        </row>
        <row r="129">
          <cell r="A129" t="str">
            <v>YNCJ001</v>
          </cell>
          <cell r="B129">
            <v>30</v>
          </cell>
          <cell r="C129">
            <v>16500</v>
          </cell>
        </row>
        <row r="130">
          <cell r="A130" t="str">
            <v>YNCJ002</v>
          </cell>
          <cell r="B130">
            <v>60</v>
          </cell>
          <cell r="C130">
            <v>33000</v>
          </cell>
        </row>
        <row r="131">
          <cell r="A131" t="str">
            <v>YNCJ003</v>
          </cell>
          <cell r="B131">
            <v>30</v>
          </cell>
          <cell r="C131">
            <v>16500</v>
          </cell>
        </row>
        <row r="132">
          <cell r="A132" t="str">
            <v>YNCO001</v>
          </cell>
          <cell r="B132">
            <v>10</v>
          </cell>
          <cell r="C132">
            <v>6600</v>
          </cell>
        </row>
        <row r="133">
          <cell r="A133" t="str">
            <v>YNCO002</v>
          </cell>
          <cell r="B133">
            <v>40</v>
          </cell>
          <cell r="C133">
            <v>26400</v>
          </cell>
        </row>
        <row r="134">
          <cell r="A134" t="str">
            <v>YNCO003</v>
          </cell>
          <cell r="B134">
            <v>40</v>
          </cell>
          <cell r="C134">
            <v>26400</v>
          </cell>
        </row>
        <row r="135">
          <cell r="A135" t="str">
            <v>YNCO004</v>
          </cell>
          <cell r="B135">
            <v>10</v>
          </cell>
          <cell r="C135">
            <v>6600</v>
          </cell>
        </row>
        <row r="136">
          <cell r="A136" t="str">
            <v>YNCT003</v>
          </cell>
          <cell r="B136">
            <v>8</v>
          </cell>
          <cell r="C136">
            <v>6160</v>
          </cell>
        </row>
        <row r="137">
          <cell r="A137" t="str">
            <v>YNDY001</v>
          </cell>
          <cell r="B137">
            <v>40</v>
          </cell>
          <cell r="C137">
            <v>28600</v>
          </cell>
        </row>
        <row r="138">
          <cell r="A138" t="str">
            <v>YNDY002</v>
          </cell>
          <cell r="B138">
            <v>10</v>
          </cell>
          <cell r="C138">
            <v>7150</v>
          </cell>
        </row>
        <row r="139">
          <cell r="A139" t="str">
            <v>YNDY003</v>
          </cell>
          <cell r="B139">
            <v>10</v>
          </cell>
          <cell r="C139">
            <v>7150</v>
          </cell>
        </row>
        <row r="140">
          <cell r="A140" t="str">
            <v>YNDY004</v>
          </cell>
          <cell r="B140">
            <v>10</v>
          </cell>
          <cell r="C140">
            <v>7150</v>
          </cell>
        </row>
        <row r="141">
          <cell r="A141" t="str">
            <v>YNDY005</v>
          </cell>
          <cell r="B141">
            <v>9</v>
          </cell>
          <cell r="C141">
            <v>6435</v>
          </cell>
        </row>
        <row r="142">
          <cell r="A142" t="str">
            <v>YNFB000</v>
          </cell>
          <cell r="B142">
            <v>30</v>
          </cell>
          <cell r="C142">
            <v>29700</v>
          </cell>
        </row>
        <row r="143">
          <cell r="A143" t="str">
            <v>YNFF310</v>
          </cell>
          <cell r="B143">
            <v>15</v>
          </cell>
          <cell r="C143">
            <v>13200</v>
          </cell>
        </row>
        <row r="144">
          <cell r="A144" t="str">
            <v>YNFF405</v>
          </cell>
          <cell r="B144">
            <v>160</v>
          </cell>
          <cell r="C144">
            <v>140800</v>
          </cell>
        </row>
        <row r="145">
          <cell r="A145" t="str">
            <v>YNFF410</v>
          </cell>
          <cell r="B145">
            <v>60</v>
          </cell>
          <cell r="C145">
            <v>52800</v>
          </cell>
        </row>
        <row r="146">
          <cell r="A146" t="str">
            <v>YNFF415</v>
          </cell>
          <cell r="B146">
            <v>10</v>
          </cell>
          <cell r="C146">
            <v>8800</v>
          </cell>
        </row>
        <row r="147">
          <cell r="A147" t="str">
            <v>YNFX</v>
          </cell>
          <cell r="B147">
            <v>20</v>
          </cell>
          <cell r="C147">
            <v>6600</v>
          </cell>
        </row>
        <row r="148">
          <cell r="A148" t="str">
            <v>YNGB001</v>
          </cell>
          <cell r="B148">
            <v>48</v>
          </cell>
          <cell r="C148">
            <v>31680</v>
          </cell>
        </row>
        <row r="149">
          <cell r="A149" t="str">
            <v>YNGB002</v>
          </cell>
          <cell r="B149">
            <v>70</v>
          </cell>
          <cell r="C149">
            <v>46200</v>
          </cell>
        </row>
        <row r="150">
          <cell r="A150" t="str">
            <v>YNGB003</v>
          </cell>
          <cell r="B150">
            <v>40</v>
          </cell>
          <cell r="C150">
            <v>26400</v>
          </cell>
        </row>
        <row r="151">
          <cell r="A151" t="str">
            <v>YNGB004</v>
          </cell>
          <cell r="B151">
            <v>18</v>
          </cell>
          <cell r="C151">
            <v>11880</v>
          </cell>
        </row>
        <row r="152">
          <cell r="A152" t="str">
            <v>YNGC001</v>
          </cell>
          <cell r="B152">
            <v>306</v>
          </cell>
          <cell r="C152">
            <v>185130</v>
          </cell>
        </row>
        <row r="153">
          <cell r="A153" t="str">
            <v>YNGC002</v>
          </cell>
          <cell r="B153">
            <v>6</v>
          </cell>
          <cell r="C153">
            <v>3630</v>
          </cell>
        </row>
        <row r="154">
          <cell r="A154" t="str">
            <v>YNGC003</v>
          </cell>
          <cell r="B154">
            <v>6</v>
          </cell>
          <cell r="C154">
            <v>3630</v>
          </cell>
        </row>
        <row r="155">
          <cell r="A155" t="str">
            <v>YNGC004</v>
          </cell>
          <cell r="B155">
            <v>6</v>
          </cell>
          <cell r="C155">
            <v>3630</v>
          </cell>
        </row>
        <row r="156">
          <cell r="A156" t="str">
            <v>YNGD005</v>
          </cell>
          <cell r="B156">
            <v>156</v>
          </cell>
          <cell r="C156">
            <v>94380</v>
          </cell>
        </row>
        <row r="157">
          <cell r="A157" t="str">
            <v>YNGD006</v>
          </cell>
          <cell r="B157">
            <v>6</v>
          </cell>
          <cell r="C157">
            <v>3630</v>
          </cell>
        </row>
        <row r="158">
          <cell r="A158" t="str">
            <v>YNGD007</v>
          </cell>
          <cell r="B158">
            <v>36</v>
          </cell>
          <cell r="C158">
            <v>21780</v>
          </cell>
        </row>
        <row r="159">
          <cell r="A159" t="str">
            <v>YNGD008</v>
          </cell>
          <cell r="B159">
            <v>6</v>
          </cell>
          <cell r="C159">
            <v>3630</v>
          </cell>
        </row>
        <row r="160">
          <cell r="A160" t="str">
            <v>YNGV002</v>
          </cell>
          <cell r="B160">
            <v>70</v>
          </cell>
          <cell r="C160">
            <v>46200</v>
          </cell>
        </row>
        <row r="161">
          <cell r="A161" t="str">
            <v>YNGV004</v>
          </cell>
          <cell r="B161">
            <v>20</v>
          </cell>
          <cell r="C161">
            <v>13200</v>
          </cell>
        </row>
        <row r="162">
          <cell r="A162" t="str">
            <v>YNGV005</v>
          </cell>
          <cell r="B162">
            <v>44</v>
          </cell>
          <cell r="C162">
            <v>29040</v>
          </cell>
        </row>
        <row r="163">
          <cell r="A163" t="str">
            <v>YNIM340</v>
          </cell>
          <cell r="B163">
            <v>30</v>
          </cell>
          <cell r="C163">
            <v>16500</v>
          </cell>
        </row>
        <row r="164">
          <cell r="A164" t="str">
            <v>YNIZ001</v>
          </cell>
          <cell r="B164">
            <v>10</v>
          </cell>
          <cell r="C164">
            <v>6600</v>
          </cell>
        </row>
        <row r="165">
          <cell r="A165" t="str">
            <v>YNIZ310</v>
          </cell>
          <cell r="B165">
            <v>60</v>
          </cell>
          <cell r="C165">
            <v>39600</v>
          </cell>
        </row>
        <row r="166">
          <cell r="A166" t="str">
            <v>YNKG002</v>
          </cell>
          <cell r="B166">
            <v>10</v>
          </cell>
          <cell r="C166">
            <v>4950</v>
          </cell>
        </row>
        <row r="167">
          <cell r="A167" t="str">
            <v>YNMH001</v>
          </cell>
          <cell r="B167">
            <v>30</v>
          </cell>
          <cell r="C167">
            <v>23100</v>
          </cell>
        </row>
        <row r="168">
          <cell r="A168" t="str">
            <v>YNMH002</v>
          </cell>
          <cell r="B168">
            <v>20</v>
          </cell>
          <cell r="C168">
            <v>15400</v>
          </cell>
        </row>
        <row r="169">
          <cell r="A169" t="str">
            <v>YNQM001</v>
          </cell>
          <cell r="B169">
            <v>60</v>
          </cell>
          <cell r="C169">
            <v>39600</v>
          </cell>
        </row>
        <row r="170">
          <cell r="A170" t="str">
            <v>YNQM002</v>
          </cell>
          <cell r="B170">
            <v>60</v>
          </cell>
          <cell r="C170">
            <v>39600</v>
          </cell>
        </row>
        <row r="171">
          <cell r="A171" t="str">
            <v>YNQM003</v>
          </cell>
          <cell r="B171">
            <v>75</v>
          </cell>
          <cell r="C171">
            <v>49500</v>
          </cell>
        </row>
        <row r="172">
          <cell r="A172" t="str">
            <v>YNRE001</v>
          </cell>
          <cell r="B172">
            <v>252</v>
          </cell>
          <cell r="C172">
            <v>180180</v>
          </cell>
        </row>
        <row r="173">
          <cell r="A173" t="str">
            <v>YNRE003</v>
          </cell>
          <cell r="B173">
            <v>30</v>
          </cell>
          <cell r="C173">
            <v>21450</v>
          </cell>
        </row>
        <row r="174">
          <cell r="A174" t="str">
            <v>YNRE200</v>
          </cell>
          <cell r="B174">
            <v>22</v>
          </cell>
          <cell r="C174">
            <v>15730</v>
          </cell>
        </row>
        <row r="175">
          <cell r="A175" t="str">
            <v>YNRE201</v>
          </cell>
          <cell r="B175">
            <v>530</v>
          </cell>
          <cell r="C175">
            <v>378950</v>
          </cell>
        </row>
        <row r="176">
          <cell r="A176" t="str">
            <v>YNRE300</v>
          </cell>
          <cell r="B176">
            <v>482</v>
          </cell>
          <cell r="C176">
            <v>344630</v>
          </cell>
        </row>
        <row r="177">
          <cell r="A177" t="str">
            <v>YNRE301</v>
          </cell>
          <cell r="B177">
            <v>32</v>
          </cell>
          <cell r="C177">
            <v>22880</v>
          </cell>
        </row>
        <row r="178">
          <cell r="A178" t="str">
            <v>YNRE800</v>
          </cell>
          <cell r="B178">
            <v>22</v>
          </cell>
          <cell r="C178">
            <v>15730</v>
          </cell>
        </row>
        <row r="179">
          <cell r="A179" t="str">
            <v>YNRE801</v>
          </cell>
          <cell r="B179">
            <v>32</v>
          </cell>
          <cell r="C179">
            <v>22880</v>
          </cell>
        </row>
        <row r="180">
          <cell r="A180" t="str">
            <v>YNRE802</v>
          </cell>
          <cell r="B180">
            <v>650</v>
          </cell>
          <cell r="C180">
            <v>464750</v>
          </cell>
        </row>
        <row r="181">
          <cell r="A181" t="str">
            <v>YNRF450</v>
          </cell>
          <cell r="B181">
            <v>42</v>
          </cell>
          <cell r="C181">
            <v>32340</v>
          </cell>
        </row>
        <row r="182">
          <cell r="A182" t="str">
            <v>YNRF851</v>
          </cell>
          <cell r="B182">
            <v>91</v>
          </cell>
          <cell r="C182">
            <v>70070</v>
          </cell>
        </row>
        <row r="183">
          <cell r="A183" t="str">
            <v>YNRJ380</v>
          </cell>
          <cell r="B183">
            <v>50</v>
          </cell>
          <cell r="C183">
            <v>41250</v>
          </cell>
        </row>
        <row r="184">
          <cell r="A184" t="str">
            <v>YNRT001</v>
          </cell>
          <cell r="B184">
            <v>15</v>
          </cell>
          <cell r="C184">
            <v>12375</v>
          </cell>
        </row>
        <row r="185">
          <cell r="A185" t="str">
            <v>YNST300</v>
          </cell>
          <cell r="B185">
            <v>15</v>
          </cell>
          <cell r="C185">
            <v>13200</v>
          </cell>
        </row>
        <row r="186">
          <cell r="A186" t="str">
            <v>YNTY001</v>
          </cell>
          <cell r="B186">
            <v>60</v>
          </cell>
          <cell r="C186">
            <v>52800</v>
          </cell>
        </row>
        <row r="187">
          <cell r="A187" t="str">
            <v>YNTY002</v>
          </cell>
          <cell r="B187">
            <v>30</v>
          </cell>
          <cell r="C187">
            <v>26400</v>
          </cell>
        </row>
        <row r="188">
          <cell r="A188" t="str">
            <v>YNTY003</v>
          </cell>
          <cell r="B188">
            <v>40</v>
          </cell>
          <cell r="C188">
            <v>35200</v>
          </cell>
        </row>
        <row r="189">
          <cell r="A189" t="str">
            <v>YNTY004</v>
          </cell>
          <cell r="B189">
            <v>40</v>
          </cell>
          <cell r="C189">
            <v>35200</v>
          </cell>
        </row>
        <row r="190">
          <cell r="A190" t="str">
            <v>YNTY006</v>
          </cell>
          <cell r="B190">
            <v>100</v>
          </cell>
          <cell r="C190">
            <v>88000</v>
          </cell>
        </row>
        <row r="191">
          <cell r="A191" t="str">
            <v>YNTY008</v>
          </cell>
          <cell r="B191">
            <v>40</v>
          </cell>
          <cell r="C191">
            <v>35200</v>
          </cell>
        </row>
        <row r="192">
          <cell r="A192" t="str">
            <v>YNUA009</v>
          </cell>
          <cell r="B192">
            <v>10</v>
          </cell>
          <cell r="C192">
            <v>4400</v>
          </cell>
        </row>
        <row r="193">
          <cell r="A193" t="str">
            <v>YNUA010</v>
          </cell>
          <cell r="B193">
            <v>10</v>
          </cell>
          <cell r="C193">
            <v>4400</v>
          </cell>
        </row>
        <row r="194">
          <cell r="A194" t="str">
            <v>YNUA026</v>
          </cell>
          <cell r="B194">
            <v>5</v>
          </cell>
          <cell r="C194">
            <v>2200</v>
          </cell>
        </row>
        <row r="195">
          <cell r="A195" t="str">
            <v>YNUA034</v>
          </cell>
          <cell r="B195">
            <v>20</v>
          </cell>
          <cell r="C195">
            <v>8800</v>
          </cell>
        </row>
        <row r="196">
          <cell r="A196" t="str">
            <v>YNUA039</v>
          </cell>
          <cell r="B196">
            <v>10</v>
          </cell>
          <cell r="C196">
            <v>4400</v>
          </cell>
        </row>
        <row r="197">
          <cell r="A197" t="str">
            <v>YNUA054</v>
          </cell>
          <cell r="B197">
            <v>5</v>
          </cell>
          <cell r="C197">
            <v>2200</v>
          </cell>
        </row>
        <row r="198">
          <cell r="A198" t="str">
            <v>YNXX001</v>
          </cell>
          <cell r="B198">
            <v>50</v>
          </cell>
          <cell r="C198">
            <v>38500</v>
          </cell>
        </row>
        <row r="199">
          <cell r="A199" t="str">
            <v>YNXX002</v>
          </cell>
          <cell r="B199">
            <v>20</v>
          </cell>
          <cell r="C199">
            <v>15400</v>
          </cell>
        </row>
        <row r="200">
          <cell r="A200" t="str">
            <v>YNXX003</v>
          </cell>
          <cell r="B200">
            <v>98</v>
          </cell>
          <cell r="C200">
            <v>75460</v>
          </cell>
        </row>
        <row r="201">
          <cell r="A201" t="str">
            <v>YNXX004</v>
          </cell>
          <cell r="B201">
            <v>54</v>
          </cell>
          <cell r="C201">
            <v>41580</v>
          </cell>
        </row>
        <row r="202">
          <cell r="A202" t="str">
            <v>YNXX005</v>
          </cell>
          <cell r="B202">
            <v>98</v>
          </cell>
          <cell r="C202">
            <v>75460</v>
          </cell>
        </row>
        <row r="203">
          <cell r="A203" t="str">
            <v>YNXX006</v>
          </cell>
          <cell r="B203">
            <v>190</v>
          </cell>
          <cell r="C203">
            <v>146300</v>
          </cell>
        </row>
        <row r="204">
          <cell r="A204" t="str">
            <v>YNXX008</v>
          </cell>
          <cell r="B204">
            <v>0</v>
          </cell>
          <cell r="C204">
            <v>0</v>
          </cell>
        </row>
        <row r="205">
          <cell r="A205" t="str">
            <v>YNYV001</v>
          </cell>
          <cell r="B205">
            <v>68</v>
          </cell>
          <cell r="C205">
            <v>48620</v>
          </cell>
        </row>
        <row r="206">
          <cell r="A206" t="str">
            <v>YNZH001</v>
          </cell>
          <cell r="B206">
            <v>36</v>
          </cell>
          <cell r="C206">
            <v>33660</v>
          </cell>
        </row>
        <row r="207">
          <cell r="A207" t="str">
            <v>総計</v>
          </cell>
          <cell r="B207">
            <v>47349</v>
          </cell>
          <cell r="C207">
            <v>61622036</v>
          </cell>
        </row>
      </sheetData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ISEE"/>
      <sheetName val="FASIO"/>
      <sheetName val="OBK"/>
      <sheetName val="CCS"/>
      <sheetName val="SKNY"/>
    </sheetNames>
    <sheetDataSet>
      <sheetData sheetId="0"/>
      <sheetData sheetId="1"/>
      <sheetData sheetId="2">
        <row r="1">
          <cell r="E1">
            <v>0</v>
          </cell>
          <cell r="F1">
            <v>0</v>
          </cell>
        </row>
        <row r="2">
          <cell r="E2" t="str">
            <v>JANｺｰﾄﾞ</v>
          </cell>
          <cell r="F2" t="str">
            <v>符号</v>
          </cell>
        </row>
        <row r="3">
          <cell r="E3">
            <v>4971710278521</v>
          </cell>
          <cell r="F3" t="str">
            <v>MUSE</v>
          </cell>
        </row>
        <row r="4">
          <cell r="E4">
            <v>4971710295634</v>
          </cell>
          <cell r="F4" t="str">
            <v>MUWX</v>
          </cell>
        </row>
        <row r="5">
          <cell r="E5">
            <v>4971710295818</v>
          </cell>
          <cell r="F5" t="str">
            <v>MUWT</v>
          </cell>
        </row>
        <row r="6">
          <cell r="E6">
            <v>4971710295245</v>
          </cell>
          <cell r="F6" t="str">
            <v>MUZO</v>
          </cell>
        </row>
        <row r="7">
          <cell r="E7">
            <v>4971710295252</v>
          </cell>
          <cell r="F7" t="str">
            <v>MUZP</v>
          </cell>
        </row>
        <row r="8">
          <cell r="E8">
            <v>4971710299212</v>
          </cell>
          <cell r="F8" t="str">
            <v>MUCP</v>
          </cell>
        </row>
        <row r="9">
          <cell r="E9">
            <v>4971710549782</v>
          </cell>
          <cell r="F9" t="str">
            <v>MSYJ</v>
          </cell>
        </row>
        <row r="10">
          <cell r="E10">
            <v>4971710549805</v>
          </cell>
          <cell r="F10" t="str">
            <v>MSYK</v>
          </cell>
        </row>
        <row r="11">
          <cell r="E11">
            <v>4971710549812</v>
          </cell>
          <cell r="F11" t="str">
            <v>MSYN</v>
          </cell>
        </row>
        <row r="12">
          <cell r="E12">
            <v>4971710541212</v>
          </cell>
          <cell r="F12" t="str">
            <v>MUZT</v>
          </cell>
        </row>
        <row r="13">
          <cell r="E13">
            <v>4971710546071</v>
          </cell>
          <cell r="F13" t="str">
            <v>MUZU</v>
          </cell>
        </row>
        <row r="14">
          <cell r="E14">
            <v>4971710568103</v>
          </cell>
          <cell r="F14" t="str">
            <v>MSYZ</v>
          </cell>
        </row>
        <row r="15">
          <cell r="E15">
            <v>4971710561395</v>
          </cell>
          <cell r="F15" t="str">
            <v>MUCH</v>
          </cell>
        </row>
        <row r="16">
          <cell r="E16">
            <v>4971710565065</v>
          </cell>
          <cell r="F16" t="str">
            <v>MUSC</v>
          </cell>
        </row>
        <row r="17">
          <cell r="E17">
            <v>4971710568899</v>
          </cell>
          <cell r="F17" t="str">
            <v>MUWI</v>
          </cell>
        </row>
        <row r="18">
          <cell r="E18">
            <v>4971710576634</v>
          </cell>
          <cell r="F18" t="str">
            <v>MUPD</v>
          </cell>
        </row>
        <row r="19">
          <cell r="E19">
            <v>4971710576641</v>
          </cell>
          <cell r="F19" t="str">
            <v>MUPE</v>
          </cell>
        </row>
        <row r="20">
          <cell r="E20">
            <v>4971710574852</v>
          </cell>
          <cell r="F20" t="str">
            <v>MUCI</v>
          </cell>
        </row>
        <row r="21">
          <cell r="E21">
            <v>4971710577341</v>
          </cell>
          <cell r="F21" t="str">
            <v>MUXA</v>
          </cell>
        </row>
        <row r="22">
          <cell r="E22">
            <v>4971710580372</v>
          </cell>
          <cell r="F22" t="str">
            <v>MUXC</v>
          </cell>
        </row>
        <row r="23">
          <cell r="E23">
            <v>4971710580396</v>
          </cell>
          <cell r="F23" t="str">
            <v>MUXD</v>
          </cell>
        </row>
        <row r="24">
          <cell r="E24">
            <v>4971710591613</v>
          </cell>
          <cell r="F24" t="str">
            <v>MSYU</v>
          </cell>
        </row>
        <row r="25">
          <cell r="E25">
            <v>0</v>
          </cell>
          <cell r="F25">
            <v>0</v>
          </cell>
        </row>
        <row r="26">
          <cell r="E26">
            <v>0</v>
          </cell>
          <cell r="F26">
            <v>0</v>
          </cell>
        </row>
        <row r="27">
          <cell r="E27">
            <v>0</v>
          </cell>
          <cell r="F27">
            <v>0</v>
          </cell>
        </row>
        <row r="28">
          <cell r="E28">
            <v>0</v>
          </cell>
          <cell r="F28">
            <v>0</v>
          </cell>
        </row>
        <row r="29">
          <cell r="E29">
            <v>0</v>
          </cell>
          <cell r="F29">
            <v>0</v>
          </cell>
        </row>
        <row r="30">
          <cell r="E30">
            <v>0</v>
          </cell>
          <cell r="F30">
            <v>0</v>
          </cell>
        </row>
        <row r="31">
          <cell r="E31">
            <v>0</v>
          </cell>
          <cell r="F31">
            <v>0</v>
          </cell>
        </row>
        <row r="32">
          <cell r="E32">
            <v>0</v>
          </cell>
          <cell r="F32">
            <v>0</v>
          </cell>
        </row>
        <row r="33">
          <cell r="E33">
            <v>0</v>
          </cell>
          <cell r="F33">
            <v>0</v>
          </cell>
        </row>
        <row r="34">
          <cell r="E34">
            <v>0</v>
          </cell>
          <cell r="F34">
            <v>0</v>
          </cell>
        </row>
        <row r="35">
          <cell r="E35">
            <v>0</v>
          </cell>
          <cell r="F35">
            <v>0</v>
          </cell>
        </row>
        <row r="36">
          <cell r="E36">
            <v>0</v>
          </cell>
          <cell r="F36">
            <v>0</v>
          </cell>
        </row>
        <row r="37">
          <cell r="E37">
            <v>0</v>
          </cell>
          <cell r="F37">
            <v>0</v>
          </cell>
        </row>
        <row r="38">
          <cell r="E38">
            <v>0</v>
          </cell>
          <cell r="F38">
            <v>0</v>
          </cell>
        </row>
        <row r="39">
          <cell r="E39">
            <v>0</v>
          </cell>
          <cell r="F39">
            <v>0</v>
          </cell>
        </row>
        <row r="40">
          <cell r="E40">
            <v>0</v>
          </cell>
          <cell r="F40">
            <v>0</v>
          </cell>
        </row>
        <row r="41">
          <cell r="E41">
            <v>0</v>
          </cell>
          <cell r="F41">
            <v>0</v>
          </cell>
        </row>
        <row r="42">
          <cell r="E42">
            <v>0</v>
          </cell>
          <cell r="F42">
            <v>0</v>
          </cell>
        </row>
        <row r="43">
          <cell r="E43">
            <v>0</v>
          </cell>
          <cell r="F43">
            <v>0</v>
          </cell>
        </row>
        <row r="44">
          <cell r="E44">
            <v>0</v>
          </cell>
          <cell r="F44">
            <v>0</v>
          </cell>
        </row>
        <row r="45">
          <cell r="E45">
            <v>0</v>
          </cell>
          <cell r="F45">
            <v>0</v>
          </cell>
        </row>
        <row r="46">
          <cell r="E46">
            <v>0</v>
          </cell>
          <cell r="F46">
            <v>0</v>
          </cell>
        </row>
        <row r="47">
          <cell r="E47">
            <v>0</v>
          </cell>
          <cell r="F47">
            <v>0</v>
          </cell>
        </row>
        <row r="48">
          <cell r="E48">
            <v>0</v>
          </cell>
          <cell r="F48">
            <v>0</v>
          </cell>
        </row>
        <row r="49">
          <cell r="E49">
            <v>0</v>
          </cell>
          <cell r="F49">
            <v>0</v>
          </cell>
        </row>
        <row r="50">
          <cell r="E50">
            <v>0</v>
          </cell>
          <cell r="F50">
            <v>0</v>
          </cell>
        </row>
        <row r="51">
          <cell r="E51">
            <v>0</v>
          </cell>
          <cell r="F51">
            <v>0</v>
          </cell>
        </row>
        <row r="52">
          <cell r="E52">
            <v>0</v>
          </cell>
          <cell r="F52">
            <v>0</v>
          </cell>
        </row>
        <row r="53">
          <cell r="E53">
            <v>0</v>
          </cell>
          <cell r="F53">
            <v>0</v>
          </cell>
        </row>
        <row r="54">
          <cell r="E54">
            <v>0</v>
          </cell>
          <cell r="F54">
            <v>0</v>
          </cell>
        </row>
        <row r="55">
          <cell r="E55">
            <v>0</v>
          </cell>
          <cell r="F55">
            <v>0</v>
          </cell>
        </row>
        <row r="56">
          <cell r="E56">
            <v>0</v>
          </cell>
          <cell r="F56">
            <v>0</v>
          </cell>
        </row>
        <row r="57">
          <cell r="E57">
            <v>0</v>
          </cell>
          <cell r="F57">
            <v>0</v>
          </cell>
        </row>
        <row r="58">
          <cell r="E58">
            <v>0</v>
          </cell>
          <cell r="F58">
            <v>0</v>
          </cell>
        </row>
        <row r="59">
          <cell r="E59">
            <v>0</v>
          </cell>
          <cell r="F59">
            <v>0</v>
          </cell>
        </row>
        <row r="60">
          <cell r="E60">
            <v>0</v>
          </cell>
          <cell r="F60">
            <v>0</v>
          </cell>
        </row>
        <row r="61">
          <cell r="E61">
            <v>0</v>
          </cell>
          <cell r="F61">
            <v>0</v>
          </cell>
        </row>
        <row r="62">
          <cell r="E62">
            <v>0</v>
          </cell>
          <cell r="F62">
            <v>0</v>
          </cell>
        </row>
        <row r="63">
          <cell r="E63">
            <v>0</v>
          </cell>
          <cell r="F63">
            <v>0</v>
          </cell>
        </row>
        <row r="64">
          <cell r="E64">
            <v>0</v>
          </cell>
          <cell r="F64">
            <v>0</v>
          </cell>
        </row>
        <row r="65">
          <cell r="E65">
            <v>0</v>
          </cell>
          <cell r="F65">
            <v>0</v>
          </cell>
        </row>
        <row r="66">
          <cell r="E66">
            <v>0</v>
          </cell>
          <cell r="F66">
            <v>0</v>
          </cell>
        </row>
        <row r="67">
          <cell r="E67">
            <v>0</v>
          </cell>
          <cell r="F67">
            <v>0</v>
          </cell>
        </row>
        <row r="68">
          <cell r="E68">
            <v>0</v>
          </cell>
          <cell r="F68">
            <v>0</v>
          </cell>
        </row>
        <row r="69">
          <cell r="E69">
            <v>0</v>
          </cell>
          <cell r="F69">
            <v>0</v>
          </cell>
        </row>
        <row r="70">
          <cell r="E70">
            <v>0</v>
          </cell>
          <cell r="F70">
            <v>0</v>
          </cell>
        </row>
        <row r="71">
          <cell r="E71">
            <v>0</v>
          </cell>
          <cell r="F71">
            <v>0</v>
          </cell>
        </row>
        <row r="72">
          <cell r="E72">
            <v>0</v>
          </cell>
          <cell r="F72">
            <v>0</v>
          </cell>
        </row>
        <row r="73">
          <cell r="E73">
            <v>0</v>
          </cell>
          <cell r="F73">
            <v>0</v>
          </cell>
        </row>
        <row r="74">
          <cell r="E74">
            <v>0</v>
          </cell>
          <cell r="F74">
            <v>0</v>
          </cell>
        </row>
        <row r="75">
          <cell r="E75">
            <v>0</v>
          </cell>
          <cell r="F75">
            <v>0</v>
          </cell>
        </row>
        <row r="76">
          <cell r="E76">
            <v>0</v>
          </cell>
          <cell r="F76">
            <v>0</v>
          </cell>
        </row>
        <row r="77">
          <cell r="E77">
            <v>0</v>
          </cell>
          <cell r="F77">
            <v>0</v>
          </cell>
        </row>
        <row r="78">
          <cell r="E78">
            <v>0</v>
          </cell>
          <cell r="F78">
            <v>0</v>
          </cell>
        </row>
        <row r="79">
          <cell r="E79">
            <v>0</v>
          </cell>
          <cell r="F79">
            <v>0</v>
          </cell>
        </row>
        <row r="80">
          <cell r="E80">
            <v>0</v>
          </cell>
          <cell r="F80">
            <v>0</v>
          </cell>
        </row>
        <row r="81">
          <cell r="E81">
            <v>0</v>
          </cell>
          <cell r="F81">
            <v>0</v>
          </cell>
        </row>
        <row r="82">
          <cell r="E82">
            <v>0</v>
          </cell>
          <cell r="F82">
            <v>0</v>
          </cell>
        </row>
        <row r="83">
          <cell r="E83">
            <v>0</v>
          </cell>
          <cell r="F83">
            <v>0</v>
          </cell>
        </row>
        <row r="84">
          <cell r="E84">
            <v>0</v>
          </cell>
          <cell r="F84">
            <v>0</v>
          </cell>
        </row>
        <row r="85">
          <cell r="E85">
            <v>0</v>
          </cell>
          <cell r="F85">
            <v>0</v>
          </cell>
        </row>
        <row r="86">
          <cell r="E86">
            <v>0</v>
          </cell>
          <cell r="F86">
            <v>0</v>
          </cell>
        </row>
        <row r="87">
          <cell r="E87">
            <v>0</v>
          </cell>
          <cell r="F87">
            <v>0</v>
          </cell>
        </row>
        <row r="88">
          <cell r="E88">
            <v>0</v>
          </cell>
          <cell r="F88">
            <v>0</v>
          </cell>
        </row>
        <row r="89">
          <cell r="E89">
            <v>0</v>
          </cell>
          <cell r="F89">
            <v>0</v>
          </cell>
        </row>
        <row r="90">
          <cell r="E90">
            <v>0</v>
          </cell>
          <cell r="F90">
            <v>0</v>
          </cell>
        </row>
        <row r="91">
          <cell r="E91">
            <v>0</v>
          </cell>
          <cell r="F91">
            <v>0</v>
          </cell>
        </row>
        <row r="92">
          <cell r="E92">
            <v>0</v>
          </cell>
          <cell r="F92">
            <v>0</v>
          </cell>
        </row>
        <row r="93">
          <cell r="E93">
            <v>0</v>
          </cell>
          <cell r="F93">
            <v>0</v>
          </cell>
        </row>
        <row r="94">
          <cell r="E94">
            <v>0</v>
          </cell>
          <cell r="F94">
            <v>0</v>
          </cell>
        </row>
        <row r="95">
          <cell r="E95">
            <v>0</v>
          </cell>
          <cell r="F95">
            <v>0</v>
          </cell>
        </row>
        <row r="96">
          <cell r="E96">
            <v>0</v>
          </cell>
          <cell r="F96">
            <v>0</v>
          </cell>
        </row>
        <row r="97">
          <cell r="E97">
            <v>0</v>
          </cell>
          <cell r="F97">
            <v>0</v>
          </cell>
        </row>
        <row r="98">
          <cell r="E98">
            <v>0</v>
          </cell>
          <cell r="F98">
            <v>0</v>
          </cell>
        </row>
        <row r="99">
          <cell r="E99">
            <v>0</v>
          </cell>
          <cell r="F99">
            <v>0</v>
          </cell>
        </row>
        <row r="100">
          <cell r="E100">
            <v>0</v>
          </cell>
          <cell r="F100">
            <v>0</v>
          </cell>
        </row>
        <row r="101">
          <cell r="E101">
            <v>0</v>
          </cell>
          <cell r="F101">
            <v>0</v>
          </cell>
        </row>
        <row r="102">
          <cell r="E102">
            <v>0</v>
          </cell>
          <cell r="F102">
            <v>0</v>
          </cell>
        </row>
        <row r="103">
          <cell r="E103">
            <v>0</v>
          </cell>
          <cell r="F103">
            <v>0</v>
          </cell>
        </row>
        <row r="104">
          <cell r="E104">
            <v>0</v>
          </cell>
          <cell r="F104">
            <v>0</v>
          </cell>
        </row>
        <row r="105">
          <cell r="E105">
            <v>0</v>
          </cell>
          <cell r="F105">
            <v>0</v>
          </cell>
        </row>
        <row r="106">
          <cell r="E106">
            <v>0</v>
          </cell>
          <cell r="F106">
            <v>0</v>
          </cell>
        </row>
        <row r="107">
          <cell r="E107">
            <v>0</v>
          </cell>
          <cell r="F107">
            <v>0</v>
          </cell>
        </row>
        <row r="108">
          <cell r="E108">
            <v>0</v>
          </cell>
          <cell r="F108">
            <v>0</v>
          </cell>
        </row>
        <row r="109">
          <cell r="E109">
            <v>0</v>
          </cell>
          <cell r="F109">
            <v>0</v>
          </cell>
        </row>
        <row r="110">
          <cell r="E110">
            <v>0</v>
          </cell>
          <cell r="F110">
            <v>0</v>
          </cell>
        </row>
        <row r="111">
          <cell r="E111">
            <v>0</v>
          </cell>
          <cell r="F111">
            <v>0</v>
          </cell>
        </row>
        <row r="112">
          <cell r="E112">
            <v>0</v>
          </cell>
          <cell r="F112">
            <v>0</v>
          </cell>
        </row>
        <row r="113">
          <cell r="E113">
            <v>0</v>
          </cell>
          <cell r="F113">
            <v>0</v>
          </cell>
        </row>
        <row r="114">
          <cell r="E114">
            <v>0</v>
          </cell>
          <cell r="F114">
            <v>0</v>
          </cell>
        </row>
        <row r="115">
          <cell r="E115">
            <v>0</v>
          </cell>
          <cell r="F115">
            <v>0</v>
          </cell>
        </row>
        <row r="116">
          <cell r="E116">
            <v>0</v>
          </cell>
          <cell r="F116">
            <v>0</v>
          </cell>
        </row>
        <row r="117">
          <cell r="E117">
            <v>0</v>
          </cell>
          <cell r="F117">
            <v>0</v>
          </cell>
        </row>
        <row r="118">
          <cell r="E118">
            <v>0</v>
          </cell>
          <cell r="F118">
            <v>0</v>
          </cell>
        </row>
        <row r="119">
          <cell r="E119">
            <v>0</v>
          </cell>
          <cell r="F119">
            <v>0</v>
          </cell>
        </row>
        <row r="120">
          <cell r="E120">
            <v>0</v>
          </cell>
          <cell r="F120">
            <v>0</v>
          </cell>
        </row>
        <row r="121">
          <cell r="E121">
            <v>0</v>
          </cell>
          <cell r="F121">
            <v>0</v>
          </cell>
        </row>
        <row r="122">
          <cell r="E122">
            <v>0</v>
          </cell>
          <cell r="F122">
            <v>0</v>
          </cell>
        </row>
        <row r="123">
          <cell r="E123">
            <v>0</v>
          </cell>
          <cell r="F123">
            <v>0</v>
          </cell>
        </row>
        <row r="124">
          <cell r="E124">
            <v>0</v>
          </cell>
          <cell r="F124">
            <v>0</v>
          </cell>
        </row>
        <row r="125">
          <cell r="E125">
            <v>0</v>
          </cell>
          <cell r="F125">
            <v>0</v>
          </cell>
        </row>
        <row r="126">
          <cell r="E126">
            <v>0</v>
          </cell>
          <cell r="F126">
            <v>0</v>
          </cell>
        </row>
        <row r="127">
          <cell r="E127">
            <v>0</v>
          </cell>
          <cell r="F127">
            <v>0</v>
          </cell>
        </row>
        <row r="128">
          <cell r="E128">
            <v>0</v>
          </cell>
          <cell r="F128">
            <v>0</v>
          </cell>
        </row>
        <row r="129">
          <cell r="E129">
            <v>0</v>
          </cell>
          <cell r="F129">
            <v>0</v>
          </cell>
        </row>
        <row r="130">
          <cell r="E130">
            <v>0</v>
          </cell>
          <cell r="F130">
            <v>0</v>
          </cell>
        </row>
        <row r="131">
          <cell r="E131">
            <v>0</v>
          </cell>
          <cell r="F131">
            <v>0</v>
          </cell>
        </row>
        <row r="132">
          <cell r="E132">
            <v>0</v>
          </cell>
          <cell r="F132">
            <v>0</v>
          </cell>
        </row>
        <row r="133">
          <cell r="E133">
            <v>0</v>
          </cell>
          <cell r="F133">
            <v>0</v>
          </cell>
        </row>
        <row r="134">
          <cell r="E134">
            <v>0</v>
          </cell>
          <cell r="F134">
            <v>0</v>
          </cell>
        </row>
        <row r="135">
          <cell r="E135">
            <v>0</v>
          </cell>
          <cell r="F135">
            <v>0</v>
          </cell>
        </row>
        <row r="136">
          <cell r="E136">
            <v>0</v>
          </cell>
          <cell r="F136">
            <v>0</v>
          </cell>
        </row>
        <row r="137">
          <cell r="E137">
            <v>0</v>
          </cell>
          <cell r="F137">
            <v>0</v>
          </cell>
        </row>
        <row r="138">
          <cell r="E138">
            <v>0</v>
          </cell>
          <cell r="F138">
            <v>0</v>
          </cell>
        </row>
        <row r="139">
          <cell r="E139">
            <v>0</v>
          </cell>
          <cell r="F139">
            <v>0</v>
          </cell>
        </row>
        <row r="140">
          <cell r="E140">
            <v>0</v>
          </cell>
          <cell r="F140">
            <v>0</v>
          </cell>
        </row>
        <row r="141">
          <cell r="E141">
            <v>0</v>
          </cell>
          <cell r="F141">
            <v>0</v>
          </cell>
        </row>
        <row r="142">
          <cell r="E142">
            <v>0</v>
          </cell>
          <cell r="F142">
            <v>0</v>
          </cell>
        </row>
        <row r="143">
          <cell r="E143">
            <v>0</v>
          </cell>
          <cell r="F143">
            <v>0</v>
          </cell>
        </row>
        <row r="144">
          <cell r="E144">
            <v>0</v>
          </cell>
          <cell r="F144">
            <v>0</v>
          </cell>
        </row>
        <row r="145">
          <cell r="E145">
            <v>0</v>
          </cell>
          <cell r="F145">
            <v>0</v>
          </cell>
        </row>
        <row r="146">
          <cell r="E146">
            <v>0</v>
          </cell>
          <cell r="F146">
            <v>0</v>
          </cell>
        </row>
        <row r="147">
          <cell r="E147">
            <v>0</v>
          </cell>
          <cell r="F147">
            <v>0</v>
          </cell>
        </row>
        <row r="148">
          <cell r="E148">
            <v>0</v>
          </cell>
          <cell r="F148">
            <v>0</v>
          </cell>
        </row>
      </sheetData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K"/>
    </sheetNames>
    <sheetDataSet>
      <sheetData sheetId="0">
        <row r="1">
          <cell r="E1">
            <v>0</v>
          </cell>
          <cell r="F1">
            <v>0</v>
          </cell>
        </row>
        <row r="2">
          <cell r="E2" t="str">
            <v>JANｺｰﾄﾞ</v>
          </cell>
          <cell r="F2" t="str">
            <v>符号</v>
          </cell>
        </row>
        <row r="3">
          <cell r="E3">
            <v>4971710573855</v>
          </cell>
          <cell r="F3" t="str">
            <v>MTSC</v>
          </cell>
        </row>
        <row r="4">
          <cell r="E4">
            <v>4971710573992</v>
          </cell>
          <cell r="F4" t="str">
            <v>MTSE</v>
          </cell>
        </row>
        <row r="5">
          <cell r="E5">
            <v>4971710571905</v>
          </cell>
          <cell r="F5" t="str">
            <v>MTSF</v>
          </cell>
        </row>
        <row r="6">
          <cell r="E6">
            <v>4971710580600</v>
          </cell>
          <cell r="F6" t="str">
            <v>MTSW</v>
          </cell>
        </row>
        <row r="7">
          <cell r="E7">
            <v>4971710571868</v>
          </cell>
          <cell r="F7" t="str">
            <v>MTSD</v>
          </cell>
        </row>
        <row r="8">
          <cell r="E8">
            <v>4971710581928</v>
          </cell>
          <cell r="F8" t="str">
            <v>MTSX</v>
          </cell>
        </row>
        <row r="9">
          <cell r="E9">
            <v>4971710570250</v>
          </cell>
          <cell r="F9" t="str">
            <v>MTSU</v>
          </cell>
        </row>
        <row r="10">
          <cell r="E10">
            <v>4971710582338</v>
          </cell>
          <cell r="F10" t="str">
            <v>MTSY</v>
          </cell>
        </row>
        <row r="11">
          <cell r="E11">
            <v>4971710585278</v>
          </cell>
          <cell r="F11" t="str">
            <v>MTOL</v>
          </cell>
        </row>
        <row r="12">
          <cell r="E12">
            <v>4971710585292</v>
          </cell>
          <cell r="F12" t="str">
            <v>MTON</v>
          </cell>
        </row>
        <row r="13">
          <cell r="E13">
            <v>4971710585254</v>
          </cell>
          <cell r="F13" t="str">
            <v>MTOJ</v>
          </cell>
        </row>
        <row r="14">
          <cell r="E14">
            <v>4971710585261</v>
          </cell>
          <cell r="F14" t="str">
            <v>MTOK</v>
          </cell>
        </row>
        <row r="15">
          <cell r="E15">
            <v>4971710585285</v>
          </cell>
          <cell r="F15" t="str">
            <v>MTOM</v>
          </cell>
        </row>
        <row r="16">
          <cell r="E16">
            <v>0</v>
          </cell>
          <cell r="F16">
            <v>0</v>
          </cell>
        </row>
        <row r="17">
          <cell r="E17">
            <v>0</v>
          </cell>
          <cell r="F17">
            <v>0</v>
          </cell>
        </row>
        <row r="18">
          <cell r="E18">
            <v>0</v>
          </cell>
          <cell r="F18">
            <v>0</v>
          </cell>
        </row>
        <row r="19">
          <cell r="E19">
            <v>0</v>
          </cell>
          <cell r="F19">
            <v>0</v>
          </cell>
        </row>
        <row r="20">
          <cell r="E20">
            <v>0</v>
          </cell>
          <cell r="F20">
            <v>0</v>
          </cell>
        </row>
        <row r="21">
          <cell r="E21">
            <v>0</v>
          </cell>
          <cell r="F21">
            <v>0</v>
          </cell>
        </row>
        <row r="22">
          <cell r="E22">
            <v>0</v>
          </cell>
          <cell r="F22">
            <v>0</v>
          </cell>
        </row>
        <row r="23">
          <cell r="E23">
            <v>0</v>
          </cell>
          <cell r="F23">
            <v>0</v>
          </cell>
        </row>
        <row r="24">
          <cell r="E24">
            <v>0</v>
          </cell>
          <cell r="F24">
            <v>0</v>
          </cell>
        </row>
        <row r="25">
          <cell r="E25">
            <v>0</v>
          </cell>
          <cell r="F25">
            <v>0</v>
          </cell>
        </row>
        <row r="26">
          <cell r="E26">
            <v>0</v>
          </cell>
          <cell r="F26">
            <v>0</v>
          </cell>
        </row>
        <row r="27">
          <cell r="E27">
            <v>0</v>
          </cell>
          <cell r="F27">
            <v>0</v>
          </cell>
        </row>
        <row r="28">
          <cell r="E28">
            <v>0</v>
          </cell>
          <cell r="F28">
            <v>0</v>
          </cell>
        </row>
        <row r="29">
          <cell r="E29">
            <v>0</v>
          </cell>
          <cell r="F29">
            <v>0</v>
          </cell>
        </row>
        <row r="30">
          <cell r="E30">
            <v>0</v>
          </cell>
          <cell r="F30">
            <v>0</v>
          </cell>
        </row>
        <row r="31">
          <cell r="E31">
            <v>0</v>
          </cell>
          <cell r="F31">
            <v>0</v>
          </cell>
        </row>
        <row r="32">
          <cell r="E32">
            <v>0</v>
          </cell>
          <cell r="F32">
            <v>0</v>
          </cell>
        </row>
        <row r="33">
          <cell r="E33">
            <v>0</v>
          </cell>
          <cell r="F33">
            <v>0</v>
          </cell>
        </row>
        <row r="34">
          <cell r="E34">
            <v>0</v>
          </cell>
          <cell r="F34">
            <v>0</v>
          </cell>
        </row>
        <row r="35">
          <cell r="E35">
            <v>0</v>
          </cell>
          <cell r="F35">
            <v>0</v>
          </cell>
        </row>
        <row r="36">
          <cell r="E36">
            <v>0</v>
          </cell>
          <cell r="F36">
            <v>0</v>
          </cell>
        </row>
        <row r="37">
          <cell r="E37">
            <v>0</v>
          </cell>
          <cell r="F37">
            <v>0</v>
          </cell>
        </row>
        <row r="38">
          <cell r="E38">
            <v>0</v>
          </cell>
          <cell r="F38">
            <v>0</v>
          </cell>
        </row>
        <row r="39">
          <cell r="E39">
            <v>0</v>
          </cell>
          <cell r="F39">
            <v>0</v>
          </cell>
        </row>
        <row r="40">
          <cell r="E40">
            <v>0</v>
          </cell>
          <cell r="F40">
            <v>0</v>
          </cell>
        </row>
        <row r="41">
          <cell r="E41">
            <v>0</v>
          </cell>
          <cell r="F41">
            <v>0</v>
          </cell>
        </row>
        <row r="42">
          <cell r="E42">
            <v>0</v>
          </cell>
          <cell r="F42">
            <v>0</v>
          </cell>
        </row>
        <row r="43">
          <cell r="E43">
            <v>0</v>
          </cell>
          <cell r="F43">
            <v>0</v>
          </cell>
        </row>
        <row r="44">
          <cell r="E44">
            <v>0</v>
          </cell>
          <cell r="F44">
            <v>0</v>
          </cell>
        </row>
        <row r="45">
          <cell r="E45">
            <v>0</v>
          </cell>
          <cell r="F45">
            <v>0</v>
          </cell>
        </row>
        <row r="46">
          <cell r="E46">
            <v>0</v>
          </cell>
          <cell r="F46">
            <v>0</v>
          </cell>
        </row>
        <row r="47">
          <cell r="E47">
            <v>0</v>
          </cell>
          <cell r="F47">
            <v>0</v>
          </cell>
        </row>
        <row r="48">
          <cell r="E48">
            <v>0</v>
          </cell>
          <cell r="F48">
            <v>0</v>
          </cell>
        </row>
        <row r="49">
          <cell r="E49">
            <v>0</v>
          </cell>
          <cell r="F49">
            <v>0</v>
          </cell>
        </row>
        <row r="50">
          <cell r="E50">
            <v>0</v>
          </cell>
          <cell r="F50">
            <v>0</v>
          </cell>
        </row>
        <row r="51">
          <cell r="E51">
            <v>0</v>
          </cell>
          <cell r="F51">
            <v>0</v>
          </cell>
        </row>
        <row r="52">
          <cell r="E52">
            <v>0</v>
          </cell>
          <cell r="F52">
            <v>0</v>
          </cell>
        </row>
        <row r="53">
          <cell r="E53">
            <v>0</v>
          </cell>
          <cell r="F53">
            <v>0</v>
          </cell>
        </row>
        <row r="54">
          <cell r="E54">
            <v>0</v>
          </cell>
          <cell r="F54">
            <v>0</v>
          </cell>
        </row>
        <row r="55">
          <cell r="E55">
            <v>0</v>
          </cell>
          <cell r="F55">
            <v>0</v>
          </cell>
        </row>
        <row r="56">
          <cell r="E56">
            <v>0</v>
          </cell>
          <cell r="F56">
            <v>0</v>
          </cell>
        </row>
        <row r="57">
          <cell r="E57">
            <v>0</v>
          </cell>
          <cell r="F57">
            <v>0</v>
          </cell>
        </row>
        <row r="58">
          <cell r="E58">
            <v>0</v>
          </cell>
          <cell r="F58">
            <v>0</v>
          </cell>
        </row>
        <row r="59">
          <cell r="E59">
            <v>0</v>
          </cell>
          <cell r="F59">
            <v>0</v>
          </cell>
        </row>
        <row r="60">
          <cell r="E60">
            <v>0</v>
          </cell>
          <cell r="F60">
            <v>0</v>
          </cell>
        </row>
        <row r="61">
          <cell r="E61">
            <v>0</v>
          </cell>
          <cell r="F61">
            <v>0</v>
          </cell>
        </row>
        <row r="62">
          <cell r="E62">
            <v>0</v>
          </cell>
          <cell r="F62">
            <v>0</v>
          </cell>
        </row>
        <row r="63">
          <cell r="E63">
            <v>0</v>
          </cell>
          <cell r="F63">
            <v>0</v>
          </cell>
        </row>
        <row r="64">
          <cell r="E64">
            <v>0</v>
          </cell>
          <cell r="F64">
            <v>0</v>
          </cell>
        </row>
        <row r="65">
          <cell r="E65">
            <v>0</v>
          </cell>
          <cell r="F65">
            <v>0</v>
          </cell>
        </row>
        <row r="66">
          <cell r="E66">
            <v>0</v>
          </cell>
          <cell r="F66">
            <v>0</v>
          </cell>
        </row>
        <row r="67">
          <cell r="E67">
            <v>0</v>
          </cell>
          <cell r="F67">
            <v>0</v>
          </cell>
        </row>
        <row r="68">
          <cell r="E68">
            <v>0</v>
          </cell>
          <cell r="F68">
            <v>0</v>
          </cell>
        </row>
        <row r="69">
          <cell r="E69">
            <v>0</v>
          </cell>
          <cell r="F69">
            <v>0</v>
          </cell>
        </row>
        <row r="70">
          <cell r="E70">
            <v>0</v>
          </cell>
          <cell r="F70">
            <v>0</v>
          </cell>
        </row>
        <row r="71">
          <cell r="E71">
            <v>0</v>
          </cell>
          <cell r="F71">
            <v>0</v>
          </cell>
        </row>
        <row r="72">
          <cell r="E72">
            <v>0</v>
          </cell>
          <cell r="F72">
            <v>0</v>
          </cell>
        </row>
        <row r="73">
          <cell r="E73">
            <v>0</v>
          </cell>
          <cell r="F73">
            <v>0</v>
          </cell>
        </row>
        <row r="74">
          <cell r="E74">
            <v>0</v>
          </cell>
          <cell r="F74">
            <v>0</v>
          </cell>
        </row>
        <row r="75">
          <cell r="E75">
            <v>0</v>
          </cell>
          <cell r="F75">
            <v>0</v>
          </cell>
        </row>
        <row r="76">
          <cell r="E76">
            <v>0</v>
          </cell>
          <cell r="F76">
            <v>0</v>
          </cell>
        </row>
        <row r="77">
          <cell r="E77">
            <v>0</v>
          </cell>
          <cell r="F77">
            <v>0</v>
          </cell>
        </row>
        <row r="78">
          <cell r="E78">
            <v>0</v>
          </cell>
          <cell r="F78">
            <v>0</v>
          </cell>
        </row>
        <row r="79">
          <cell r="E79">
            <v>0</v>
          </cell>
          <cell r="F79">
            <v>0</v>
          </cell>
        </row>
        <row r="80">
          <cell r="E80">
            <v>0</v>
          </cell>
          <cell r="F80">
            <v>0</v>
          </cell>
        </row>
        <row r="81">
          <cell r="E81">
            <v>0</v>
          </cell>
          <cell r="F81">
            <v>0</v>
          </cell>
        </row>
        <row r="82">
          <cell r="E82">
            <v>0</v>
          </cell>
          <cell r="F82">
            <v>0</v>
          </cell>
        </row>
        <row r="83">
          <cell r="E83">
            <v>0</v>
          </cell>
          <cell r="F83">
            <v>0</v>
          </cell>
        </row>
        <row r="84">
          <cell r="E84">
            <v>0</v>
          </cell>
          <cell r="F84">
            <v>0</v>
          </cell>
        </row>
        <row r="85">
          <cell r="E85">
            <v>0</v>
          </cell>
          <cell r="F85">
            <v>0</v>
          </cell>
        </row>
        <row r="86">
          <cell r="E86">
            <v>0</v>
          </cell>
          <cell r="F86">
            <v>0</v>
          </cell>
        </row>
        <row r="87">
          <cell r="E87">
            <v>0</v>
          </cell>
          <cell r="F87">
            <v>0</v>
          </cell>
        </row>
        <row r="88">
          <cell r="E88">
            <v>0</v>
          </cell>
          <cell r="F88">
            <v>0</v>
          </cell>
        </row>
        <row r="89">
          <cell r="E89">
            <v>0</v>
          </cell>
          <cell r="F89">
            <v>0</v>
          </cell>
        </row>
        <row r="90">
          <cell r="E90">
            <v>0</v>
          </cell>
          <cell r="F90">
            <v>0</v>
          </cell>
        </row>
        <row r="91">
          <cell r="E91">
            <v>0</v>
          </cell>
          <cell r="F91">
            <v>0</v>
          </cell>
        </row>
        <row r="92">
          <cell r="E92">
            <v>0</v>
          </cell>
          <cell r="F92">
            <v>0</v>
          </cell>
        </row>
        <row r="93">
          <cell r="E93">
            <v>0</v>
          </cell>
          <cell r="F93">
            <v>0</v>
          </cell>
        </row>
        <row r="94">
          <cell r="E94">
            <v>0</v>
          </cell>
          <cell r="F94">
            <v>0</v>
          </cell>
        </row>
        <row r="95">
          <cell r="E95">
            <v>0</v>
          </cell>
          <cell r="F95">
            <v>0</v>
          </cell>
        </row>
        <row r="96">
          <cell r="E96">
            <v>0</v>
          </cell>
          <cell r="F96">
            <v>0</v>
          </cell>
        </row>
        <row r="97">
          <cell r="E97">
            <v>0</v>
          </cell>
          <cell r="F97">
            <v>0</v>
          </cell>
        </row>
        <row r="98">
          <cell r="E98">
            <v>0</v>
          </cell>
          <cell r="F98">
            <v>0</v>
          </cell>
        </row>
        <row r="99">
          <cell r="E99">
            <v>0</v>
          </cell>
          <cell r="F99">
            <v>0</v>
          </cell>
        </row>
        <row r="100">
          <cell r="E100">
            <v>0</v>
          </cell>
          <cell r="F100">
            <v>0</v>
          </cell>
        </row>
        <row r="101">
          <cell r="E101">
            <v>0</v>
          </cell>
          <cell r="F101">
            <v>0</v>
          </cell>
        </row>
        <row r="102">
          <cell r="E102">
            <v>0</v>
          </cell>
          <cell r="F102">
            <v>0</v>
          </cell>
        </row>
        <row r="103">
          <cell r="E103">
            <v>0</v>
          </cell>
          <cell r="F103">
            <v>0</v>
          </cell>
        </row>
        <row r="104">
          <cell r="E104">
            <v>0</v>
          </cell>
          <cell r="F104">
            <v>0</v>
          </cell>
        </row>
        <row r="105">
          <cell r="E105">
            <v>0</v>
          </cell>
          <cell r="F105">
            <v>0</v>
          </cell>
        </row>
        <row r="106">
          <cell r="E106">
            <v>0</v>
          </cell>
          <cell r="F106">
            <v>0</v>
          </cell>
        </row>
        <row r="107">
          <cell r="E107">
            <v>0</v>
          </cell>
          <cell r="F107">
            <v>0</v>
          </cell>
        </row>
        <row r="108">
          <cell r="E108">
            <v>0</v>
          </cell>
          <cell r="F108">
            <v>0</v>
          </cell>
        </row>
        <row r="109">
          <cell r="E109">
            <v>0</v>
          </cell>
          <cell r="F109">
            <v>0</v>
          </cell>
        </row>
        <row r="110">
          <cell r="E110">
            <v>0</v>
          </cell>
          <cell r="F110">
            <v>0</v>
          </cell>
        </row>
        <row r="111">
          <cell r="E111">
            <v>0</v>
          </cell>
          <cell r="F111">
            <v>0</v>
          </cell>
        </row>
        <row r="112">
          <cell r="E112">
            <v>0</v>
          </cell>
          <cell r="F112">
            <v>0</v>
          </cell>
        </row>
        <row r="113">
          <cell r="E113">
            <v>0</v>
          </cell>
          <cell r="F113">
            <v>0</v>
          </cell>
        </row>
        <row r="114">
          <cell r="E114">
            <v>0</v>
          </cell>
          <cell r="F114">
            <v>0</v>
          </cell>
        </row>
        <row r="115">
          <cell r="E115">
            <v>0</v>
          </cell>
          <cell r="F115">
            <v>0</v>
          </cell>
        </row>
        <row r="116">
          <cell r="E116">
            <v>0</v>
          </cell>
          <cell r="F116">
            <v>0</v>
          </cell>
        </row>
        <row r="117">
          <cell r="E117">
            <v>0</v>
          </cell>
          <cell r="F117">
            <v>0</v>
          </cell>
        </row>
        <row r="118">
          <cell r="E118">
            <v>0</v>
          </cell>
          <cell r="F118">
            <v>0</v>
          </cell>
        </row>
        <row r="119">
          <cell r="E119">
            <v>0</v>
          </cell>
          <cell r="F119">
            <v>0</v>
          </cell>
        </row>
        <row r="120">
          <cell r="E120">
            <v>0</v>
          </cell>
          <cell r="F120">
            <v>0</v>
          </cell>
        </row>
        <row r="121">
          <cell r="E121">
            <v>0</v>
          </cell>
          <cell r="F121">
            <v>0</v>
          </cell>
        </row>
        <row r="122">
          <cell r="E122">
            <v>0</v>
          </cell>
          <cell r="F122">
            <v>0</v>
          </cell>
        </row>
        <row r="123">
          <cell r="E123">
            <v>0</v>
          </cell>
          <cell r="F123">
            <v>0</v>
          </cell>
        </row>
        <row r="124">
          <cell r="E124">
            <v>0</v>
          </cell>
          <cell r="F124">
            <v>0</v>
          </cell>
        </row>
        <row r="125">
          <cell r="E125">
            <v>0</v>
          </cell>
          <cell r="F125">
            <v>0</v>
          </cell>
        </row>
        <row r="126">
          <cell r="E126">
            <v>0</v>
          </cell>
          <cell r="F126">
            <v>0</v>
          </cell>
        </row>
        <row r="127">
          <cell r="E127">
            <v>0</v>
          </cell>
          <cell r="F127">
            <v>0</v>
          </cell>
        </row>
        <row r="128">
          <cell r="E128">
            <v>0</v>
          </cell>
          <cell r="F128">
            <v>0</v>
          </cell>
        </row>
        <row r="129">
          <cell r="E129">
            <v>0</v>
          </cell>
          <cell r="F129">
            <v>0</v>
          </cell>
        </row>
        <row r="130">
          <cell r="E130">
            <v>0</v>
          </cell>
          <cell r="F130">
            <v>0</v>
          </cell>
        </row>
        <row r="131">
          <cell r="E131">
            <v>0</v>
          </cell>
          <cell r="F131">
            <v>0</v>
          </cell>
        </row>
        <row r="132">
          <cell r="E132">
            <v>0</v>
          </cell>
          <cell r="F132">
            <v>0</v>
          </cell>
        </row>
        <row r="133">
          <cell r="E133">
            <v>0</v>
          </cell>
          <cell r="F133">
            <v>0</v>
          </cell>
        </row>
        <row r="134">
          <cell r="E134">
            <v>0</v>
          </cell>
          <cell r="F134">
            <v>0</v>
          </cell>
        </row>
        <row r="135">
          <cell r="E135">
            <v>0</v>
          </cell>
          <cell r="F135">
            <v>0</v>
          </cell>
        </row>
        <row r="136">
          <cell r="E136">
            <v>0</v>
          </cell>
          <cell r="F136">
            <v>0</v>
          </cell>
        </row>
        <row r="137">
          <cell r="E137">
            <v>0</v>
          </cell>
          <cell r="F137">
            <v>0</v>
          </cell>
        </row>
        <row r="138">
          <cell r="E138">
            <v>0</v>
          </cell>
          <cell r="F138">
            <v>0</v>
          </cell>
        </row>
        <row r="139">
          <cell r="E139">
            <v>0</v>
          </cell>
          <cell r="F139">
            <v>0</v>
          </cell>
        </row>
        <row r="140">
          <cell r="E140">
            <v>0</v>
          </cell>
          <cell r="F140">
            <v>0</v>
          </cell>
        </row>
        <row r="141">
          <cell r="E141">
            <v>0</v>
          </cell>
          <cell r="F141">
            <v>0</v>
          </cell>
        </row>
        <row r="142">
          <cell r="E142">
            <v>0</v>
          </cell>
          <cell r="F142">
            <v>0</v>
          </cell>
        </row>
        <row r="143">
          <cell r="E143">
            <v>0</v>
          </cell>
          <cell r="F143">
            <v>0</v>
          </cell>
        </row>
        <row r="144">
          <cell r="E144">
            <v>0</v>
          </cell>
          <cell r="F144">
            <v>0</v>
          </cell>
        </row>
        <row r="145">
          <cell r="E145">
            <v>0</v>
          </cell>
          <cell r="F145">
            <v>0</v>
          </cell>
        </row>
        <row r="146">
          <cell r="E146">
            <v>0</v>
          </cell>
          <cell r="F146">
            <v>0</v>
          </cell>
        </row>
        <row r="147">
          <cell r="E147">
            <v>0</v>
          </cell>
          <cell r="F147">
            <v>0</v>
          </cell>
        </row>
        <row r="148">
          <cell r="E148">
            <v>0</v>
          </cell>
          <cell r="F148">
            <v>0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レポート 3"/>
      <sheetName val="Sheet1"/>
    </sheetNames>
    <sheetDataSet>
      <sheetData sheetId="0">
        <row r="2">
          <cell r="E2" t="str">
            <v>202605</v>
          </cell>
        </row>
        <row r="3">
          <cell r="D3" t="str">
            <v>BAAV</v>
          </cell>
          <cell r="E3">
            <v>10</v>
          </cell>
          <cell r="F3">
            <v>22000</v>
          </cell>
        </row>
        <row r="4">
          <cell r="D4" t="str">
            <v>BADI</v>
          </cell>
          <cell r="E4">
            <v>55</v>
          </cell>
          <cell r="F4">
            <v>45375</v>
          </cell>
        </row>
        <row r="5">
          <cell r="D5" t="str">
            <v>BAEV</v>
          </cell>
          <cell r="E5">
            <v>20</v>
          </cell>
          <cell r="F5">
            <v>13200</v>
          </cell>
        </row>
        <row r="6">
          <cell r="D6" t="str">
            <v>BAFT205</v>
          </cell>
          <cell r="E6">
            <v>15</v>
          </cell>
          <cell r="F6">
            <v>38775</v>
          </cell>
        </row>
        <row r="7">
          <cell r="D7" t="str">
            <v>BAFT305</v>
          </cell>
          <cell r="E7">
            <v>45</v>
          </cell>
          <cell r="F7">
            <v>116325</v>
          </cell>
        </row>
        <row r="8">
          <cell r="D8" t="str">
            <v>BAFT405</v>
          </cell>
          <cell r="E8">
            <v>40</v>
          </cell>
          <cell r="F8">
            <v>103400</v>
          </cell>
        </row>
        <row r="9">
          <cell r="D9" t="str">
            <v>BAFT410</v>
          </cell>
          <cell r="E9">
            <v>10</v>
          </cell>
          <cell r="F9">
            <v>25850</v>
          </cell>
        </row>
        <row r="10">
          <cell r="D10" t="str">
            <v>BAHU</v>
          </cell>
          <cell r="E10">
            <v>6</v>
          </cell>
          <cell r="F10">
            <v>5280</v>
          </cell>
        </row>
        <row r="11">
          <cell r="D11" t="str">
            <v>BAKG</v>
          </cell>
          <cell r="E11">
            <v>6</v>
          </cell>
          <cell r="F11">
            <v>11550</v>
          </cell>
        </row>
        <row r="12">
          <cell r="D12" t="str">
            <v>BAKZ</v>
          </cell>
          <cell r="E12">
            <v>5</v>
          </cell>
          <cell r="F12">
            <v>1375</v>
          </cell>
        </row>
        <row r="13">
          <cell r="D13" t="str">
            <v>BALI</v>
          </cell>
          <cell r="E13">
            <v>50</v>
          </cell>
          <cell r="F13">
            <v>41250</v>
          </cell>
        </row>
        <row r="14">
          <cell r="D14" t="str">
            <v>BAPL</v>
          </cell>
          <cell r="E14">
            <v>5</v>
          </cell>
          <cell r="F14">
            <v>20625</v>
          </cell>
        </row>
        <row r="15">
          <cell r="D15" t="str">
            <v>BAPM</v>
          </cell>
          <cell r="E15">
            <v>5</v>
          </cell>
          <cell r="F15">
            <v>20625</v>
          </cell>
        </row>
        <row r="16">
          <cell r="D16" t="str">
            <v>BAPN</v>
          </cell>
          <cell r="E16">
            <v>10</v>
          </cell>
          <cell r="F16">
            <v>36850</v>
          </cell>
        </row>
        <row r="17">
          <cell r="D17" t="str">
            <v>BAPO</v>
          </cell>
          <cell r="E17">
            <v>10</v>
          </cell>
          <cell r="F17">
            <v>36850</v>
          </cell>
        </row>
        <row r="18">
          <cell r="D18" t="str">
            <v>BAPY</v>
          </cell>
          <cell r="E18">
            <v>5</v>
          </cell>
          <cell r="F18">
            <v>28875</v>
          </cell>
        </row>
        <row r="19">
          <cell r="D19" t="str">
            <v>BARB</v>
          </cell>
          <cell r="E19">
            <v>10</v>
          </cell>
          <cell r="F19">
            <v>38500</v>
          </cell>
        </row>
        <row r="20">
          <cell r="D20" t="str">
            <v>BARD</v>
          </cell>
          <cell r="E20">
            <v>15</v>
          </cell>
          <cell r="F20">
            <v>51150</v>
          </cell>
        </row>
        <row r="21">
          <cell r="D21" t="str">
            <v>BARJ</v>
          </cell>
          <cell r="E21">
            <v>6</v>
          </cell>
          <cell r="F21">
            <v>33000</v>
          </cell>
        </row>
        <row r="22">
          <cell r="D22" t="str">
            <v>BARN</v>
          </cell>
          <cell r="E22">
            <v>15</v>
          </cell>
          <cell r="F22">
            <v>62700</v>
          </cell>
        </row>
        <row r="23">
          <cell r="D23" t="str">
            <v>BARQ</v>
          </cell>
          <cell r="E23">
            <v>6</v>
          </cell>
          <cell r="F23">
            <v>32010</v>
          </cell>
        </row>
        <row r="24">
          <cell r="D24" t="str">
            <v>BART</v>
          </cell>
          <cell r="E24">
            <v>10</v>
          </cell>
          <cell r="F24">
            <v>49500</v>
          </cell>
        </row>
        <row r="25">
          <cell r="D25" t="str">
            <v>BARU</v>
          </cell>
          <cell r="E25">
            <v>5</v>
          </cell>
          <cell r="F25">
            <v>23925</v>
          </cell>
        </row>
        <row r="26">
          <cell r="D26" t="str">
            <v>BASU001</v>
          </cell>
          <cell r="E26">
            <v>5</v>
          </cell>
          <cell r="F26">
            <v>8800</v>
          </cell>
        </row>
        <row r="27">
          <cell r="D27" t="str">
            <v>BASU002</v>
          </cell>
          <cell r="E27">
            <v>5</v>
          </cell>
          <cell r="F27">
            <v>8800</v>
          </cell>
        </row>
        <row r="28">
          <cell r="D28" t="str">
            <v>BAWX</v>
          </cell>
          <cell r="E28">
            <v>30</v>
          </cell>
          <cell r="F28">
            <v>41250</v>
          </cell>
        </row>
        <row r="29">
          <cell r="D29" t="str">
            <v>DLBK</v>
          </cell>
          <cell r="E29">
            <v>312</v>
          </cell>
          <cell r="F29">
            <v>205920</v>
          </cell>
        </row>
        <row r="30">
          <cell r="D30" t="str">
            <v>DLCA</v>
          </cell>
          <cell r="E30">
            <v>1000</v>
          </cell>
          <cell r="F30">
            <v>247500</v>
          </cell>
        </row>
        <row r="31">
          <cell r="D31" t="str">
            <v>DLCN</v>
          </cell>
          <cell r="E31">
            <v>59472</v>
          </cell>
          <cell r="F31">
            <v>42522480</v>
          </cell>
        </row>
        <row r="32">
          <cell r="D32" t="str">
            <v>DLCQ</v>
          </cell>
          <cell r="E32">
            <v>7647</v>
          </cell>
          <cell r="F32">
            <v>5467605</v>
          </cell>
        </row>
        <row r="33">
          <cell r="D33" t="str">
            <v>DLCR</v>
          </cell>
          <cell r="E33">
            <v>3600</v>
          </cell>
          <cell r="F33">
            <v>2574000</v>
          </cell>
        </row>
        <row r="34">
          <cell r="D34" t="str">
            <v>DLEA</v>
          </cell>
          <cell r="E34">
            <v>15924</v>
          </cell>
          <cell r="F34">
            <v>11385660</v>
          </cell>
        </row>
        <row r="35">
          <cell r="D35" t="str">
            <v>DLEB</v>
          </cell>
          <cell r="E35">
            <v>690</v>
          </cell>
          <cell r="F35">
            <v>326370</v>
          </cell>
        </row>
        <row r="36">
          <cell r="D36" t="str">
            <v>DLFP</v>
          </cell>
          <cell r="E36">
            <v>1344</v>
          </cell>
          <cell r="F36">
            <v>931392</v>
          </cell>
        </row>
        <row r="37">
          <cell r="D37" t="str">
            <v>DLIB</v>
          </cell>
          <cell r="E37">
            <v>1050</v>
          </cell>
          <cell r="F37">
            <v>519750</v>
          </cell>
        </row>
        <row r="38">
          <cell r="D38" t="str">
            <v>DLID</v>
          </cell>
          <cell r="E38">
            <v>500</v>
          </cell>
          <cell r="F38">
            <v>220000</v>
          </cell>
        </row>
        <row r="39">
          <cell r="D39" t="str">
            <v>DLSC</v>
          </cell>
          <cell r="E39">
            <v>170</v>
          </cell>
          <cell r="F39">
            <v>121550</v>
          </cell>
        </row>
        <row r="40">
          <cell r="D40" t="str">
            <v>DXAO001</v>
          </cell>
          <cell r="E40">
            <v>120</v>
          </cell>
          <cell r="F40">
            <v>79200</v>
          </cell>
        </row>
        <row r="41">
          <cell r="D41" t="str">
            <v>DXBX415</v>
          </cell>
          <cell r="E41">
            <v>40</v>
          </cell>
          <cell r="F41">
            <v>35200</v>
          </cell>
        </row>
        <row r="42">
          <cell r="D42" t="str">
            <v>DXBY001</v>
          </cell>
          <cell r="E42">
            <v>40</v>
          </cell>
          <cell r="F42">
            <v>30800</v>
          </cell>
        </row>
        <row r="43">
          <cell r="D43" t="str">
            <v>DXBY002</v>
          </cell>
          <cell r="E43">
            <v>35</v>
          </cell>
          <cell r="F43">
            <v>26950</v>
          </cell>
        </row>
        <row r="44">
          <cell r="D44" t="str">
            <v>DXBZ001</v>
          </cell>
          <cell r="E44">
            <v>30</v>
          </cell>
          <cell r="F44">
            <v>18150</v>
          </cell>
        </row>
        <row r="45">
          <cell r="D45" t="str">
            <v>DXBZ002</v>
          </cell>
          <cell r="E45">
            <v>30</v>
          </cell>
          <cell r="F45">
            <v>18150</v>
          </cell>
        </row>
        <row r="46">
          <cell r="D46" t="str">
            <v>DXDM001</v>
          </cell>
          <cell r="E46">
            <v>30</v>
          </cell>
          <cell r="F46">
            <v>19800</v>
          </cell>
        </row>
        <row r="47">
          <cell r="D47" t="str">
            <v>DXDM002</v>
          </cell>
          <cell r="E47">
            <v>30</v>
          </cell>
          <cell r="F47">
            <v>19800</v>
          </cell>
        </row>
        <row r="48">
          <cell r="D48" t="str">
            <v>DXDM003</v>
          </cell>
          <cell r="E48">
            <v>30</v>
          </cell>
          <cell r="F48">
            <v>19800</v>
          </cell>
        </row>
        <row r="49">
          <cell r="D49" t="str">
            <v>DXDM004</v>
          </cell>
          <cell r="E49">
            <v>30</v>
          </cell>
          <cell r="F49">
            <v>19800</v>
          </cell>
        </row>
        <row r="50">
          <cell r="D50" t="str">
            <v>DXDN001</v>
          </cell>
          <cell r="E50">
            <v>30</v>
          </cell>
          <cell r="F50">
            <v>19800</v>
          </cell>
        </row>
        <row r="51">
          <cell r="D51" t="str">
            <v>DXDN002</v>
          </cell>
          <cell r="E51">
            <v>30</v>
          </cell>
          <cell r="F51">
            <v>19800</v>
          </cell>
        </row>
        <row r="52">
          <cell r="D52" t="str">
            <v>DXFX002</v>
          </cell>
          <cell r="E52">
            <v>20</v>
          </cell>
          <cell r="F52">
            <v>13200</v>
          </cell>
        </row>
        <row r="53">
          <cell r="D53" t="str">
            <v>DXJC003</v>
          </cell>
          <cell r="E53">
            <v>56</v>
          </cell>
          <cell r="F53">
            <v>36960</v>
          </cell>
        </row>
        <row r="54">
          <cell r="D54" t="str">
            <v>DXJP</v>
          </cell>
          <cell r="E54">
            <v>60</v>
          </cell>
          <cell r="F54">
            <v>27720</v>
          </cell>
        </row>
        <row r="55">
          <cell r="D55" t="str">
            <v>DXJX001</v>
          </cell>
          <cell r="E55">
            <v>30</v>
          </cell>
          <cell r="F55">
            <v>21450</v>
          </cell>
        </row>
        <row r="56">
          <cell r="D56" t="str">
            <v>DXJX002</v>
          </cell>
          <cell r="E56">
            <v>30</v>
          </cell>
          <cell r="F56">
            <v>21450</v>
          </cell>
        </row>
        <row r="57">
          <cell r="D57" t="str">
            <v>DXKB405</v>
          </cell>
          <cell r="E57">
            <v>40</v>
          </cell>
          <cell r="F57">
            <v>35200</v>
          </cell>
        </row>
        <row r="58">
          <cell r="D58" t="str">
            <v>DXKB410</v>
          </cell>
          <cell r="E58">
            <v>20</v>
          </cell>
          <cell r="F58">
            <v>17600</v>
          </cell>
        </row>
        <row r="59">
          <cell r="D59" t="str">
            <v>DXKB415</v>
          </cell>
          <cell r="E59">
            <v>10</v>
          </cell>
          <cell r="F59">
            <v>8800</v>
          </cell>
        </row>
        <row r="60">
          <cell r="D60" t="str">
            <v>DXKF002</v>
          </cell>
          <cell r="E60">
            <v>30</v>
          </cell>
          <cell r="F60">
            <v>19800</v>
          </cell>
        </row>
        <row r="61">
          <cell r="D61" t="str">
            <v>DXKF003</v>
          </cell>
          <cell r="E61">
            <v>50</v>
          </cell>
          <cell r="F61">
            <v>33000</v>
          </cell>
        </row>
        <row r="62">
          <cell r="D62" t="str">
            <v>DXKV000</v>
          </cell>
          <cell r="E62">
            <v>35</v>
          </cell>
          <cell r="F62">
            <v>23100</v>
          </cell>
        </row>
        <row r="63">
          <cell r="D63" t="str">
            <v>DXNC002</v>
          </cell>
          <cell r="E63">
            <v>30</v>
          </cell>
          <cell r="F63">
            <v>18150</v>
          </cell>
        </row>
        <row r="64">
          <cell r="D64" t="str">
            <v>DXND205</v>
          </cell>
          <cell r="E64">
            <v>10</v>
          </cell>
          <cell r="F64">
            <v>8800</v>
          </cell>
        </row>
        <row r="65">
          <cell r="D65" t="str">
            <v>DXND405</v>
          </cell>
          <cell r="E65">
            <v>10</v>
          </cell>
          <cell r="F65">
            <v>8800</v>
          </cell>
        </row>
        <row r="66">
          <cell r="D66" t="str">
            <v>DXND410</v>
          </cell>
          <cell r="E66">
            <v>20</v>
          </cell>
          <cell r="F66">
            <v>17600</v>
          </cell>
        </row>
        <row r="67">
          <cell r="D67" t="str">
            <v>DXND415</v>
          </cell>
          <cell r="E67">
            <v>10</v>
          </cell>
          <cell r="F67">
            <v>8800</v>
          </cell>
        </row>
        <row r="68">
          <cell r="D68" t="str">
            <v>DXNG003</v>
          </cell>
          <cell r="E68">
            <v>50</v>
          </cell>
          <cell r="F68">
            <v>33000</v>
          </cell>
        </row>
        <row r="69">
          <cell r="D69" t="str">
            <v>DXPO000</v>
          </cell>
          <cell r="E69">
            <v>300</v>
          </cell>
          <cell r="F69">
            <v>148500</v>
          </cell>
        </row>
        <row r="70">
          <cell r="D70" t="str">
            <v>DXQQ002</v>
          </cell>
          <cell r="E70">
            <v>10</v>
          </cell>
          <cell r="F70">
            <v>4950</v>
          </cell>
        </row>
        <row r="71">
          <cell r="D71" t="str">
            <v>DXQQ003</v>
          </cell>
          <cell r="E71">
            <v>10</v>
          </cell>
          <cell r="F71">
            <v>4950</v>
          </cell>
        </row>
        <row r="72">
          <cell r="D72" t="str">
            <v>DXQQ004</v>
          </cell>
          <cell r="E72">
            <v>10</v>
          </cell>
          <cell r="F72">
            <v>4950</v>
          </cell>
        </row>
        <row r="73">
          <cell r="D73" t="str">
            <v>DXQT001</v>
          </cell>
          <cell r="E73">
            <v>60</v>
          </cell>
          <cell r="F73">
            <v>18150</v>
          </cell>
        </row>
        <row r="74">
          <cell r="D74" t="str">
            <v>DXQT002</v>
          </cell>
          <cell r="E74">
            <v>60</v>
          </cell>
          <cell r="F74">
            <v>18150</v>
          </cell>
        </row>
        <row r="75">
          <cell r="D75" t="str">
            <v>DXQT003</v>
          </cell>
          <cell r="E75">
            <v>60</v>
          </cell>
          <cell r="F75">
            <v>18150</v>
          </cell>
        </row>
        <row r="76">
          <cell r="D76" t="str">
            <v>DXQW003</v>
          </cell>
          <cell r="E76">
            <v>30</v>
          </cell>
          <cell r="F76">
            <v>14025</v>
          </cell>
        </row>
        <row r="77">
          <cell r="D77" t="str">
            <v>DXQX001</v>
          </cell>
          <cell r="E77">
            <v>60</v>
          </cell>
          <cell r="F77">
            <v>33000</v>
          </cell>
        </row>
        <row r="78">
          <cell r="D78" t="str">
            <v>DXQY001</v>
          </cell>
          <cell r="E78">
            <v>30</v>
          </cell>
          <cell r="F78">
            <v>16500</v>
          </cell>
        </row>
        <row r="79">
          <cell r="D79" t="str">
            <v>DXQY002</v>
          </cell>
          <cell r="E79">
            <v>50</v>
          </cell>
          <cell r="F79">
            <v>27500</v>
          </cell>
        </row>
        <row r="80">
          <cell r="D80" t="str">
            <v>DXQY003</v>
          </cell>
          <cell r="E80">
            <v>30</v>
          </cell>
          <cell r="F80">
            <v>16500</v>
          </cell>
        </row>
        <row r="81">
          <cell r="D81" t="str">
            <v>DXUJ001</v>
          </cell>
          <cell r="E81">
            <v>30</v>
          </cell>
          <cell r="F81">
            <v>37950</v>
          </cell>
        </row>
        <row r="82">
          <cell r="D82" t="str">
            <v>DXUJ002</v>
          </cell>
          <cell r="E82">
            <v>30</v>
          </cell>
          <cell r="F82">
            <v>37950</v>
          </cell>
        </row>
        <row r="83">
          <cell r="D83" t="str">
            <v>DXUJ003</v>
          </cell>
          <cell r="E83">
            <v>30</v>
          </cell>
          <cell r="F83">
            <v>37950</v>
          </cell>
        </row>
        <row r="84">
          <cell r="D84" t="str">
            <v>DXUT001</v>
          </cell>
          <cell r="E84">
            <v>30</v>
          </cell>
          <cell r="F84">
            <v>18150</v>
          </cell>
        </row>
        <row r="85">
          <cell r="D85" t="str">
            <v>DXWJ001</v>
          </cell>
          <cell r="E85">
            <v>30</v>
          </cell>
          <cell r="F85">
            <v>10725</v>
          </cell>
        </row>
        <row r="86">
          <cell r="D86" t="str">
            <v>DXWJ002</v>
          </cell>
          <cell r="E86">
            <v>30</v>
          </cell>
          <cell r="F86">
            <v>10725</v>
          </cell>
        </row>
        <row r="87">
          <cell r="D87" t="str">
            <v>DXWJ003</v>
          </cell>
          <cell r="E87">
            <v>30</v>
          </cell>
          <cell r="F87">
            <v>10725</v>
          </cell>
        </row>
        <row r="88">
          <cell r="D88" t="str">
            <v>DXWP002</v>
          </cell>
          <cell r="E88">
            <v>30</v>
          </cell>
          <cell r="F88">
            <v>21450</v>
          </cell>
        </row>
        <row r="89">
          <cell r="D89" t="str">
            <v>DXXY</v>
          </cell>
          <cell r="E89">
            <v>20</v>
          </cell>
          <cell r="F89">
            <v>6600</v>
          </cell>
        </row>
        <row r="90">
          <cell r="D90" t="str">
            <v>DXYF001</v>
          </cell>
          <cell r="E90">
            <v>30</v>
          </cell>
          <cell r="F90">
            <v>19800</v>
          </cell>
        </row>
        <row r="91">
          <cell r="D91" t="str">
            <v>DXYI001</v>
          </cell>
          <cell r="E91">
            <v>5</v>
          </cell>
          <cell r="F91">
            <v>2750</v>
          </cell>
        </row>
        <row r="92">
          <cell r="D92" t="str">
            <v>DXYI002</v>
          </cell>
          <cell r="E92">
            <v>60</v>
          </cell>
          <cell r="F92">
            <v>33000</v>
          </cell>
        </row>
        <row r="93">
          <cell r="D93" t="str">
            <v>DXYI003</v>
          </cell>
          <cell r="E93">
            <v>20</v>
          </cell>
          <cell r="F93">
            <v>11000</v>
          </cell>
        </row>
        <row r="94">
          <cell r="D94" t="str">
            <v>DXYX002</v>
          </cell>
          <cell r="E94">
            <v>50</v>
          </cell>
          <cell r="F94">
            <v>27500</v>
          </cell>
        </row>
        <row r="95">
          <cell r="D95" t="str">
            <v>DXYX003</v>
          </cell>
          <cell r="E95">
            <v>30</v>
          </cell>
          <cell r="F95">
            <v>16500</v>
          </cell>
        </row>
        <row r="96">
          <cell r="D96" t="str">
            <v>MSYC</v>
          </cell>
          <cell r="E96">
            <v>476</v>
          </cell>
          <cell r="F96">
            <v>1492260</v>
          </cell>
        </row>
        <row r="97">
          <cell r="D97" t="str">
            <v>MSYD</v>
          </cell>
          <cell r="E97">
            <v>200</v>
          </cell>
          <cell r="F97">
            <v>594000</v>
          </cell>
        </row>
        <row r="98">
          <cell r="D98" t="str">
            <v>MSYF</v>
          </cell>
          <cell r="E98">
            <v>200</v>
          </cell>
          <cell r="F98">
            <v>814000</v>
          </cell>
        </row>
        <row r="99">
          <cell r="D99" t="str">
            <v>MTOJ</v>
          </cell>
          <cell r="E99">
            <v>136</v>
          </cell>
          <cell r="F99">
            <v>201960</v>
          </cell>
        </row>
        <row r="100">
          <cell r="D100" t="str">
            <v>MTOK</v>
          </cell>
          <cell r="E100">
            <v>240</v>
          </cell>
          <cell r="F100">
            <v>290400</v>
          </cell>
        </row>
        <row r="101">
          <cell r="D101" t="str">
            <v>MTOL</v>
          </cell>
          <cell r="E101">
            <v>330</v>
          </cell>
          <cell r="F101">
            <v>417450</v>
          </cell>
        </row>
        <row r="102">
          <cell r="D102" t="str">
            <v>MTOM</v>
          </cell>
          <cell r="E102">
            <v>72</v>
          </cell>
          <cell r="F102">
            <v>25344</v>
          </cell>
        </row>
        <row r="103">
          <cell r="D103" t="str">
            <v>MTON</v>
          </cell>
          <cell r="E103">
            <v>72</v>
          </cell>
          <cell r="F103">
            <v>21384</v>
          </cell>
        </row>
        <row r="104">
          <cell r="D104" t="str">
            <v>MTSC</v>
          </cell>
          <cell r="E104">
            <v>234</v>
          </cell>
          <cell r="F104">
            <v>489060</v>
          </cell>
        </row>
        <row r="105">
          <cell r="D105" t="str">
            <v>MTSD</v>
          </cell>
          <cell r="E105">
            <v>377</v>
          </cell>
          <cell r="F105">
            <v>850135</v>
          </cell>
        </row>
        <row r="106">
          <cell r="D106" t="str">
            <v>MTSE</v>
          </cell>
          <cell r="E106">
            <v>150</v>
          </cell>
          <cell r="F106">
            <v>478500</v>
          </cell>
        </row>
        <row r="107">
          <cell r="D107" t="str">
            <v>MTSU</v>
          </cell>
          <cell r="E107">
            <v>122</v>
          </cell>
          <cell r="F107">
            <v>288530</v>
          </cell>
        </row>
        <row r="108">
          <cell r="D108" t="str">
            <v>MTSW</v>
          </cell>
          <cell r="E108">
            <v>1020</v>
          </cell>
          <cell r="F108">
            <v>2748900</v>
          </cell>
        </row>
        <row r="109">
          <cell r="D109" t="str">
            <v>MTSX</v>
          </cell>
          <cell r="E109">
            <v>240</v>
          </cell>
          <cell r="F109">
            <v>448800</v>
          </cell>
        </row>
        <row r="110">
          <cell r="D110" t="str">
            <v>MTSY</v>
          </cell>
          <cell r="E110">
            <v>216</v>
          </cell>
          <cell r="F110">
            <v>463320</v>
          </cell>
        </row>
        <row r="111">
          <cell r="D111" t="str">
            <v>MUCH</v>
          </cell>
          <cell r="E111">
            <v>432</v>
          </cell>
          <cell r="F111">
            <v>427680</v>
          </cell>
        </row>
        <row r="112">
          <cell r="D112" t="str">
            <v>MUSC</v>
          </cell>
          <cell r="E112">
            <v>840</v>
          </cell>
          <cell r="F112">
            <v>2494800</v>
          </cell>
        </row>
        <row r="113">
          <cell r="D113" t="str">
            <v>MUSE</v>
          </cell>
          <cell r="E113">
            <v>120</v>
          </cell>
          <cell r="F113">
            <v>297000</v>
          </cell>
        </row>
        <row r="114">
          <cell r="D114" t="str">
            <v>MUSG</v>
          </cell>
          <cell r="E114">
            <v>130</v>
          </cell>
          <cell r="F114">
            <v>214500</v>
          </cell>
        </row>
        <row r="115">
          <cell r="D115" t="str">
            <v>MUSH</v>
          </cell>
          <cell r="E115">
            <v>182</v>
          </cell>
          <cell r="F115">
            <v>260260</v>
          </cell>
        </row>
        <row r="116">
          <cell r="D116" t="str">
            <v>MUSN</v>
          </cell>
          <cell r="E116">
            <v>70</v>
          </cell>
          <cell r="F116">
            <v>134750</v>
          </cell>
        </row>
        <row r="117">
          <cell r="D117" t="str">
            <v>MUSO</v>
          </cell>
          <cell r="E117">
            <v>170</v>
          </cell>
          <cell r="F117">
            <v>271150</v>
          </cell>
        </row>
        <row r="118">
          <cell r="D118" t="str">
            <v>MUVE</v>
          </cell>
          <cell r="E118">
            <v>16</v>
          </cell>
          <cell r="F118">
            <v>51040</v>
          </cell>
        </row>
        <row r="119">
          <cell r="D119" t="str">
            <v>MUVF</v>
          </cell>
          <cell r="E119">
            <v>314</v>
          </cell>
          <cell r="F119">
            <v>1295250</v>
          </cell>
        </row>
        <row r="120">
          <cell r="D120" t="str">
            <v>MUWI</v>
          </cell>
          <cell r="E120">
            <v>160</v>
          </cell>
          <cell r="F120">
            <v>237600</v>
          </cell>
        </row>
        <row r="121">
          <cell r="D121" t="str">
            <v>MUXA</v>
          </cell>
          <cell r="E121">
            <v>342</v>
          </cell>
          <cell r="F121">
            <v>1015740</v>
          </cell>
        </row>
        <row r="122">
          <cell r="D122" t="str">
            <v>MUXC</v>
          </cell>
          <cell r="E122">
            <v>122</v>
          </cell>
          <cell r="F122">
            <v>348920</v>
          </cell>
        </row>
        <row r="123">
          <cell r="D123" t="str">
            <v>MUXD</v>
          </cell>
          <cell r="E123">
            <v>366</v>
          </cell>
          <cell r="F123">
            <v>1811700</v>
          </cell>
        </row>
        <row r="124">
          <cell r="D124" t="str">
            <v>MUZU</v>
          </cell>
          <cell r="E124">
            <v>256</v>
          </cell>
          <cell r="F124">
            <v>408320</v>
          </cell>
        </row>
        <row r="125">
          <cell r="D125" t="str">
            <v>YNBN001</v>
          </cell>
          <cell r="E125">
            <v>122</v>
          </cell>
          <cell r="F125">
            <v>36234</v>
          </cell>
        </row>
        <row r="126">
          <cell r="D126" t="str">
            <v>YNBN300</v>
          </cell>
          <cell r="E126">
            <v>140</v>
          </cell>
          <cell r="F126">
            <v>41580</v>
          </cell>
        </row>
        <row r="127">
          <cell r="D127" t="str">
            <v>YNBN301</v>
          </cell>
          <cell r="E127">
            <v>30</v>
          </cell>
          <cell r="F127">
            <v>8910</v>
          </cell>
        </row>
        <row r="128">
          <cell r="D128" t="str">
            <v>YNBN303</v>
          </cell>
          <cell r="E128">
            <v>30</v>
          </cell>
          <cell r="F128">
            <v>8910</v>
          </cell>
        </row>
        <row r="129">
          <cell r="D129" t="str">
            <v>YNBN304</v>
          </cell>
          <cell r="E129">
            <v>72</v>
          </cell>
          <cell r="F129">
            <v>21384</v>
          </cell>
        </row>
        <row r="130">
          <cell r="D130" t="str">
            <v>YNBN305</v>
          </cell>
          <cell r="E130">
            <v>66</v>
          </cell>
          <cell r="F130">
            <v>19602</v>
          </cell>
        </row>
        <row r="131">
          <cell r="D131" t="str">
            <v>YNCG010</v>
          </cell>
          <cell r="E131">
            <v>60</v>
          </cell>
          <cell r="F131">
            <v>33000</v>
          </cell>
        </row>
        <row r="132">
          <cell r="D132" t="str">
            <v>YNCH030</v>
          </cell>
          <cell r="E132">
            <v>30</v>
          </cell>
          <cell r="F132">
            <v>19800</v>
          </cell>
        </row>
        <row r="133">
          <cell r="D133" t="str">
            <v>YNCH031</v>
          </cell>
          <cell r="E133">
            <v>30</v>
          </cell>
          <cell r="F133">
            <v>19800</v>
          </cell>
        </row>
        <row r="134">
          <cell r="D134" t="str">
            <v>YNCH032</v>
          </cell>
          <cell r="E134">
            <v>30</v>
          </cell>
          <cell r="F134">
            <v>19800</v>
          </cell>
        </row>
        <row r="135">
          <cell r="D135" t="str">
            <v>YNCJ002</v>
          </cell>
          <cell r="E135">
            <v>36</v>
          </cell>
          <cell r="F135">
            <v>19800</v>
          </cell>
        </row>
        <row r="136">
          <cell r="D136" t="str">
            <v>YNCJ003</v>
          </cell>
          <cell r="E136">
            <v>30</v>
          </cell>
          <cell r="F136">
            <v>16500</v>
          </cell>
        </row>
        <row r="137">
          <cell r="D137" t="str">
            <v>YNCJ004</v>
          </cell>
          <cell r="E137">
            <v>6</v>
          </cell>
          <cell r="F137">
            <v>3300</v>
          </cell>
        </row>
        <row r="138">
          <cell r="D138" t="str">
            <v>YNCO001</v>
          </cell>
          <cell r="E138">
            <v>60</v>
          </cell>
          <cell r="F138">
            <v>39600</v>
          </cell>
        </row>
        <row r="139">
          <cell r="D139" t="str">
            <v>YNCO002</v>
          </cell>
          <cell r="E139">
            <v>6</v>
          </cell>
          <cell r="F139">
            <v>3960</v>
          </cell>
        </row>
        <row r="140">
          <cell r="D140" t="str">
            <v>YNDX001</v>
          </cell>
          <cell r="E140">
            <v>80</v>
          </cell>
          <cell r="F140">
            <v>52800</v>
          </cell>
        </row>
        <row r="141">
          <cell r="D141" t="str">
            <v>YNFB000</v>
          </cell>
          <cell r="E141">
            <v>95</v>
          </cell>
          <cell r="F141">
            <v>94050</v>
          </cell>
        </row>
        <row r="142">
          <cell r="D142" t="str">
            <v>YNFB001</v>
          </cell>
          <cell r="E142">
            <v>67</v>
          </cell>
          <cell r="F142">
            <v>66330</v>
          </cell>
        </row>
        <row r="143">
          <cell r="D143" t="str">
            <v>YNFB002</v>
          </cell>
          <cell r="E143">
            <v>5</v>
          </cell>
          <cell r="F143">
            <v>4950</v>
          </cell>
        </row>
        <row r="144">
          <cell r="D144" t="str">
            <v>YNFF310</v>
          </cell>
          <cell r="E144">
            <v>30</v>
          </cell>
          <cell r="F144">
            <v>26400</v>
          </cell>
        </row>
        <row r="145">
          <cell r="D145" t="str">
            <v>YNFF405</v>
          </cell>
          <cell r="E145">
            <v>30</v>
          </cell>
          <cell r="F145">
            <v>26400</v>
          </cell>
        </row>
        <row r="146">
          <cell r="D146" t="str">
            <v>YNFF410</v>
          </cell>
          <cell r="E146">
            <v>60</v>
          </cell>
          <cell r="F146">
            <v>52800</v>
          </cell>
        </row>
        <row r="147">
          <cell r="D147" t="str">
            <v>YNFF415</v>
          </cell>
          <cell r="E147">
            <v>30</v>
          </cell>
          <cell r="F147">
            <v>26400</v>
          </cell>
        </row>
        <row r="148">
          <cell r="D148" t="str">
            <v>YNGC001</v>
          </cell>
          <cell r="E148">
            <v>362</v>
          </cell>
          <cell r="F148">
            <v>219010</v>
          </cell>
        </row>
        <row r="149">
          <cell r="D149" t="str">
            <v>YNGC002</v>
          </cell>
          <cell r="E149">
            <v>80</v>
          </cell>
          <cell r="F149">
            <v>48400</v>
          </cell>
        </row>
        <row r="150">
          <cell r="D150" t="str">
            <v>YNGD007</v>
          </cell>
          <cell r="E150">
            <v>60</v>
          </cell>
          <cell r="F150">
            <v>36300</v>
          </cell>
        </row>
        <row r="151">
          <cell r="D151" t="str">
            <v>YNGW001</v>
          </cell>
          <cell r="E151">
            <v>60</v>
          </cell>
          <cell r="F151">
            <v>42900</v>
          </cell>
        </row>
        <row r="152">
          <cell r="D152" t="str">
            <v>YNGW002</v>
          </cell>
          <cell r="E152">
            <v>60</v>
          </cell>
          <cell r="F152">
            <v>42900</v>
          </cell>
        </row>
        <row r="153">
          <cell r="D153" t="str">
            <v>YNGW003</v>
          </cell>
          <cell r="E153">
            <v>60</v>
          </cell>
          <cell r="F153">
            <v>42900</v>
          </cell>
        </row>
        <row r="154">
          <cell r="D154" t="str">
            <v>YNGW004</v>
          </cell>
          <cell r="E154">
            <v>90</v>
          </cell>
          <cell r="F154">
            <v>64350</v>
          </cell>
        </row>
        <row r="155">
          <cell r="D155" t="str">
            <v>YNGW005</v>
          </cell>
          <cell r="E155">
            <v>60</v>
          </cell>
          <cell r="F155">
            <v>42900</v>
          </cell>
        </row>
        <row r="156">
          <cell r="D156" t="str">
            <v>YNIM001</v>
          </cell>
          <cell r="E156">
            <v>20</v>
          </cell>
          <cell r="F156">
            <v>11000</v>
          </cell>
        </row>
        <row r="157">
          <cell r="D157" t="str">
            <v>YNIM340</v>
          </cell>
          <cell r="E157">
            <v>20</v>
          </cell>
          <cell r="F157">
            <v>11000</v>
          </cell>
        </row>
        <row r="158">
          <cell r="D158" t="str">
            <v>YNMI001</v>
          </cell>
          <cell r="E158">
            <v>60</v>
          </cell>
          <cell r="F158">
            <v>36300</v>
          </cell>
        </row>
        <row r="159">
          <cell r="D159" t="str">
            <v>YNMI332</v>
          </cell>
          <cell r="E159">
            <v>60</v>
          </cell>
          <cell r="F159">
            <v>36300</v>
          </cell>
        </row>
        <row r="160">
          <cell r="D160" t="str">
            <v>YNMI430</v>
          </cell>
          <cell r="E160">
            <v>60</v>
          </cell>
          <cell r="F160">
            <v>36300</v>
          </cell>
        </row>
        <row r="161">
          <cell r="D161" t="str">
            <v>YNMI830</v>
          </cell>
          <cell r="E161">
            <v>60</v>
          </cell>
          <cell r="F161">
            <v>36300</v>
          </cell>
        </row>
        <row r="162">
          <cell r="D162" t="str">
            <v>YNMI831</v>
          </cell>
          <cell r="E162">
            <v>60</v>
          </cell>
          <cell r="F162">
            <v>36300</v>
          </cell>
        </row>
        <row r="163">
          <cell r="D163" t="str">
            <v>YNQH020</v>
          </cell>
          <cell r="E163">
            <v>30</v>
          </cell>
          <cell r="F163">
            <v>19800</v>
          </cell>
        </row>
        <row r="164">
          <cell r="D164" t="str">
            <v>YNQM001</v>
          </cell>
          <cell r="E164">
            <v>30</v>
          </cell>
          <cell r="F164">
            <v>19800</v>
          </cell>
        </row>
        <row r="165">
          <cell r="D165" t="str">
            <v>YNQM003</v>
          </cell>
          <cell r="E165">
            <v>6</v>
          </cell>
          <cell r="F165">
            <v>3960</v>
          </cell>
        </row>
        <row r="166">
          <cell r="D166" t="str">
            <v>YNRE001</v>
          </cell>
          <cell r="E166">
            <v>470</v>
          </cell>
          <cell r="F166">
            <v>336050</v>
          </cell>
        </row>
        <row r="167">
          <cell r="D167" t="str">
            <v>YNRE300</v>
          </cell>
          <cell r="E167">
            <v>43</v>
          </cell>
          <cell r="F167">
            <v>30745</v>
          </cell>
        </row>
        <row r="168">
          <cell r="D168" t="str">
            <v>YNRJ380</v>
          </cell>
          <cell r="E168">
            <v>36</v>
          </cell>
          <cell r="F168">
            <v>29700</v>
          </cell>
        </row>
        <row r="169">
          <cell r="D169" t="str">
            <v>YNRJ681</v>
          </cell>
          <cell r="E169">
            <v>180</v>
          </cell>
          <cell r="F169">
            <v>148500</v>
          </cell>
        </row>
        <row r="170">
          <cell r="D170" t="str">
            <v>YNRJ882</v>
          </cell>
          <cell r="E170">
            <v>180</v>
          </cell>
          <cell r="F170">
            <v>148500</v>
          </cell>
        </row>
        <row r="171">
          <cell r="D171" t="str">
            <v>YNRN350</v>
          </cell>
          <cell r="E171">
            <v>156</v>
          </cell>
          <cell r="F171">
            <v>128700</v>
          </cell>
        </row>
        <row r="172">
          <cell r="D172" t="str">
            <v>YNRN351</v>
          </cell>
          <cell r="E172">
            <v>90</v>
          </cell>
          <cell r="F172">
            <v>74250</v>
          </cell>
        </row>
        <row r="173">
          <cell r="D173" t="str">
            <v>YNRN352</v>
          </cell>
          <cell r="E173">
            <v>90</v>
          </cell>
          <cell r="F173">
            <v>74250</v>
          </cell>
        </row>
        <row r="174">
          <cell r="D174" t="str">
            <v>YNRN650</v>
          </cell>
          <cell r="E174">
            <v>60</v>
          </cell>
          <cell r="F174">
            <v>49500</v>
          </cell>
        </row>
        <row r="175">
          <cell r="D175" t="str">
            <v>YNRN850</v>
          </cell>
          <cell r="E175">
            <v>90</v>
          </cell>
          <cell r="F175">
            <v>74250</v>
          </cell>
        </row>
        <row r="176">
          <cell r="D176" t="str">
            <v>YNRN851</v>
          </cell>
          <cell r="E176">
            <v>90</v>
          </cell>
          <cell r="F176">
            <v>74250</v>
          </cell>
        </row>
        <row r="177">
          <cell r="D177" t="str">
            <v>YNRN852</v>
          </cell>
          <cell r="E177">
            <v>90</v>
          </cell>
          <cell r="F177">
            <v>74250</v>
          </cell>
        </row>
        <row r="178">
          <cell r="D178" t="str">
            <v>YNST300</v>
          </cell>
          <cell r="E178">
            <v>180</v>
          </cell>
          <cell r="F178">
            <v>158400</v>
          </cell>
        </row>
        <row r="179">
          <cell r="D179" t="str">
            <v>YNTY001</v>
          </cell>
          <cell r="E179">
            <v>61</v>
          </cell>
          <cell r="F179">
            <v>53680</v>
          </cell>
        </row>
        <row r="180">
          <cell r="D180" t="str">
            <v>YNTY002</v>
          </cell>
          <cell r="E180">
            <v>85</v>
          </cell>
          <cell r="F180">
            <v>74800</v>
          </cell>
        </row>
        <row r="181">
          <cell r="D181" t="str">
            <v>YNTY003</v>
          </cell>
          <cell r="E181">
            <v>11</v>
          </cell>
          <cell r="F181">
            <v>9680</v>
          </cell>
        </row>
        <row r="182">
          <cell r="D182" t="str">
            <v>YNTY004</v>
          </cell>
          <cell r="E182">
            <v>61</v>
          </cell>
          <cell r="F182">
            <v>53680</v>
          </cell>
        </row>
        <row r="183">
          <cell r="D183" t="str">
            <v>YNTY005</v>
          </cell>
          <cell r="E183">
            <v>101</v>
          </cell>
          <cell r="F183">
            <v>88880</v>
          </cell>
        </row>
        <row r="184">
          <cell r="D184" t="str">
            <v>YNTY006</v>
          </cell>
          <cell r="E184">
            <v>91</v>
          </cell>
          <cell r="F184">
            <v>80080</v>
          </cell>
        </row>
        <row r="185">
          <cell r="D185" t="str">
            <v>YNTY007</v>
          </cell>
          <cell r="E185">
            <v>5</v>
          </cell>
          <cell r="F185">
            <v>4400</v>
          </cell>
        </row>
        <row r="186">
          <cell r="D186" t="str">
            <v>YNTY008</v>
          </cell>
          <cell r="E186">
            <v>61</v>
          </cell>
          <cell r="F186">
            <v>53680</v>
          </cell>
        </row>
        <row r="187">
          <cell r="D187" t="str">
            <v>YNUA010</v>
          </cell>
          <cell r="E187">
            <v>10</v>
          </cell>
          <cell r="F187">
            <v>4400</v>
          </cell>
        </row>
        <row r="188">
          <cell r="D188" t="str">
            <v>YNUA025</v>
          </cell>
          <cell r="E188">
            <v>10</v>
          </cell>
          <cell r="F188">
            <v>4400</v>
          </cell>
        </row>
        <row r="189">
          <cell r="D189" t="str">
            <v>YNUA034</v>
          </cell>
          <cell r="E189">
            <v>80</v>
          </cell>
          <cell r="F189">
            <v>35200</v>
          </cell>
        </row>
        <row r="190">
          <cell r="D190" t="str">
            <v>YNUR002</v>
          </cell>
          <cell r="E190">
            <v>282</v>
          </cell>
          <cell r="F190">
            <v>186120</v>
          </cell>
        </row>
        <row r="191">
          <cell r="D191" t="str">
            <v>YNUR022</v>
          </cell>
          <cell r="E191">
            <v>30</v>
          </cell>
          <cell r="F191">
            <v>19800</v>
          </cell>
        </row>
        <row r="192">
          <cell r="D192" t="str">
            <v>YNXX001</v>
          </cell>
          <cell r="E192">
            <v>80</v>
          </cell>
          <cell r="F192">
            <v>61600</v>
          </cell>
        </row>
        <row r="193">
          <cell r="D193" t="str">
            <v>YNXX002</v>
          </cell>
          <cell r="E193">
            <v>10</v>
          </cell>
          <cell r="F193">
            <v>7700</v>
          </cell>
        </row>
        <row r="194">
          <cell r="D194" t="str">
            <v>YNXX003</v>
          </cell>
          <cell r="E194">
            <v>10</v>
          </cell>
          <cell r="F194">
            <v>7700</v>
          </cell>
        </row>
        <row r="195">
          <cell r="D195" t="str">
            <v>YNXX004</v>
          </cell>
          <cell r="E195">
            <v>10</v>
          </cell>
          <cell r="F195">
            <v>7700</v>
          </cell>
        </row>
        <row r="196">
          <cell r="D196" t="str">
            <v>YNXX005</v>
          </cell>
          <cell r="E196">
            <v>10</v>
          </cell>
          <cell r="F196">
            <v>7700</v>
          </cell>
        </row>
        <row r="197">
          <cell r="D197" t="str">
            <v>YNXX006</v>
          </cell>
          <cell r="E197">
            <v>400</v>
          </cell>
          <cell r="F197">
            <v>308000</v>
          </cell>
        </row>
        <row r="198">
          <cell r="D198" t="str">
            <v>YNXX007</v>
          </cell>
          <cell r="E198">
            <v>306</v>
          </cell>
          <cell r="F198">
            <v>235620</v>
          </cell>
        </row>
        <row r="199">
          <cell r="D199" t="str">
            <v>YNXX008</v>
          </cell>
          <cell r="E199">
            <v>76</v>
          </cell>
          <cell r="F199">
            <v>58520</v>
          </cell>
        </row>
        <row r="200">
          <cell r="E200">
            <v>107797</v>
          </cell>
          <cell r="F200">
            <v>89855315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527"/>
  <sheetViews>
    <sheetView tabSelected="1" zoomScale="60" zoomScaleNormal="60" workbookViewId="0">
      <selection activeCell="C29" sqref="C29"/>
    </sheetView>
  </sheetViews>
  <sheetFormatPr defaultRowHeight="13.5" outlineLevelCol="1"/>
  <cols>
    <col min="1" max="1" width="6.81640625" style="91" customWidth="1"/>
    <col min="2" max="2" width="19.7265625" style="91" customWidth="1"/>
    <col min="3" max="3" width="10.7265625" style="91" customWidth="1"/>
    <col min="4" max="4" width="16.90625" style="91" customWidth="1"/>
    <col min="5" max="5" width="52.36328125" style="91" customWidth="1"/>
    <col min="6" max="6" width="11.26953125" style="118" customWidth="1"/>
    <col min="7" max="7" width="13.26953125" style="118" customWidth="1"/>
    <col min="8" max="8" width="11.26953125" style="118" customWidth="1"/>
    <col min="9" max="9" width="13.26953125" style="118" customWidth="1"/>
    <col min="10" max="10" width="11.26953125" style="118" customWidth="1"/>
    <col min="11" max="11" width="13.26953125" style="118" customWidth="1"/>
    <col min="12" max="12" width="11.26953125" style="118" customWidth="1"/>
    <col min="13" max="15" width="13.26953125" style="118" customWidth="1"/>
    <col min="16" max="22" width="13.26953125" style="118" hidden="1" customWidth="1" outlineLevel="1"/>
    <col min="23" max="29" width="15.453125" style="118" hidden="1" customWidth="1" outlineLevel="1"/>
    <col min="30" max="30" width="10.81640625" style="119" bestFit="1" customWidth="1" collapsed="1"/>
    <col min="31" max="31" width="16.1796875" style="119" bestFit="1" customWidth="1"/>
    <col min="32" max="16384" width="8.7265625" style="91"/>
  </cols>
  <sheetData>
    <row r="1" spans="1:31" ht="14.5" customHeight="1">
      <c r="A1" s="155" t="s">
        <v>784</v>
      </c>
      <c r="B1" s="155" t="s">
        <v>787</v>
      </c>
      <c r="C1" s="155" t="s">
        <v>3</v>
      </c>
      <c r="D1" s="155" t="s">
        <v>1139</v>
      </c>
      <c r="E1" s="155" t="s">
        <v>4</v>
      </c>
      <c r="F1" s="153">
        <v>2601</v>
      </c>
      <c r="G1" s="154"/>
      <c r="H1" s="153">
        <v>2602</v>
      </c>
      <c r="I1" s="154"/>
      <c r="J1" s="153">
        <v>2603</v>
      </c>
      <c r="K1" s="154"/>
      <c r="L1" s="153">
        <v>2604</v>
      </c>
      <c r="M1" s="154"/>
      <c r="N1" s="153">
        <v>2605</v>
      </c>
      <c r="O1" s="154"/>
      <c r="P1" s="153">
        <v>2606</v>
      </c>
      <c r="Q1" s="154"/>
      <c r="R1" s="153">
        <v>2607</v>
      </c>
      <c r="S1" s="154"/>
      <c r="T1" s="153">
        <v>2608</v>
      </c>
      <c r="U1" s="154"/>
      <c r="V1" s="153">
        <v>2609</v>
      </c>
      <c r="W1" s="154"/>
      <c r="X1" s="153">
        <v>2610</v>
      </c>
      <c r="Y1" s="154"/>
      <c r="Z1" s="153">
        <v>2611</v>
      </c>
      <c r="AA1" s="154"/>
      <c r="AB1" s="153">
        <v>2612</v>
      </c>
      <c r="AC1" s="154"/>
      <c r="AD1" s="157" t="s">
        <v>0</v>
      </c>
      <c r="AE1" s="158"/>
    </row>
    <row r="2" spans="1:31">
      <c r="A2" s="156"/>
      <c r="B2" s="156"/>
      <c r="C2" s="156"/>
      <c r="D2" s="156"/>
      <c r="E2" s="156"/>
      <c r="F2" s="92" t="s">
        <v>1</v>
      </c>
      <c r="G2" s="93" t="s">
        <v>2</v>
      </c>
      <c r="H2" s="94" t="s">
        <v>1</v>
      </c>
      <c r="I2" s="95" t="s">
        <v>2</v>
      </c>
      <c r="J2" s="92" t="s">
        <v>1</v>
      </c>
      <c r="K2" s="93" t="s">
        <v>2</v>
      </c>
      <c r="L2" s="92" t="s">
        <v>1</v>
      </c>
      <c r="M2" s="93" t="s">
        <v>2</v>
      </c>
      <c r="N2" s="92" t="s">
        <v>1</v>
      </c>
      <c r="O2" s="93" t="s">
        <v>2</v>
      </c>
      <c r="P2" s="92" t="s">
        <v>1</v>
      </c>
      <c r="Q2" s="93" t="s">
        <v>2</v>
      </c>
      <c r="R2" s="92" t="s">
        <v>1</v>
      </c>
      <c r="S2" s="93" t="s">
        <v>2</v>
      </c>
      <c r="T2" s="92" t="s">
        <v>1</v>
      </c>
      <c r="U2" s="93" t="s">
        <v>2</v>
      </c>
      <c r="V2" s="92" t="s">
        <v>1</v>
      </c>
      <c r="W2" s="93" t="s">
        <v>2</v>
      </c>
      <c r="X2" s="92" t="s">
        <v>1</v>
      </c>
      <c r="Y2" s="93" t="s">
        <v>2</v>
      </c>
      <c r="Z2" s="92" t="s">
        <v>1</v>
      </c>
      <c r="AA2" s="93" t="s">
        <v>2</v>
      </c>
      <c r="AB2" s="92" t="s">
        <v>1</v>
      </c>
      <c r="AC2" s="93" t="s">
        <v>2</v>
      </c>
      <c r="AD2" s="96" t="s">
        <v>1</v>
      </c>
      <c r="AE2" s="97" t="s">
        <v>2</v>
      </c>
    </row>
    <row r="3" spans="1:31">
      <c r="A3" s="98">
        <v>472</v>
      </c>
      <c r="B3" s="99">
        <v>4971710631739</v>
      </c>
      <c r="C3" s="100" t="s">
        <v>1244</v>
      </c>
      <c r="D3" s="120" t="s">
        <v>1145</v>
      </c>
      <c r="E3" s="101" t="s">
        <v>1292</v>
      </c>
      <c r="F3" s="102"/>
      <c r="G3" s="103"/>
      <c r="H3" s="104"/>
      <c r="I3" s="105"/>
      <c r="J3" s="102"/>
      <c r="K3" s="103"/>
      <c r="L3" s="102"/>
      <c r="M3" s="103"/>
      <c r="N3" s="102">
        <f>VLOOKUP(C3,'[4]レポート 3'!$D:$E,2,0)</f>
        <v>59472</v>
      </c>
      <c r="O3" s="103">
        <f>VLOOKUP(C3,'[4]レポート 3'!$D:$F,3,0)</f>
        <v>42522480</v>
      </c>
      <c r="P3" s="102"/>
      <c r="Q3" s="106"/>
      <c r="R3" s="102"/>
      <c r="S3" s="106"/>
      <c r="T3" s="102"/>
      <c r="U3" s="106"/>
      <c r="V3" s="102"/>
      <c r="W3" s="106"/>
      <c r="X3" s="106"/>
      <c r="Y3" s="106"/>
      <c r="Z3" s="106"/>
      <c r="AA3" s="106"/>
      <c r="AB3" s="106"/>
      <c r="AC3" s="106"/>
      <c r="AD3" s="152">
        <f>F3+H3+J3+L3+N3+P3+R3+T3+V3+X3+Z3+AB3</f>
        <v>59472</v>
      </c>
      <c r="AE3" s="107">
        <f>G3+I3+K3+M3+O3+Q3+S3+U3+W3+Y3+AA3+AC3</f>
        <v>42522480</v>
      </c>
    </row>
    <row r="4" spans="1:31">
      <c r="A4" s="100">
        <v>2</v>
      </c>
      <c r="B4" s="108">
        <v>4971710576306</v>
      </c>
      <c r="C4" s="109" t="s">
        <v>609</v>
      </c>
      <c r="D4" s="120" t="s">
        <v>1141</v>
      </c>
      <c r="E4" s="101" t="s">
        <v>610</v>
      </c>
      <c r="F4" s="110">
        <v>20808</v>
      </c>
      <c r="G4" s="111">
        <v>14877720</v>
      </c>
      <c r="H4" s="104">
        <v>9000</v>
      </c>
      <c r="I4" s="105">
        <v>6435000</v>
      </c>
      <c r="J4" s="102">
        <f>VLOOKUP(C4,[1]Sheet2!$A:$B,2,0 )</f>
        <v>7500</v>
      </c>
      <c r="K4" s="103">
        <f>VLOOKUP(C4,[1]Sheet2!$A:$C,3,0)</f>
        <v>5362500</v>
      </c>
      <c r="L4" s="102">
        <v>17640</v>
      </c>
      <c r="M4" s="103">
        <v>12612600</v>
      </c>
      <c r="N4" s="102">
        <v>15924</v>
      </c>
      <c r="O4" s="103">
        <v>11385660</v>
      </c>
      <c r="P4" s="102"/>
      <c r="Q4" s="106"/>
      <c r="R4" s="102"/>
      <c r="S4" s="106"/>
      <c r="T4" s="102"/>
      <c r="U4" s="106"/>
      <c r="V4" s="102"/>
      <c r="W4" s="106"/>
      <c r="X4" s="106"/>
      <c r="Y4" s="106"/>
      <c r="Z4" s="106"/>
      <c r="AA4" s="106"/>
      <c r="AB4" s="106"/>
      <c r="AC4" s="106"/>
      <c r="AD4" s="112">
        <f>F4+H4+J4+L4+N4+P4+R4+T4+V4+X4+Z4+AB4</f>
        <v>70872</v>
      </c>
      <c r="AE4" s="107">
        <f>G4+I4+K4+M4+O4+Q4+S4+U4+W4+Y4+AA4+AC4</f>
        <v>50673480</v>
      </c>
    </row>
    <row r="5" spans="1:31">
      <c r="A5" s="100">
        <v>473</v>
      </c>
      <c r="B5" s="108">
        <v>4971710631746</v>
      </c>
      <c r="C5" s="109" t="s">
        <v>1245</v>
      </c>
      <c r="D5" s="120" t="s">
        <v>1145</v>
      </c>
      <c r="E5" s="101" t="s">
        <v>1293</v>
      </c>
      <c r="F5" s="110"/>
      <c r="G5" s="111"/>
      <c r="H5" s="104"/>
      <c r="I5" s="105"/>
      <c r="J5" s="102"/>
      <c r="K5" s="103"/>
      <c r="L5" s="102"/>
      <c r="M5" s="103"/>
      <c r="N5" s="102">
        <f>VLOOKUP(C5,'[4]レポート 3'!$D:$E,2,0)</f>
        <v>7647</v>
      </c>
      <c r="O5" s="103">
        <f>VLOOKUP(C5,'[4]レポート 3'!$D:$F,3,0)</f>
        <v>5467605</v>
      </c>
      <c r="P5" s="102"/>
      <c r="Q5" s="106"/>
      <c r="R5" s="102"/>
      <c r="S5" s="106"/>
      <c r="T5" s="102"/>
      <c r="U5" s="106"/>
      <c r="V5" s="102"/>
      <c r="W5" s="106"/>
      <c r="X5" s="106"/>
      <c r="Y5" s="106"/>
      <c r="Z5" s="106"/>
      <c r="AA5" s="106"/>
      <c r="AB5" s="106"/>
      <c r="AC5" s="106"/>
      <c r="AD5" s="112">
        <f>F5+H5+J5+L5+N5+P5+R5+T5+V5+X5+Z5+AB5</f>
        <v>7647</v>
      </c>
      <c r="AE5" s="107">
        <f>G5+I5+K5+M5+O5+Q5+S5+U5+W5+Y5+AA5+AC5</f>
        <v>5467605</v>
      </c>
    </row>
    <row r="6" spans="1:31">
      <c r="A6" s="100">
        <v>474</v>
      </c>
      <c r="B6" s="108">
        <v>4971710631951</v>
      </c>
      <c r="C6" s="109" t="s">
        <v>1246</v>
      </c>
      <c r="D6" s="120" t="s">
        <v>1145</v>
      </c>
      <c r="E6" s="101" t="s">
        <v>1294</v>
      </c>
      <c r="F6" s="110"/>
      <c r="G6" s="111"/>
      <c r="H6" s="104"/>
      <c r="I6" s="105"/>
      <c r="J6" s="102"/>
      <c r="K6" s="103"/>
      <c r="L6" s="102"/>
      <c r="M6" s="103"/>
      <c r="N6" s="102">
        <f>VLOOKUP(C6,'[4]レポート 3'!$D:$E,2,0)</f>
        <v>3600</v>
      </c>
      <c r="O6" s="103">
        <f>VLOOKUP(C6,'[4]レポート 3'!$D:$F,3,0)</f>
        <v>2574000</v>
      </c>
      <c r="P6" s="102"/>
      <c r="Q6" s="106"/>
      <c r="R6" s="102"/>
      <c r="S6" s="106"/>
      <c r="T6" s="102"/>
      <c r="U6" s="106"/>
      <c r="V6" s="102"/>
      <c r="W6" s="106"/>
      <c r="X6" s="106"/>
      <c r="Y6" s="106"/>
      <c r="Z6" s="106"/>
      <c r="AA6" s="106"/>
      <c r="AB6" s="106"/>
      <c r="AC6" s="106"/>
      <c r="AD6" s="112">
        <f>F6+H6+J6+L6+N6+P6+R6+T6+V6+X6+Z6+AB6</f>
        <v>3600</v>
      </c>
      <c r="AE6" s="107">
        <f>G6+I6+K6+M6+O6+Q6+S6+U6+W6+Y6+AA6+AC6</f>
        <v>2574000</v>
      </c>
    </row>
    <row r="7" spans="1:31">
      <c r="A7" s="100">
        <v>11</v>
      </c>
      <c r="B7" s="108">
        <v>4971710598711</v>
      </c>
      <c r="C7" s="109" t="s">
        <v>829</v>
      </c>
      <c r="D7" s="120" t="s">
        <v>1141</v>
      </c>
      <c r="E7" s="101" t="s">
        <v>1031</v>
      </c>
      <c r="F7" s="110"/>
      <c r="G7" s="111"/>
      <c r="H7" s="104">
        <v>606</v>
      </c>
      <c r="I7" s="105">
        <v>419958</v>
      </c>
      <c r="J7" s="102">
        <f>VLOOKUP(C7,[1]Sheet2!$A:$B,2,0 )</f>
        <v>1128</v>
      </c>
      <c r="K7" s="103">
        <f>VLOOKUP(C7,[1]Sheet2!$A:$C,3,0)</f>
        <v>781704</v>
      </c>
      <c r="L7" s="102">
        <v>5790</v>
      </c>
      <c r="M7" s="103">
        <v>4012470</v>
      </c>
      <c r="N7" s="102">
        <v>1344</v>
      </c>
      <c r="O7" s="103">
        <v>931392</v>
      </c>
      <c r="P7" s="102"/>
      <c r="Q7" s="106"/>
      <c r="R7" s="102"/>
      <c r="S7" s="106"/>
      <c r="T7" s="102"/>
      <c r="U7" s="106"/>
      <c r="V7" s="102"/>
      <c r="W7" s="106"/>
      <c r="X7" s="106"/>
      <c r="Y7" s="106"/>
      <c r="Z7" s="106"/>
      <c r="AA7" s="106"/>
      <c r="AB7" s="106"/>
      <c r="AC7" s="106"/>
      <c r="AD7" s="113">
        <f>F7+H7+J7+L7+N7+P7+R7+T7+V7+X7+Z7+AB7</f>
        <v>8868</v>
      </c>
      <c r="AE7" s="107">
        <f>G7+I7+K7+M7+O7+Q7+S7+U7+W7+Y7+AA7+AC7</f>
        <v>6145524</v>
      </c>
    </row>
    <row r="8" spans="1:31">
      <c r="A8" s="100">
        <v>6</v>
      </c>
      <c r="B8" s="108">
        <v>4971710511505</v>
      </c>
      <c r="C8" s="109" t="s">
        <v>212</v>
      </c>
      <c r="D8" s="120" t="s">
        <v>1135</v>
      </c>
      <c r="E8" s="101" t="s">
        <v>213</v>
      </c>
      <c r="F8" s="110">
        <v>6960</v>
      </c>
      <c r="G8" s="111">
        <v>3445200</v>
      </c>
      <c r="H8" s="104">
        <v>1000</v>
      </c>
      <c r="I8" s="105">
        <v>495000</v>
      </c>
      <c r="J8" s="102">
        <f>VLOOKUP(C8,[1]Sheet2!$A:$B,2,0 )</f>
        <v>1050</v>
      </c>
      <c r="K8" s="103">
        <f>VLOOKUP(C8,[1]Sheet2!$A:$C,3,0)</f>
        <v>519750</v>
      </c>
      <c r="L8" s="102">
        <v>1500</v>
      </c>
      <c r="M8" s="103">
        <v>742500</v>
      </c>
      <c r="N8" s="102">
        <v>1050</v>
      </c>
      <c r="O8" s="103">
        <v>519750</v>
      </c>
      <c r="P8" s="102"/>
      <c r="Q8" s="106"/>
      <c r="R8" s="102"/>
      <c r="S8" s="106"/>
      <c r="T8" s="102"/>
      <c r="U8" s="106"/>
      <c r="V8" s="102"/>
      <c r="W8" s="106"/>
      <c r="X8" s="106"/>
      <c r="Y8" s="106"/>
      <c r="Z8" s="106"/>
      <c r="AA8" s="106"/>
      <c r="AB8" s="106"/>
      <c r="AC8" s="106"/>
      <c r="AD8" s="112">
        <f>F8+H8+J8+L8+N8+P8+R8+T8+V8+X8+Z8+AB8</f>
        <v>11560</v>
      </c>
      <c r="AE8" s="107">
        <f>G8+I8+K8+M8+O8+Q8+S8+U8+W8+Y8+AA8+AC8</f>
        <v>5722200</v>
      </c>
    </row>
    <row r="9" spans="1:31">
      <c r="A9" s="100">
        <v>7</v>
      </c>
      <c r="B9" s="108">
        <v>4971710580600</v>
      </c>
      <c r="C9" s="109" t="s">
        <v>962</v>
      </c>
      <c r="D9" s="120" t="s">
        <v>1138</v>
      </c>
      <c r="E9" s="101" t="s">
        <v>1137</v>
      </c>
      <c r="F9" s="110">
        <v>480</v>
      </c>
      <c r="G9" s="111">
        <v>1293600</v>
      </c>
      <c r="H9" s="104">
        <v>1590</v>
      </c>
      <c r="I9" s="105">
        <v>4285050</v>
      </c>
      <c r="J9" s="102">
        <f>VLOOKUP(C9,[1]Sheet2!$A:$B,2,0 )</f>
        <v>2144</v>
      </c>
      <c r="K9" s="103">
        <f>VLOOKUP(C9,[1]Sheet2!$A:$C,3,0)</f>
        <v>5778080</v>
      </c>
      <c r="L9" s="102">
        <v>890</v>
      </c>
      <c r="M9" s="103">
        <v>2398550</v>
      </c>
      <c r="N9" s="102">
        <v>1020</v>
      </c>
      <c r="O9" s="103">
        <v>2748900</v>
      </c>
      <c r="P9" s="102"/>
      <c r="Q9" s="106"/>
      <c r="R9" s="102"/>
      <c r="S9" s="106"/>
      <c r="T9" s="102"/>
      <c r="U9" s="106"/>
      <c r="V9" s="102"/>
      <c r="W9" s="106"/>
      <c r="X9" s="106"/>
      <c r="Y9" s="106"/>
      <c r="Z9" s="106"/>
      <c r="AA9" s="106"/>
      <c r="AB9" s="106"/>
      <c r="AC9" s="106"/>
      <c r="AD9" s="112">
        <f>F9+H9+J9+L9+N9+P9+R9+T9+V9+X9+Z9+AB9</f>
        <v>6124</v>
      </c>
      <c r="AE9" s="107">
        <f>G9+I9+K9+M9+O9+Q9+S9+U9+W9+Y9+AA9+AC9</f>
        <v>16504180</v>
      </c>
    </row>
    <row r="10" spans="1:31">
      <c r="A10" s="100">
        <v>78</v>
      </c>
      <c r="B10" s="108">
        <v>4971710597707</v>
      </c>
      <c r="C10" s="109" t="s">
        <v>842</v>
      </c>
      <c r="D10" s="120" t="s">
        <v>1141</v>
      </c>
      <c r="E10" s="101" t="s">
        <v>1050</v>
      </c>
      <c r="F10" s="110"/>
      <c r="G10" s="111"/>
      <c r="H10" s="104">
        <v>100</v>
      </c>
      <c r="I10" s="105">
        <v>24700</v>
      </c>
      <c r="J10" s="102">
        <f>VLOOKUP(C10,[1]Sheet2!$A:$B,2,0 )</f>
        <v>0</v>
      </c>
      <c r="K10" s="103">
        <f>VLOOKUP(C10,[1]Sheet2!$A:$C,3,0)</f>
        <v>0</v>
      </c>
      <c r="L10" s="102">
        <v>74</v>
      </c>
      <c r="M10" s="103">
        <v>18315</v>
      </c>
      <c r="N10" s="102">
        <v>1000</v>
      </c>
      <c r="O10" s="103">
        <v>247500</v>
      </c>
      <c r="P10" s="102"/>
      <c r="Q10" s="106"/>
      <c r="R10" s="102"/>
      <c r="S10" s="106"/>
      <c r="T10" s="102"/>
      <c r="U10" s="106"/>
      <c r="V10" s="102"/>
      <c r="W10" s="106"/>
      <c r="X10" s="106"/>
      <c r="Y10" s="106"/>
      <c r="Z10" s="106"/>
      <c r="AA10" s="106"/>
      <c r="AB10" s="106"/>
      <c r="AC10" s="106"/>
      <c r="AD10" s="113">
        <f>F10+H10+J10+L10+N10+P10+R10+T10+V10+X10+Z10+AB10</f>
        <v>1174</v>
      </c>
      <c r="AE10" s="107">
        <f>G10+I10+K10+M10+O10+Q10+S10+U10+W10+Y10+AA10+AC10</f>
        <v>290515</v>
      </c>
    </row>
    <row r="11" spans="1:31">
      <c r="A11" s="100">
        <v>5</v>
      </c>
      <c r="B11" s="108">
        <v>4971710565065</v>
      </c>
      <c r="C11" s="109" t="s">
        <v>504</v>
      </c>
      <c r="D11" s="120" t="s">
        <v>1133</v>
      </c>
      <c r="E11" s="101" t="s">
        <v>1132</v>
      </c>
      <c r="F11" s="110">
        <v>1680</v>
      </c>
      <c r="G11" s="111">
        <v>4989600</v>
      </c>
      <c r="H11" s="104">
        <v>5000</v>
      </c>
      <c r="I11" s="105">
        <v>14850000</v>
      </c>
      <c r="J11" s="102">
        <f>VLOOKUP(C11,[1]Sheet2!$A:$B,2,0 )</f>
        <v>4172</v>
      </c>
      <c r="K11" s="103">
        <f>VLOOKUP(C11,[1]Sheet2!$A:$C,3,0)</f>
        <v>12390840</v>
      </c>
      <c r="L11" s="102">
        <v>3248</v>
      </c>
      <c r="M11" s="103">
        <v>9646560</v>
      </c>
      <c r="N11" s="102">
        <v>840</v>
      </c>
      <c r="O11" s="103">
        <v>2494800</v>
      </c>
      <c r="P11" s="102"/>
      <c r="Q11" s="106"/>
      <c r="R11" s="102"/>
      <c r="S11" s="106"/>
      <c r="T11" s="102"/>
      <c r="U11" s="106"/>
      <c r="V11" s="102"/>
      <c r="W11" s="106"/>
      <c r="X11" s="106"/>
      <c r="Y11" s="106"/>
      <c r="Z11" s="106"/>
      <c r="AA11" s="106"/>
      <c r="AB11" s="106"/>
      <c r="AC11" s="106"/>
      <c r="AD11" s="112">
        <f>F11+H11+J11+L11+N11+P11+R11+T11+V11+X11+Z11+AB11</f>
        <v>14940</v>
      </c>
      <c r="AE11" s="107">
        <f>G11+I11+K11+M11+O11+Q11+S11+U11+W11+Y11+AA11+AC11</f>
        <v>44371800</v>
      </c>
    </row>
    <row r="12" spans="1:31">
      <c r="A12" s="100">
        <v>14</v>
      </c>
      <c r="B12" s="108">
        <v>4971710576573</v>
      </c>
      <c r="C12" s="109" t="s">
        <v>611</v>
      </c>
      <c r="D12" s="120" t="s">
        <v>1141</v>
      </c>
      <c r="E12" s="101" t="s">
        <v>1032</v>
      </c>
      <c r="F12" s="110">
        <v>200</v>
      </c>
      <c r="G12" s="111">
        <v>94600</v>
      </c>
      <c r="H12" s="104">
        <v>189</v>
      </c>
      <c r="I12" s="105">
        <v>89397</v>
      </c>
      <c r="J12" s="102">
        <f>VLOOKUP(C12,[1]Sheet2!$A:$B,2,0 )</f>
        <v>678</v>
      </c>
      <c r="K12" s="103">
        <f>VLOOKUP(C12,[1]Sheet2!$A:$C,3,0)</f>
        <v>320694</v>
      </c>
      <c r="L12" s="102"/>
      <c r="M12" s="103"/>
      <c r="N12" s="102">
        <v>690</v>
      </c>
      <c r="O12" s="103">
        <v>326370</v>
      </c>
      <c r="P12" s="102"/>
      <c r="Q12" s="106"/>
      <c r="R12" s="102"/>
      <c r="S12" s="106"/>
      <c r="T12" s="102"/>
      <c r="U12" s="106"/>
      <c r="V12" s="102"/>
      <c r="W12" s="106"/>
      <c r="X12" s="106"/>
      <c r="Y12" s="106"/>
      <c r="Z12" s="106"/>
      <c r="AA12" s="106"/>
      <c r="AB12" s="106"/>
      <c r="AC12" s="106"/>
      <c r="AD12" s="112">
        <f>F12+H12+J12+L12+N12+P12+R12+T12+V12+X12+Z12+AB12</f>
        <v>1757</v>
      </c>
      <c r="AE12" s="107">
        <f>G12+I12+K12+M12+O12+Q12+S12+U12+W12+Y12+AA12+AC12</f>
        <v>831061</v>
      </c>
    </row>
    <row r="13" spans="1:31">
      <c r="A13" s="100">
        <v>52</v>
      </c>
      <c r="B13" s="108">
        <v>4971710522839</v>
      </c>
      <c r="C13" s="109" t="s">
        <v>390</v>
      </c>
      <c r="D13" s="120" t="s">
        <v>1135</v>
      </c>
      <c r="E13" s="101" t="s">
        <v>391</v>
      </c>
      <c r="F13" s="110">
        <v>192</v>
      </c>
      <c r="G13" s="111">
        <v>84480</v>
      </c>
      <c r="H13" s="104"/>
      <c r="I13" s="105"/>
      <c r="J13" s="102"/>
      <c r="K13" s="103"/>
      <c r="L13" s="102"/>
      <c r="M13" s="103"/>
      <c r="N13" s="102">
        <v>500</v>
      </c>
      <c r="O13" s="103">
        <v>220000</v>
      </c>
      <c r="P13" s="102"/>
      <c r="Q13" s="106"/>
      <c r="R13" s="102"/>
      <c r="S13" s="106"/>
      <c r="T13" s="102"/>
      <c r="U13" s="106"/>
      <c r="V13" s="102"/>
      <c r="W13" s="106"/>
      <c r="X13" s="106"/>
      <c r="Y13" s="106"/>
      <c r="Z13" s="106"/>
      <c r="AA13" s="106"/>
      <c r="AB13" s="106"/>
      <c r="AC13" s="106"/>
      <c r="AD13" s="112">
        <f>F13+H13+J13+L13+N13+P13+R13+T13+V13+X13+Z13+AB13</f>
        <v>692</v>
      </c>
      <c r="AE13" s="107">
        <f>G13+I13+K13+M13+O13+Q13+S13+U13+W13+Y13+AA13+AC13</f>
        <v>304480</v>
      </c>
    </row>
    <row r="14" spans="1:31" ht="14.5">
      <c r="A14" s="100">
        <v>26</v>
      </c>
      <c r="B14" s="108">
        <v>4971710622164</v>
      </c>
      <c r="C14" s="109" t="s">
        <v>1149</v>
      </c>
      <c r="D14" s="120" t="s">
        <v>922</v>
      </c>
      <c r="E14" s="101" t="s">
        <v>1153</v>
      </c>
      <c r="F14" s="110">
        <v>50</v>
      </c>
      <c r="G14" s="111">
        <v>156750</v>
      </c>
      <c r="H14" s="104">
        <v>216</v>
      </c>
      <c r="I14" s="105">
        <v>677160</v>
      </c>
      <c r="J14" s="102">
        <f>VLOOKUP(C14,[1]Sheet2!$A:$B,2,0 )</f>
        <v>237</v>
      </c>
      <c r="K14" s="103">
        <f>VLOOKUP(C14,[1]Sheet2!$A:$C,3,0)</f>
        <v>742995</v>
      </c>
      <c r="L14" s="102">
        <v>688</v>
      </c>
      <c r="M14" s="103">
        <v>2156880</v>
      </c>
      <c r="N14" s="102">
        <v>476</v>
      </c>
      <c r="O14" s="103">
        <v>1492260</v>
      </c>
      <c r="P14" s="102"/>
      <c r="Q14" s="106"/>
      <c r="R14" s="102"/>
      <c r="S14" s="106"/>
      <c r="T14" s="102"/>
      <c r="U14" s="106"/>
      <c r="V14" s="102"/>
      <c r="W14" s="106"/>
      <c r="X14" s="106"/>
      <c r="Y14" s="106"/>
      <c r="Z14" s="106"/>
      <c r="AA14" s="106"/>
      <c r="AB14" s="106"/>
      <c r="AC14" s="106"/>
      <c r="AD14" s="113">
        <f>F14+H14+J14+L14+N14+P14+R14+T14+V14+X14+Z14+AB14</f>
        <v>1667</v>
      </c>
      <c r="AE14" s="107">
        <f>G14+I14+K14+M14+O14+Q14+S14+U14+W14+Y14+AA14+AC14</f>
        <v>5226045</v>
      </c>
    </row>
    <row r="15" spans="1:31">
      <c r="A15" s="100">
        <v>23</v>
      </c>
      <c r="B15" s="108">
        <v>4971710551006</v>
      </c>
      <c r="C15" s="109" t="s">
        <v>442</v>
      </c>
      <c r="D15" s="120" t="s">
        <v>924</v>
      </c>
      <c r="E15" s="101" t="s">
        <v>1134</v>
      </c>
      <c r="F15" s="110"/>
      <c r="G15" s="111"/>
      <c r="H15" s="104">
        <v>330</v>
      </c>
      <c r="I15" s="105">
        <v>235950</v>
      </c>
      <c r="J15" s="102">
        <f>VLOOKUP(C15,[1]Sheet2!$A:$B,2,0 )</f>
        <v>252</v>
      </c>
      <c r="K15" s="103">
        <f>VLOOKUP(C15,[1]Sheet2!$A:$C,3,0)</f>
        <v>180180</v>
      </c>
      <c r="L15" s="102">
        <v>80</v>
      </c>
      <c r="M15" s="103">
        <v>57200</v>
      </c>
      <c r="N15" s="102">
        <v>470</v>
      </c>
      <c r="O15" s="103">
        <v>336050</v>
      </c>
      <c r="P15" s="102"/>
      <c r="Q15" s="106"/>
      <c r="R15" s="102"/>
      <c r="S15" s="106"/>
      <c r="T15" s="102"/>
      <c r="U15" s="106"/>
      <c r="V15" s="102"/>
      <c r="W15" s="106"/>
      <c r="X15" s="106"/>
      <c r="Y15" s="106"/>
      <c r="Z15" s="106"/>
      <c r="AA15" s="106"/>
      <c r="AB15" s="106"/>
      <c r="AC15" s="106"/>
      <c r="AD15" s="112">
        <f>F15+H15+J15+L15+N15+P15+R15+T15+V15+X15+Z15+AB15</f>
        <v>1132</v>
      </c>
      <c r="AE15" s="107">
        <f>G15+I15+K15+M15+O15+Q15+S15+U15+W15+Y15+AA15+AC15</f>
        <v>809380</v>
      </c>
    </row>
    <row r="16" spans="1:31">
      <c r="A16" s="100">
        <v>8</v>
      </c>
      <c r="B16" s="108">
        <v>4971710561395</v>
      </c>
      <c r="C16" s="109" t="s">
        <v>478</v>
      </c>
      <c r="D16" s="120" t="s">
        <v>1133</v>
      </c>
      <c r="E16" s="101" t="s">
        <v>479</v>
      </c>
      <c r="F16" s="110">
        <v>1606</v>
      </c>
      <c r="G16" s="111">
        <v>1589940</v>
      </c>
      <c r="H16" s="104">
        <v>986</v>
      </c>
      <c r="I16" s="105">
        <v>976140</v>
      </c>
      <c r="J16" s="102">
        <f>VLOOKUP(C16,[1]Sheet2!$A:$B,2,0 )</f>
        <v>292</v>
      </c>
      <c r="K16" s="103">
        <f>VLOOKUP(C16,[1]Sheet2!$A:$C,3,0)</f>
        <v>289080</v>
      </c>
      <c r="L16" s="102"/>
      <c r="M16" s="103"/>
      <c r="N16" s="102">
        <v>432</v>
      </c>
      <c r="O16" s="103">
        <v>427680</v>
      </c>
      <c r="P16" s="102"/>
      <c r="Q16" s="106"/>
      <c r="R16" s="102"/>
      <c r="S16" s="106"/>
      <c r="T16" s="102"/>
      <c r="U16" s="106"/>
      <c r="V16" s="102"/>
      <c r="W16" s="106"/>
      <c r="X16" s="106"/>
      <c r="Y16" s="106"/>
      <c r="Z16" s="106"/>
      <c r="AA16" s="106"/>
      <c r="AB16" s="106"/>
      <c r="AC16" s="106"/>
      <c r="AD16" s="112">
        <f>F16+H16+J16+L16+N16+P16+R16+T16+V16+X16+Z16+AB16</f>
        <v>3316</v>
      </c>
      <c r="AE16" s="107">
        <f>G16+I16+K16+M16+O16+Q16+S16+U16+W16+Y16+AA16+AC16</f>
        <v>3282840</v>
      </c>
    </row>
    <row r="17" spans="1:31">
      <c r="A17" s="100">
        <v>41</v>
      </c>
      <c r="B17" s="108">
        <v>4971710595543</v>
      </c>
      <c r="C17" s="109" t="s">
        <v>769</v>
      </c>
      <c r="D17" s="120" t="s">
        <v>924</v>
      </c>
      <c r="E17" s="101" t="s">
        <v>770</v>
      </c>
      <c r="F17" s="110">
        <v>30</v>
      </c>
      <c r="G17" s="111">
        <v>23100</v>
      </c>
      <c r="H17" s="104">
        <v>120</v>
      </c>
      <c r="I17" s="105">
        <v>92400</v>
      </c>
      <c r="J17" s="102">
        <f>VLOOKUP(C17,[1]Sheet2!$A:$B,2,0 )</f>
        <v>190</v>
      </c>
      <c r="K17" s="103">
        <f>VLOOKUP(C17,[1]Sheet2!$A:$C,3,0)</f>
        <v>146300</v>
      </c>
      <c r="L17" s="102">
        <v>240</v>
      </c>
      <c r="M17" s="103">
        <v>184800</v>
      </c>
      <c r="N17" s="102">
        <v>400</v>
      </c>
      <c r="O17" s="103">
        <v>308000</v>
      </c>
      <c r="P17" s="102"/>
      <c r="Q17" s="106"/>
      <c r="R17" s="102"/>
      <c r="S17" s="106"/>
      <c r="T17" s="102"/>
      <c r="U17" s="106"/>
      <c r="V17" s="102"/>
      <c r="W17" s="106"/>
      <c r="X17" s="106"/>
      <c r="Y17" s="106"/>
      <c r="Z17" s="106"/>
      <c r="AA17" s="106"/>
      <c r="AB17" s="106"/>
      <c r="AC17" s="106"/>
      <c r="AD17" s="112">
        <f>F17+H17+J17+L17+N17+P17+R17+T17+V17+X17+Z17+AB17</f>
        <v>980</v>
      </c>
      <c r="AE17" s="107">
        <f>G17+I17+K17+M17+O17+Q17+S17+U17+W17+Y17+AA17+AC17</f>
        <v>754600</v>
      </c>
    </row>
    <row r="18" spans="1:31">
      <c r="A18" s="100">
        <v>22</v>
      </c>
      <c r="B18" s="108">
        <v>4971710571868</v>
      </c>
      <c r="C18" s="109" t="s">
        <v>964</v>
      </c>
      <c r="D18" s="120" t="s">
        <v>1138</v>
      </c>
      <c r="E18" s="101" t="s">
        <v>897</v>
      </c>
      <c r="F18" s="110"/>
      <c r="G18" s="111"/>
      <c r="H18" s="104">
        <v>180</v>
      </c>
      <c r="I18" s="105">
        <v>405900</v>
      </c>
      <c r="J18" s="102">
        <f>VLOOKUP(C18,[1]Sheet2!$A:$B,2,0 )</f>
        <v>473</v>
      </c>
      <c r="K18" s="103">
        <f>VLOOKUP(C18,[1]Sheet2!$A:$C,3,0)</f>
        <v>1066615</v>
      </c>
      <c r="L18" s="102">
        <v>127</v>
      </c>
      <c r="M18" s="103">
        <v>286385</v>
      </c>
      <c r="N18" s="102">
        <v>377</v>
      </c>
      <c r="O18" s="103">
        <v>850135</v>
      </c>
      <c r="P18" s="102"/>
      <c r="Q18" s="106"/>
      <c r="R18" s="102"/>
      <c r="S18" s="106"/>
      <c r="T18" s="102"/>
      <c r="U18" s="106"/>
      <c r="V18" s="102"/>
      <c r="W18" s="106"/>
      <c r="X18" s="106"/>
      <c r="Y18" s="106"/>
      <c r="Z18" s="106"/>
      <c r="AA18" s="106"/>
      <c r="AB18" s="106"/>
      <c r="AC18" s="106"/>
      <c r="AD18" s="113">
        <f>F18+H18+J18+L18+N18+P18+R18+T18+V18+X18+Z18+AB18</f>
        <v>1157</v>
      </c>
      <c r="AE18" s="107">
        <f>G18+I18+K18+M18+O18+Q18+S18+U18+W18+Y18+AA18+AC18</f>
        <v>2609035</v>
      </c>
    </row>
    <row r="19" spans="1:31">
      <c r="A19" s="100">
        <v>10</v>
      </c>
      <c r="B19" s="108">
        <v>4971710580396</v>
      </c>
      <c r="C19" s="109" t="s">
        <v>678</v>
      </c>
      <c r="D19" s="120" t="s">
        <v>1133</v>
      </c>
      <c r="E19" s="101" t="s">
        <v>620</v>
      </c>
      <c r="F19" s="110">
        <v>572</v>
      </c>
      <c r="G19" s="111">
        <v>2831400</v>
      </c>
      <c r="H19" s="104">
        <v>440</v>
      </c>
      <c r="I19" s="105">
        <v>2178000</v>
      </c>
      <c r="J19" s="102">
        <f>VLOOKUP(C19,[1]Sheet2!$A:$B,2,0 )</f>
        <v>744</v>
      </c>
      <c r="K19" s="103">
        <f>VLOOKUP(C19,[1]Sheet2!$A:$C,3,0)</f>
        <v>3682800</v>
      </c>
      <c r="L19" s="102">
        <v>320</v>
      </c>
      <c r="M19" s="103">
        <v>1584000</v>
      </c>
      <c r="N19" s="102">
        <v>366</v>
      </c>
      <c r="O19" s="103">
        <v>1811700</v>
      </c>
      <c r="P19" s="102"/>
      <c r="Q19" s="106"/>
      <c r="R19" s="102"/>
      <c r="S19" s="106"/>
      <c r="T19" s="102"/>
      <c r="U19" s="106"/>
      <c r="V19" s="102"/>
      <c r="W19" s="106"/>
      <c r="X19" s="106"/>
      <c r="Y19" s="106"/>
      <c r="Z19" s="106"/>
      <c r="AA19" s="106"/>
      <c r="AB19" s="106"/>
      <c r="AC19" s="106"/>
      <c r="AD19" s="112">
        <f>F19+H19+J19+L19+N19+P19+R19+T19+V19+X19+Z19+AB19</f>
        <v>2442</v>
      </c>
      <c r="AE19" s="107">
        <f>G19+I19+K19+M19+O19+Q19+S19+U19+W19+Y19+AA19+AC19</f>
        <v>12087900</v>
      </c>
    </row>
    <row r="20" spans="1:31">
      <c r="A20" s="100">
        <v>16</v>
      </c>
      <c r="B20" s="108">
        <v>4971710592955</v>
      </c>
      <c r="C20" s="109" t="s">
        <v>739</v>
      </c>
      <c r="D20" s="120" t="s">
        <v>924</v>
      </c>
      <c r="E20" s="101" t="s">
        <v>740</v>
      </c>
      <c r="F20" s="110">
        <v>20</v>
      </c>
      <c r="G20" s="111">
        <v>12100</v>
      </c>
      <c r="H20" s="104">
        <v>610</v>
      </c>
      <c r="I20" s="105">
        <v>369050</v>
      </c>
      <c r="J20" s="102">
        <f>VLOOKUP(C20,[1]Sheet2!$A:$B,2,0 )</f>
        <v>306</v>
      </c>
      <c r="K20" s="103">
        <f>VLOOKUP(C20,[1]Sheet2!$A:$C,3,0)</f>
        <v>185130</v>
      </c>
      <c r="L20" s="102">
        <v>1518</v>
      </c>
      <c r="M20" s="103">
        <v>918390</v>
      </c>
      <c r="N20" s="102">
        <v>362</v>
      </c>
      <c r="O20" s="103">
        <v>219010</v>
      </c>
      <c r="P20" s="102"/>
      <c r="Q20" s="106"/>
      <c r="R20" s="102"/>
      <c r="S20" s="106"/>
      <c r="T20" s="102"/>
      <c r="U20" s="106"/>
      <c r="V20" s="102"/>
      <c r="W20" s="106"/>
      <c r="X20" s="106"/>
      <c r="Y20" s="106"/>
      <c r="Z20" s="106"/>
      <c r="AA20" s="106"/>
      <c r="AB20" s="106"/>
      <c r="AC20" s="106"/>
      <c r="AD20" s="112">
        <f>F20+H20+J20+L20+N20+P20+R20+T20+V20+X20+Z20+AB20</f>
        <v>2816</v>
      </c>
      <c r="AE20" s="107">
        <f>G20+I20+K20+M20+O20+Q20+S20+U20+W20+Y20+AA20+AC20</f>
        <v>1703680</v>
      </c>
    </row>
    <row r="21" spans="1:31">
      <c r="A21" s="100">
        <v>28</v>
      </c>
      <c r="B21" s="108">
        <v>4971710577341</v>
      </c>
      <c r="C21" s="109" t="s">
        <v>619</v>
      </c>
      <c r="D21" s="120" t="s">
        <v>1133</v>
      </c>
      <c r="E21" s="101" t="s">
        <v>620</v>
      </c>
      <c r="F21" s="110">
        <v>112</v>
      </c>
      <c r="G21" s="111">
        <v>332640</v>
      </c>
      <c r="H21" s="104">
        <v>388</v>
      </c>
      <c r="I21" s="105">
        <v>1152360</v>
      </c>
      <c r="J21" s="102"/>
      <c r="K21" s="103"/>
      <c r="L21" s="102">
        <v>700</v>
      </c>
      <c r="M21" s="103">
        <v>2079000</v>
      </c>
      <c r="N21" s="102">
        <v>342</v>
      </c>
      <c r="O21" s="103">
        <v>1015740</v>
      </c>
      <c r="P21" s="102"/>
      <c r="Q21" s="106"/>
      <c r="R21" s="102"/>
      <c r="S21" s="106"/>
      <c r="T21" s="102"/>
      <c r="U21" s="106"/>
      <c r="V21" s="102"/>
      <c r="W21" s="106"/>
      <c r="X21" s="106"/>
      <c r="Y21" s="106"/>
      <c r="Z21" s="106"/>
      <c r="AA21" s="106"/>
      <c r="AB21" s="106"/>
      <c r="AC21" s="106"/>
      <c r="AD21" s="112">
        <f>F21+H21+J21+L21+N21+P21+R21+T21+V21+X21+Z21+AB21</f>
        <v>1542</v>
      </c>
      <c r="AE21" s="107">
        <f>G21+I21+K21+M21+O21+Q21+S21+U21+W21+Y21+AA21+AC21</f>
        <v>4579740</v>
      </c>
    </row>
    <row r="22" spans="1:31">
      <c r="A22" s="100">
        <v>42</v>
      </c>
      <c r="B22" s="108">
        <v>4971710585278</v>
      </c>
      <c r="C22" s="109" t="s">
        <v>1042</v>
      </c>
      <c r="D22" s="120" t="s">
        <v>1138</v>
      </c>
      <c r="E22" s="101" t="s">
        <v>902</v>
      </c>
      <c r="F22" s="110">
        <v>120</v>
      </c>
      <c r="G22" s="111">
        <v>151800</v>
      </c>
      <c r="H22" s="104"/>
      <c r="I22" s="105"/>
      <c r="J22" s="102">
        <f>VLOOKUP(C22,[1]Sheet2!$A:$B,2,0 )</f>
        <v>210</v>
      </c>
      <c r="K22" s="103">
        <f>VLOOKUP(C22,[1]Sheet2!$A:$C,3,0)</f>
        <v>265650</v>
      </c>
      <c r="L22" s="102">
        <v>72</v>
      </c>
      <c r="M22" s="103">
        <v>91080</v>
      </c>
      <c r="N22" s="102">
        <v>330</v>
      </c>
      <c r="O22" s="103">
        <v>417450</v>
      </c>
      <c r="P22" s="102"/>
      <c r="Q22" s="106"/>
      <c r="R22" s="102"/>
      <c r="S22" s="106"/>
      <c r="T22" s="102"/>
      <c r="U22" s="106"/>
      <c r="V22" s="102"/>
      <c r="W22" s="106"/>
      <c r="X22" s="106"/>
      <c r="Y22" s="106"/>
      <c r="Z22" s="106"/>
      <c r="AA22" s="106"/>
      <c r="AB22" s="106"/>
      <c r="AC22" s="106"/>
      <c r="AD22" s="112">
        <f>F22+H22+J22+L22+N22+P22+R22+T22+V22+X22+Z22+AB22</f>
        <v>732</v>
      </c>
      <c r="AE22" s="107">
        <f>G22+I22+K22+M22+O22+Q22+S22+U22+W22+Y22+AA22+AC22</f>
        <v>925980</v>
      </c>
    </row>
    <row r="23" spans="1:31">
      <c r="A23" s="100">
        <v>29</v>
      </c>
      <c r="B23" s="108">
        <v>4971710613285</v>
      </c>
      <c r="C23" s="109" t="s">
        <v>1127</v>
      </c>
      <c r="D23" s="120" t="s">
        <v>1133</v>
      </c>
      <c r="E23" s="101" t="s">
        <v>1126</v>
      </c>
      <c r="F23" s="110">
        <v>100</v>
      </c>
      <c r="G23" s="111">
        <v>412500</v>
      </c>
      <c r="H23" s="104">
        <v>100</v>
      </c>
      <c r="I23" s="105">
        <v>412500</v>
      </c>
      <c r="J23" s="102">
        <f>VLOOKUP(C23,[1]Sheet2!$A:$B,2,0 )</f>
        <v>297</v>
      </c>
      <c r="K23" s="103">
        <f>VLOOKUP(C23,[1]Sheet2!$A:$C,3,0)</f>
        <v>1225125</v>
      </c>
      <c r="L23" s="102">
        <v>420</v>
      </c>
      <c r="M23" s="103">
        <v>1732500</v>
      </c>
      <c r="N23" s="102">
        <v>314</v>
      </c>
      <c r="O23" s="103">
        <v>1295250</v>
      </c>
      <c r="P23" s="102"/>
      <c r="Q23" s="106"/>
      <c r="R23" s="102"/>
      <c r="S23" s="106"/>
      <c r="T23" s="102"/>
      <c r="U23" s="106"/>
      <c r="V23" s="102"/>
      <c r="W23" s="106"/>
      <c r="X23" s="106"/>
      <c r="Y23" s="106"/>
      <c r="Z23" s="106"/>
      <c r="AA23" s="106"/>
      <c r="AB23" s="106"/>
      <c r="AC23" s="106"/>
      <c r="AD23" s="113">
        <f>F23+H23+J23+L23+N23+P23+R23+T23+V23+X23+Z23+AB23</f>
        <v>1231</v>
      </c>
      <c r="AE23" s="107">
        <f>G23+I23+K23+M23+O23+Q23+S23+U23+W23+Y23+AA23+AC23</f>
        <v>5077875</v>
      </c>
    </row>
    <row r="24" spans="1:31">
      <c r="A24" s="100">
        <v>75</v>
      </c>
      <c r="B24" s="108">
        <v>4971710563238</v>
      </c>
      <c r="C24" s="109" t="s">
        <v>480</v>
      </c>
      <c r="D24" s="120" t="s">
        <v>1141</v>
      </c>
      <c r="E24" s="101" t="s">
        <v>481</v>
      </c>
      <c r="F24" s="110"/>
      <c r="G24" s="111"/>
      <c r="H24" s="104">
        <v>30</v>
      </c>
      <c r="I24" s="105">
        <v>19800</v>
      </c>
      <c r="J24" s="102">
        <f>VLOOKUP(C24,[1]Sheet2!$A:$B,2,0 )</f>
        <v>78</v>
      </c>
      <c r="K24" s="103">
        <f>VLOOKUP(C24,[1]Sheet2!$A:$C,3,0)</f>
        <v>51480</v>
      </c>
      <c r="L24" s="102"/>
      <c r="M24" s="103"/>
      <c r="N24" s="102">
        <v>312</v>
      </c>
      <c r="O24" s="103">
        <v>205920</v>
      </c>
      <c r="P24" s="102"/>
      <c r="Q24" s="106"/>
      <c r="R24" s="102"/>
      <c r="S24" s="106"/>
      <c r="T24" s="102"/>
      <c r="U24" s="106"/>
      <c r="V24" s="102"/>
      <c r="W24" s="106"/>
      <c r="X24" s="106"/>
      <c r="Y24" s="106"/>
      <c r="Z24" s="106"/>
      <c r="AA24" s="106"/>
      <c r="AB24" s="106"/>
      <c r="AC24" s="106"/>
      <c r="AD24" s="112">
        <f>F24+H24+J24+L24+N24+P24+R24+T24+V24+X24+Z24+AB24</f>
        <v>420</v>
      </c>
      <c r="AE24" s="107">
        <f>G24+I24+K24+M24+O24+Q24+S24+U24+W24+Y24+AA24+AC24</f>
        <v>277200</v>
      </c>
    </row>
    <row r="25" spans="1:31">
      <c r="A25" s="100">
        <v>38</v>
      </c>
      <c r="B25" s="108">
        <v>4971710619867</v>
      </c>
      <c r="C25" s="109" t="s">
        <v>1173</v>
      </c>
      <c r="D25" s="120" t="s">
        <v>924</v>
      </c>
      <c r="E25" s="101" t="s">
        <v>1183</v>
      </c>
      <c r="F25" s="110"/>
      <c r="G25" s="111"/>
      <c r="H25" s="104">
        <v>360</v>
      </c>
      <c r="I25" s="105">
        <v>277200</v>
      </c>
      <c r="J25" s="102"/>
      <c r="K25" s="103"/>
      <c r="L25" s="102">
        <v>813</v>
      </c>
      <c r="M25" s="103">
        <v>626010</v>
      </c>
      <c r="N25" s="102">
        <v>306</v>
      </c>
      <c r="O25" s="103">
        <v>235620</v>
      </c>
      <c r="P25" s="102"/>
      <c r="Q25" s="106"/>
      <c r="R25" s="102"/>
      <c r="S25" s="106"/>
      <c r="T25" s="102"/>
      <c r="U25" s="106"/>
      <c r="V25" s="102"/>
      <c r="W25" s="106"/>
      <c r="X25" s="106"/>
      <c r="Y25" s="106"/>
      <c r="Z25" s="106"/>
      <c r="AA25" s="106"/>
      <c r="AB25" s="106"/>
      <c r="AC25" s="106"/>
      <c r="AD25" s="113">
        <f>F25+H25+J25+L25+N25+P25+R25+T25+V25+X25+Z25+AB25</f>
        <v>1479</v>
      </c>
      <c r="AE25" s="107">
        <f>G25+I25+K25+M25+O25+Q25+S25+U25+W25+Y25+AA25+AC25</f>
        <v>1138830</v>
      </c>
    </row>
    <row r="26" spans="1:31">
      <c r="A26" s="100">
        <v>30</v>
      </c>
      <c r="B26" s="108">
        <v>4971710557787</v>
      </c>
      <c r="C26" s="109" t="s">
        <v>462</v>
      </c>
      <c r="D26" s="120" t="s">
        <v>1131</v>
      </c>
      <c r="E26" s="101" t="s">
        <v>1130</v>
      </c>
      <c r="F26" s="110">
        <v>220</v>
      </c>
      <c r="G26" s="111">
        <v>108900</v>
      </c>
      <c r="H26" s="104">
        <v>200</v>
      </c>
      <c r="I26" s="105">
        <v>99000</v>
      </c>
      <c r="J26" s="102">
        <f>VLOOKUP(C26,[1]Sheet2!$A:$B,2,0 )</f>
        <v>50</v>
      </c>
      <c r="K26" s="103">
        <f>VLOOKUP(C26,[1]Sheet2!$A:$C,3,0)</f>
        <v>24750</v>
      </c>
      <c r="L26" s="102">
        <v>42</v>
      </c>
      <c r="M26" s="103">
        <v>20790</v>
      </c>
      <c r="N26" s="102">
        <v>300</v>
      </c>
      <c r="O26" s="103">
        <v>148500</v>
      </c>
      <c r="P26" s="102"/>
      <c r="Q26" s="106"/>
      <c r="R26" s="102"/>
      <c r="S26" s="106"/>
      <c r="T26" s="102"/>
      <c r="U26" s="106"/>
      <c r="V26" s="102"/>
      <c r="W26" s="106"/>
      <c r="X26" s="106"/>
      <c r="Y26" s="106"/>
      <c r="Z26" s="106"/>
      <c r="AA26" s="106"/>
      <c r="AB26" s="106"/>
      <c r="AC26" s="106"/>
      <c r="AD26" s="112">
        <f>F26+H26+J26+L26+N26+P26+R26+T26+V26+X26+Z26+AB26</f>
        <v>812</v>
      </c>
      <c r="AE26" s="107">
        <f>G26+I26+K26+M26+O26+Q26+S26+U26+W26+Y26+AA26+AC26</f>
        <v>401940</v>
      </c>
    </row>
    <row r="27" spans="1:31">
      <c r="A27" s="100">
        <v>216</v>
      </c>
      <c r="B27" s="108">
        <v>4971710494914</v>
      </c>
      <c r="C27" s="109" t="s">
        <v>132</v>
      </c>
      <c r="D27" s="120" t="s">
        <v>924</v>
      </c>
      <c r="E27" s="101" t="s">
        <v>133</v>
      </c>
      <c r="F27" s="110">
        <v>12</v>
      </c>
      <c r="G27" s="111">
        <v>7920</v>
      </c>
      <c r="H27" s="104"/>
      <c r="I27" s="105"/>
      <c r="J27" s="102"/>
      <c r="K27" s="103"/>
      <c r="L27" s="102">
        <v>165</v>
      </c>
      <c r="M27" s="103">
        <v>108900</v>
      </c>
      <c r="N27" s="102">
        <v>282</v>
      </c>
      <c r="O27" s="103">
        <v>186120</v>
      </c>
      <c r="P27" s="102"/>
      <c r="Q27" s="106"/>
      <c r="R27" s="102"/>
      <c r="S27" s="106"/>
      <c r="T27" s="102"/>
      <c r="U27" s="106"/>
      <c r="V27" s="102"/>
      <c r="W27" s="106"/>
      <c r="X27" s="106"/>
      <c r="Y27" s="106"/>
      <c r="Z27" s="106"/>
      <c r="AA27" s="106"/>
      <c r="AB27" s="106"/>
      <c r="AC27" s="106"/>
      <c r="AD27" s="112">
        <f>F27+H27+J27+L27+N27+P27+R27+T27+V27+X27+Z27+AB27</f>
        <v>459</v>
      </c>
      <c r="AE27" s="107">
        <f>G27+I27+K27+M27+O27+Q27+S27+U27+W27+Y27+AA27+AC27</f>
        <v>302940</v>
      </c>
    </row>
    <row r="28" spans="1:31">
      <c r="A28" s="100">
        <v>13</v>
      </c>
      <c r="B28" s="108">
        <v>4971710546071</v>
      </c>
      <c r="C28" s="109" t="s">
        <v>1034</v>
      </c>
      <c r="D28" s="120" t="s">
        <v>1133</v>
      </c>
      <c r="E28" s="101" t="s">
        <v>894</v>
      </c>
      <c r="F28" s="110">
        <v>132</v>
      </c>
      <c r="G28" s="111">
        <v>210540</v>
      </c>
      <c r="H28" s="104">
        <v>620</v>
      </c>
      <c r="I28" s="105">
        <v>988900</v>
      </c>
      <c r="J28" s="102">
        <f>VLOOKUP(C28,[1]Sheet2!$A:$B,2,0 )</f>
        <v>474</v>
      </c>
      <c r="K28" s="103">
        <f>VLOOKUP(C28,[1]Sheet2!$A:$C,3,0)</f>
        <v>756030</v>
      </c>
      <c r="L28" s="102">
        <v>400</v>
      </c>
      <c r="M28" s="103">
        <v>638000</v>
      </c>
      <c r="N28" s="102">
        <v>256</v>
      </c>
      <c r="O28" s="103">
        <v>408320</v>
      </c>
      <c r="P28" s="102"/>
      <c r="Q28" s="106"/>
      <c r="R28" s="102"/>
      <c r="S28" s="106"/>
      <c r="T28" s="102"/>
      <c r="U28" s="106"/>
      <c r="V28" s="102"/>
      <c r="W28" s="106"/>
      <c r="X28" s="106"/>
      <c r="Y28" s="106"/>
      <c r="Z28" s="106"/>
      <c r="AA28" s="106"/>
      <c r="AB28" s="106"/>
      <c r="AC28" s="106"/>
      <c r="AD28" s="112">
        <f>F28+H28+J28+L28+N28+P28+R28+T28+V28+X28+Z28+AB28</f>
        <v>1882</v>
      </c>
      <c r="AE28" s="107">
        <f>G28+I28+K28+M28+O28+Q28+S28+U28+W28+Y28+AA28+AC28</f>
        <v>3001790</v>
      </c>
    </row>
    <row r="29" spans="1:31">
      <c r="A29" s="100">
        <v>9</v>
      </c>
      <c r="B29" s="108">
        <v>4971710581928</v>
      </c>
      <c r="C29" s="109" t="s">
        <v>1035</v>
      </c>
      <c r="D29" s="120" t="s">
        <v>1138</v>
      </c>
      <c r="E29" s="101" t="s">
        <v>897</v>
      </c>
      <c r="F29" s="110">
        <v>120</v>
      </c>
      <c r="G29" s="111">
        <v>224400</v>
      </c>
      <c r="H29" s="104">
        <v>1010</v>
      </c>
      <c r="I29" s="105">
        <v>1888700</v>
      </c>
      <c r="J29" s="102">
        <f>VLOOKUP(C29,[1]Sheet2!$A:$B,2,0 )</f>
        <v>1440</v>
      </c>
      <c r="K29" s="103">
        <f>VLOOKUP(C29,[1]Sheet2!$A:$C,3,0)</f>
        <v>2692800</v>
      </c>
      <c r="L29" s="102">
        <v>372</v>
      </c>
      <c r="M29" s="103">
        <v>695640</v>
      </c>
      <c r="N29" s="102">
        <v>240</v>
      </c>
      <c r="O29" s="103">
        <v>448800</v>
      </c>
      <c r="P29" s="102"/>
      <c r="Q29" s="106"/>
      <c r="R29" s="102"/>
      <c r="S29" s="106"/>
      <c r="T29" s="102"/>
      <c r="U29" s="106"/>
      <c r="V29" s="102"/>
      <c r="W29" s="106"/>
      <c r="X29" s="106"/>
      <c r="Y29" s="106"/>
      <c r="Z29" s="106"/>
      <c r="AA29" s="106"/>
      <c r="AB29" s="106"/>
      <c r="AC29" s="106"/>
      <c r="AD29" s="112">
        <f>F29+H29+J29+L29+N29+P29+R29+T29+V29+X29+Z29+AB29</f>
        <v>3182</v>
      </c>
      <c r="AE29" s="107">
        <f>G29+I29+K29+M29+O29+Q29+S29+U29+W29+Y29+AA29+AC29</f>
        <v>5950340</v>
      </c>
    </row>
    <row r="30" spans="1:31">
      <c r="A30" s="100">
        <v>33</v>
      </c>
      <c r="B30" s="108">
        <v>4971710585261</v>
      </c>
      <c r="C30" s="109" t="s">
        <v>1043</v>
      </c>
      <c r="D30" s="120" t="s">
        <v>1138</v>
      </c>
      <c r="E30" s="101" t="s">
        <v>899</v>
      </c>
      <c r="F30" s="110">
        <v>120</v>
      </c>
      <c r="G30" s="111">
        <v>145200</v>
      </c>
      <c r="H30" s="104">
        <v>80</v>
      </c>
      <c r="I30" s="105">
        <v>96800</v>
      </c>
      <c r="J30" s="102">
        <f>VLOOKUP(C30,[1]Sheet2!$A:$B,2,0 )</f>
        <v>240</v>
      </c>
      <c r="K30" s="103">
        <f>VLOOKUP(C30,[1]Sheet2!$A:$C,3,0)</f>
        <v>290400</v>
      </c>
      <c r="L30" s="102">
        <v>27</v>
      </c>
      <c r="M30" s="103">
        <v>32670</v>
      </c>
      <c r="N30" s="102">
        <v>240</v>
      </c>
      <c r="O30" s="103">
        <v>290400</v>
      </c>
      <c r="P30" s="102"/>
      <c r="Q30" s="106"/>
      <c r="R30" s="102"/>
      <c r="S30" s="106"/>
      <c r="T30" s="102"/>
      <c r="U30" s="106"/>
      <c r="V30" s="102"/>
      <c r="W30" s="106"/>
      <c r="X30" s="106"/>
      <c r="Y30" s="106"/>
      <c r="Z30" s="106"/>
      <c r="AA30" s="106"/>
      <c r="AB30" s="106"/>
      <c r="AC30" s="106"/>
      <c r="AD30" s="112">
        <f>F30+H30+J30+L30+N30+P30+R30+T30+V30+X30+Z30+AB30</f>
        <v>707</v>
      </c>
      <c r="AE30" s="107">
        <f>G30+I30+K30+M30+O30+Q30+S30+U30+W30+Y30+AA30+AC30</f>
        <v>855470</v>
      </c>
    </row>
    <row r="31" spans="1:31">
      <c r="A31" s="100">
        <v>12</v>
      </c>
      <c r="B31" s="108">
        <v>4971710573855</v>
      </c>
      <c r="C31" s="109" t="s">
        <v>1036</v>
      </c>
      <c r="D31" s="120" t="s">
        <v>1138</v>
      </c>
      <c r="E31" s="101" t="s">
        <v>898</v>
      </c>
      <c r="F31" s="110"/>
      <c r="G31" s="111"/>
      <c r="H31" s="104">
        <v>200</v>
      </c>
      <c r="I31" s="105">
        <v>418000</v>
      </c>
      <c r="J31" s="102">
        <f>VLOOKUP(C31,[1]Sheet2!$A:$B,2,0 )</f>
        <v>1173</v>
      </c>
      <c r="K31" s="103">
        <f>VLOOKUP(C31,[1]Sheet2!$A:$C,3,0)</f>
        <v>2451570</v>
      </c>
      <c r="L31" s="102">
        <v>24</v>
      </c>
      <c r="M31" s="103">
        <v>50160</v>
      </c>
      <c r="N31" s="102">
        <v>234</v>
      </c>
      <c r="O31" s="103">
        <v>489060</v>
      </c>
      <c r="P31" s="102"/>
      <c r="Q31" s="106"/>
      <c r="R31" s="102"/>
      <c r="S31" s="106"/>
      <c r="T31" s="102"/>
      <c r="U31" s="106"/>
      <c r="V31" s="102"/>
      <c r="W31" s="106"/>
      <c r="X31" s="106"/>
      <c r="Y31" s="106"/>
      <c r="Z31" s="106"/>
      <c r="AA31" s="106"/>
      <c r="AB31" s="106"/>
      <c r="AC31" s="106"/>
      <c r="AD31" s="113">
        <f>F31+H31+J31+L31+N31+P31+R31+T31+V31+X31+Z31+AB31</f>
        <v>1631</v>
      </c>
      <c r="AE31" s="107">
        <f>G31+I31+K31+M31+O31+Q31+S31+U31+W31+Y31+AA31+AC31</f>
        <v>3408790</v>
      </c>
    </row>
    <row r="32" spans="1:31">
      <c r="A32" s="100">
        <v>24</v>
      </c>
      <c r="B32" s="108">
        <v>4971710582338</v>
      </c>
      <c r="C32" s="109" t="s">
        <v>1044</v>
      </c>
      <c r="D32" s="120" t="s">
        <v>1138</v>
      </c>
      <c r="E32" s="101" t="s">
        <v>900</v>
      </c>
      <c r="F32" s="110">
        <v>192</v>
      </c>
      <c r="G32" s="111">
        <v>411840</v>
      </c>
      <c r="H32" s="104"/>
      <c r="I32" s="105"/>
      <c r="J32" s="102">
        <f>VLOOKUP(C32,[1]Sheet2!$A:$B,2,0 )</f>
        <v>372</v>
      </c>
      <c r="K32" s="103">
        <f>VLOOKUP(C32,[1]Sheet2!$A:$C,3,0)</f>
        <v>797940</v>
      </c>
      <c r="L32" s="102">
        <v>108</v>
      </c>
      <c r="M32" s="103">
        <v>231660</v>
      </c>
      <c r="N32" s="102">
        <v>216</v>
      </c>
      <c r="O32" s="103">
        <v>463320</v>
      </c>
      <c r="P32" s="102"/>
      <c r="Q32" s="106"/>
      <c r="R32" s="102"/>
      <c r="S32" s="106"/>
      <c r="T32" s="102"/>
      <c r="U32" s="106"/>
      <c r="V32" s="102"/>
      <c r="W32" s="106"/>
      <c r="X32" s="106"/>
      <c r="Y32" s="106"/>
      <c r="Z32" s="106"/>
      <c r="AA32" s="106"/>
      <c r="AB32" s="106"/>
      <c r="AC32" s="106"/>
      <c r="AD32" s="112">
        <f>F32+H32+J32+L32+N32+P32+R32+T32+V32+X32+Z32+AB32</f>
        <v>888</v>
      </c>
      <c r="AE32" s="107">
        <f>G32+I32+K32+M32+O32+Q32+S32+U32+W32+Y32+AA32+AC32</f>
        <v>1904760</v>
      </c>
    </row>
    <row r="33" spans="1:31">
      <c r="A33" s="100">
        <v>31</v>
      </c>
      <c r="B33" s="108">
        <v>4971710622201</v>
      </c>
      <c r="C33" s="109" t="s">
        <v>1163</v>
      </c>
      <c r="D33" s="120" t="s">
        <v>922</v>
      </c>
      <c r="E33" s="101" t="s">
        <v>1186</v>
      </c>
      <c r="F33" s="110"/>
      <c r="G33" s="111"/>
      <c r="H33" s="104">
        <v>316</v>
      </c>
      <c r="I33" s="105">
        <v>1286120</v>
      </c>
      <c r="J33" s="102">
        <f>VLOOKUP(C33,[1]Sheet2!$A:$B,2,0 )</f>
        <v>152</v>
      </c>
      <c r="K33" s="103">
        <f>VLOOKUP(C33,[1]Sheet2!$A:$C,3,0)</f>
        <v>618640</v>
      </c>
      <c r="L33" s="102"/>
      <c r="M33" s="103"/>
      <c r="N33" s="102">
        <v>200</v>
      </c>
      <c r="O33" s="103">
        <v>814000</v>
      </c>
      <c r="P33" s="102"/>
      <c r="Q33" s="106"/>
      <c r="R33" s="102"/>
      <c r="S33" s="106"/>
      <c r="T33" s="102"/>
      <c r="U33" s="106"/>
      <c r="V33" s="102"/>
      <c r="W33" s="106"/>
      <c r="X33" s="106"/>
      <c r="Y33" s="106"/>
      <c r="Z33" s="106"/>
      <c r="AA33" s="106"/>
      <c r="AB33" s="106"/>
      <c r="AC33" s="106"/>
      <c r="AD33" s="113">
        <f>F33+H33+J33+L33+N33+P33+R33+T33+V33+X33+Z33+AB33</f>
        <v>668</v>
      </c>
      <c r="AE33" s="107">
        <f>G33+I33+K33+M33+O33+Q33+S33+U33+W33+Y33+AA33+AC33</f>
        <v>2718760</v>
      </c>
    </row>
    <row r="34" spans="1:31" ht="14.5">
      <c r="A34" s="100">
        <v>32</v>
      </c>
      <c r="B34" s="108">
        <v>4971710622188</v>
      </c>
      <c r="C34" s="109" t="s">
        <v>1151</v>
      </c>
      <c r="D34" s="120" t="s">
        <v>922</v>
      </c>
      <c r="E34" s="101" t="s">
        <v>1153</v>
      </c>
      <c r="F34" s="110">
        <v>50</v>
      </c>
      <c r="G34" s="111">
        <v>148500</v>
      </c>
      <c r="H34" s="104">
        <v>216</v>
      </c>
      <c r="I34" s="105">
        <v>641520</v>
      </c>
      <c r="J34" s="102">
        <f>VLOOKUP(C34,[1]Sheet2!$A:$B,2,0 )</f>
        <v>187</v>
      </c>
      <c r="K34" s="103">
        <f>VLOOKUP(C34,[1]Sheet2!$A:$C,3,0)</f>
        <v>555390</v>
      </c>
      <c r="L34" s="102"/>
      <c r="M34" s="103"/>
      <c r="N34" s="102">
        <v>200</v>
      </c>
      <c r="O34" s="103">
        <v>594000</v>
      </c>
      <c r="P34" s="102"/>
      <c r="Q34" s="106"/>
      <c r="R34" s="102"/>
      <c r="S34" s="106"/>
      <c r="T34" s="102"/>
      <c r="U34" s="106"/>
      <c r="V34" s="102"/>
      <c r="W34" s="106"/>
      <c r="X34" s="106"/>
      <c r="Y34" s="106"/>
      <c r="Z34" s="106"/>
      <c r="AA34" s="106"/>
      <c r="AB34" s="106"/>
      <c r="AC34" s="106"/>
      <c r="AD34" s="113">
        <f>F34+H34+J34+L34+N34+P34+R34+T34+V34+X34+Z34+AB34</f>
        <v>653</v>
      </c>
      <c r="AE34" s="107">
        <f>G34+I34+K34+M34+O34+Q34+S34+U34+W34+Y34+AA34+AC34</f>
        <v>1939410</v>
      </c>
    </row>
    <row r="35" spans="1:31">
      <c r="A35" s="100">
        <v>19</v>
      </c>
      <c r="B35" s="108">
        <v>4971710599954</v>
      </c>
      <c r="C35" s="109" t="s">
        <v>1026</v>
      </c>
      <c r="D35" s="120" t="s">
        <v>1133</v>
      </c>
      <c r="E35" s="101" t="s">
        <v>1027</v>
      </c>
      <c r="F35" s="110">
        <v>126</v>
      </c>
      <c r="G35" s="111">
        <v>180180</v>
      </c>
      <c r="H35" s="104">
        <v>275</v>
      </c>
      <c r="I35" s="105">
        <v>393250</v>
      </c>
      <c r="J35" s="102">
        <f>VLOOKUP(C35,[1]Sheet2!$A:$B,2,0 )</f>
        <v>488</v>
      </c>
      <c r="K35" s="103">
        <f>VLOOKUP(C35,[1]Sheet2!$A:$C,3,0)</f>
        <v>697840</v>
      </c>
      <c r="L35" s="102">
        <v>650</v>
      </c>
      <c r="M35" s="103">
        <v>929500</v>
      </c>
      <c r="N35" s="102">
        <v>182</v>
      </c>
      <c r="O35" s="103">
        <v>260260</v>
      </c>
      <c r="P35" s="102"/>
      <c r="Q35" s="106"/>
      <c r="R35" s="102"/>
      <c r="S35" s="106"/>
      <c r="T35" s="102"/>
      <c r="U35" s="106"/>
      <c r="V35" s="102"/>
      <c r="W35" s="106"/>
      <c r="X35" s="106"/>
      <c r="Y35" s="106"/>
      <c r="Z35" s="106"/>
      <c r="AA35" s="106"/>
      <c r="AB35" s="106"/>
      <c r="AC35" s="106"/>
      <c r="AD35" s="113">
        <f>F35+H35+J35+L35+N35+P35+R35+T35+V35+X35+Z35+AB35</f>
        <v>1721</v>
      </c>
      <c r="AE35" s="107">
        <f>G35+I35+K35+M35+O35+Q35+S35+U35+W35+Y35+AA35+AC35</f>
        <v>2461030</v>
      </c>
    </row>
    <row r="36" spans="1:31">
      <c r="A36" s="100">
        <v>91</v>
      </c>
      <c r="B36" s="108">
        <v>4971710556865</v>
      </c>
      <c r="C36" s="109" t="s">
        <v>454</v>
      </c>
      <c r="D36" s="120" t="s">
        <v>924</v>
      </c>
      <c r="E36" s="101" t="s">
        <v>455</v>
      </c>
      <c r="F36" s="110"/>
      <c r="G36" s="111"/>
      <c r="H36" s="104">
        <v>70</v>
      </c>
      <c r="I36" s="105">
        <v>61600</v>
      </c>
      <c r="J36" s="102">
        <f>VLOOKUP(C36,[1]Sheet2!$A:$B,2,0 )</f>
        <v>15</v>
      </c>
      <c r="K36" s="103">
        <f>VLOOKUP(C36,[1]Sheet2!$A:$C,3,0)</f>
        <v>13200</v>
      </c>
      <c r="L36" s="102">
        <v>15</v>
      </c>
      <c r="M36" s="103">
        <v>13200</v>
      </c>
      <c r="N36" s="102">
        <v>180</v>
      </c>
      <c r="O36" s="103">
        <v>158400</v>
      </c>
      <c r="P36" s="102"/>
      <c r="Q36" s="106"/>
      <c r="R36" s="102"/>
      <c r="S36" s="106"/>
      <c r="T36" s="102"/>
      <c r="U36" s="106"/>
      <c r="V36" s="102"/>
      <c r="W36" s="106"/>
      <c r="X36" s="106"/>
      <c r="Y36" s="106"/>
      <c r="Z36" s="106"/>
      <c r="AA36" s="106"/>
      <c r="AB36" s="106"/>
      <c r="AC36" s="106"/>
      <c r="AD36" s="112">
        <f>F36+H36+J36+L36+N36+P36+R36+T36+V36+X36+Z36+AB36</f>
        <v>280</v>
      </c>
      <c r="AE36" s="107">
        <f>G36+I36+K36+M36+O36+Q36+S36+U36+W36+Y36+AA36+AC36</f>
        <v>246400</v>
      </c>
    </row>
    <row r="37" spans="1:31">
      <c r="A37" s="100">
        <v>489</v>
      </c>
      <c r="B37" s="108" t="s">
        <v>1282</v>
      </c>
      <c r="C37" s="109" t="s">
        <v>1261</v>
      </c>
      <c r="D37" s="120" t="s">
        <v>924</v>
      </c>
      <c r="E37" s="101" t="s">
        <v>1289</v>
      </c>
      <c r="F37" s="110"/>
      <c r="G37" s="111"/>
      <c r="H37" s="104"/>
      <c r="I37" s="105"/>
      <c r="J37" s="102"/>
      <c r="K37" s="103"/>
      <c r="L37" s="102"/>
      <c r="M37" s="103"/>
      <c r="N37" s="102">
        <f>VLOOKUP(C37,'[4]レポート 3'!$D:$E,2,0)</f>
        <v>180</v>
      </c>
      <c r="O37" s="103">
        <f>VLOOKUP(C37,'[4]レポート 3'!$D:$F,3,0)</f>
        <v>148500</v>
      </c>
      <c r="P37" s="102"/>
      <c r="Q37" s="106"/>
      <c r="R37" s="102"/>
      <c r="S37" s="106"/>
      <c r="T37" s="102"/>
      <c r="U37" s="106"/>
      <c r="V37" s="102"/>
      <c r="W37" s="106"/>
      <c r="X37" s="106"/>
      <c r="Y37" s="106"/>
      <c r="Z37" s="106"/>
      <c r="AA37" s="106"/>
      <c r="AB37" s="106"/>
      <c r="AC37" s="106"/>
      <c r="AD37" s="112">
        <f>F37+H37+J37+L37+N37+P37+R37+T37+V37+X37+Z37+AB37</f>
        <v>180</v>
      </c>
      <c r="AE37" s="107">
        <f>G37+I37+K37+M37+O37+Q37+S37+U37+W37+Y37+AA37+AC37</f>
        <v>148500</v>
      </c>
    </row>
    <row r="38" spans="1:31">
      <c r="A38" s="100">
        <v>490</v>
      </c>
      <c r="B38" s="108" t="s">
        <v>1283</v>
      </c>
      <c r="C38" s="109" t="s">
        <v>1262</v>
      </c>
      <c r="D38" s="120" t="s">
        <v>924</v>
      </c>
      <c r="E38" s="101" t="s">
        <v>1290</v>
      </c>
      <c r="F38" s="110"/>
      <c r="G38" s="111"/>
      <c r="H38" s="104"/>
      <c r="I38" s="105"/>
      <c r="J38" s="102"/>
      <c r="K38" s="103"/>
      <c r="L38" s="102"/>
      <c r="M38" s="103"/>
      <c r="N38" s="102">
        <f>VLOOKUP(C38,'[4]レポート 3'!$D:$E,2,0)</f>
        <v>180</v>
      </c>
      <c r="O38" s="103">
        <f>VLOOKUP(C38,'[4]レポート 3'!$D:$F,3,0)</f>
        <v>148500</v>
      </c>
      <c r="P38" s="102"/>
      <c r="Q38" s="106"/>
      <c r="R38" s="102"/>
      <c r="S38" s="106"/>
      <c r="T38" s="102"/>
      <c r="U38" s="106"/>
      <c r="V38" s="102"/>
      <c r="W38" s="106"/>
      <c r="X38" s="106"/>
      <c r="Y38" s="106"/>
      <c r="Z38" s="106"/>
      <c r="AA38" s="106"/>
      <c r="AB38" s="106"/>
      <c r="AC38" s="106"/>
      <c r="AD38" s="112">
        <f>F38+H38+J38+L38+N38+P38+R38+T38+V38+X38+Z38+AB38</f>
        <v>180</v>
      </c>
      <c r="AE38" s="107">
        <f>G38+I38+K38+M38+O38+Q38+S38+U38+W38+Y38+AA38+AC38</f>
        <v>148500</v>
      </c>
    </row>
    <row r="39" spans="1:31">
      <c r="A39" s="100">
        <v>68</v>
      </c>
      <c r="B39" s="108">
        <v>4971710588163</v>
      </c>
      <c r="C39" s="109" t="s">
        <v>797</v>
      </c>
      <c r="D39" s="120" t="s">
        <v>1135</v>
      </c>
      <c r="E39" s="101" t="s">
        <v>1039</v>
      </c>
      <c r="F39" s="110"/>
      <c r="G39" s="111"/>
      <c r="H39" s="104">
        <v>30</v>
      </c>
      <c r="I39" s="105">
        <v>21450</v>
      </c>
      <c r="J39" s="102">
        <f>VLOOKUP(C39,[1]Sheet2!$A:$B,2,0 )</f>
        <v>93</v>
      </c>
      <c r="K39" s="103">
        <f>VLOOKUP(C39,[1]Sheet2!$A:$C,3,0)</f>
        <v>66495</v>
      </c>
      <c r="L39" s="102">
        <v>2570</v>
      </c>
      <c r="M39" s="103">
        <v>1837550</v>
      </c>
      <c r="N39" s="102">
        <v>170</v>
      </c>
      <c r="O39" s="103">
        <v>121550</v>
      </c>
      <c r="P39" s="102"/>
      <c r="Q39" s="106"/>
      <c r="R39" s="102"/>
      <c r="S39" s="106"/>
      <c r="T39" s="102"/>
      <c r="U39" s="106"/>
      <c r="V39" s="102"/>
      <c r="W39" s="106"/>
      <c r="X39" s="106"/>
      <c r="Y39" s="106"/>
      <c r="Z39" s="106"/>
      <c r="AA39" s="106"/>
      <c r="AB39" s="106"/>
      <c r="AC39" s="106"/>
      <c r="AD39" s="112">
        <f>F39+H39+J39+L39+N39+P39+R39+T39+V39+X39+Z39+AB39</f>
        <v>2863</v>
      </c>
      <c r="AE39" s="107">
        <f>G39+I39+K39+M39+O39+Q39+S39+U39+W39+Y39+AA39+AC39</f>
        <v>2047045</v>
      </c>
    </row>
    <row r="40" spans="1:31">
      <c r="A40" s="100">
        <v>61</v>
      </c>
      <c r="B40" s="108">
        <v>4971710599985</v>
      </c>
      <c r="C40" s="109" t="s">
        <v>1030</v>
      </c>
      <c r="D40" s="120" t="s">
        <v>1133</v>
      </c>
      <c r="E40" s="101" t="s">
        <v>1029</v>
      </c>
      <c r="F40" s="110"/>
      <c r="G40" s="111"/>
      <c r="H40" s="104">
        <v>5</v>
      </c>
      <c r="I40" s="105">
        <v>7975</v>
      </c>
      <c r="J40" s="102">
        <f>VLOOKUP(C40,[1]Sheet2!$A:$B,2,0 )</f>
        <v>162</v>
      </c>
      <c r="K40" s="103">
        <f>VLOOKUP(C40,[1]Sheet2!$A:$C,3,0)</f>
        <v>258390</v>
      </c>
      <c r="L40" s="102">
        <v>400</v>
      </c>
      <c r="M40" s="103">
        <v>638000</v>
      </c>
      <c r="N40" s="102">
        <v>170</v>
      </c>
      <c r="O40" s="103">
        <v>271150</v>
      </c>
      <c r="P40" s="102"/>
      <c r="Q40" s="106"/>
      <c r="R40" s="102"/>
      <c r="S40" s="106"/>
      <c r="T40" s="102"/>
      <c r="U40" s="106"/>
      <c r="V40" s="102"/>
      <c r="W40" s="106"/>
      <c r="X40" s="106"/>
      <c r="Y40" s="106"/>
      <c r="Z40" s="106"/>
      <c r="AA40" s="106"/>
      <c r="AB40" s="106"/>
      <c r="AC40" s="106"/>
      <c r="AD40" s="113">
        <f>F40+H40+J40+L40+N40+P40+R40+T40+V40+X40+Z40+AB40</f>
        <v>737</v>
      </c>
      <c r="AE40" s="107">
        <f>G40+I40+K40+M40+O40+Q40+S40+U40+W40+Y40+AA40+AC40</f>
        <v>1175515</v>
      </c>
    </row>
    <row r="41" spans="1:31">
      <c r="A41" s="100">
        <v>21</v>
      </c>
      <c r="B41" s="108">
        <v>4971710568899</v>
      </c>
      <c r="C41" s="109" t="s">
        <v>538</v>
      </c>
      <c r="D41" s="120" t="s">
        <v>1133</v>
      </c>
      <c r="E41" s="101" t="s">
        <v>539</v>
      </c>
      <c r="F41" s="110">
        <v>24</v>
      </c>
      <c r="G41" s="111">
        <v>35640</v>
      </c>
      <c r="H41" s="104">
        <v>332</v>
      </c>
      <c r="I41" s="105">
        <v>493020</v>
      </c>
      <c r="J41" s="102">
        <f>VLOOKUP(C41,[1]Sheet2!$A:$B,2,0 )</f>
        <v>322</v>
      </c>
      <c r="K41" s="103">
        <f>VLOOKUP(C41,[1]Sheet2!$A:$C,3,0)</f>
        <v>478170</v>
      </c>
      <c r="L41" s="102">
        <v>100</v>
      </c>
      <c r="M41" s="103">
        <v>148500</v>
      </c>
      <c r="N41" s="102">
        <v>160</v>
      </c>
      <c r="O41" s="103">
        <v>237600</v>
      </c>
      <c r="P41" s="102"/>
      <c r="Q41" s="106"/>
      <c r="R41" s="102"/>
      <c r="S41" s="106"/>
      <c r="T41" s="102"/>
      <c r="U41" s="106"/>
      <c r="V41" s="102"/>
      <c r="W41" s="106"/>
      <c r="X41" s="106"/>
      <c r="Y41" s="106"/>
      <c r="Z41" s="106"/>
      <c r="AA41" s="106"/>
      <c r="AB41" s="106"/>
      <c r="AC41" s="106"/>
      <c r="AD41" s="112">
        <f>F41+H41+J41+L41+N41+P41+R41+T41+V41+X41+Z41+AB41</f>
        <v>938</v>
      </c>
      <c r="AE41" s="107">
        <f>G41+I41+K41+M41+O41+Q41+S41+U41+W41+Y41+AA41+AC41</f>
        <v>1392930</v>
      </c>
    </row>
    <row r="42" spans="1:31">
      <c r="A42" s="100">
        <v>94</v>
      </c>
      <c r="B42" s="108">
        <v>4971710621907</v>
      </c>
      <c r="C42" s="109" t="s">
        <v>1164</v>
      </c>
      <c r="D42" s="120" t="s">
        <v>924</v>
      </c>
      <c r="E42" s="101" t="s">
        <v>1175</v>
      </c>
      <c r="F42" s="110"/>
      <c r="G42" s="111"/>
      <c r="H42" s="104">
        <v>80</v>
      </c>
      <c r="I42" s="105">
        <v>66000</v>
      </c>
      <c r="J42" s="102"/>
      <c r="K42" s="103"/>
      <c r="L42" s="102"/>
      <c r="M42" s="103"/>
      <c r="N42" s="102">
        <v>156</v>
      </c>
      <c r="O42" s="103">
        <v>128700</v>
      </c>
      <c r="P42" s="102"/>
      <c r="Q42" s="106"/>
      <c r="R42" s="102"/>
      <c r="S42" s="106"/>
      <c r="T42" s="102"/>
      <c r="U42" s="106"/>
      <c r="V42" s="102"/>
      <c r="W42" s="106"/>
      <c r="X42" s="106"/>
      <c r="Y42" s="106"/>
      <c r="Z42" s="106"/>
      <c r="AA42" s="106"/>
      <c r="AB42" s="106"/>
      <c r="AC42" s="106"/>
      <c r="AD42" s="113">
        <f>F42+H42+J42+L42+N42+P42+R42+T42+V42+X42+Z42+AB42</f>
        <v>236</v>
      </c>
      <c r="AE42" s="107">
        <f>G42+I42+K42+M42+O42+Q42+S42+U42+W42+Y42+AA42+AC42</f>
        <v>194700</v>
      </c>
    </row>
    <row r="43" spans="1:31">
      <c r="A43" s="100">
        <v>69</v>
      </c>
      <c r="B43" s="108">
        <v>4971710573992</v>
      </c>
      <c r="C43" s="109" t="s">
        <v>963</v>
      </c>
      <c r="D43" s="120" t="s">
        <v>1138</v>
      </c>
      <c r="E43" s="101" t="s">
        <v>901</v>
      </c>
      <c r="F43" s="110"/>
      <c r="G43" s="111"/>
      <c r="H43" s="104">
        <v>31</v>
      </c>
      <c r="I43" s="105">
        <v>98890</v>
      </c>
      <c r="J43" s="102">
        <f>VLOOKUP(C43,[1]Sheet2!$A:$B,2,0 )</f>
        <v>90</v>
      </c>
      <c r="K43" s="103">
        <f>VLOOKUP(C43,[1]Sheet2!$A:$C,3,0)</f>
        <v>287100</v>
      </c>
      <c r="L43" s="102">
        <v>170</v>
      </c>
      <c r="M43" s="103">
        <v>542300</v>
      </c>
      <c r="N43" s="102">
        <v>150</v>
      </c>
      <c r="O43" s="103">
        <v>478500</v>
      </c>
      <c r="P43" s="102"/>
      <c r="Q43" s="106"/>
      <c r="R43" s="102"/>
      <c r="S43" s="106"/>
      <c r="T43" s="102"/>
      <c r="U43" s="106"/>
      <c r="V43" s="102"/>
      <c r="W43" s="106"/>
      <c r="X43" s="106"/>
      <c r="Y43" s="106"/>
      <c r="Z43" s="106"/>
      <c r="AA43" s="106"/>
      <c r="AB43" s="106"/>
      <c r="AC43" s="106"/>
      <c r="AD43" s="112">
        <f>F43+H43+J43+L43+N43+P43+R43+T43+V43+X43+Z43+AB43</f>
        <v>441</v>
      </c>
      <c r="AE43" s="107">
        <f>G43+I43+K43+M43+O43+Q43+S43+U43+W43+Y43+AA43+AC43</f>
        <v>1406790</v>
      </c>
    </row>
    <row r="44" spans="1:31">
      <c r="A44" s="100">
        <v>284</v>
      </c>
      <c r="B44" s="108">
        <v>4971710494167</v>
      </c>
      <c r="C44" s="109" t="s">
        <v>112</v>
      </c>
      <c r="D44" s="120" t="s">
        <v>924</v>
      </c>
      <c r="E44" s="101" t="s">
        <v>113</v>
      </c>
      <c r="F44" s="110"/>
      <c r="G44" s="111"/>
      <c r="H44" s="104"/>
      <c r="I44" s="105"/>
      <c r="J44" s="102"/>
      <c r="K44" s="103"/>
      <c r="L44" s="102">
        <v>65</v>
      </c>
      <c r="M44" s="103">
        <v>19305</v>
      </c>
      <c r="N44" s="102">
        <v>140</v>
      </c>
      <c r="O44" s="103">
        <v>41580</v>
      </c>
      <c r="P44" s="102"/>
      <c r="Q44" s="106"/>
      <c r="R44" s="102"/>
      <c r="S44" s="106"/>
      <c r="T44" s="102"/>
      <c r="U44" s="106"/>
      <c r="V44" s="102"/>
      <c r="W44" s="106"/>
      <c r="X44" s="106"/>
      <c r="Y44" s="106"/>
      <c r="Z44" s="106"/>
      <c r="AA44" s="106"/>
      <c r="AB44" s="106"/>
      <c r="AC44" s="106"/>
      <c r="AD44" s="112">
        <f>F44+H44+J44+L44+N44+P44+R44+T44+V44+X44+Z44+AB44</f>
        <v>205</v>
      </c>
      <c r="AE44" s="107">
        <f>G44+I44+K44+M44+O44+Q44+S44+U44+W44+Y44+AA44+AC44</f>
        <v>60885</v>
      </c>
    </row>
    <row r="45" spans="1:31">
      <c r="A45" s="100">
        <v>35</v>
      </c>
      <c r="B45" s="108">
        <v>4971710585254</v>
      </c>
      <c r="C45" s="109" t="s">
        <v>1048</v>
      </c>
      <c r="D45" s="120" t="s">
        <v>1138</v>
      </c>
      <c r="E45" s="101" t="s">
        <v>899</v>
      </c>
      <c r="F45" s="110">
        <v>162</v>
      </c>
      <c r="G45" s="111">
        <v>240570</v>
      </c>
      <c r="H45" s="104">
        <v>18</v>
      </c>
      <c r="I45" s="105">
        <v>26730</v>
      </c>
      <c r="J45" s="102">
        <f>VLOOKUP(C45,[1]Sheet2!$A:$B,2,0 )</f>
        <v>226</v>
      </c>
      <c r="K45" s="103">
        <f>VLOOKUP(C45,[1]Sheet2!$A:$C,3,0)</f>
        <v>335610</v>
      </c>
      <c r="L45" s="102">
        <v>40</v>
      </c>
      <c r="M45" s="103">
        <v>59400</v>
      </c>
      <c r="N45" s="102">
        <v>136</v>
      </c>
      <c r="O45" s="103">
        <v>201960</v>
      </c>
      <c r="P45" s="102"/>
      <c r="Q45" s="106"/>
      <c r="R45" s="102"/>
      <c r="S45" s="106"/>
      <c r="T45" s="102"/>
      <c r="U45" s="106"/>
      <c r="V45" s="102"/>
      <c r="W45" s="106"/>
      <c r="X45" s="106"/>
      <c r="Y45" s="106"/>
      <c r="Z45" s="106"/>
      <c r="AA45" s="106"/>
      <c r="AB45" s="106"/>
      <c r="AC45" s="106"/>
      <c r="AD45" s="113">
        <f>F45+H45+J45+L45+N45+P45+R45+T45+V45+X45+Z45+AB45</f>
        <v>582</v>
      </c>
      <c r="AE45" s="107">
        <f>G45+I45+K45+M45+O45+Q45+S45+U45+W45+Y45+AA45+AC45</f>
        <v>864270</v>
      </c>
    </row>
    <row r="46" spans="1:31">
      <c r="A46" s="100">
        <v>43</v>
      </c>
      <c r="B46" s="108">
        <v>4971710599923</v>
      </c>
      <c r="C46" s="109" t="s">
        <v>1025</v>
      </c>
      <c r="D46" s="120" t="s">
        <v>1133</v>
      </c>
      <c r="E46" s="101" t="s">
        <v>1027</v>
      </c>
      <c r="F46" s="110">
        <v>86</v>
      </c>
      <c r="G46" s="111">
        <v>141900</v>
      </c>
      <c r="H46" s="104">
        <v>125</v>
      </c>
      <c r="I46" s="105">
        <v>206250</v>
      </c>
      <c r="J46" s="102">
        <f>VLOOKUP(C46,[1]Sheet2!$A:$B,2,0 )</f>
        <v>118</v>
      </c>
      <c r="K46" s="103">
        <f>VLOOKUP(C46,[1]Sheet2!$A:$C,3,0)</f>
        <v>194700</v>
      </c>
      <c r="L46" s="102"/>
      <c r="M46" s="103"/>
      <c r="N46" s="102">
        <v>130</v>
      </c>
      <c r="O46" s="103">
        <v>214500</v>
      </c>
      <c r="P46" s="102"/>
      <c r="Q46" s="106"/>
      <c r="R46" s="102"/>
      <c r="S46" s="106"/>
      <c r="T46" s="102"/>
      <c r="U46" s="106"/>
      <c r="V46" s="102"/>
      <c r="W46" s="106"/>
      <c r="X46" s="106"/>
      <c r="Y46" s="106"/>
      <c r="Z46" s="106"/>
      <c r="AA46" s="106"/>
      <c r="AB46" s="106"/>
      <c r="AC46" s="106"/>
      <c r="AD46" s="113">
        <f>F46+H46+J46+L46+N46+P46+R46+T46+V46+X46+Z46+AB46</f>
        <v>459</v>
      </c>
      <c r="AE46" s="107">
        <f>G46+I46+K46+M46+O46+Q46+S46+U46+W46+Y46+AA46+AC46</f>
        <v>757350</v>
      </c>
    </row>
    <row r="47" spans="1:31">
      <c r="A47" s="100">
        <v>27</v>
      </c>
      <c r="B47" s="108">
        <v>4971710580372</v>
      </c>
      <c r="C47" s="109" t="s">
        <v>677</v>
      </c>
      <c r="D47" s="120" t="s">
        <v>1133</v>
      </c>
      <c r="E47" s="101" t="s">
        <v>620</v>
      </c>
      <c r="F47" s="110">
        <v>112</v>
      </c>
      <c r="G47" s="111">
        <v>320320</v>
      </c>
      <c r="H47" s="104">
        <v>390</v>
      </c>
      <c r="I47" s="105">
        <v>1115400</v>
      </c>
      <c r="J47" s="102"/>
      <c r="K47" s="103"/>
      <c r="L47" s="102">
        <v>480</v>
      </c>
      <c r="M47" s="103">
        <v>1372800</v>
      </c>
      <c r="N47" s="102">
        <v>122</v>
      </c>
      <c r="O47" s="103">
        <v>348920</v>
      </c>
      <c r="P47" s="102"/>
      <c r="Q47" s="106"/>
      <c r="R47" s="102"/>
      <c r="S47" s="106"/>
      <c r="T47" s="102"/>
      <c r="U47" s="106"/>
      <c r="V47" s="102"/>
      <c r="W47" s="106"/>
      <c r="X47" s="106"/>
      <c r="Y47" s="106"/>
      <c r="Z47" s="106"/>
      <c r="AA47" s="106"/>
      <c r="AB47" s="106"/>
      <c r="AC47" s="106"/>
      <c r="AD47" s="112">
        <f>F47+H47+J47+L47+N47+P47+R47+T47+V47+X47+Z47+AB47</f>
        <v>1104</v>
      </c>
      <c r="AE47" s="107">
        <f>G47+I47+K47+M47+O47+Q47+S47+U47+W47+Y47+AA47+AC47</f>
        <v>3157440</v>
      </c>
    </row>
    <row r="48" spans="1:31">
      <c r="A48" s="100">
        <v>40</v>
      </c>
      <c r="B48" s="108">
        <v>4971710570250</v>
      </c>
      <c r="C48" s="109" t="s">
        <v>1045</v>
      </c>
      <c r="D48" s="120" t="s">
        <v>1138</v>
      </c>
      <c r="E48" s="101" t="s">
        <v>900</v>
      </c>
      <c r="F48" s="110">
        <v>90</v>
      </c>
      <c r="G48" s="111">
        <v>212850</v>
      </c>
      <c r="H48" s="104">
        <v>64</v>
      </c>
      <c r="I48" s="105">
        <v>151360</v>
      </c>
      <c r="J48" s="102">
        <f>VLOOKUP(C48,[1]Sheet2!$A:$B,2,0 )</f>
        <v>204</v>
      </c>
      <c r="K48" s="103">
        <f>VLOOKUP(C48,[1]Sheet2!$A:$C,3,0)</f>
        <v>482460</v>
      </c>
      <c r="L48" s="102">
        <v>96</v>
      </c>
      <c r="M48" s="103">
        <v>227040</v>
      </c>
      <c r="N48" s="102">
        <v>122</v>
      </c>
      <c r="O48" s="103">
        <v>288530</v>
      </c>
      <c r="P48" s="102"/>
      <c r="Q48" s="106"/>
      <c r="R48" s="102"/>
      <c r="S48" s="106"/>
      <c r="T48" s="102"/>
      <c r="U48" s="106"/>
      <c r="V48" s="102"/>
      <c r="W48" s="106"/>
      <c r="X48" s="106"/>
      <c r="Y48" s="106"/>
      <c r="Z48" s="106"/>
      <c r="AA48" s="106"/>
      <c r="AB48" s="106"/>
      <c r="AC48" s="106"/>
      <c r="AD48" s="113">
        <f>F48+H48+J48+L48+N48+P48+R48+T48+V48+X48+Z48+AB48</f>
        <v>576</v>
      </c>
      <c r="AE48" s="107">
        <f>G48+I48+K48+M48+O48+Q48+S48+U48+W48+Y48+AA48+AC48</f>
        <v>1362240</v>
      </c>
    </row>
    <row r="49" spans="1:31">
      <c r="A49" s="100">
        <v>171</v>
      </c>
      <c r="B49" s="108">
        <v>4971710494211</v>
      </c>
      <c r="C49" s="109" t="s">
        <v>122</v>
      </c>
      <c r="D49" s="120" t="s">
        <v>924</v>
      </c>
      <c r="E49" s="101" t="s">
        <v>123</v>
      </c>
      <c r="F49" s="110"/>
      <c r="G49" s="111"/>
      <c r="H49" s="104"/>
      <c r="I49" s="105"/>
      <c r="J49" s="102">
        <f>VLOOKUP(C49,[1]Sheet2!$A:$B,2,0 )</f>
        <v>30</v>
      </c>
      <c r="K49" s="103">
        <f>VLOOKUP(C49,[1]Sheet2!$A:$C,3,0)</f>
        <v>8910</v>
      </c>
      <c r="L49" s="102">
        <v>24</v>
      </c>
      <c r="M49" s="103">
        <v>7128</v>
      </c>
      <c r="N49" s="102">
        <v>122</v>
      </c>
      <c r="O49" s="103">
        <v>36234</v>
      </c>
      <c r="P49" s="102"/>
      <c r="Q49" s="106"/>
      <c r="R49" s="102"/>
      <c r="S49" s="106"/>
      <c r="T49" s="102"/>
      <c r="U49" s="106"/>
      <c r="V49" s="102"/>
      <c r="W49" s="106"/>
      <c r="X49" s="106"/>
      <c r="Y49" s="106"/>
      <c r="Z49" s="106"/>
      <c r="AA49" s="106"/>
      <c r="AB49" s="106"/>
      <c r="AC49" s="106"/>
      <c r="AD49" s="112">
        <f>F49+H49+J49+L49+N49+P49+R49+T49+V49+X49+Z49+AB49</f>
        <v>176</v>
      </c>
      <c r="AE49" s="107">
        <f>G49+I49+K49+M49+O49+Q49+S49+U49+W49+Y49+AA49+AC49</f>
        <v>52272</v>
      </c>
    </row>
    <row r="50" spans="1:31">
      <c r="A50" s="100">
        <v>37</v>
      </c>
      <c r="B50" s="108">
        <v>4971710278521</v>
      </c>
      <c r="C50" s="109" t="s">
        <v>5</v>
      </c>
      <c r="D50" s="120" t="s">
        <v>1133</v>
      </c>
      <c r="E50" s="101" t="s">
        <v>6</v>
      </c>
      <c r="F50" s="110">
        <v>220</v>
      </c>
      <c r="G50" s="111">
        <v>544500</v>
      </c>
      <c r="H50" s="104">
        <v>142</v>
      </c>
      <c r="I50" s="105">
        <v>351450</v>
      </c>
      <c r="J50" s="102"/>
      <c r="K50" s="103"/>
      <c r="L50" s="102"/>
      <c r="M50" s="103"/>
      <c r="N50" s="102">
        <v>120</v>
      </c>
      <c r="O50" s="103">
        <v>297000</v>
      </c>
      <c r="P50" s="102"/>
      <c r="Q50" s="106"/>
      <c r="R50" s="102"/>
      <c r="S50" s="106"/>
      <c r="T50" s="102"/>
      <c r="U50" s="106"/>
      <c r="V50" s="102"/>
      <c r="W50" s="106"/>
      <c r="X50" s="106"/>
      <c r="Y50" s="106"/>
      <c r="Z50" s="106"/>
      <c r="AA50" s="106"/>
      <c r="AB50" s="106"/>
      <c r="AC50" s="106"/>
      <c r="AD50" s="112">
        <f>F50+H50+J50+L50+N50+P50+R50+T50+V50+X50+Z50+AB50</f>
        <v>482</v>
      </c>
      <c r="AE50" s="107">
        <f>G50+I50+K50+M50+O50+Q50+S50+U50+W50+Y50+AA50+AC50</f>
        <v>1192950</v>
      </c>
    </row>
    <row r="51" spans="1:31">
      <c r="A51" s="100">
        <v>114</v>
      </c>
      <c r="B51" s="108">
        <v>4971710580471</v>
      </c>
      <c r="C51" s="109" t="s">
        <v>683</v>
      </c>
      <c r="D51" s="120" t="s">
        <v>1131</v>
      </c>
      <c r="E51" s="101" t="s">
        <v>684</v>
      </c>
      <c r="F51" s="110">
        <v>20</v>
      </c>
      <c r="G51" s="111">
        <v>13200</v>
      </c>
      <c r="H51" s="104"/>
      <c r="I51" s="105"/>
      <c r="J51" s="102">
        <f>VLOOKUP(C51,[1]Sheet2!$A:$B,2,0 )</f>
        <v>50</v>
      </c>
      <c r="K51" s="103">
        <f>VLOOKUP(C51,[1]Sheet2!$A:$C,3,0)</f>
        <v>33000</v>
      </c>
      <c r="L51" s="102">
        <v>20</v>
      </c>
      <c r="M51" s="103">
        <v>13200</v>
      </c>
      <c r="N51" s="102">
        <v>120</v>
      </c>
      <c r="O51" s="103">
        <v>79200</v>
      </c>
      <c r="P51" s="102"/>
      <c r="Q51" s="106"/>
      <c r="R51" s="102"/>
      <c r="S51" s="106"/>
      <c r="T51" s="102"/>
      <c r="U51" s="106"/>
      <c r="V51" s="102"/>
      <c r="W51" s="106"/>
      <c r="X51" s="106"/>
      <c r="Y51" s="106"/>
      <c r="Z51" s="106"/>
      <c r="AA51" s="106"/>
      <c r="AB51" s="106"/>
      <c r="AC51" s="106"/>
      <c r="AD51" s="112">
        <f>F51+H51+J51+L51+N51+P51+R51+T51+V51+X51+Z51+AB51</f>
        <v>210</v>
      </c>
      <c r="AE51" s="107">
        <f>G51+I51+K51+M51+O51+Q51+S51+U51+W51+Y51+AA51+AC51</f>
        <v>138600</v>
      </c>
    </row>
    <row r="52" spans="1:31">
      <c r="A52" s="100">
        <v>491</v>
      </c>
      <c r="B52" s="108" t="s">
        <v>1275</v>
      </c>
      <c r="C52" s="109" t="s">
        <v>1263</v>
      </c>
      <c r="D52" s="120" t="s">
        <v>924</v>
      </c>
      <c r="E52" s="101" t="s">
        <v>1276</v>
      </c>
      <c r="F52" s="110"/>
      <c r="G52" s="111"/>
      <c r="H52" s="104"/>
      <c r="I52" s="105"/>
      <c r="J52" s="102"/>
      <c r="K52" s="103"/>
      <c r="L52" s="102"/>
      <c r="M52" s="103"/>
      <c r="N52" s="102">
        <f>VLOOKUP(C52,'[4]レポート 3'!$D:$E,2,0)</f>
        <v>101</v>
      </c>
      <c r="O52" s="103">
        <f>VLOOKUP(C52,'[4]レポート 3'!$D:$F,3,0)</f>
        <v>88880</v>
      </c>
      <c r="P52" s="102"/>
      <c r="Q52" s="106"/>
      <c r="R52" s="102"/>
      <c r="S52" s="106"/>
      <c r="T52" s="102"/>
      <c r="U52" s="106"/>
      <c r="V52" s="102"/>
      <c r="W52" s="106"/>
      <c r="X52" s="106"/>
      <c r="Y52" s="106"/>
      <c r="Z52" s="106"/>
      <c r="AA52" s="106"/>
      <c r="AB52" s="106"/>
      <c r="AC52" s="106"/>
      <c r="AD52" s="112">
        <f>F52+H52+J52+L52+N52+P52+R52+T52+V52+X52+Z52+AB52</f>
        <v>101</v>
      </c>
      <c r="AE52" s="107">
        <f>G52+I52+K52+M52+O52+Q52+S52+U52+W52+Y52+AA52+AC52</f>
        <v>88880</v>
      </c>
    </row>
    <row r="53" spans="1:31">
      <c r="A53" s="100">
        <v>88</v>
      </c>
      <c r="B53" s="108">
        <v>4971710556841</v>
      </c>
      <c r="C53" s="109" t="s">
        <v>450</v>
      </c>
      <c r="D53" s="120" t="s">
        <v>924</v>
      </c>
      <c r="E53" s="101" t="s">
        <v>451</v>
      </c>
      <c r="F53" s="110">
        <v>30</v>
      </c>
      <c r="G53" s="111">
        <v>29700</v>
      </c>
      <c r="H53" s="104">
        <v>30</v>
      </c>
      <c r="I53" s="105">
        <v>29700</v>
      </c>
      <c r="J53" s="102">
        <f>VLOOKUP(C53,[1]Sheet2!$A:$B,2,0 )</f>
        <v>30</v>
      </c>
      <c r="K53" s="103">
        <f>VLOOKUP(C53,[1]Sheet2!$A:$C,3,0)</f>
        <v>29700</v>
      </c>
      <c r="L53" s="102">
        <v>12</v>
      </c>
      <c r="M53" s="103">
        <v>11880</v>
      </c>
      <c r="N53" s="102">
        <v>95</v>
      </c>
      <c r="O53" s="103">
        <v>94050</v>
      </c>
      <c r="P53" s="102"/>
      <c r="Q53" s="106"/>
      <c r="R53" s="102"/>
      <c r="S53" s="106"/>
      <c r="T53" s="102"/>
      <c r="U53" s="106"/>
      <c r="V53" s="102"/>
      <c r="W53" s="106"/>
      <c r="X53" s="106"/>
      <c r="Y53" s="106"/>
      <c r="Z53" s="106"/>
      <c r="AA53" s="106"/>
      <c r="AB53" s="106"/>
      <c r="AC53" s="106"/>
      <c r="AD53" s="112">
        <f>F53+H53+J53+L53+N53+P53+R53+T53+V53+X53+Z53+AB53</f>
        <v>197</v>
      </c>
      <c r="AE53" s="107">
        <f>G53+I53+K53+M53+O53+Q53+S53+U53+W53+Y53+AA53+AC53</f>
        <v>195030</v>
      </c>
    </row>
    <row r="54" spans="1:31">
      <c r="A54" s="100">
        <v>82</v>
      </c>
      <c r="B54" s="108" t="s">
        <v>1213</v>
      </c>
      <c r="C54" s="109" t="s">
        <v>1208</v>
      </c>
      <c r="D54" s="120" t="s">
        <v>924</v>
      </c>
      <c r="E54" s="101" t="s">
        <v>1212</v>
      </c>
      <c r="F54" s="110"/>
      <c r="G54" s="111"/>
      <c r="H54" s="104"/>
      <c r="I54" s="105"/>
      <c r="J54" s="102">
        <f>VLOOKUP(C54,[1]Sheet2!$A:$B,2,0 )</f>
        <v>100</v>
      </c>
      <c r="K54" s="103">
        <f>VLOOKUP(C54,[1]Sheet2!$A:$C,3,0)</f>
        <v>88000</v>
      </c>
      <c r="L54" s="102"/>
      <c r="M54" s="103"/>
      <c r="N54" s="102">
        <v>91</v>
      </c>
      <c r="O54" s="103">
        <v>80080</v>
      </c>
      <c r="P54" s="102"/>
      <c r="Q54" s="106"/>
      <c r="R54" s="102"/>
      <c r="S54" s="106"/>
      <c r="T54" s="102"/>
      <c r="U54" s="106"/>
      <c r="V54" s="102"/>
      <c r="W54" s="106"/>
      <c r="X54" s="106"/>
      <c r="Y54" s="106"/>
      <c r="Z54" s="106"/>
      <c r="AA54" s="106"/>
      <c r="AB54" s="106"/>
      <c r="AC54" s="106"/>
      <c r="AD54" s="113">
        <f>F54+H54+J54+L54+N54+P54+R54+T54+V54+X54+Z54+AB54</f>
        <v>191</v>
      </c>
      <c r="AE54" s="107">
        <f>G54+I54+K54+M54+O54+Q54+S54+U54+W54+Y54+AA54+AC54</f>
        <v>168080</v>
      </c>
    </row>
    <row r="55" spans="1:31">
      <c r="A55" s="100">
        <v>101</v>
      </c>
      <c r="B55" s="108">
        <v>4971710621921</v>
      </c>
      <c r="C55" s="109" t="s">
        <v>1171</v>
      </c>
      <c r="D55" s="120" t="s">
        <v>924</v>
      </c>
      <c r="E55" s="101" t="s">
        <v>1182</v>
      </c>
      <c r="F55" s="110"/>
      <c r="G55" s="111"/>
      <c r="H55" s="104">
        <v>80</v>
      </c>
      <c r="I55" s="105">
        <v>66000</v>
      </c>
      <c r="J55" s="102"/>
      <c r="K55" s="103"/>
      <c r="L55" s="102">
        <v>145</v>
      </c>
      <c r="M55" s="103">
        <v>119625</v>
      </c>
      <c r="N55" s="102">
        <v>90</v>
      </c>
      <c r="O55" s="103">
        <v>74250</v>
      </c>
      <c r="P55" s="102"/>
      <c r="Q55" s="106"/>
      <c r="R55" s="102"/>
      <c r="S55" s="106"/>
      <c r="T55" s="102"/>
      <c r="U55" s="106"/>
      <c r="V55" s="102"/>
      <c r="W55" s="106"/>
      <c r="X55" s="106"/>
      <c r="Y55" s="106"/>
      <c r="Z55" s="106"/>
      <c r="AA55" s="106"/>
      <c r="AB55" s="106"/>
      <c r="AC55" s="106"/>
      <c r="AD55" s="113">
        <f>F55+H55+J55+L55+N55+P55+R55+T55+V55+X55+Z55+AB55</f>
        <v>315</v>
      </c>
      <c r="AE55" s="107">
        <f>G55+I55+K55+M55+O55+Q55+S55+U55+W55+Y55+AA55+AC55</f>
        <v>259875</v>
      </c>
    </row>
    <row r="56" spans="1:31">
      <c r="A56" s="100">
        <v>99</v>
      </c>
      <c r="B56" s="108">
        <v>4971710621877</v>
      </c>
      <c r="C56" s="109" t="s">
        <v>1169</v>
      </c>
      <c r="D56" s="120" t="s">
        <v>924</v>
      </c>
      <c r="E56" s="101" t="s">
        <v>1180</v>
      </c>
      <c r="F56" s="110"/>
      <c r="G56" s="111"/>
      <c r="H56" s="104">
        <v>80</v>
      </c>
      <c r="I56" s="105">
        <v>66000</v>
      </c>
      <c r="J56" s="102"/>
      <c r="K56" s="103"/>
      <c r="L56" s="102">
        <v>127</v>
      </c>
      <c r="M56" s="103">
        <v>104775</v>
      </c>
      <c r="N56" s="102">
        <v>90</v>
      </c>
      <c r="O56" s="103">
        <v>74250</v>
      </c>
      <c r="P56" s="102"/>
      <c r="Q56" s="106"/>
      <c r="R56" s="102"/>
      <c r="S56" s="106"/>
      <c r="T56" s="102"/>
      <c r="U56" s="106"/>
      <c r="V56" s="102"/>
      <c r="W56" s="106"/>
      <c r="X56" s="106"/>
      <c r="Y56" s="106"/>
      <c r="Z56" s="106"/>
      <c r="AA56" s="106"/>
      <c r="AB56" s="106"/>
      <c r="AC56" s="106"/>
      <c r="AD56" s="113">
        <f>F56+H56+J56+L56+N56+P56+R56+T56+V56+X56+Z56+AB56</f>
        <v>297</v>
      </c>
      <c r="AE56" s="107">
        <f>G56+I56+K56+M56+O56+Q56+S56+U56+W56+Y56+AA56+AC56</f>
        <v>245025</v>
      </c>
    </row>
    <row r="57" spans="1:31">
      <c r="A57" s="100">
        <v>95</v>
      </c>
      <c r="B57" s="108">
        <v>4971710621860</v>
      </c>
      <c r="C57" s="109" t="s">
        <v>1165</v>
      </c>
      <c r="D57" s="120" t="s">
        <v>924</v>
      </c>
      <c r="E57" s="101" t="s">
        <v>1176</v>
      </c>
      <c r="F57" s="110"/>
      <c r="G57" s="111"/>
      <c r="H57" s="104">
        <v>80</v>
      </c>
      <c r="I57" s="105">
        <v>66000</v>
      </c>
      <c r="J57" s="102"/>
      <c r="K57" s="103"/>
      <c r="L57" s="102">
        <v>124</v>
      </c>
      <c r="M57" s="103">
        <v>102300</v>
      </c>
      <c r="N57" s="102">
        <v>90</v>
      </c>
      <c r="O57" s="103">
        <v>74250</v>
      </c>
      <c r="P57" s="102"/>
      <c r="Q57" s="106"/>
      <c r="R57" s="102"/>
      <c r="S57" s="106"/>
      <c r="T57" s="102"/>
      <c r="U57" s="106"/>
      <c r="V57" s="102"/>
      <c r="W57" s="106"/>
      <c r="X57" s="106"/>
      <c r="Y57" s="106"/>
      <c r="Z57" s="106"/>
      <c r="AA57" s="106"/>
      <c r="AB57" s="106"/>
      <c r="AC57" s="106"/>
      <c r="AD57" s="113">
        <f>F57+H57+J57+L57+N57+P57+R57+T57+V57+X57+Z57+AB57</f>
        <v>294</v>
      </c>
      <c r="AE57" s="107">
        <f>G57+I57+K57+M57+O57+Q57+S57+U57+W57+Y57+AA57+AC57</f>
        <v>242550</v>
      </c>
    </row>
    <row r="58" spans="1:31">
      <c r="A58" s="100">
        <v>100</v>
      </c>
      <c r="B58" s="108">
        <v>4971710621884</v>
      </c>
      <c r="C58" s="109" t="s">
        <v>1170</v>
      </c>
      <c r="D58" s="120" t="s">
        <v>924</v>
      </c>
      <c r="E58" s="101" t="s">
        <v>1181</v>
      </c>
      <c r="F58" s="110"/>
      <c r="G58" s="111"/>
      <c r="H58" s="104">
        <v>80</v>
      </c>
      <c r="I58" s="105">
        <v>66000</v>
      </c>
      <c r="J58" s="102"/>
      <c r="K58" s="103"/>
      <c r="L58" s="102">
        <v>95</v>
      </c>
      <c r="M58" s="103">
        <v>78375</v>
      </c>
      <c r="N58" s="102">
        <v>90</v>
      </c>
      <c r="O58" s="103">
        <v>74250</v>
      </c>
      <c r="P58" s="102"/>
      <c r="Q58" s="106"/>
      <c r="R58" s="102"/>
      <c r="S58" s="106"/>
      <c r="T58" s="102"/>
      <c r="U58" s="106"/>
      <c r="V58" s="102"/>
      <c r="W58" s="106"/>
      <c r="X58" s="106"/>
      <c r="Y58" s="106"/>
      <c r="Z58" s="106"/>
      <c r="AA58" s="106"/>
      <c r="AB58" s="106"/>
      <c r="AC58" s="106"/>
      <c r="AD58" s="113">
        <f>F58+H58+J58+L58+N58+P58+R58+T58+V58+X58+Z58+AB58</f>
        <v>265</v>
      </c>
      <c r="AE58" s="107">
        <f>G58+I58+K58+M58+O58+Q58+S58+U58+W58+Y58+AA58+AC58</f>
        <v>218625</v>
      </c>
    </row>
    <row r="59" spans="1:31">
      <c r="A59" s="100">
        <v>96</v>
      </c>
      <c r="B59" s="108">
        <v>4971710621914</v>
      </c>
      <c r="C59" s="109" t="s">
        <v>1166</v>
      </c>
      <c r="D59" s="120" t="s">
        <v>924</v>
      </c>
      <c r="E59" s="101" t="s">
        <v>1177</v>
      </c>
      <c r="F59" s="110"/>
      <c r="G59" s="111"/>
      <c r="H59" s="104">
        <v>80</v>
      </c>
      <c r="I59" s="105">
        <v>66000</v>
      </c>
      <c r="J59" s="102"/>
      <c r="K59" s="103"/>
      <c r="L59" s="102">
        <v>2</v>
      </c>
      <c r="M59" s="103">
        <v>1650</v>
      </c>
      <c r="N59" s="102">
        <v>90</v>
      </c>
      <c r="O59" s="103">
        <v>74250</v>
      </c>
      <c r="P59" s="102"/>
      <c r="Q59" s="106"/>
      <c r="R59" s="102"/>
      <c r="S59" s="106"/>
      <c r="T59" s="102"/>
      <c r="U59" s="106"/>
      <c r="V59" s="102"/>
      <c r="W59" s="106"/>
      <c r="X59" s="106"/>
      <c r="Y59" s="106"/>
      <c r="Z59" s="106"/>
      <c r="AA59" s="106"/>
      <c r="AB59" s="106"/>
      <c r="AC59" s="106"/>
      <c r="AD59" s="113">
        <f>F59+H59+J59+L59+N59+P59+R59+T59+V59+X59+Z59+AB59</f>
        <v>172</v>
      </c>
      <c r="AE59" s="107">
        <f>G59+I59+K59+M59+O59+Q59+S59+U59+W59+Y59+AA59+AC59</f>
        <v>141900</v>
      </c>
    </row>
    <row r="60" spans="1:31">
      <c r="A60" s="100">
        <v>482</v>
      </c>
      <c r="B60" s="108" t="s">
        <v>1268</v>
      </c>
      <c r="C60" s="109" t="s">
        <v>1254</v>
      </c>
      <c r="D60" s="120" t="s">
        <v>924</v>
      </c>
      <c r="E60" s="101" t="s">
        <v>1272</v>
      </c>
      <c r="F60" s="110"/>
      <c r="G60" s="111"/>
      <c r="H60" s="104"/>
      <c r="I60" s="105"/>
      <c r="J60" s="102"/>
      <c r="K60" s="103"/>
      <c r="L60" s="102"/>
      <c r="M60" s="103"/>
      <c r="N60" s="102">
        <f>VLOOKUP(C60,'[4]レポート 3'!$D:$E,2,0)</f>
        <v>90</v>
      </c>
      <c r="O60" s="103">
        <f>VLOOKUP(C60,'[4]レポート 3'!$D:$F,3,0)</f>
        <v>64350</v>
      </c>
      <c r="P60" s="102"/>
      <c r="Q60" s="106"/>
      <c r="R60" s="102"/>
      <c r="S60" s="106"/>
      <c r="T60" s="102"/>
      <c r="U60" s="106"/>
      <c r="V60" s="102"/>
      <c r="W60" s="106"/>
      <c r="X60" s="106"/>
      <c r="Y60" s="106"/>
      <c r="Z60" s="106"/>
      <c r="AA60" s="106"/>
      <c r="AB60" s="106"/>
      <c r="AC60" s="106"/>
      <c r="AD60" s="112">
        <f>F60+H60+J60+L60+N60+P60+R60+T60+V60+X60+Z60+AB60</f>
        <v>90</v>
      </c>
      <c r="AE60" s="107">
        <f>G60+I60+K60+M60+O60+Q60+S60+U60+W60+Y60+AA60+AC60</f>
        <v>64350</v>
      </c>
    </row>
    <row r="61" spans="1:31">
      <c r="A61" s="100">
        <v>182</v>
      </c>
      <c r="B61" s="108" t="s">
        <v>1217</v>
      </c>
      <c r="C61" s="109" t="s">
        <v>1206</v>
      </c>
      <c r="D61" s="120" t="s">
        <v>924</v>
      </c>
      <c r="E61" s="101" t="s">
        <v>1221</v>
      </c>
      <c r="F61" s="110"/>
      <c r="G61" s="111"/>
      <c r="H61" s="104"/>
      <c r="I61" s="105"/>
      <c r="J61" s="102">
        <f>VLOOKUP(C61,[1]Sheet2!$A:$B,2,0 )</f>
        <v>30</v>
      </c>
      <c r="K61" s="103">
        <f>VLOOKUP(C61,[1]Sheet2!$A:$C,3,0)</f>
        <v>26400</v>
      </c>
      <c r="L61" s="102">
        <v>158</v>
      </c>
      <c r="M61" s="103">
        <v>139040</v>
      </c>
      <c r="N61" s="102">
        <v>85</v>
      </c>
      <c r="O61" s="103">
        <v>74800</v>
      </c>
      <c r="P61" s="102"/>
      <c r="Q61" s="106"/>
      <c r="R61" s="102"/>
      <c r="S61" s="106"/>
      <c r="T61" s="102"/>
      <c r="U61" s="106"/>
      <c r="V61" s="102"/>
      <c r="W61" s="106"/>
      <c r="X61" s="106"/>
      <c r="Y61" s="106"/>
      <c r="Z61" s="106"/>
      <c r="AA61" s="106"/>
      <c r="AB61" s="106"/>
      <c r="AC61" s="106"/>
      <c r="AD61" s="113">
        <f>F61+H61+J61+L61+N61+P61+R61+T61+V61+X61+Z61+AB61</f>
        <v>273</v>
      </c>
      <c r="AE61" s="107">
        <f>G61+I61+K61+M61+O61+Q61+S61+U61+W61+Y61+AA61+AC61</f>
        <v>240240</v>
      </c>
    </row>
    <row r="62" spans="1:31">
      <c r="A62" s="100">
        <v>77</v>
      </c>
      <c r="B62" s="108">
        <v>4971710595499</v>
      </c>
      <c r="C62" s="109" t="s">
        <v>759</v>
      </c>
      <c r="D62" s="120" t="s">
        <v>924</v>
      </c>
      <c r="E62" s="101" t="s">
        <v>760</v>
      </c>
      <c r="F62" s="110">
        <v>10</v>
      </c>
      <c r="G62" s="111">
        <v>7700</v>
      </c>
      <c r="H62" s="104">
        <v>42</v>
      </c>
      <c r="I62" s="105">
        <v>32340</v>
      </c>
      <c r="J62" s="102">
        <f>VLOOKUP(C62,[1]Sheet2!$A:$B,2,0 )</f>
        <v>50</v>
      </c>
      <c r="K62" s="103">
        <f>VLOOKUP(C62,[1]Sheet2!$A:$C,3,0)</f>
        <v>38500</v>
      </c>
      <c r="L62" s="102">
        <v>200</v>
      </c>
      <c r="M62" s="103">
        <v>154000</v>
      </c>
      <c r="N62" s="102">
        <v>80</v>
      </c>
      <c r="O62" s="103">
        <v>61600</v>
      </c>
      <c r="P62" s="102"/>
      <c r="Q62" s="106"/>
      <c r="R62" s="102"/>
      <c r="S62" s="106"/>
      <c r="T62" s="102"/>
      <c r="U62" s="106"/>
      <c r="V62" s="102"/>
      <c r="W62" s="106"/>
      <c r="X62" s="106"/>
      <c r="Y62" s="106"/>
      <c r="Z62" s="106"/>
      <c r="AA62" s="106"/>
      <c r="AB62" s="106"/>
      <c r="AC62" s="106"/>
      <c r="AD62" s="112">
        <f>F62+H62+J62+L62+N62+P62+R62+T62+V62+X62+Z62+AB62</f>
        <v>382</v>
      </c>
      <c r="AE62" s="107">
        <f>G62+I62+K62+M62+O62+Q62+S62+U62+W62+Y62+AA62+AC62</f>
        <v>294140</v>
      </c>
    </row>
    <row r="63" spans="1:31">
      <c r="A63" s="100">
        <v>154</v>
      </c>
      <c r="B63" s="108">
        <v>4971710484236</v>
      </c>
      <c r="C63" s="109" t="s">
        <v>32</v>
      </c>
      <c r="D63" s="120" t="s">
        <v>924</v>
      </c>
      <c r="E63" s="101" t="s">
        <v>33</v>
      </c>
      <c r="F63" s="110">
        <v>20</v>
      </c>
      <c r="G63" s="111">
        <v>8800</v>
      </c>
      <c r="H63" s="104"/>
      <c r="I63" s="105"/>
      <c r="J63" s="102">
        <f>VLOOKUP(C63,[1]Sheet2!$A:$B,2,0 )</f>
        <v>20</v>
      </c>
      <c r="K63" s="103">
        <f>VLOOKUP(C63,[1]Sheet2!$A:$C,3,0)</f>
        <v>8800</v>
      </c>
      <c r="L63" s="102">
        <v>30</v>
      </c>
      <c r="M63" s="103">
        <v>13200</v>
      </c>
      <c r="N63" s="102">
        <v>80</v>
      </c>
      <c r="O63" s="103">
        <v>35200</v>
      </c>
      <c r="P63" s="102"/>
      <c r="Q63" s="106"/>
      <c r="R63" s="102"/>
      <c r="S63" s="106"/>
      <c r="T63" s="102"/>
      <c r="U63" s="106"/>
      <c r="V63" s="102"/>
      <c r="W63" s="106"/>
      <c r="X63" s="106"/>
      <c r="Y63" s="106"/>
      <c r="Z63" s="106"/>
      <c r="AA63" s="106"/>
      <c r="AB63" s="106"/>
      <c r="AC63" s="106"/>
      <c r="AD63" s="112">
        <f>F63+H63+J63+L63+N63+P63+R63+T63+V63+X63+Z63+AB63</f>
        <v>150</v>
      </c>
      <c r="AE63" s="107">
        <f>G63+I63+K63+M63+O63+Q63+S63+U63+W63+Y63+AA63+AC63</f>
        <v>66000</v>
      </c>
    </row>
    <row r="64" spans="1:31">
      <c r="A64" s="100">
        <v>245</v>
      </c>
      <c r="B64" s="108">
        <v>4971710592962</v>
      </c>
      <c r="C64" s="109" t="s">
        <v>741</v>
      </c>
      <c r="D64" s="120" t="s">
        <v>924</v>
      </c>
      <c r="E64" s="101" t="s">
        <v>742</v>
      </c>
      <c r="F64" s="110"/>
      <c r="G64" s="111"/>
      <c r="H64" s="104"/>
      <c r="I64" s="105"/>
      <c r="J64" s="102">
        <f>VLOOKUP(C64,[1]Sheet2!$A:$B,2,0 )</f>
        <v>6</v>
      </c>
      <c r="K64" s="103">
        <f>VLOOKUP(C64,[1]Sheet2!$A:$C,3,0)</f>
        <v>3630</v>
      </c>
      <c r="L64" s="102">
        <v>2</v>
      </c>
      <c r="M64" s="103">
        <v>1210</v>
      </c>
      <c r="N64" s="102">
        <v>80</v>
      </c>
      <c r="O64" s="103">
        <v>48400</v>
      </c>
      <c r="P64" s="102"/>
      <c r="Q64" s="106"/>
      <c r="R64" s="102"/>
      <c r="S64" s="106"/>
      <c r="T64" s="102"/>
      <c r="U64" s="106"/>
      <c r="V64" s="102"/>
      <c r="W64" s="106"/>
      <c r="X64" s="106"/>
      <c r="Y64" s="106"/>
      <c r="Z64" s="106"/>
      <c r="AA64" s="106"/>
      <c r="AB64" s="106"/>
      <c r="AC64" s="106"/>
      <c r="AD64" s="112">
        <f>F64+H64+J64+L64+N64+P64+R64+T64+V64+X64+Z64+AB64</f>
        <v>88</v>
      </c>
      <c r="AE64" s="107">
        <f>G64+I64+K64+M64+O64+Q64+S64+U64+W64+Y64+AA64+AC64</f>
        <v>53240</v>
      </c>
    </row>
    <row r="65" spans="1:31">
      <c r="A65" s="100">
        <v>478</v>
      </c>
      <c r="B65" s="108" t="s">
        <v>1295</v>
      </c>
      <c r="C65" s="109" t="s">
        <v>1250</v>
      </c>
      <c r="D65" s="120" t="s">
        <v>924</v>
      </c>
      <c r="E65" s="101" t="s">
        <v>1296</v>
      </c>
      <c r="F65" s="110"/>
      <c r="G65" s="111"/>
      <c r="H65" s="104"/>
      <c r="I65" s="105"/>
      <c r="J65" s="102"/>
      <c r="K65" s="103"/>
      <c r="L65" s="102"/>
      <c r="M65" s="103"/>
      <c r="N65" s="102">
        <f>VLOOKUP(C65,'[4]レポート 3'!$D:$E,2,0)</f>
        <v>80</v>
      </c>
      <c r="O65" s="103">
        <f>VLOOKUP(C65,'[4]レポート 3'!$D:$F,3,0)</f>
        <v>52800</v>
      </c>
      <c r="P65" s="102"/>
      <c r="Q65" s="106"/>
      <c r="R65" s="102"/>
      <c r="S65" s="106"/>
      <c r="T65" s="102"/>
      <c r="U65" s="106"/>
      <c r="V65" s="102"/>
      <c r="W65" s="106"/>
      <c r="X65" s="106"/>
      <c r="Y65" s="106"/>
      <c r="Z65" s="106"/>
      <c r="AA65" s="106"/>
      <c r="AB65" s="106"/>
      <c r="AC65" s="106"/>
      <c r="AD65" s="112">
        <f>F65+H65+J65+L65+N65+P65+R65+T65+V65+X65+Z65+AB65</f>
        <v>80</v>
      </c>
      <c r="AE65" s="107">
        <f>G65+I65+K65+M65+O65+Q65+S65+U65+W65+Y65+AA65+AC65</f>
        <v>52800</v>
      </c>
    </row>
    <row r="66" spans="1:31">
      <c r="A66" s="100">
        <v>39</v>
      </c>
      <c r="B66" s="108">
        <v>4971710619836</v>
      </c>
      <c r="C66" s="109" t="s">
        <v>1174</v>
      </c>
      <c r="D66" s="120" t="s">
        <v>924</v>
      </c>
      <c r="E66" s="101" t="s">
        <v>1184</v>
      </c>
      <c r="F66" s="110"/>
      <c r="G66" s="111"/>
      <c r="H66" s="104">
        <v>360</v>
      </c>
      <c r="I66" s="105">
        <v>277200</v>
      </c>
      <c r="J66" s="102">
        <f>VLOOKUP(C66,[1]Sheet2!$A:$B,2,0 )</f>
        <v>0</v>
      </c>
      <c r="K66" s="103">
        <f>VLOOKUP(C66,[1]Sheet2!$A:$C,3,0)</f>
        <v>0</v>
      </c>
      <c r="L66" s="102">
        <v>115</v>
      </c>
      <c r="M66" s="103">
        <v>88550</v>
      </c>
      <c r="N66" s="102">
        <v>76</v>
      </c>
      <c r="O66" s="103">
        <v>58520</v>
      </c>
      <c r="P66" s="102"/>
      <c r="Q66" s="106"/>
      <c r="R66" s="102"/>
      <c r="S66" s="106"/>
      <c r="T66" s="102"/>
      <c r="U66" s="106"/>
      <c r="V66" s="102"/>
      <c r="W66" s="106"/>
      <c r="X66" s="106"/>
      <c r="Y66" s="106"/>
      <c r="Z66" s="106"/>
      <c r="AA66" s="106"/>
      <c r="AB66" s="106"/>
      <c r="AC66" s="106"/>
      <c r="AD66" s="113">
        <f>F66+H66+J66+L66+N66+P66+R66+T66+V66+X66+Z66+AB66</f>
        <v>551</v>
      </c>
      <c r="AE66" s="107">
        <f>G66+I66+K66+M66+O66+Q66+S66+U66+W66+Y66+AA66+AC66</f>
        <v>424270</v>
      </c>
    </row>
    <row r="67" spans="1:31">
      <c r="A67" s="100">
        <v>110</v>
      </c>
      <c r="B67" s="108">
        <v>4971710585285</v>
      </c>
      <c r="C67" s="109" t="s">
        <v>1046</v>
      </c>
      <c r="D67" s="120" t="s">
        <v>1138</v>
      </c>
      <c r="E67" s="101" t="s">
        <v>899</v>
      </c>
      <c r="F67" s="110"/>
      <c r="G67" s="111"/>
      <c r="H67" s="104"/>
      <c r="I67" s="105"/>
      <c r="J67" s="102">
        <f>VLOOKUP(C67,[1]Sheet2!$A:$B,2,0 )</f>
        <v>72</v>
      </c>
      <c r="K67" s="103">
        <f>VLOOKUP(C67,[1]Sheet2!$A:$C,3,0)</f>
        <v>25344</v>
      </c>
      <c r="L67" s="102"/>
      <c r="M67" s="103"/>
      <c r="N67" s="102">
        <v>72</v>
      </c>
      <c r="O67" s="103">
        <v>25344</v>
      </c>
      <c r="P67" s="102"/>
      <c r="Q67" s="106"/>
      <c r="R67" s="102"/>
      <c r="S67" s="106"/>
      <c r="T67" s="102"/>
      <c r="U67" s="106"/>
      <c r="V67" s="102"/>
      <c r="W67" s="106"/>
      <c r="X67" s="106"/>
      <c r="Y67" s="106"/>
      <c r="Z67" s="106"/>
      <c r="AA67" s="106"/>
      <c r="AB67" s="106"/>
      <c r="AC67" s="106"/>
      <c r="AD67" s="112">
        <f>F67+H67+J67+L67+N67+P67+R67+T67+V67+X67+Z67+AB67</f>
        <v>144</v>
      </c>
      <c r="AE67" s="107">
        <f>G67+I67+K67+M67+O67+Q67+S67+U67+W67+Y67+AA67+AC67</f>
        <v>50688</v>
      </c>
    </row>
    <row r="68" spans="1:31">
      <c r="A68" s="100">
        <v>294</v>
      </c>
      <c r="B68" s="108">
        <v>4971710494198</v>
      </c>
      <c r="C68" s="109" t="s">
        <v>118</v>
      </c>
      <c r="D68" s="120" t="s">
        <v>924</v>
      </c>
      <c r="E68" s="101" t="s">
        <v>119</v>
      </c>
      <c r="F68" s="110"/>
      <c r="G68" s="111"/>
      <c r="H68" s="104"/>
      <c r="I68" s="105"/>
      <c r="J68" s="102"/>
      <c r="K68" s="103"/>
      <c r="L68" s="102">
        <v>57</v>
      </c>
      <c r="M68" s="103">
        <v>16929</v>
      </c>
      <c r="N68" s="102">
        <v>72</v>
      </c>
      <c r="O68" s="103">
        <v>21384</v>
      </c>
      <c r="P68" s="102"/>
      <c r="Q68" s="106"/>
      <c r="R68" s="102"/>
      <c r="S68" s="106"/>
      <c r="T68" s="102"/>
      <c r="U68" s="106"/>
      <c r="V68" s="102"/>
      <c r="W68" s="106"/>
      <c r="X68" s="106"/>
      <c r="Y68" s="106"/>
      <c r="Z68" s="106"/>
      <c r="AA68" s="106"/>
      <c r="AB68" s="106"/>
      <c r="AC68" s="106"/>
      <c r="AD68" s="112">
        <f>F68+H68+J68+L68+N68+P68+R68+T68+V68+X68+Z68+AB68</f>
        <v>129</v>
      </c>
      <c r="AE68" s="107">
        <f>G68+I68+K68+M68+O68+Q68+S68+U68+W68+Y68+AA68+AC68</f>
        <v>38313</v>
      </c>
    </row>
    <row r="69" spans="1:31">
      <c r="A69" s="100">
        <v>304</v>
      </c>
      <c r="B69" s="108">
        <v>4971710585292</v>
      </c>
      <c r="C69" s="109" t="s">
        <v>1047</v>
      </c>
      <c r="D69" s="120" t="s">
        <v>1138</v>
      </c>
      <c r="E69" s="101" t="s">
        <v>902</v>
      </c>
      <c r="F69" s="110"/>
      <c r="G69" s="111"/>
      <c r="H69" s="104"/>
      <c r="I69" s="105"/>
      <c r="J69" s="102"/>
      <c r="K69" s="103"/>
      <c r="L69" s="102">
        <v>12</v>
      </c>
      <c r="M69" s="103">
        <v>3564</v>
      </c>
      <c r="N69" s="102">
        <v>72</v>
      </c>
      <c r="O69" s="103">
        <v>21384</v>
      </c>
      <c r="P69" s="102"/>
      <c r="Q69" s="106"/>
      <c r="R69" s="102"/>
      <c r="S69" s="106"/>
      <c r="T69" s="102"/>
      <c r="U69" s="106"/>
      <c r="V69" s="102"/>
      <c r="W69" s="106"/>
      <c r="X69" s="106"/>
      <c r="Y69" s="106"/>
      <c r="Z69" s="106"/>
      <c r="AA69" s="106"/>
      <c r="AB69" s="106"/>
      <c r="AC69" s="106"/>
      <c r="AD69" s="112">
        <f>F69+H69+J69+L69+N69+P69+R69+T69+V69+X69+Z69+AB69</f>
        <v>84</v>
      </c>
      <c r="AE69" s="107">
        <f>G69+I69+K69+M69+O69+Q69+S69+U69+W69+Y69+AA69+AC69</f>
        <v>24948</v>
      </c>
    </row>
    <row r="70" spans="1:31">
      <c r="A70" s="100">
        <v>55</v>
      </c>
      <c r="B70" s="108">
        <v>4971710599978</v>
      </c>
      <c r="C70" s="109" t="s">
        <v>1028</v>
      </c>
      <c r="D70" s="120" t="s">
        <v>1133</v>
      </c>
      <c r="E70" s="101" t="s">
        <v>1029</v>
      </c>
      <c r="F70" s="110">
        <v>36</v>
      </c>
      <c r="G70" s="111">
        <v>69300</v>
      </c>
      <c r="H70" s="104">
        <v>35</v>
      </c>
      <c r="I70" s="105">
        <v>67375</v>
      </c>
      <c r="J70" s="102">
        <f>VLOOKUP(C70,[1]Sheet2!$A:$B,2,0 )</f>
        <v>112</v>
      </c>
      <c r="K70" s="103">
        <f>VLOOKUP(C70,[1]Sheet2!$A:$C,3,0)</f>
        <v>215600</v>
      </c>
      <c r="L70" s="102">
        <v>170</v>
      </c>
      <c r="M70" s="103">
        <v>327250</v>
      </c>
      <c r="N70" s="102">
        <v>70</v>
      </c>
      <c r="O70" s="103">
        <v>134750</v>
      </c>
      <c r="P70" s="102"/>
      <c r="Q70" s="106"/>
      <c r="R70" s="102"/>
      <c r="S70" s="106"/>
      <c r="T70" s="102"/>
      <c r="U70" s="106"/>
      <c r="V70" s="102"/>
      <c r="W70" s="106"/>
      <c r="X70" s="106"/>
      <c r="Y70" s="106"/>
      <c r="Z70" s="106"/>
      <c r="AA70" s="106"/>
      <c r="AB70" s="106"/>
      <c r="AC70" s="106"/>
      <c r="AD70" s="113">
        <f>F70+H70+J70+L70+N70+P70+R70+T70+V70+X70+Z70+AB70</f>
        <v>423</v>
      </c>
      <c r="AE70" s="107">
        <f>G70+I70+K70+M70+O70+Q70+S70+U70+W70+Y70+AA70+AC70</f>
        <v>814275</v>
      </c>
    </row>
    <row r="71" spans="1:31">
      <c r="A71" s="100">
        <v>276</v>
      </c>
      <c r="B71" s="108">
        <v>4971710556827</v>
      </c>
      <c r="C71" s="109" t="s">
        <v>446</v>
      </c>
      <c r="D71" s="120" t="s">
        <v>924</v>
      </c>
      <c r="E71" s="101" t="s">
        <v>447</v>
      </c>
      <c r="F71" s="110"/>
      <c r="G71" s="111"/>
      <c r="H71" s="104"/>
      <c r="I71" s="105"/>
      <c r="J71" s="102"/>
      <c r="K71" s="103"/>
      <c r="L71" s="102">
        <v>48</v>
      </c>
      <c r="M71" s="103">
        <v>47520</v>
      </c>
      <c r="N71" s="102">
        <v>67</v>
      </c>
      <c r="O71" s="103">
        <v>66330</v>
      </c>
      <c r="P71" s="102"/>
      <c r="Q71" s="106"/>
      <c r="R71" s="102"/>
      <c r="S71" s="106"/>
      <c r="T71" s="102"/>
      <c r="U71" s="106"/>
      <c r="V71" s="102"/>
      <c r="W71" s="106"/>
      <c r="X71" s="106"/>
      <c r="Y71" s="106"/>
      <c r="Z71" s="106"/>
      <c r="AA71" s="106"/>
      <c r="AB71" s="106"/>
      <c r="AC71" s="106"/>
      <c r="AD71" s="112">
        <f>F71+H71+J71+L71+N71+P71+R71+T71+V71+X71+Z71+AB71</f>
        <v>115</v>
      </c>
      <c r="AE71" s="107">
        <f>G71+I71+K71+M71+O71+Q71+S71+U71+W71+Y71+AA71+AC71</f>
        <v>113850</v>
      </c>
    </row>
    <row r="72" spans="1:31">
      <c r="A72" s="100">
        <v>283</v>
      </c>
      <c r="B72" s="108">
        <v>4971710494204</v>
      </c>
      <c r="C72" s="109" t="s">
        <v>120</v>
      </c>
      <c r="D72" s="120" t="s">
        <v>924</v>
      </c>
      <c r="E72" s="101" t="s">
        <v>121</v>
      </c>
      <c r="F72" s="110"/>
      <c r="G72" s="111"/>
      <c r="H72" s="104"/>
      <c r="I72" s="105"/>
      <c r="J72" s="102"/>
      <c r="K72" s="103"/>
      <c r="L72" s="102">
        <v>90</v>
      </c>
      <c r="M72" s="103">
        <v>26730</v>
      </c>
      <c r="N72" s="102">
        <v>66</v>
      </c>
      <c r="O72" s="103">
        <v>19602</v>
      </c>
      <c r="P72" s="102"/>
      <c r="Q72" s="106"/>
      <c r="R72" s="102"/>
      <c r="S72" s="106"/>
      <c r="T72" s="102"/>
      <c r="U72" s="106"/>
      <c r="V72" s="102"/>
      <c r="W72" s="106"/>
      <c r="X72" s="106"/>
      <c r="Y72" s="106"/>
      <c r="Z72" s="106"/>
      <c r="AA72" s="106"/>
      <c r="AB72" s="106"/>
      <c r="AC72" s="106"/>
      <c r="AD72" s="112">
        <f>F72+H72+J72+L72+N72+P72+R72+T72+V72+X72+Z72+AB72</f>
        <v>156</v>
      </c>
      <c r="AE72" s="107">
        <f>G72+I72+K72+M72+O72+Q72+S72+U72+W72+Y72+AA72+AC72</f>
        <v>46332</v>
      </c>
    </row>
    <row r="73" spans="1:31">
      <c r="A73" s="100">
        <v>157</v>
      </c>
      <c r="B73" s="108" t="s">
        <v>1216</v>
      </c>
      <c r="C73" s="109" t="s">
        <v>1209</v>
      </c>
      <c r="D73" s="120" t="s">
        <v>924</v>
      </c>
      <c r="E73" s="101" t="s">
        <v>1220</v>
      </c>
      <c r="F73" s="110"/>
      <c r="G73" s="111"/>
      <c r="H73" s="104"/>
      <c r="I73" s="105"/>
      <c r="J73" s="102">
        <f>VLOOKUP(C73,[1]Sheet2!$A:$B,2,0 )</f>
        <v>40</v>
      </c>
      <c r="K73" s="103">
        <f>VLOOKUP(C73,[1]Sheet2!$A:$C,3,0)</f>
        <v>35200</v>
      </c>
      <c r="L73" s="102">
        <v>90</v>
      </c>
      <c r="M73" s="103">
        <v>79200</v>
      </c>
      <c r="N73" s="102">
        <v>61</v>
      </c>
      <c r="O73" s="103">
        <v>53680</v>
      </c>
      <c r="P73" s="102"/>
      <c r="Q73" s="106"/>
      <c r="R73" s="102"/>
      <c r="S73" s="106"/>
      <c r="T73" s="102"/>
      <c r="U73" s="106"/>
      <c r="V73" s="102"/>
      <c r="W73" s="106"/>
      <c r="X73" s="106"/>
      <c r="Y73" s="106"/>
      <c r="Z73" s="106"/>
      <c r="AA73" s="106"/>
      <c r="AB73" s="106"/>
      <c r="AC73" s="106"/>
      <c r="AD73" s="113">
        <f>F73+H73+J73+L73+N73+P73+R73+T73+V73+X73+Z73+AB73</f>
        <v>191</v>
      </c>
      <c r="AE73" s="107">
        <f>G73+I73+K73+M73+O73+Q73+S73+U73+W73+Y73+AA73+AC73</f>
        <v>168080</v>
      </c>
    </row>
    <row r="74" spans="1:31">
      <c r="A74" s="100">
        <v>125</v>
      </c>
      <c r="B74" s="108" t="s">
        <v>1214</v>
      </c>
      <c r="C74" s="109" t="s">
        <v>1205</v>
      </c>
      <c r="D74" s="120" t="s">
        <v>924</v>
      </c>
      <c r="E74" s="101" t="s">
        <v>1218</v>
      </c>
      <c r="F74" s="110"/>
      <c r="G74" s="111"/>
      <c r="H74" s="104"/>
      <c r="I74" s="105"/>
      <c r="J74" s="102">
        <f>VLOOKUP(C74,[1]Sheet2!$A:$B,2,0 )</f>
        <v>60</v>
      </c>
      <c r="K74" s="103">
        <f>VLOOKUP(C74,[1]Sheet2!$A:$C,3,0)</f>
        <v>52800</v>
      </c>
      <c r="L74" s="102">
        <v>30</v>
      </c>
      <c r="M74" s="103">
        <v>26400</v>
      </c>
      <c r="N74" s="102">
        <v>61</v>
      </c>
      <c r="O74" s="103">
        <v>53680</v>
      </c>
      <c r="P74" s="102"/>
      <c r="Q74" s="106"/>
      <c r="R74" s="102"/>
      <c r="S74" s="106"/>
      <c r="T74" s="102"/>
      <c r="U74" s="106"/>
      <c r="V74" s="102"/>
      <c r="W74" s="106"/>
      <c r="X74" s="106"/>
      <c r="Y74" s="106"/>
      <c r="Z74" s="106"/>
      <c r="AA74" s="106"/>
      <c r="AB74" s="106"/>
      <c r="AC74" s="106"/>
      <c r="AD74" s="113">
        <f>F74+H74+J74+L74+N74+P74+R74+T74+V74+X74+Z74+AB74</f>
        <v>151</v>
      </c>
      <c r="AE74" s="107">
        <f>G74+I74+K74+M74+O74+Q74+S74+U74+W74+Y74+AA74+AC74</f>
        <v>132880</v>
      </c>
    </row>
    <row r="75" spans="1:31">
      <c r="A75" s="100">
        <v>156</v>
      </c>
      <c r="B75" s="108" t="s">
        <v>1215</v>
      </c>
      <c r="C75" s="109" t="s">
        <v>1207</v>
      </c>
      <c r="D75" s="120" t="s">
        <v>924</v>
      </c>
      <c r="E75" s="101" t="s">
        <v>1219</v>
      </c>
      <c r="F75" s="110"/>
      <c r="G75" s="111"/>
      <c r="H75" s="104"/>
      <c r="I75" s="105"/>
      <c r="J75" s="102">
        <f>VLOOKUP(C75,[1]Sheet2!$A:$B,2,0 )</f>
        <v>40</v>
      </c>
      <c r="K75" s="103">
        <f>VLOOKUP(C75,[1]Sheet2!$A:$C,3,0)</f>
        <v>35200</v>
      </c>
      <c r="L75" s="102">
        <v>30</v>
      </c>
      <c r="M75" s="103">
        <v>26400</v>
      </c>
      <c r="N75" s="102">
        <v>61</v>
      </c>
      <c r="O75" s="103">
        <v>53680</v>
      </c>
      <c r="P75" s="102"/>
      <c r="Q75" s="106"/>
      <c r="R75" s="102"/>
      <c r="S75" s="106"/>
      <c r="T75" s="102"/>
      <c r="U75" s="106"/>
      <c r="V75" s="102"/>
      <c r="W75" s="106"/>
      <c r="X75" s="106"/>
      <c r="Y75" s="106"/>
      <c r="Z75" s="106"/>
      <c r="AA75" s="106"/>
      <c r="AB75" s="106"/>
      <c r="AC75" s="106"/>
      <c r="AD75" s="113">
        <f>F75+H75+J75+L75+N75+P75+R75+T75+V75+X75+Z75+AB75</f>
        <v>131</v>
      </c>
      <c r="AE75" s="107">
        <f>G75+I75+K75+M75+O75+Q75+S75+U75+W75+Y75+AA75+AC75</f>
        <v>115280</v>
      </c>
    </row>
    <row r="76" spans="1:31">
      <c r="A76" s="100">
        <v>168</v>
      </c>
      <c r="B76" s="108">
        <v>4971710489200</v>
      </c>
      <c r="C76" s="109" t="s">
        <v>90</v>
      </c>
      <c r="D76" s="120" t="s">
        <v>924</v>
      </c>
      <c r="E76" s="101" t="s">
        <v>91</v>
      </c>
      <c r="F76" s="110">
        <v>30</v>
      </c>
      <c r="G76" s="111">
        <v>16500</v>
      </c>
      <c r="H76" s="104"/>
      <c r="I76" s="105"/>
      <c r="J76" s="102"/>
      <c r="K76" s="103"/>
      <c r="L76" s="102">
        <v>535</v>
      </c>
      <c r="M76" s="103">
        <v>294250</v>
      </c>
      <c r="N76" s="102">
        <v>60</v>
      </c>
      <c r="O76" s="103">
        <v>33000</v>
      </c>
      <c r="P76" s="102"/>
      <c r="Q76" s="106"/>
      <c r="R76" s="102"/>
      <c r="S76" s="106"/>
      <c r="T76" s="102"/>
      <c r="U76" s="106"/>
      <c r="V76" s="102"/>
      <c r="W76" s="106"/>
      <c r="X76" s="106"/>
      <c r="Y76" s="106"/>
      <c r="Z76" s="106"/>
      <c r="AA76" s="106"/>
      <c r="AB76" s="106"/>
      <c r="AC76" s="106"/>
      <c r="AD76" s="112">
        <f>F76+H76+J76+L76+N76+P76+R76+T76+V76+X76+Z76+AB76</f>
        <v>625</v>
      </c>
      <c r="AE76" s="107">
        <f>G76+I76+K76+M76+O76+Q76+S76+U76+W76+Y76+AA76+AC76</f>
        <v>343750</v>
      </c>
    </row>
    <row r="77" spans="1:31">
      <c r="A77" s="100">
        <v>159</v>
      </c>
      <c r="B77" s="108">
        <v>4971710593013</v>
      </c>
      <c r="C77" s="109" t="s">
        <v>751</v>
      </c>
      <c r="D77" s="120" t="s">
        <v>924</v>
      </c>
      <c r="E77" s="101" t="s">
        <v>752</v>
      </c>
      <c r="F77" s="110"/>
      <c r="G77" s="111"/>
      <c r="H77" s="104"/>
      <c r="I77" s="105"/>
      <c r="J77" s="102">
        <f>VLOOKUP(C77,[1]Sheet2!$A:$B,2,0 )</f>
        <v>36</v>
      </c>
      <c r="K77" s="103">
        <f>VLOOKUP(C77,[1]Sheet2!$A:$C,3,0)</f>
        <v>21780</v>
      </c>
      <c r="L77" s="102">
        <v>157</v>
      </c>
      <c r="M77" s="103">
        <v>94985</v>
      </c>
      <c r="N77" s="102">
        <v>60</v>
      </c>
      <c r="O77" s="103">
        <v>36300</v>
      </c>
      <c r="P77" s="102"/>
      <c r="Q77" s="106"/>
      <c r="R77" s="102"/>
      <c r="S77" s="106"/>
      <c r="T77" s="102"/>
      <c r="U77" s="106"/>
      <c r="V77" s="102"/>
      <c r="W77" s="106"/>
      <c r="X77" s="106"/>
      <c r="Y77" s="106"/>
      <c r="Z77" s="106"/>
      <c r="AA77" s="106"/>
      <c r="AB77" s="106"/>
      <c r="AC77" s="106"/>
      <c r="AD77" s="112">
        <f>F77+H77+J77+L77+N77+P77+R77+T77+V77+X77+Z77+AB77</f>
        <v>253</v>
      </c>
      <c r="AE77" s="107">
        <f>G77+I77+K77+M77+O77+Q77+S77+U77+W77+Y77+AA77+AC77</f>
        <v>153065</v>
      </c>
    </row>
    <row r="78" spans="1:31">
      <c r="A78" s="100">
        <v>98</v>
      </c>
      <c r="B78" s="108">
        <v>4971710621938</v>
      </c>
      <c r="C78" s="109" t="s">
        <v>1168</v>
      </c>
      <c r="D78" s="120" t="s">
        <v>924</v>
      </c>
      <c r="E78" s="101" t="s">
        <v>1179</v>
      </c>
      <c r="F78" s="110"/>
      <c r="G78" s="111"/>
      <c r="H78" s="104">
        <v>80</v>
      </c>
      <c r="I78" s="105">
        <v>66000</v>
      </c>
      <c r="J78" s="102"/>
      <c r="K78" s="103"/>
      <c r="L78" s="102">
        <v>97</v>
      </c>
      <c r="M78" s="103">
        <v>80025</v>
      </c>
      <c r="N78" s="102">
        <v>60</v>
      </c>
      <c r="O78" s="103">
        <v>49500</v>
      </c>
      <c r="P78" s="102"/>
      <c r="Q78" s="106"/>
      <c r="R78" s="102"/>
      <c r="S78" s="106"/>
      <c r="T78" s="102"/>
      <c r="U78" s="106"/>
      <c r="V78" s="102"/>
      <c r="W78" s="106"/>
      <c r="X78" s="106"/>
      <c r="Y78" s="106"/>
      <c r="Z78" s="106"/>
      <c r="AA78" s="106"/>
      <c r="AB78" s="106"/>
      <c r="AC78" s="106"/>
      <c r="AD78" s="113">
        <f>F78+H78+J78+L78+N78+P78+R78+T78+V78+X78+Z78+AB78</f>
        <v>237</v>
      </c>
      <c r="AE78" s="107">
        <f>G78+I78+K78+M78+O78+Q78+S78+U78+W78+Y78+AA78+AC78</f>
        <v>195525</v>
      </c>
    </row>
    <row r="79" spans="1:31">
      <c r="A79" s="100">
        <v>93</v>
      </c>
      <c r="B79" s="108">
        <v>4971710508840</v>
      </c>
      <c r="C79" s="109" t="s">
        <v>801</v>
      </c>
      <c r="D79" s="120" t="s">
        <v>924</v>
      </c>
      <c r="E79" s="101" t="s">
        <v>1062</v>
      </c>
      <c r="F79" s="110"/>
      <c r="G79" s="111"/>
      <c r="H79" s="104">
        <v>23</v>
      </c>
      <c r="I79" s="105">
        <v>20240</v>
      </c>
      <c r="J79" s="102">
        <f>VLOOKUP(C79,[1]Sheet2!$A:$B,2,0 )</f>
        <v>60</v>
      </c>
      <c r="K79" s="103">
        <f>VLOOKUP(C79,[1]Sheet2!$A:$C,3,0)</f>
        <v>52800</v>
      </c>
      <c r="L79" s="102"/>
      <c r="M79" s="103"/>
      <c r="N79" s="102">
        <v>60</v>
      </c>
      <c r="O79" s="103">
        <v>52800</v>
      </c>
      <c r="P79" s="102"/>
      <c r="Q79" s="106"/>
      <c r="R79" s="102"/>
      <c r="S79" s="106"/>
      <c r="T79" s="102"/>
      <c r="U79" s="106"/>
      <c r="V79" s="102"/>
      <c r="W79" s="106"/>
      <c r="X79" s="106"/>
      <c r="Y79" s="106"/>
      <c r="Z79" s="106"/>
      <c r="AA79" s="106"/>
      <c r="AB79" s="106"/>
      <c r="AC79" s="106"/>
      <c r="AD79" s="112">
        <f>F79+H79+J79+L79+N79+P79+R79+T79+V79+X79+Z79+AB79</f>
        <v>143</v>
      </c>
      <c r="AE79" s="107">
        <f>G79+I79+K79+M79+O79+Q79+S79+U79+W79+Y79+AA79+AC79</f>
        <v>125840</v>
      </c>
    </row>
    <row r="80" spans="1:31">
      <c r="A80" s="100">
        <v>120</v>
      </c>
      <c r="B80" s="108">
        <v>4971710513622</v>
      </c>
      <c r="C80" s="109" t="s">
        <v>260</v>
      </c>
      <c r="D80" s="120" t="s">
        <v>1131</v>
      </c>
      <c r="E80" s="101" t="s">
        <v>261</v>
      </c>
      <c r="F80" s="110"/>
      <c r="G80" s="111"/>
      <c r="H80" s="104">
        <v>30</v>
      </c>
      <c r="I80" s="105">
        <v>9060</v>
      </c>
      <c r="J80" s="102">
        <f>VLOOKUP(C80,[1]Sheet2!$A:$B,2,0 )</f>
        <v>30</v>
      </c>
      <c r="K80" s="103">
        <f>VLOOKUP(C80,[1]Sheet2!$A:$C,3,0)</f>
        <v>9060</v>
      </c>
      <c r="L80" s="102">
        <v>16</v>
      </c>
      <c r="M80" s="103">
        <v>4840</v>
      </c>
      <c r="N80" s="102">
        <v>60</v>
      </c>
      <c r="O80" s="103">
        <v>18150</v>
      </c>
      <c r="P80" s="102"/>
      <c r="Q80" s="106"/>
      <c r="R80" s="102"/>
      <c r="S80" s="106"/>
      <c r="T80" s="102"/>
      <c r="U80" s="106"/>
      <c r="V80" s="102"/>
      <c r="W80" s="106"/>
      <c r="X80" s="106"/>
      <c r="Y80" s="106"/>
      <c r="Z80" s="106"/>
      <c r="AA80" s="106"/>
      <c r="AB80" s="106"/>
      <c r="AC80" s="106"/>
      <c r="AD80" s="112">
        <f>F80+H80+J80+L80+N80+P80+R80+T80+V80+X80+Z80+AB80</f>
        <v>136</v>
      </c>
      <c r="AE80" s="107">
        <f>G80+I80+K80+M80+O80+Q80+S80+U80+W80+Y80+AA80+AC80</f>
        <v>41110</v>
      </c>
    </row>
    <row r="81" spans="1:31">
      <c r="A81" s="100">
        <v>173</v>
      </c>
      <c r="B81" s="108">
        <v>4971710564907</v>
      </c>
      <c r="C81" s="109" t="s">
        <v>500</v>
      </c>
      <c r="D81" s="120" t="s">
        <v>1131</v>
      </c>
      <c r="E81" s="101" t="s">
        <v>501</v>
      </c>
      <c r="F81" s="110"/>
      <c r="G81" s="111"/>
      <c r="H81" s="104"/>
      <c r="I81" s="105"/>
      <c r="J81" s="102">
        <f>VLOOKUP(C81,[1]Sheet2!$A:$B,2,0 )</f>
        <v>30</v>
      </c>
      <c r="K81" s="103">
        <f>VLOOKUP(C81,[1]Sheet2!$A:$C,3,0)</f>
        <v>16500</v>
      </c>
      <c r="L81" s="102">
        <v>36</v>
      </c>
      <c r="M81" s="103">
        <v>19800</v>
      </c>
      <c r="N81" s="102">
        <v>60</v>
      </c>
      <c r="O81" s="103">
        <v>33000</v>
      </c>
      <c r="P81" s="102"/>
      <c r="Q81" s="106"/>
      <c r="R81" s="102"/>
      <c r="S81" s="106"/>
      <c r="T81" s="102"/>
      <c r="U81" s="106"/>
      <c r="V81" s="102"/>
      <c r="W81" s="106"/>
      <c r="X81" s="106"/>
      <c r="Y81" s="106"/>
      <c r="Z81" s="106"/>
      <c r="AA81" s="106"/>
      <c r="AB81" s="106"/>
      <c r="AC81" s="106"/>
      <c r="AD81" s="112">
        <f>F81+H81+J81+L81+N81+P81+R81+T81+V81+X81+Z81+AB81</f>
        <v>126</v>
      </c>
      <c r="AE81" s="107">
        <f>G81+I81+K81+M81+O81+Q81+S81+U81+W81+Y81+AA81+AC81</f>
        <v>69300</v>
      </c>
    </row>
    <row r="82" spans="1:31">
      <c r="A82" s="100">
        <v>119</v>
      </c>
      <c r="B82" s="108">
        <v>4971710513714</v>
      </c>
      <c r="C82" s="109" t="s">
        <v>278</v>
      </c>
      <c r="D82" s="120" t="s">
        <v>1131</v>
      </c>
      <c r="E82" s="101" t="s">
        <v>279</v>
      </c>
      <c r="F82" s="110">
        <v>30</v>
      </c>
      <c r="G82" s="111">
        <v>16500</v>
      </c>
      <c r="H82" s="104">
        <v>30</v>
      </c>
      <c r="I82" s="105">
        <v>16500</v>
      </c>
      <c r="J82" s="102"/>
      <c r="K82" s="103"/>
      <c r="L82" s="102"/>
      <c r="M82" s="103"/>
      <c r="N82" s="102">
        <v>60</v>
      </c>
      <c r="O82" s="103">
        <v>33000</v>
      </c>
      <c r="P82" s="102"/>
      <c r="Q82" s="106"/>
      <c r="R82" s="102"/>
      <c r="S82" s="106"/>
      <c r="T82" s="102"/>
      <c r="U82" s="106"/>
      <c r="V82" s="102"/>
      <c r="W82" s="106"/>
      <c r="X82" s="106"/>
      <c r="Y82" s="106"/>
      <c r="Z82" s="106"/>
      <c r="AA82" s="106"/>
      <c r="AB82" s="106"/>
      <c r="AC82" s="106"/>
      <c r="AD82" s="112">
        <f>F82+H82+J82+L82+N82+P82+R82+T82+V82+X82+Z82+AB82</f>
        <v>120</v>
      </c>
      <c r="AE82" s="107">
        <f>G82+I82+K82+M82+O82+Q82+S82+U82+W82+Y82+AA82+AC82</f>
        <v>66000</v>
      </c>
    </row>
    <row r="83" spans="1:31">
      <c r="A83" s="100">
        <v>153</v>
      </c>
      <c r="B83" s="108">
        <v>4971710580488</v>
      </c>
      <c r="C83" s="109" t="s">
        <v>685</v>
      </c>
      <c r="D83" s="120" t="s">
        <v>1131</v>
      </c>
      <c r="E83" s="101" t="s">
        <v>686</v>
      </c>
      <c r="F83" s="110">
        <v>20</v>
      </c>
      <c r="G83" s="111">
        <v>9240</v>
      </c>
      <c r="H83" s="104"/>
      <c r="I83" s="105"/>
      <c r="J83" s="102">
        <f>VLOOKUP(C83,[1]Sheet2!$A:$B,2,0 )</f>
        <v>20</v>
      </c>
      <c r="K83" s="103">
        <f>VLOOKUP(C83,[1]Sheet2!$A:$C,3,0)</f>
        <v>9240</v>
      </c>
      <c r="L83" s="102">
        <v>16</v>
      </c>
      <c r="M83" s="103">
        <v>7392</v>
      </c>
      <c r="N83" s="102">
        <v>60</v>
      </c>
      <c r="O83" s="103">
        <v>27720</v>
      </c>
      <c r="P83" s="102"/>
      <c r="Q83" s="106"/>
      <c r="R83" s="102"/>
      <c r="S83" s="106"/>
      <c r="T83" s="102"/>
      <c r="U83" s="106"/>
      <c r="V83" s="102"/>
      <c r="W83" s="106"/>
      <c r="X83" s="106"/>
      <c r="Y83" s="106"/>
      <c r="Z83" s="106"/>
      <c r="AA83" s="106"/>
      <c r="AB83" s="106"/>
      <c r="AC83" s="106"/>
      <c r="AD83" s="112">
        <f>F83+H83+J83+L83+N83+P83+R83+T83+V83+X83+Z83+AB83</f>
        <v>116</v>
      </c>
      <c r="AE83" s="107">
        <f>G83+I83+K83+M83+O83+Q83+S83+U83+W83+Y83+AA83+AC83</f>
        <v>53592</v>
      </c>
    </row>
    <row r="84" spans="1:31">
      <c r="A84" s="100">
        <v>234</v>
      </c>
      <c r="B84" s="108">
        <v>4971710598520</v>
      </c>
      <c r="C84" s="109" t="s">
        <v>841</v>
      </c>
      <c r="D84" s="120" t="s">
        <v>924</v>
      </c>
      <c r="E84" s="101" t="s">
        <v>861</v>
      </c>
      <c r="F84" s="110"/>
      <c r="G84" s="111"/>
      <c r="H84" s="104"/>
      <c r="I84" s="105"/>
      <c r="J84" s="102">
        <f>VLOOKUP(C84,[1]Sheet2!$A:$B,2,0 )</f>
        <v>10</v>
      </c>
      <c r="K84" s="103">
        <f>VLOOKUP(C84,[1]Sheet2!$A:$C,3,0)</f>
        <v>6600</v>
      </c>
      <c r="L84" s="102">
        <v>32</v>
      </c>
      <c r="M84" s="103">
        <v>21120</v>
      </c>
      <c r="N84" s="102">
        <v>60</v>
      </c>
      <c r="O84" s="103">
        <v>39600</v>
      </c>
      <c r="P84" s="102"/>
      <c r="Q84" s="106"/>
      <c r="R84" s="102"/>
      <c r="S84" s="106"/>
      <c r="T84" s="102"/>
      <c r="U84" s="106"/>
      <c r="V84" s="102"/>
      <c r="W84" s="106"/>
      <c r="X84" s="106"/>
      <c r="Y84" s="106"/>
      <c r="Z84" s="106"/>
      <c r="AA84" s="106"/>
      <c r="AB84" s="106"/>
      <c r="AC84" s="106"/>
      <c r="AD84" s="113">
        <f>F84+H84+J84+L84+N84+P84+R84+T84+V84+X84+Z84+AB84</f>
        <v>102</v>
      </c>
      <c r="AE84" s="107">
        <f>G84+I84+K84+M84+O84+Q84+S84+U84+W84+Y84+AA84+AC84</f>
        <v>67320</v>
      </c>
    </row>
    <row r="85" spans="1:31">
      <c r="A85" s="100">
        <v>288</v>
      </c>
      <c r="B85" s="108">
        <v>4971710513615</v>
      </c>
      <c r="C85" s="109" t="s">
        <v>258</v>
      </c>
      <c r="D85" s="120" t="s">
        <v>1131</v>
      </c>
      <c r="E85" s="101" t="s">
        <v>259</v>
      </c>
      <c r="F85" s="110"/>
      <c r="G85" s="111"/>
      <c r="H85" s="104"/>
      <c r="I85" s="105"/>
      <c r="J85" s="102"/>
      <c r="K85" s="103"/>
      <c r="L85" s="102">
        <v>38</v>
      </c>
      <c r="M85" s="103">
        <v>11495</v>
      </c>
      <c r="N85" s="102">
        <v>60</v>
      </c>
      <c r="O85" s="103">
        <v>18150</v>
      </c>
      <c r="P85" s="102"/>
      <c r="Q85" s="106"/>
      <c r="R85" s="102"/>
      <c r="S85" s="106"/>
      <c r="T85" s="102"/>
      <c r="U85" s="106"/>
      <c r="V85" s="102"/>
      <c r="W85" s="106"/>
      <c r="X85" s="106"/>
      <c r="Y85" s="106"/>
      <c r="Z85" s="106"/>
      <c r="AA85" s="106"/>
      <c r="AB85" s="106"/>
      <c r="AC85" s="106"/>
      <c r="AD85" s="112">
        <f>F85+H85+J85+L85+N85+P85+R85+T85+V85+X85+Z85+AB85</f>
        <v>98</v>
      </c>
      <c r="AE85" s="107">
        <f>G85+I85+K85+M85+O85+Q85+S85+U85+W85+Y85+AA85+AC85</f>
        <v>29645</v>
      </c>
    </row>
    <row r="86" spans="1:31">
      <c r="A86" s="100">
        <v>479</v>
      </c>
      <c r="B86" s="108" t="s">
        <v>1265</v>
      </c>
      <c r="C86" s="109" t="s">
        <v>1251</v>
      </c>
      <c r="D86" s="120" t="s">
        <v>924</v>
      </c>
      <c r="E86" s="101" t="s">
        <v>1269</v>
      </c>
      <c r="F86" s="110"/>
      <c r="G86" s="111"/>
      <c r="H86" s="104"/>
      <c r="I86" s="105"/>
      <c r="J86" s="102"/>
      <c r="K86" s="103"/>
      <c r="L86" s="102"/>
      <c r="M86" s="103"/>
      <c r="N86" s="102">
        <f>VLOOKUP(C86,'[4]レポート 3'!$D:$E,2,0)</f>
        <v>60</v>
      </c>
      <c r="O86" s="103">
        <f>VLOOKUP(C86,'[4]レポート 3'!$D:$F,3,0)</f>
        <v>42900</v>
      </c>
      <c r="P86" s="102"/>
      <c r="Q86" s="106"/>
      <c r="R86" s="102"/>
      <c r="S86" s="106"/>
      <c r="T86" s="102"/>
      <c r="U86" s="106"/>
      <c r="V86" s="102"/>
      <c r="W86" s="106"/>
      <c r="X86" s="106"/>
      <c r="Y86" s="106"/>
      <c r="Z86" s="106"/>
      <c r="AA86" s="106"/>
      <c r="AB86" s="106"/>
      <c r="AC86" s="106"/>
      <c r="AD86" s="112">
        <f>F86+H86+J86+L86+N86+P86+R86+T86+V86+X86+Z86+AB86</f>
        <v>60</v>
      </c>
      <c r="AE86" s="107">
        <f>G86+I86+K86+M86+O86+Q86+S86+U86+W86+Y86+AA86+AC86</f>
        <v>42900</v>
      </c>
    </row>
    <row r="87" spans="1:31">
      <c r="A87" s="100">
        <v>480</v>
      </c>
      <c r="B87" s="108" t="s">
        <v>1266</v>
      </c>
      <c r="C87" s="109" t="s">
        <v>1252</v>
      </c>
      <c r="D87" s="120" t="s">
        <v>924</v>
      </c>
      <c r="E87" s="101" t="s">
        <v>1270</v>
      </c>
      <c r="F87" s="110"/>
      <c r="G87" s="111"/>
      <c r="H87" s="104"/>
      <c r="I87" s="105"/>
      <c r="J87" s="102"/>
      <c r="K87" s="103"/>
      <c r="L87" s="102"/>
      <c r="M87" s="103"/>
      <c r="N87" s="102">
        <f>VLOOKUP(C87,'[4]レポート 3'!$D:$E,2,0)</f>
        <v>60</v>
      </c>
      <c r="O87" s="103">
        <f>VLOOKUP(C87,'[4]レポート 3'!$D:$F,3,0)</f>
        <v>42900</v>
      </c>
      <c r="P87" s="102"/>
      <c r="Q87" s="106"/>
      <c r="R87" s="102"/>
      <c r="S87" s="106"/>
      <c r="T87" s="102"/>
      <c r="U87" s="106"/>
      <c r="V87" s="102"/>
      <c r="W87" s="106"/>
      <c r="X87" s="106"/>
      <c r="Y87" s="106"/>
      <c r="Z87" s="106"/>
      <c r="AA87" s="106"/>
      <c r="AB87" s="106"/>
      <c r="AC87" s="106"/>
      <c r="AD87" s="112">
        <f>F87+H87+J87+L87+N87+P87+R87+T87+V87+X87+Z87+AB87</f>
        <v>60</v>
      </c>
      <c r="AE87" s="107">
        <f>G87+I87+K87+M87+O87+Q87+S87+U87+W87+Y87+AA87+AC87</f>
        <v>42900</v>
      </c>
    </row>
    <row r="88" spans="1:31">
      <c r="A88" s="100">
        <v>481</v>
      </c>
      <c r="B88" s="108" t="s">
        <v>1267</v>
      </c>
      <c r="C88" s="109" t="s">
        <v>1253</v>
      </c>
      <c r="D88" s="120" t="s">
        <v>924</v>
      </c>
      <c r="E88" s="101" t="s">
        <v>1271</v>
      </c>
      <c r="F88" s="110"/>
      <c r="G88" s="111"/>
      <c r="H88" s="104"/>
      <c r="I88" s="105"/>
      <c r="J88" s="102"/>
      <c r="K88" s="103"/>
      <c r="L88" s="102"/>
      <c r="M88" s="103"/>
      <c r="N88" s="102">
        <f>VLOOKUP(C88,'[4]レポート 3'!$D:$E,2,0)</f>
        <v>60</v>
      </c>
      <c r="O88" s="103">
        <f>VLOOKUP(C88,'[4]レポート 3'!$D:$F,3,0)</f>
        <v>42900</v>
      </c>
      <c r="P88" s="102"/>
      <c r="Q88" s="106"/>
      <c r="R88" s="102"/>
      <c r="S88" s="106"/>
      <c r="T88" s="102"/>
      <c r="U88" s="106"/>
      <c r="V88" s="102"/>
      <c r="W88" s="106"/>
      <c r="X88" s="106"/>
      <c r="Y88" s="106"/>
      <c r="Z88" s="106"/>
      <c r="AA88" s="106"/>
      <c r="AB88" s="106"/>
      <c r="AC88" s="106"/>
      <c r="AD88" s="112">
        <f>F88+H88+J88+L88+N88+P88+R88+T88+V88+X88+Z88+AB88</f>
        <v>60</v>
      </c>
      <c r="AE88" s="107">
        <f>G88+I88+K88+M88+O88+Q88+S88+U88+W88+Y88+AA88+AC88</f>
        <v>42900</v>
      </c>
    </row>
    <row r="89" spans="1:31">
      <c r="A89" s="100">
        <v>483</v>
      </c>
      <c r="B89" s="108" t="s">
        <v>1274</v>
      </c>
      <c r="C89" s="109" t="s">
        <v>1255</v>
      </c>
      <c r="D89" s="120" t="s">
        <v>924</v>
      </c>
      <c r="E89" s="101" t="s">
        <v>1273</v>
      </c>
      <c r="F89" s="110"/>
      <c r="G89" s="111"/>
      <c r="H89" s="104"/>
      <c r="I89" s="105"/>
      <c r="J89" s="102"/>
      <c r="K89" s="103"/>
      <c r="L89" s="102"/>
      <c r="M89" s="103"/>
      <c r="N89" s="102">
        <f>VLOOKUP(C89,'[4]レポート 3'!$D:$E,2,0)</f>
        <v>60</v>
      </c>
      <c r="O89" s="103">
        <f>VLOOKUP(C89,'[4]レポート 3'!$D:$F,3,0)</f>
        <v>42900</v>
      </c>
      <c r="P89" s="102"/>
      <c r="Q89" s="106"/>
      <c r="R89" s="102"/>
      <c r="S89" s="106"/>
      <c r="T89" s="102"/>
      <c r="U89" s="106"/>
      <c r="V89" s="102"/>
      <c r="W89" s="106"/>
      <c r="X89" s="106"/>
      <c r="Y89" s="106"/>
      <c r="Z89" s="106"/>
      <c r="AA89" s="106"/>
      <c r="AB89" s="106"/>
      <c r="AC89" s="106"/>
      <c r="AD89" s="112">
        <f>F89+H89+J89+L89+N89+P89+R89+T89+V89+X89+Z89+AB89</f>
        <v>60</v>
      </c>
      <c r="AE89" s="107">
        <f>G89+I89+K89+M89+O89+Q89+S89+U89+W89+Y89+AA89+AC89</f>
        <v>42900</v>
      </c>
    </row>
    <row r="90" spans="1:31">
      <c r="A90" s="100">
        <v>484</v>
      </c>
      <c r="B90" s="108" t="s">
        <v>1277</v>
      </c>
      <c r="C90" s="109" t="s">
        <v>1256</v>
      </c>
      <c r="D90" s="120" t="s">
        <v>924</v>
      </c>
      <c r="E90" s="101" t="s">
        <v>1284</v>
      </c>
      <c r="F90" s="110"/>
      <c r="G90" s="111"/>
      <c r="H90" s="104"/>
      <c r="I90" s="105"/>
      <c r="J90" s="102"/>
      <c r="K90" s="103"/>
      <c r="L90" s="102"/>
      <c r="M90" s="103"/>
      <c r="N90" s="102">
        <f>VLOOKUP(C90,'[4]レポート 3'!$D:$E,2,0)</f>
        <v>60</v>
      </c>
      <c r="O90" s="103">
        <f>VLOOKUP(C90,'[4]レポート 3'!$D:$F,3,0)</f>
        <v>36300</v>
      </c>
      <c r="P90" s="102"/>
      <c r="Q90" s="106"/>
      <c r="R90" s="102"/>
      <c r="S90" s="106"/>
      <c r="T90" s="102"/>
      <c r="U90" s="106"/>
      <c r="V90" s="102"/>
      <c r="W90" s="106"/>
      <c r="X90" s="106"/>
      <c r="Y90" s="106"/>
      <c r="Z90" s="106"/>
      <c r="AA90" s="106"/>
      <c r="AB90" s="106"/>
      <c r="AC90" s="106"/>
      <c r="AD90" s="112">
        <f>F90+H90+J90+L90+N90+P90+R90+T90+V90+X90+Z90+AB90</f>
        <v>60</v>
      </c>
      <c r="AE90" s="107">
        <f>G90+I90+K90+M90+O90+Q90+S90+U90+W90+Y90+AA90+AC90</f>
        <v>36300</v>
      </c>
    </row>
    <row r="91" spans="1:31">
      <c r="A91" s="100">
        <v>485</v>
      </c>
      <c r="B91" s="108" t="s">
        <v>1278</v>
      </c>
      <c r="C91" s="109" t="s">
        <v>1257</v>
      </c>
      <c r="D91" s="120" t="s">
        <v>924</v>
      </c>
      <c r="E91" s="101" t="s">
        <v>1285</v>
      </c>
      <c r="F91" s="110"/>
      <c r="G91" s="111"/>
      <c r="H91" s="104"/>
      <c r="I91" s="105"/>
      <c r="J91" s="102"/>
      <c r="K91" s="103"/>
      <c r="L91" s="102"/>
      <c r="M91" s="103"/>
      <c r="N91" s="102">
        <f>VLOOKUP(C91,'[4]レポート 3'!$D:$E,2,0)</f>
        <v>60</v>
      </c>
      <c r="O91" s="103">
        <f>VLOOKUP(C91,'[4]レポート 3'!$D:$F,3,0)</f>
        <v>36300</v>
      </c>
      <c r="P91" s="102"/>
      <c r="Q91" s="106"/>
      <c r="R91" s="102"/>
      <c r="S91" s="106"/>
      <c r="T91" s="102"/>
      <c r="U91" s="106"/>
      <c r="V91" s="102"/>
      <c r="W91" s="106"/>
      <c r="X91" s="106"/>
      <c r="Y91" s="106"/>
      <c r="Z91" s="106"/>
      <c r="AA91" s="106"/>
      <c r="AB91" s="106"/>
      <c r="AC91" s="106"/>
      <c r="AD91" s="112">
        <f>F91+H91+J91+L91+N91+P91+R91+T91+V91+X91+Z91+AB91</f>
        <v>60</v>
      </c>
      <c r="AE91" s="107">
        <f>G91+I91+K91+M91+O91+Q91+S91+U91+W91+Y91+AA91+AC91</f>
        <v>36300</v>
      </c>
    </row>
    <row r="92" spans="1:31">
      <c r="A92" s="100">
        <v>486</v>
      </c>
      <c r="B92" s="108" t="s">
        <v>1279</v>
      </c>
      <c r="C92" s="109" t="s">
        <v>1258</v>
      </c>
      <c r="D92" s="120" t="s">
        <v>924</v>
      </c>
      <c r="E92" s="101" t="s">
        <v>1286</v>
      </c>
      <c r="F92" s="110"/>
      <c r="G92" s="111"/>
      <c r="H92" s="104"/>
      <c r="I92" s="105"/>
      <c r="J92" s="102"/>
      <c r="K92" s="103"/>
      <c r="L92" s="102"/>
      <c r="M92" s="103"/>
      <c r="N92" s="102">
        <f>VLOOKUP(C92,'[4]レポート 3'!$D:$E,2,0)</f>
        <v>60</v>
      </c>
      <c r="O92" s="103">
        <f>VLOOKUP(C92,'[4]レポート 3'!$D:$F,3,0)</f>
        <v>36300</v>
      </c>
      <c r="P92" s="102"/>
      <c r="Q92" s="106"/>
      <c r="R92" s="102"/>
      <c r="S92" s="106"/>
      <c r="T92" s="102"/>
      <c r="U92" s="106"/>
      <c r="V92" s="102"/>
      <c r="W92" s="106"/>
      <c r="X92" s="106"/>
      <c r="Y92" s="106"/>
      <c r="Z92" s="106"/>
      <c r="AA92" s="106"/>
      <c r="AB92" s="106"/>
      <c r="AC92" s="106"/>
      <c r="AD92" s="112">
        <f>F92+H92+J92+L92+N92+P92+R92+T92+V92+X92+Z92+AB92</f>
        <v>60</v>
      </c>
      <c r="AE92" s="107">
        <f>G92+I92+K92+M92+O92+Q92+S92+U92+W92+Y92+AA92+AC92</f>
        <v>36300</v>
      </c>
    </row>
    <row r="93" spans="1:31">
      <c r="A93" s="100">
        <v>487</v>
      </c>
      <c r="B93" s="108" t="s">
        <v>1280</v>
      </c>
      <c r="C93" s="109" t="s">
        <v>1259</v>
      </c>
      <c r="D93" s="120" t="s">
        <v>924</v>
      </c>
      <c r="E93" s="101" t="s">
        <v>1287</v>
      </c>
      <c r="F93" s="110"/>
      <c r="G93" s="111"/>
      <c r="H93" s="104"/>
      <c r="I93" s="105"/>
      <c r="J93" s="102"/>
      <c r="K93" s="103"/>
      <c r="L93" s="102"/>
      <c r="M93" s="103"/>
      <c r="N93" s="102">
        <f>VLOOKUP(C93,'[4]レポート 3'!$D:$E,2,0)</f>
        <v>60</v>
      </c>
      <c r="O93" s="103">
        <f>VLOOKUP(C93,'[4]レポート 3'!$D:$F,3,0)</f>
        <v>36300</v>
      </c>
      <c r="P93" s="102"/>
      <c r="Q93" s="106"/>
      <c r="R93" s="102"/>
      <c r="S93" s="106"/>
      <c r="T93" s="102"/>
      <c r="U93" s="106"/>
      <c r="V93" s="102"/>
      <c r="W93" s="106"/>
      <c r="X93" s="106"/>
      <c r="Y93" s="106"/>
      <c r="Z93" s="106"/>
      <c r="AA93" s="106"/>
      <c r="AB93" s="106"/>
      <c r="AC93" s="106"/>
      <c r="AD93" s="112">
        <f>F93+H93+J93+L93+N93+P93+R93+T93+V93+X93+Z93+AB93</f>
        <v>60</v>
      </c>
      <c r="AE93" s="107">
        <f>G93+I93+K93+M93+O93+Q93+S93+U93+W93+Y93+AA93+AC93</f>
        <v>36300</v>
      </c>
    </row>
    <row r="94" spans="1:31">
      <c r="A94" s="100">
        <v>488</v>
      </c>
      <c r="B94" s="108" t="s">
        <v>1281</v>
      </c>
      <c r="C94" s="109" t="s">
        <v>1260</v>
      </c>
      <c r="D94" s="120" t="s">
        <v>924</v>
      </c>
      <c r="E94" s="101" t="s">
        <v>1288</v>
      </c>
      <c r="F94" s="110"/>
      <c r="G94" s="111"/>
      <c r="H94" s="104"/>
      <c r="I94" s="105"/>
      <c r="J94" s="102"/>
      <c r="K94" s="103"/>
      <c r="L94" s="102"/>
      <c r="M94" s="103"/>
      <c r="N94" s="102">
        <f>VLOOKUP(C94,'[4]レポート 3'!$D:$E,2,0)</f>
        <v>60</v>
      </c>
      <c r="O94" s="103">
        <f>VLOOKUP(C94,'[4]レポート 3'!$D:$F,3,0)</f>
        <v>36300</v>
      </c>
      <c r="P94" s="102"/>
      <c r="Q94" s="106"/>
      <c r="R94" s="102"/>
      <c r="S94" s="106"/>
      <c r="T94" s="102"/>
      <c r="U94" s="106"/>
      <c r="V94" s="102"/>
      <c r="W94" s="106"/>
      <c r="X94" s="106"/>
      <c r="Y94" s="106"/>
      <c r="Z94" s="106"/>
      <c r="AA94" s="106"/>
      <c r="AB94" s="106"/>
      <c r="AC94" s="106"/>
      <c r="AD94" s="112">
        <f>F94+H94+J94+L94+N94+P94+R94+T94+V94+X94+Z94+AB94</f>
        <v>60</v>
      </c>
      <c r="AE94" s="107">
        <f>G94+I94+K94+M94+O94+Q94+S94+U94+W94+Y94+AA94+AC94</f>
        <v>36300</v>
      </c>
    </row>
    <row r="95" spans="1:31">
      <c r="A95" s="100">
        <v>299</v>
      </c>
      <c r="B95" s="108">
        <v>4971710513639</v>
      </c>
      <c r="C95" s="109" t="s">
        <v>262</v>
      </c>
      <c r="D95" s="120" t="s">
        <v>1131</v>
      </c>
      <c r="E95" s="101" t="s">
        <v>263</v>
      </c>
      <c r="F95" s="110"/>
      <c r="G95" s="111"/>
      <c r="H95" s="104"/>
      <c r="I95" s="105"/>
      <c r="J95" s="102"/>
      <c r="K95" s="103"/>
      <c r="L95" s="102"/>
      <c r="M95" s="103"/>
      <c r="N95" s="102">
        <v>60</v>
      </c>
      <c r="O95" s="103">
        <v>18150</v>
      </c>
      <c r="P95" s="102"/>
      <c r="Q95" s="106"/>
      <c r="R95" s="102"/>
      <c r="S95" s="106"/>
      <c r="T95" s="102"/>
      <c r="U95" s="106"/>
      <c r="V95" s="102"/>
      <c r="W95" s="106"/>
      <c r="X95" s="106"/>
      <c r="Y95" s="106"/>
      <c r="Z95" s="106"/>
      <c r="AA95" s="106"/>
      <c r="AB95" s="106"/>
      <c r="AC95" s="106"/>
      <c r="AD95" s="112">
        <f>F95+H95+J95+L95+N95+P95+R95+T95+V95+X95+Z95+AB95</f>
        <v>60</v>
      </c>
      <c r="AE95" s="107">
        <f>G95+I95+K95+M95+O95+Q95+S95+U95+W95+Y95+AA95+AC95</f>
        <v>18150</v>
      </c>
    </row>
    <row r="96" spans="1:31">
      <c r="A96" s="100">
        <v>129</v>
      </c>
      <c r="B96" s="108">
        <v>4971710557725</v>
      </c>
      <c r="C96" s="109" t="s">
        <v>458</v>
      </c>
      <c r="D96" s="120" t="s">
        <v>1131</v>
      </c>
      <c r="E96" s="101" t="s">
        <v>459</v>
      </c>
      <c r="F96" s="110">
        <v>50</v>
      </c>
      <c r="G96" s="111">
        <v>33000</v>
      </c>
      <c r="H96" s="104"/>
      <c r="I96" s="105"/>
      <c r="J96" s="102"/>
      <c r="K96" s="103"/>
      <c r="L96" s="102">
        <v>8</v>
      </c>
      <c r="M96" s="103">
        <v>5280</v>
      </c>
      <c r="N96" s="102">
        <v>56</v>
      </c>
      <c r="O96" s="103">
        <v>36960</v>
      </c>
      <c r="P96" s="102"/>
      <c r="Q96" s="106"/>
      <c r="R96" s="102"/>
      <c r="S96" s="106"/>
      <c r="T96" s="102"/>
      <c r="U96" s="106"/>
      <c r="V96" s="102"/>
      <c r="W96" s="106"/>
      <c r="X96" s="106"/>
      <c r="Y96" s="106"/>
      <c r="Z96" s="106"/>
      <c r="AA96" s="106"/>
      <c r="AB96" s="106"/>
      <c r="AC96" s="106"/>
      <c r="AD96" s="112">
        <f>F96+H96+J96+L96+N96+P96+R96+T96+V96+X96+Z96+AB96</f>
        <v>114</v>
      </c>
      <c r="AE96" s="107">
        <f>G96+I96+K96+M96+O96+Q96+S96+U96+W96+Y96+AA96+AC96</f>
        <v>75240</v>
      </c>
    </row>
    <row r="97" spans="1:31">
      <c r="A97" s="100">
        <v>198</v>
      </c>
      <c r="B97" s="108">
        <v>4971710270389</v>
      </c>
      <c r="C97" s="109" t="s">
        <v>1082</v>
      </c>
      <c r="D97" s="120" t="s">
        <v>1129</v>
      </c>
      <c r="E97" s="101" t="s">
        <v>1083</v>
      </c>
      <c r="F97" s="110"/>
      <c r="G97" s="111"/>
      <c r="H97" s="104">
        <v>10</v>
      </c>
      <c r="I97" s="105">
        <v>8250</v>
      </c>
      <c r="J97" s="102">
        <f>VLOOKUP(C97,[1]Sheet2!$A:$B,2,0 )</f>
        <v>10</v>
      </c>
      <c r="K97" s="103">
        <f>VLOOKUP(C97,[1]Sheet2!$A:$C,3,0)</f>
        <v>8250</v>
      </c>
      <c r="L97" s="102"/>
      <c r="M97" s="103"/>
      <c r="N97" s="102">
        <v>55</v>
      </c>
      <c r="O97" s="103">
        <v>45375</v>
      </c>
      <c r="P97" s="102"/>
      <c r="Q97" s="106"/>
      <c r="R97" s="102"/>
      <c r="S97" s="106"/>
      <c r="T97" s="102"/>
      <c r="U97" s="106"/>
      <c r="V97" s="102"/>
      <c r="W97" s="106"/>
      <c r="X97" s="106"/>
      <c r="Y97" s="106"/>
      <c r="Z97" s="106"/>
      <c r="AA97" s="106"/>
      <c r="AB97" s="106"/>
      <c r="AC97" s="106"/>
      <c r="AD97" s="113">
        <f>F97+H97+J97+L97+N97+P97+R97+T97+V97+X97+Z97+AB97</f>
        <v>75</v>
      </c>
      <c r="AE97" s="107">
        <f>G97+I97+K97+M97+O97+Q97+S97+U97+W97+Y97+AA97+AC97</f>
        <v>61875</v>
      </c>
    </row>
    <row r="98" spans="1:31">
      <c r="A98" s="100">
        <v>54</v>
      </c>
      <c r="B98" s="108">
        <v>4971710249651</v>
      </c>
      <c r="C98" s="109" t="s">
        <v>965</v>
      </c>
      <c r="D98" s="120" t="s">
        <v>1129</v>
      </c>
      <c r="E98" s="101" t="s">
        <v>1128</v>
      </c>
      <c r="F98" s="110"/>
      <c r="G98" s="111"/>
      <c r="H98" s="104">
        <v>110</v>
      </c>
      <c r="I98" s="105">
        <v>90750</v>
      </c>
      <c r="J98" s="102">
        <f>VLOOKUP(C98,[1]Sheet2!$A:$B,2,0 )</f>
        <v>80</v>
      </c>
      <c r="K98" s="103">
        <f>VLOOKUP(C98,[1]Sheet2!$A:$C,3,0)</f>
        <v>66000</v>
      </c>
      <c r="L98" s="102"/>
      <c r="M98" s="103"/>
      <c r="N98" s="102">
        <v>50</v>
      </c>
      <c r="O98" s="103">
        <v>41250</v>
      </c>
      <c r="P98" s="102"/>
      <c r="Q98" s="106"/>
      <c r="R98" s="102"/>
      <c r="S98" s="106"/>
      <c r="T98" s="102"/>
      <c r="U98" s="106"/>
      <c r="V98" s="102"/>
      <c r="W98" s="106"/>
      <c r="X98" s="106"/>
      <c r="Y98" s="106"/>
      <c r="Z98" s="106"/>
      <c r="AA98" s="106"/>
      <c r="AB98" s="106"/>
      <c r="AC98" s="106"/>
      <c r="AD98" s="113">
        <f>F98+H98+J98+L98+N98+P98+R98+T98+V98+X98+Z98+AB98</f>
        <v>240</v>
      </c>
      <c r="AE98" s="107">
        <f>G98+I98+K98+M98+O98+Q98+S98+U98+W98+Y98+AA98+AC98</f>
        <v>198000</v>
      </c>
    </row>
    <row r="99" spans="1:31">
      <c r="A99" s="100">
        <v>121</v>
      </c>
      <c r="B99" s="108">
        <v>4971710566147</v>
      </c>
      <c r="C99" s="109" t="s">
        <v>518</v>
      </c>
      <c r="D99" s="120" t="s">
        <v>1131</v>
      </c>
      <c r="E99" s="101" t="s">
        <v>519</v>
      </c>
      <c r="F99" s="110"/>
      <c r="G99" s="111"/>
      <c r="H99" s="104">
        <v>30</v>
      </c>
      <c r="I99" s="105">
        <v>16500</v>
      </c>
      <c r="J99" s="102">
        <f>VLOOKUP(C99,[1]Sheet2!$A:$B,2,0 )</f>
        <v>30</v>
      </c>
      <c r="K99" s="103">
        <f>VLOOKUP(C99,[1]Sheet2!$A:$C,3,0)</f>
        <v>16500</v>
      </c>
      <c r="L99" s="102">
        <v>28</v>
      </c>
      <c r="M99" s="103">
        <v>15400</v>
      </c>
      <c r="N99" s="102">
        <v>50</v>
      </c>
      <c r="O99" s="103">
        <v>27500</v>
      </c>
      <c r="P99" s="102"/>
      <c r="Q99" s="106"/>
      <c r="R99" s="102"/>
      <c r="S99" s="106"/>
      <c r="T99" s="102"/>
      <c r="U99" s="106"/>
      <c r="V99" s="102"/>
      <c r="W99" s="106"/>
      <c r="X99" s="106"/>
      <c r="Y99" s="106"/>
      <c r="Z99" s="106"/>
      <c r="AA99" s="106"/>
      <c r="AB99" s="106"/>
      <c r="AC99" s="106"/>
      <c r="AD99" s="112">
        <f>F99+H99+J99+L99+N99+P99+R99+T99+V99+X99+Z99+AB99</f>
        <v>138</v>
      </c>
      <c r="AE99" s="107">
        <f>G99+I99+K99+M99+O99+Q99+S99+U99+W99+Y99+AA99+AC99</f>
        <v>75900</v>
      </c>
    </row>
    <row r="100" spans="1:31">
      <c r="A100" s="100">
        <v>122</v>
      </c>
      <c r="B100" s="108">
        <v>4971710513684</v>
      </c>
      <c r="C100" s="109" t="s">
        <v>272</v>
      </c>
      <c r="D100" s="120" t="s">
        <v>1131</v>
      </c>
      <c r="E100" s="101" t="s">
        <v>273</v>
      </c>
      <c r="F100" s="110"/>
      <c r="G100" s="111"/>
      <c r="H100" s="104">
        <v>30</v>
      </c>
      <c r="I100" s="105">
        <v>16500</v>
      </c>
      <c r="J100" s="102">
        <f>VLOOKUP(C100,[1]Sheet2!$A:$B,2,0 )</f>
        <v>30</v>
      </c>
      <c r="K100" s="103">
        <f>VLOOKUP(C100,[1]Sheet2!$A:$C,3,0)</f>
        <v>16500</v>
      </c>
      <c r="L100" s="102">
        <v>28</v>
      </c>
      <c r="M100" s="103">
        <v>15400</v>
      </c>
      <c r="N100" s="102">
        <v>50</v>
      </c>
      <c r="O100" s="103">
        <v>27500</v>
      </c>
      <c r="P100" s="102"/>
      <c r="Q100" s="106"/>
      <c r="R100" s="102"/>
      <c r="S100" s="106"/>
      <c r="T100" s="102"/>
      <c r="U100" s="106"/>
      <c r="V100" s="102"/>
      <c r="W100" s="106"/>
      <c r="X100" s="106"/>
      <c r="Y100" s="106"/>
      <c r="Z100" s="106"/>
      <c r="AA100" s="106"/>
      <c r="AB100" s="106"/>
      <c r="AC100" s="106"/>
      <c r="AD100" s="112">
        <f>F100+H100+J100+L100+N100+P100+R100+T100+V100+X100+Z100+AB100</f>
        <v>138</v>
      </c>
      <c r="AE100" s="107">
        <f>G100+I100+K100+M100+O100+Q100+S100+U100+W100+Y100+AA100+AC100</f>
        <v>75900</v>
      </c>
    </row>
    <row r="101" spans="1:31">
      <c r="A101" s="100">
        <v>143</v>
      </c>
      <c r="B101" s="108">
        <v>4971710615937</v>
      </c>
      <c r="C101" s="109" t="s">
        <v>1109</v>
      </c>
      <c r="D101" s="120" t="s">
        <v>1131</v>
      </c>
      <c r="E101" s="101" t="s">
        <v>1112</v>
      </c>
      <c r="F101" s="110">
        <v>20</v>
      </c>
      <c r="G101" s="111">
        <v>13200</v>
      </c>
      <c r="H101" s="104"/>
      <c r="I101" s="105"/>
      <c r="J101" s="102">
        <f>VLOOKUP(C101,[1]Sheet2!$A:$B,2,0 )</f>
        <v>30</v>
      </c>
      <c r="K101" s="103">
        <f>VLOOKUP(C101,[1]Sheet2!$A:$C,3,0)</f>
        <v>19800</v>
      </c>
      <c r="L101" s="102">
        <v>2</v>
      </c>
      <c r="M101" s="103">
        <v>1320</v>
      </c>
      <c r="N101" s="102">
        <v>50</v>
      </c>
      <c r="O101" s="103">
        <v>33000</v>
      </c>
      <c r="P101" s="102"/>
      <c r="Q101" s="106"/>
      <c r="R101" s="102"/>
      <c r="S101" s="106"/>
      <c r="T101" s="102"/>
      <c r="U101" s="106"/>
      <c r="V101" s="102"/>
      <c r="W101" s="106"/>
      <c r="X101" s="106"/>
      <c r="Y101" s="106"/>
      <c r="Z101" s="106"/>
      <c r="AA101" s="106"/>
      <c r="AB101" s="106"/>
      <c r="AC101" s="106"/>
      <c r="AD101" s="113">
        <f>F101+H101+J101+L101+N101+P101+R101+T101+V101+X101+Z101+AB101</f>
        <v>102</v>
      </c>
      <c r="AE101" s="107">
        <f>G101+I101+K101+M101+O101+Q101+S101+U101+W101+Y101+AA101+AC101</f>
        <v>67320</v>
      </c>
    </row>
    <row r="102" spans="1:31">
      <c r="A102" s="100">
        <v>393</v>
      </c>
      <c r="B102" s="108">
        <v>4971710610789</v>
      </c>
      <c r="C102" s="109" t="s">
        <v>954</v>
      </c>
      <c r="D102" s="120" t="s">
        <v>1131</v>
      </c>
      <c r="E102" s="101" t="s">
        <v>958</v>
      </c>
      <c r="F102" s="110"/>
      <c r="G102" s="111"/>
      <c r="H102" s="104"/>
      <c r="I102" s="105"/>
      <c r="J102" s="102"/>
      <c r="K102" s="103"/>
      <c r="L102" s="102">
        <v>4</v>
      </c>
      <c r="M102" s="103">
        <v>2640</v>
      </c>
      <c r="N102" s="102">
        <v>50</v>
      </c>
      <c r="O102" s="103">
        <v>33000</v>
      </c>
      <c r="P102" s="102"/>
      <c r="Q102" s="106"/>
      <c r="R102" s="102"/>
      <c r="S102" s="106"/>
      <c r="T102" s="102"/>
      <c r="U102" s="106"/>
      <c r="V102" s="102"/>
      <c r="W102" s="106"/>
      <c r="X102" s="106"/>
      <c r="Y102" s="106"/>
      <c r="Z102" s="106"/>
      <c r="AA102" s="106"/>
      <c r="AB102" s="106"/>
      <c r="AC102" s="106"/>
      <c r="AD102" s="113">
        <f>F102+H102+J102+L102+N102+P102+R102+T102+V102+X102+Z102+AB102</f>
        <v>54</v>
      </c>
      <c r="AE102" s="107">
        <f>G102+I102+K102+M102+O102+Q102+S102+U102+W102+Y102+AA102+AC102</f>
        <v>35640</v>
      </c>
    </row>
    <row r="103" spans="1:31">
      <c r="A103" s="100">
        <v>218</v>
      </c>
      <c r="B103" s="108">
        <v>4971710593532</v>
      </c>
      <c r="C103" s="109" t="s">
        <v>977</v>
      </c>
      <c r="D103" s="120" t="s">
        <v>1129</v>
      </c>
      <c r="E103" s="101" t="s">
        <v>993</v>
      </c>
      <c r="F103" s="110"/>
      <c r="G103" s="111"/>
      <c r="H103" s="104">
        <v>6</v>
      </c>
      <c r="I103" s="105">
        <v>15510</v>
      </c>
      <c r="J103" s="102">
        <f>VLOOKUP(C103,[1]Sheet2!$A:$B,2,0 )</f>
        <v>6</v>
      </c>
      <c r="K103" s="103">
        <f>VLOOKUP(C103,[1]Sheet2!$A:$C,3,0)</f>
        <v>15510</v>
      </c>
      <c r="L103" s="102"/>
      <c r="M103" s="103"/>
      <c r="N103" s="102">
        <v>45</v>
      </c>
      <c r="O103" s="103">
        <v>116325</v>
      </c>
      <c r="P103" s="102"/>
      <c r="Q103" s="106"/>
      <c r="R103" s="102"/>
      <c r="S103" s="106"/>
      <c r="T103" s="102"/>
      <c r="U103" s="106"/>
      <c r="V103" s="102"/>
      <c r="W103" s="106"/>
      <c r="X103" s="106"/>
      <c r="Y103" s="106"/>
      <c r="Z103" s="106"/>
      <c r="AA103" s="106"/>
      <c r="AB103" s="106"/>
      <c r="AC103" s="106"/>
      <c r="AD103" s="113">
        <f>F103+H103+J103+L103+N103+P103+R103+T103+V103+X103+Z103+AB103</f>
        <v>57</v>
      </c>
      <c r="AE103" s="107">
        <f>G103+I103+K103+M103+O103+Q103+S103+U103+W103+Y103+AA103+AC103</f>
        <v>147345</v>
      </c>
    </row>
    <row r="104" spans="1:31">
      <c r="A104" s="100">
        <v>15</v>
      </c>
      <c r="B104" s="108">
        <v>4971710571837</v>
      </c>
      <c r="C104" s="109" t="s">
        <v>949</v>
      </c>
      <c r="D104" s="120" t="s">
        <v>924</v>
      </c>
      <c r="E104" s="101" t="s">
        <v>565</v>
      </c>
      <c r="F104" s="110">
        <v>135</v>
      </c>
      <c r="G104" s="111">
        <v>96525</v>
      </c>
      <c r="H104" s="104">
        <v>430</v>
      </c>
      <c r="I104" s="105">
        <v>307450</v>
      </c>
      <c r="J104" s="102">
        <f>VLOOKUP(C104,[1]Sheet2!$A:$B,2,0 )</f>
        <v>482</v>
      </c>
      <c r="K104" s="103">
        <f>VLOOKUP(C104,[1]Sheet2!$A:$C,3,0)</f>
        <v>344630</v>
      </c>
      <c r="L104" s="102">
        <v>24</v>
      </c>
      <c r="M104" s="103">
        <v>17160</v>
      </c>
      <c r="N104" s="102">
        <v>43</v>
      </c>
      <c r="O104" s="103">
        <v>30745</v>
      </c>
      <c r="P104" s="102"/>
      <c r="Q104" s="106"/>
      <c r="R104" s="102"/>
      <c r="S104" s="106"/>
      <c r="T104" s="102"/>
      <c r="U104" s="106"/>
      <c r="V104" s="102"/>
      <c r="W104" s="106"/>
      <c r="X104" s="106"/>
      <c r="Y104" s="106"/>
      <c r="Z104" s="106"/>
      <c r="AA104" s="106"/>
      <c r="AB104" s="106"/>
      <c r="AC104" s="106"/>
      <c r="AD104" s="112">
        <f>F104+H104+J104+L104+N104+P104+R104+T104+V104+X104+Z104+AB104</f>
        <v>1114</v>
      </c>
      <c r="AE104" s="107">
        <f>G104+I104+K104+M104+O104+Q104+S104+U104+W104+Y104+AA104+AC104</f>
        <v>796510</v>
      </c>
    </row>
    <row r="105" spans="1:31">
      <c r="A105" s="100">
        <v>60</v>
      </c>
      <c r="B105" s="108">
        <v>4971710523058</v>
      </c>
      <c r="C105" s="109" t="s">
        <v>392</v>
      </c>
      <c r="D105" s="120" t="s">
        <v>1131</v>
      </c>
      <c r="E105" s="101" t="s">
        <v>393</v>
      </c>
      <c r="F105" s="110">
        <v>30</v>
      </c>
      <c r="G105" s="111">
        <v>26400</v>
      </c>
      <c r="H105" s="104">
        <v>60</v>
      </c>
      <c r="I105" s="105">
        <v>52800</v>
      </c>
      <c r="J105" s="102">
        <f>VLOOKUP(C105,[1]Sheet2!$A:$B,2,0 )</f>
        <v>80</v>
      </c>
      <c r="K105" s="103">
        <f>VLOOKUP(C105,[1]Sheet2!$A:$C,3,0)</f>
        <v>70400</v>
      </c>
      <c r="L105" s="102">
        <v>83</v>
      </c>
      <c r="M105" s="103">
        <v>73040</v>
      </c>
      <c r="N105" s="102">
        <v>40</v>
      </c>
      <c r="O105" s="103">
        <v>35200</v>
      </c>
      <c r="P105" s="102"/>
      <c r="Q105" s="106"/>
      <c r="R105" s="102"/>
      <c r="S105" s="106"/>
      <c r="T105" s="102"/>
      <c r="U105" s="106"/>
      <c r="V105" s="102"/>
      <c r="W105" s="106"/>
      <c r="X105" s="106"/>
      <c r="Y105" s="106"/>
      <c r="Z105" s="106"/>
      <c r="AA105" s="106"/>
      <c r="AB105" s="106"/>
      <c r="AC105" s="106"/>
      <c r="AD105" s="112">
        <f>F105+H105+J105+L105+N105+P105+R105+T105+V105+X105+Z105+AB105</f>
        <v>293</v>
      </c>
      <c r="AE105" s="107">
        <f>G105+I105+K105+M105+O105+Q105+S105+U105+W105+Y105+AA105+AC105</f>
        <v>257840</v>
      </c>
    </row>
    <row r="106" spans="1:31">
      <c r="A106" s="100">
        <v>169</v>
      </c>
      <c r="B106" s="108">
        <v>4971710593556</v>
      </c>
      <c r="C106" s="109" t="s">
        <v>979</v>
      </c>
      <c r="D106" s="120" t="s">
        <v>1129</v>
      </c>
      <c r="E106" s="101" t="s">
        <v>995</v>
      </c>
      <c r="F106" s="110"/>
      <c r="G106" s="111"/>
      <c r="H106" s="104">
        <v>20</v>
      </c>
      <c r="I106" s="105">
        <v>51700</v>
      </c>
      <c r="J106" s="102">
        <f>VLOOKUP(C106,[1]Sheet2!$A:$B,2,0 )</f>
        <v>10</v>
      </c>
      <c r="K106" s="103">
        <f>VLOOKUP(C106,[1]Sheet2!$A:$C,3,0)</f>
        <v>25850</v>
      </c>
      <c r="L106" s="102">
        <v>6</v>
      </c>
      <c r="M106" s="103">
        <v>15510</v>
      </c>
      <c r="N106" s="102">
        <v>40</v>
      </c>
      <c r="O106" s="103">
        <v>103400</v>
      </c>
      <c r="P106" s="102"/>
      <c r="Q106" s="106"/>
      <c r="R106" s="102"/>
      <c r="S106" s="106"/>
      <c r="T106" s="102"/>
      <c r="U106" s="106"/>
      <c r="V106" s="102"/>
      <c r="W106" s="106"/>
      <c r="X106" s="106"/>
      <c r="Y106" s="106"/>
      <c r="Z106" s="106"/>
      <c r="AA106" s="106"/>
      <c r="AB106" s="106"/>
      <c r="AC106" s="106"/>
      <c r="AD106" s="113">
        <f>F106+H106+J106+L106+N106+P106+R106+T106+V106+X106+Z106+AB106</f>
        <v>76</v>
      </c>
      <c r="AE106" s="107">
        <f>G106+I106+K106+M106+O106+Q106+S106+U106+W106+Y106+AA106+AC106</f>
        <v>196460</v>
      </c>
    </row>
    <row r="107" spans="1:31">
      <c r="A107" s="100">
        <v>370</v>
      </c>
      <c r="B107" s="108">
        <v>4971710516746</v>
      </c>
      <c r="C107" s="109" t="s">
        <v>324</v>
      </c>
      <c r="D107" s="120" t="s">
        <v>1131</v>
      </c>
      <c r="E107" s="101" t="s">
        <v>325</v>
      </c>
      <c r="F107" s="110"/>
      <c r="G107" s="111"/>
      <c r="H107" s="104"/>
      <c r="I107" s="105"/>
      <c r="J107" s="102"/>
      <c r="K107" s="103"/>
      <c r="L107" s="102"/>
      <c r="M107" s="103"/>
      <c r="N107" s="102">
        <v>40</v>
      </c>
      <c r="O107" s="103">
        <v>30800</v>
      </c>
      <c r="P107" s="102"/>
      <c r="Q107" s="106"/>
      <c r="R107" s="102"/>
      <c r="S107" s="106"/>
      <c r="T107" s="102"/>
      <c r="U107" s="106"/>
      <c r="V107" s="102"/>
      <c r="W107" s="106"/>
      <c r="X107" s="106"/>
      <c r="Y107" s="106"/>
      <c r="Z107" s="106"/>
      <c r="AA107" s="106"/>
      <c r="AB107" s="106"/>
      <c r="AC107" s="106"/>
      <c r="AD107" s="112">
        <f>F107+H107+J107+L107+N107+P107+R107+T107+V107+X107+Z107+AB107</f>
        <v>40</v>
      </c>
      <c r="AE107" s="107">
        <f>G107+I107+K107+M107+O107+Q107+S107+U107+W107+Y107+AA107+AC107</f>
        <v>30800</v>
      </c>
    </row>
    <row r="108" spans="1:31">
      <c r="A108" s="100">
        <v>390</v>
      </c>
      <c r="B108" s="108">
        <v>4971710516869</v>
      </c>
      <c r="C108" s="109" t="s">
        <v>332</v>
      </c>
      <c r="D108" s="120" t="s">
        <v>1131</v>
      </c>
      <c r="E108" s="101" t="s">
        <v>333</v>
      </c>
      <c r="F108" s="110"/>
      <c r="G108" s="111"/>
      <c r="H108" s="104"/>
      <c r="I108" s="105"/>
      <c r="J108" s="102"/>
      <c r="K108" s="103"/>
      <c r="L108" s="102"/>
      <c r="M108" s="103"/>
      <c r="N108" s="102">
        <v>40</v>
      </c>
      <c r="O108" s="103">
        <v>35200</v>
      </c>
      <c r="P108" s="102"/>
      <c r="Q108" s="106"/>
      <c r="R108" s="102"/>
      <c r="S108" s="106"/>
      <c r="T108" s="102"/>
      <c r="U108" s="106"/>
      <c r="V108" s="102"/>
      <c r="W108" s="106"/>
      <c r="X108" s="106"/>
      <c r="Y108" s="106"/>
      <c r="Z108" s="106"/>
      <c r="AA108" s="106"/>
      <c r="AB108" s="106"/>
      <c r="AC108" s="106"/>
      <c r="AD108" s="112">
        <f>F108+H108+J108+L108+N108+P108+R108+T108+V108+X108+Z108+AB108</f>
        <v>40</v>
      </c>
      <c r="AE108" s="107">
        <f>G108+I108+K108+M108+O108+Q108+S108+U108+W108+Y108+AA108+AC108</f>
        <v>35200</v>
      </c>
    </row>
    <row r="109" spans="1:31">
      <c r="A109" s="100">
        <v>105</v>
      </c>
      <c r="B109" s="108">
        <v>4971710598575</v>
      </c>
      <c r="C109" s="109" t="s">
        <v>836</v>
      </c>
      <c r="D109" s="120" t="s">
        <v>924</v>
      </c>
      <c r="E109" s="101" t="s">
        <v>1054</v>
      </c>
      <c r="F109" s="110"/>
      <c r="G109" s="111"/>
      <c r="H109" s="104">
        <v>20</v>
      </c>
      <c r="I109" s="105">
        <v>11000</v>
      </c>
      <c r="J109" s="102">
        <f>VLOOKUP(C109,[1]Sheet2!$A:$B,2,0 )</f>
        <v>60</v>
      </c>
      <c r="K109" s="103">
        <f>VLOOKUP(C109,[1]Sheet2!$A:$C,3,0)</f>
        <v>33000</v>
      </c>
      <c r="L109" s="102">
        <v>10</v>
      </c>
      <c r="M109" s="103">
        <v>5500</v>
      </c>
      <c r="N109" s="102">
        <v>36</v>
      </c>
      <c r="O109" s="103">
        <v>19800</v>
      </c>
      <c r="P109" s="102"/>
      <c r="Q109" s="106"/>
      <c r="R109" s="102"/>
      <c r="S109" s="106"/>
      <c r="T109" s="102"/>
      <c r="U109" s="106"/>
      <c r="V109" s="102"/>
      <c r="W109" s="106"/>
      <c r="X109" s="106"/>
      <c r="Y109" s="106"/>
      <c r="Z109" s="106"/>
      <c r="AA109" s="106"/>
      <c r="AB109" s="106"/>
      <c r="AC109" s="106"/>
      <c r="AD109" s="113">
        <f>F109+H109+J109+L109+N109+P109+R109+T109+V109+X109+Z109+AB109</f>
        <v>126</v>
      </c>
      <c r="AE109" s="107">
        <f>G109+I109+K109+M109+O109+Q109+S109+U109+W109+Y109+AA109+AC109</f>
        <v>69300</v>
      </c>
    </row>
    <row r="110" spans="1:31">
      <c r="A110" s="100">
        <v>147</v>
      </c>
      <c r="B110" s="108">
        <v>4971710599657</v>
      </c>
      <c r="C110" s="109" t="s">
        <v>1003</v>
      </c>
      <c r="D110" s="120" t="s">
        <v>924</v>
      </c>
      <c r="E110" s="101" t="s">
        <v>1004</v>
      </c>
      <c r="F110" s="110"/>
      <c r="G110" s="111"/>
      <c r="H110" s="104"/>
      <c r="I110" s="105"/>
      <c r="J110" s="102">
        <f>VLOOKUP(C110,[1]Sheet2!$A:$B,2,0 )</f>
        <v>50</v>
      </c>
      <c r="K110" s="103">
        <f>VLOOKUP(C110,[1]Sheet2!$A:$C,3,0)</f>
        <v>41250</v>
      </c>
      <c r="L110" s="102"/>
      <c r="M110" s="103"/>
      <c r="N110" s="102">
        <v>36</v>
      </c>
      <c r="O110" s="103">
        <v>29700</v>
      </c>
      <c r="P110" s="102"/>
      <c r="Q110" s="106"/>
      <c r="R110" s="102"/>
      <c r="S110" s="106"/>
      <c r="T110" s="102"/>
      <c r="U110" s="106"/>
      <c r="V110" s="102"/>
      <c r="W110" s="106"/>
      <c r="X110" s="106"/>
      <c r="Y110" s="106"/>
      <c r="Z110" s="106"/>
      <c r="AA110" s="106"/>
      <c r="AB110" s="106"/>
      <c r="AC110" s="106"/>
      <c r="AD110" s="113">
        <f>F110+H110+J110+L110+N110+P110+R110+T110+V110+X110+Z110+AB110</f>
        <v>86</v>
      </c>
      <c r="AE110" s="107">
        <f>G110+I110+K110+M110+O110+Q110+S110+U110+W110+Y110+AA110+AC110</f>
        <v>70950</v>
      </c>
    </row>
    <row r="111" spans="1:31">
      <c r="A111" s="100">
        <v>146</v>
      </c>
      <c r="B111" s="108">
        <v>4971710615968</v>
      </c>
      <c r="C111" s="109" t="s">
        <v>1115</v>
      </c>
      <c r="D111" s="120" t="s">
        <v>1131</v>
      </c>
      <c r="E111" s="101" t="s">
        <v>1118</v>
      </c>
      <c r="F111" s="110">
        <v>20</v>
      </c>
      <c r="G111" s="111">
        <v>13200</v>
      </c>
      <c r="H111" s="104"/>
      <c r="I111" s="105"/>
      <c r="J111" s="102">
        <f>VLOOKUP(C111,[1]Sheet2!$A:$B,2,0 )</f>
        <v>30</v>
      </c>
      <c r="K111" s="103">
        <f>VLOOKUP(C111,[1]Sheet2!$A:$C,3,0)</f>
        <v>19800</v>
      </c>
      <c r="L111" s="102">
        <v>2</v>
      </c>
      <c r="M111" s="103">
        <v>1320</v>
      </c>
      <c r="N111" s="102">
        <v>35</v>
      </c>
      <c r="O111" s="103">
        <v>23100</v>
      </c>
      <c r="P111" s="102"/>
      <c r="Q111" s="106"/>
      <c r="R111" s="102"/>
      <c r="S111" s="106"/>
      <c r="T111" s="102"/>
      <c r="U111" s="106"/>
      <c r="V111" s="102"/>
      <c r="W111" s="106"/>
      <c r="X111" s="106"/>
      <c r="Y111" s="106"/>
      <c r="Z111" s="106"/>
      <c r="AA111" s="106"/>
      <c r="AB111" s="106"/>
      <c r="AC111" s="106"/>
      <c r="AD111" s="113">
        <f>F111+H111+J111+L111+N111+P111+R111+T111+V111+X111+Z111+AB111</f>
        <v>87</v>
      </c>
      <c r="AE111" s="107">
        <f>G111+I111+K111+M111+O111+Q111+S111+U111+W111+Y111+AA111+AC111</f>
        <v>57420</v>
      </c>
    </row>
    <row r="112" spans="1:31">
      <c r="A112" s="100">
        <v>360</v>
      </c>
      <c r="B112" s="108">
        <v>4971710516739</v>
      </c>
      <c r="C112" s="109" t="s">
        <v>322</v>
      </c>
      <c r="D112" s="120" t="s">
        <v>1131</v>
      </c>
      <c r="E112" s="101" t="s">
        <v>323</v>
      </c>
      <c r="F112" s="110"/>
      <c r="G112" s="111"/>
      <c r="H112" s="104"/>
      <c r="I112" s="105"/>
      <c r="J112" s="102"/>
      <c r="K112" s="103"/>
      <c r="L112" s="102"/>
      <c r="M112" s="103"/>
      <c r="N112" s="102">
        <v>35</v>
      </c>
      <c r="O112" s="103">
        <v>26950</v>
      </c>
      <c r="P112" s="102"/>
      <c r="Q112" s="106"/>
      <c r="R112" s="102"/>
      <c r="S112" s="106"/>
      <c r="T112" s="102"/>
      <c r="U112" s="106"/>
      <c r="V112" s="102"/>
      <c r="W112" s="106"/>
      <c r="X112" s="106"/>
      <c r="Y112" s="106"/>
      <c r="Z112" s="106"/>
      <c r="AA112" s="106"/>
      <c r="AB112" s="106"/>
      <c r="AC112" s="106"/>
      <c r="AD112" s="112">
        <f>F112+H112+J112+L112+N112+P112+R112+T112+V112+X112+Z112+AB112</f>
        <v>35</v>
      </c>
      <c r="AE112" s="107">
        <f>G112+I112+K112+M112+O112+Q112+S112+U112+W112+Y112+AA112+AC112</f>
        <v>26950</v>
      </c>
    </row>
    <row r="113" spans="1:31">
      <c r="A113" s="100">
        <v>50</v>
      </c>
      <c r="B113" s="108">
        <v>4971710508833</v>
      </c>
      <c r="C113" s="109" t="s">
        <v>200</v>
      </c>
      <c r="D113" s="120" t="s">
        <v>924</v>
      </c>
      <c r="E113" s="101" t="s">
        <v>201</v>
      </c>
      <c r="F113" s="110"/>
      <c r="G113" s="111"/>
      <c r="H113" s="104">
        <v>70</v>
      </c>
      <c r="I113" s="105">
        <v>61600</v>
      </c>
      <c r="J113" s="102">
        <f>VLOOKUP(C113,[1]Sheet2!$A:$B,2,0 )</f>
        <v>160</v>
      </c>
      <c r="K113" s="103">
        <f>VLOOKUP(C113,[1]Sheet2!$A:$C,3,0)</f>
        <v>140800</v>
      </c>
      <c r="L113" s="102"/>
      <c r="M113" s="103"/>
      <c r="N113" s="102">
        <v>30</v>
      </c>
      <c r="O113" s="103">
        <v>26400</v>
      </c>
      <c r="P113" s="102"/>
      <c r="Q113" s="106"/>
      <c r="R113" s="102"/>
      <c r="S113" s="106"/>
      <c r="T113" s="102"/>
      <c r="U113" s="106"/>
      <c r="V113" s="102"/>
      <c r="W113" s="106"/>
      <c r="X113" s="106"/>
      <c r="Y113" s="106"/>
      <c r="Z113" s="106"/>
      <c r="AA113" s="106"/>
      <c r="AB113" s="106"/>
      <c r="AC113" s="106"/>
      <c r="AD113" s="112">
        <f>F113+H113+J113+L113+N113+P113+R113+T113+V113+X113+Z113+AB113</f>
        <v>260</v>
      </c>
      <c r="AE113" s="107">
        <f>G113+I113+K113+M113+O113+Q113+S113+U113+W113+Y113+AA113+AC113</f>
        <v>228800</v>
      </c>
    </row>
    <row r="114" spans="1:31">
      <c r="A114" s="100">
        <v>141</v>
      </c>
      <c r="B114" s="108">
        <v>4971710615920</v>
      </c>
      <c r="C114" s="109" t="s">
        <v>1108</v>
      </c>
      <c r="D114" s="120" t="s">
        <v>1131</v>
      </c>
      <c r="E114" s="101" t="s">
        <v>1111</v>
      </c>
      <c r="F114" s="110">
        <v>20</v>
      </c>
      <c r="G114" s="111">
        <v>13200</v>
      </c>
      <c r="H114" s="104"/>
      <c r="I114" s="105"/>
      <c r="J114" s="102">
        <f>VLOOKUP(C114,[1]Sheet2!$A:$B,2,0 )</f>
        <v>30</v>
      </c>
      <c r="K114" s="103">
        <f>VLOOKUP(C114,[1]Sheet2!$A:$C,3,0)</f>
        <v>19800</v>
      </c>
      <c r="L114" s="102">
        <v>52</v>
      </c>
      <c r="M114" s="103">
        <v>34320</v>
      </c>
      <c r="N114" s="102">
        <v>30</v>
      </c>
      <c r="O114" s="103">
        <v>19800</v>
      </c>
      <c r="P114" s="102"/>
      <c r="Q114" s="106"/>
      <c r="R114" s="102"/>
      <c r="S114" s="106"/>
      <c r="T114" s="102"/>
      <c r="U114" s="106"/>
      <c r="V114" s="102"/>
      <c r="W114" s="106"/>
      <c r="X114" s="106"/>
      <c r="Y114" s="106"/>
      <c r="Z114" s="106"/>
      <c r="AA114" s="106"/>
      <c r="AB114" s="106"/>
      <c r="AC114" s="106"/>
      <c r="AD114" s="113">
        <f>F114+H114+J114+L114+N114+P114+R114+T114+V114+X114+Z114+AB114</f>
        <v>132</v>
      </c>
      <c r="AE114" s="107">
        <f>G114+I114+K114+M114+O114+Q114+S114+U114+W114+Y114+AA114+AC114</f>
        <v>87120</v>
      </c>
    </row>
    <row r="115" spans="1:31">
      <c r="A115" s="100">
        <v>131</v>
      </c>
      <c r="B115" s="108">
        <v>4971710564778</v>
      </c>
      <c r="C115" s="109" t="s">
        <v>490</v>
      </c>
      <c r="D115" s="120" t="s">
        <v>924</v>
      </c>
      <c r="E115" s="101" t="s">
        <v>491</v>
      </c>
      <c r="F115" s="110"/>
      <c r="G115" s="111"/>
      <c r="H115" s="104">
        <v>20</v>
      </c>
      <c r="I115" s="105">
        <v>13200</v>
      </c>
      <c r="J115" s="102">
        <f>VLOOKUP(C115,[1]Sheet2!$A:$B,2,0 )</f>
        <v>30</v>
      </c>
      <c r="K115" s="103">
        <f>VLOOKUP(C115,[1]Sheet2!$A:$C,3,0)</f>
        <v>19800</v>
      </c>
      <c r="L115" s="102">
        <v>36</v>
      </c>
      <c r="M115" s="103">
        <v>23760</v>
      </c>
      <c r="N115" s="102">
        <v>30</v>
      </c>
      <c r="O115" s="103">
        <v>19800</v>
      </c>
      <c r="P115" s="102"/>
      <c r="Q115" s="106"/>
      <c r="R115" s="102"/>
      <c r="S115" s="106"/>
      <c r="T115" s="102"/>
      <c r="U115" s="106"/>
      <c r="V115" s="102"/>
      <c r="W115" s="106"/>
      <c r="X115" s="106"/>
      <c r="Y115" s="106"/>
      <c r="Z115" s="106"/>
      <c r="AA115" s="106"/>
      <c r="AB115" s="106"/>
      <c r="AC115" s="106"/>
      <c r="AD115" s="112">
        <f>F115+H115+J115+L115+N115+P115+R115+T115+V115+X115+Z115+AB115</f>
        <v>116</v>
      </c>
      <c r="AE115" s="107">
        <f>G115+I115+K115+M115+O115+Q115+S115+U115+W115+Y115+AA115+AC115</f>
        <v>76560</v>
      </c>
    </row>
    <row r="116" spans="1:31">
      <c r="A116" s="100">
        <v>108</v>
      </c>
      <c r="B116" s="108">
        <v>4971710568547</v>
      </c>
      <c r="C116" s="109" t="s">
        <v>522</v>
      </c>
      <c r="D116" s="120" t="s">
        <v>924</v>
      </c>
      <c r="E116" s="101" t="s">
        <v>523</v>
      </c>
      <c r="F116" s="110"/>
      <c r="G116" s="111"/>
      <c r="H116" s="104">
        <v>15</v>
      </c>
      <c r="I116" s="105">
        <v>9900</v>
      </c>
      <c r="J116" s="102">
        <f>VLOOKUP(C116,[1]Sheet2!$A:$B,2,0 )</f>
        <v>60</v>
      </c>
      <c r="K116" s="103">
        <f>VLOOKUP(C116,[1]Sheet2!$A:$C,3,0)</f>
        <v>39600</v>
      </c>
      <c r="L116" s="102">
        <v>10</v>
      </c>
      <c r="M116" s="103">
        <v>6600</v>
      </c>
      <c r="N116" s="102">
        <v>30</v>
      </c>
      <c r="O116" s="103">
        <v>19800</v>
      </c>
      <c r="P116" s="102"/>
      <c r="Q116" s="106"/>
      <c r="R116" s="102"/>
      <c r="S116" s="106"/>
      <c r="T116" s="102"/>
      <c r="U116" s="106"/>
      <c r="V116" s="102"/>
      <c r="W116" s="106"/>
      <c r="X116" s="106"/>
      <c r="Y116" s="106"/>
      <c r="Z116" s="106"/>
      <c r="AA116" s="106"/>
      <c r="AB116" s="106"/>
      <c r="AC116" s="106"/>
      <c r="AD116" s="112">
        <f>F116+H116+J116+L116+N116+P116+R116+T116+V116+X116+Z116+AB116</f>
        <v>115</v>
      </c>
      <c r="AE116" s="107">
        <f>G116+I116+K116+M116+O116+Q116+S116+U116+W116+Y116+AA116+AC116</f>
        <v>75900</v>
      </c>
    </row>
    <row r="117" spans="1:31">
      <c r="A117" s="100">
        <v>139</v>
      </c>
      <c r="B117" s="108">
        <v>4971710584691</v>
      </c>
      <c r="C117" s="109" t="s">
        <v>707</v>
      </c>
      <c r="D117" s="120" t="s">
        <v>1131</v>
      </c>
      <c r="E117" s="101" t="s">
        <v>708</v>
      </c>
      <c r="F117" s="110">
        <v>20</v>
      </c>
      <c r="G117" s="111">
        <v>7140</v>
      </c>
      <c r="H117" s="104"/>
      <c r="I117" s="105"/>
      <c r="J117" s="102">
        <f>VLOOKUP(C117,[1]Sheet2!$A:$B,2,0 )</f>
        <v>30</v>
      </c>
      <c r="K117" s="103">
        <f>VLOOKUP(C117,[1]Sheet2!$A:$C,3,0)</f>
        <v>10710</v>
      </c>
      <c r="L117" s="102">
        <v>34</v>
      </c>
      <c r="M117" s="103">
        <v>12155</v>
      </c>
      <c r="N117" s="102">
        <v>30</v>
      </c>
      <c r="O117" s="103">
        <v>10725</v>
      </c>
      <c r="P117" s="102"/>
      <c r="Q117" s="106"/>
      <c r="R117" s="102"/>
      <c r="S117" s="106"/>
      <c r="T117" s="102"/>
      <c r="U117" s="106"/>
      <c r="V117" s="102"/>
      <c r="W117" s="106"/>
      <c r="X117" s="106"/>
      <c r="Y117" s="106"/>
      <c r="Z117" s="106"/>
      <c r="AA117" s="106"/>
      <c r="AB117" s="106"/>
      <c r="AC117" s="106"/>
      <c r="AD117" s="112">
        <f>F117+H117+J117+L117+N117+P117+R117+T117+V117+X117+Z117+AB117</f>
        <v>114</v>
      </c>
      <c r="AE117" s="107">
        <f>G117+I117+K117+M117+O117+Q117+S117+U117+W117+Y117+AA117+AC117</f>
        <v>40730</v>
      </c>
    </row>
    <row r="118" spans="1:31">
      <c r="A118" s="100">
        <v>123</v>
      </c>
      <c r="B118" s="108">
        <v>4971710598582</v>
      </c>
      <c r="C118" s="109" t="s">
        <v>834</v>
      </c>
      <c r="D118" s="120" t="s">
        <v>924</v>
      </c>
      <c r="E118" s="101" t="s">
        <v>1058</v>
      </c>
      <c r="F118" s="110"/>
      <c r="G118" s="111"/>
      <c r="H118" s="104">
        <v>30</v>
      </c>
      <c r="I118" s="105">
        <v>16500</v>
      </c>
      <c r="J118" s="102">
        <f>VLOOKUP(C118,[1]Sheet2!$A:$B,2,0 )</f>
        <v>30</v>
      </c>
      <c r="K118" s="103">
        <f>VLOOKUP(C118,[1]Sheet2!$A:$C,3,0)</f>
        <v>16500</v>
      </c>
      <c r="L118" s="102">
        <v>14</v>
      </c>
      <c r="M118" s="103">
        <v>7700</v>
      </c>
      <c r="N118" s="102">
        <v>30</v>
      </c>
      <c r="O118" s="103">
        <v>16500</v>
      </c>
      <c r="P118" s="102"/>
      <c r="Q118" s="106"/>
      <c r="R118" s="102"/>
      <c r="S118" s="106"/>
      <c r="T118" s="102"/>
      <c r="U118" s="106"/>
      <c r="V118" s="102"/>
      <c r="W118" s="106"/>
      <c r="X118" s="106"/>
      <c r="Y118" s="106"/>
      <c r="Z118" s="106"/>
      <c r="AA118" s="106"/>
      <c r="AB118" s="106"/>
      <c r="AC118" s="106"/>
      <c r="AD118" s="113">
        <f>F118+H118+J118+L118+N118+P118+R118+T118+V118+X118+Z118+AB118</f>
        <v>104</v>
      </c>
      <c r="AE118" s="107">
        <f>G118+I118+K118+M118+O118+Q118+S118+U118+W118+Y118+AA118+AC118</f>
        <v>57200</v>
      </c>
    </row>
    <row r="119" spans="1:31">
      <c r="A119" s="100">
        <v>293</v>
      </c>
      <c r="B119" s="108">
        <v>4971710494174</v>
      </c>
      <c r="C119" s="109" t="s">
        <v>114</v>
      </c>
      <c r="D119" s="120" t="s">
        <v>924</v>
      </c>
      <c r="E119" s="101" t="s">
        <v>115</v>
      </c>
      <c r="F119" s="110"/>
      <c r="G119" s="111"/>
      <c r="H119" s="104"/>
      <c r="I119" s="105"/>
      <c r="J119" s="102"/>
      <c r="K119" s="103"/>
      <c r="L119" s="102">
        <v>66</v>
      </c>
      <c r="M119" s="103">
        <v>19602</v>
      </c>
      <c r="N119" s="102">
        <v>30</v>
      </c>
      <c r="O119" s="103">
        <v>8910</v>
      </c>
      <c r="P119" s="102"/>
      <c r="Q119" s="106"/>
      <c r="R119" s="102"/>
      <c r="S119" s="106"/>
      <c r="T119" s="102"/>
      <c r="U119" s="106"/>
      <c r="V119" s="102"/>
      <c r="W119" s="106"/>
      <c r="X119" s="106"/>
      <c r="Y119" s="106"/>
      <c r="Z119" s="106"/>
      <c r="AA119" s="106"/>
      <c r="AB119" s="106"/>
      <c r="AC119" s="106"/>
      <c r="AD119" s="112">
        <f>F119+H119+J119+L119+N119+P119+R119+T119+V119+X119+Z119+AB119</f>
        <v>96</v>
      </c>
      <c r="AE119" s="107">
        <f>G119+I119+K119+M119+O119+Q119+S119+U119+W119+Y119+AA119+AC119</f>
        <v>28512</v>
      </c>
    </row>
    <row r="120" spans="1:31">
      <c r="A120" s="100">
        <v>132</v>
      </c>
      <c r="B120" s="108">
        <v>4971710578591</v>
      </c>
      <c r="C120" s="109" t="s">
        <v>635</v>
      </c>
      <c r="D120" s="120" t="s">
        <v>1131</v>
      </c>
      <c r="E120" s="101" t="s">
        <v>636</v>
      </c>
      <c r="F120" s="110"/>
      <c r="G120" s="111"/>
      <c r="H120" s="104">
        <v>20</v>
      </c>
      <c r="I120" s="105">
        <v>12100</v>
      </c>
      <c r="J120" s="102">
        <f>VLOOKUP(C120,[1]Sheet2!$A:$B,2,0 )</f>
        <v>30</v>
      </c>
      <c r="K120" s="103">
        <f>VLOOKUP(C120,[1]Sheet2!$A:$C,3,0)</f>
        <v>18150</v>
      </c>
      <c r="L120" s="102">
        <v>4</v>
      </c>
      <c r="M120" s="103">
        <v>2420</v>
      </c>
      <c r="N120" s="102">
        <v>30</v>
      </c>
      <c r="O120" s="103">
        <v>18150</v>
      </c>
      <c r="P120" s="102"/>
      <c r="Q120" s="106"/>
      <c r="R120" s="102"/>
      <c r="S120" s="106"/>
      <c r="T120" s="102"/>
      <c r="U120" s="106"/>
      <c r="V120" s="102"/>
      <c r="W120" s="106"/>
      <c r="X120" s="106"/>
      <c r="Y120" s="106"/>
      <c r="Z120" s="106"/>
      <c r="AA120" s="106"/>
      <c r="AB120" s="106"/>
      <c r="AC120" s="106"/>
      <c r="AD120" s="112">
        <f>F120+H120+J120+L120+N120+P120+R120+T120+V120+X120+Z120+AB120</f>
        <v>84</v>
      </c>
      <c r="AE120" s="107">
        <f>G120+I120+K120+M120+O120+Q120+S120+U120+W120+Y120+AA120+AC120</f>
        <v>50820</v>
      </c>
    </row>
    <row r="121" spans="1:31">
      <c r="A121" s="100">
        <v>174</v>
      </c>
      <c r="B121" s="108">
        <v>4971710564761</v>
      </c>
      <c r="C121" s="109" t="s">
        <v>488</v>
      </c>
      <c r="D121" s="120" t="s">
        <v>924</v>
      </c>
      <c r="E121" s="101" t="s">
        <v>489</v>
      </c>
      <c r="F121" s="110"/>
      <c r="G121" s="111"/>
      <c r="H121" s="104"/>
      <c r="I121" s="105"/>
      <c r="J121" s="102">
        <f>VLOOKUP(C121,[1]Sheet2!$A:$B,2,0 )</f>
        <v>30</v>
      </c>
      <c r="K121" s="103">
        <f>VLOOKUP(C121,[1]Sheet2!$A:$C,3,0)</f>
        <v>19800</v>
      </c>
      <c r="L121" s="102">
        <v>21</v>
      </c>
      <c r="M121" s="103">
        <v>13860</v>
      </c>
      <c r="N121" s="102">
        <v>30</v>
      </c>
      <c r="O121" s="103">
        <v>19800</v>
      </c>
      <c r="P121" s="102"/>
      <c r="Q121" s="106"/>
      <c r="R121" s="102"/>
      <c r="S121" s="106"/>
      <c r="T121" s="102"/>
      <c r="U121" s="106"/>
      <c r="V121" s="102"/>
      <c r="W121" s="106"/>
      <c r="X121" s="106"/>
      <c r="Y121" s="106"/>
      <c r="Z121" s="106"/>
      <c r="AA121" s="106"/>
      <c r="AB121" s="106"/>
      <c r="AC121" s="106"/>
      <c r="AD121" s="112">
        <f>F121+H121+J121+L121+N121+P121+R121+T121+V121+X121+Z121+AB121</f>
        <v>81</v>
      </c>
      <c r="AE121" s="107">
        <f>G121+I121+K121+M121+O121+Q121+S121+U121+W121+Y121+AA121+AC121</f>
        <v>53460</v>
      </c>
    </row>
    <row r="122" spans="1:31">
      <c r="A122" s="100">
        <v>150</v>
      </c>
      <c r="B122" s="108">
        <v>4971710508864</v>
      </c>
      <c r="C122" s="109" t="s">
        <v>202</v>
      </c>
      <c r="D122" s="120" t="s">
        <v>924</v>
      </c>
      <c r="E122" s="101" t="s">
        <v>203</v>
      </c>
      <c r="F122" s="110"/>
      <c r="G122" s="111"/>
      <c r="H122" s="104">
        <v>28</v>
      </c>
      <c r="I122" s="105">
        <v>24640</v>
      </c>
      <c r="J122" s="102">
        <f>VLOOKUP(C122,[1]Sheet2!$A:$B,2,0 )</f>
        <v>15</v>
      </c>
      <c r="K122" s="103">
        <f>VLOOKUP(C122,[1]Sheet2!$A:$C,3,0)</f>
        <v>13200</v>
      </c>
      <c r="L122" s="102"/>
      <c r="M122" s="103"/>
      <c r="N122" s="102">
        <v>30</v>
      </c>
      <c r="O122" s="103">
        <v>26400</v>
      </c>
      <c r="P122" s="102"/>
      <c r="Q122" s="106"/>
      <c r="R122" s="102"/>
      <c r="S122" s="106"/>
      <c r="T122" s="102"/>
      <c r="U122" s="106"/>
      <c r="V122" s="102"/>
      <c r="W122" s="106"/>
      <c r="X122" s="106"/>
      <c r="Y122" s="106"/>
      <c r="Z122" s="106"/>
      <c r="AA122" s="106"/>
      <c r="AB122" s="106"/>
      <c r="AC122" s="106"/>
      <c r="AD122" s="112">
        <f>F122+H122+J122+L122+N122+P122+R122+T122+V122+X122+Z122+AB122</f>
        <v>73</v>
      </c>
      <c r="AE122" s="107">
        <f>G122+I122+K122+M122+O122+Q122+S122+U122+W122+Y122+AA122+AC122</f>
        <v>64240</v>
      </c>
    </row>
    <row r="123" spans="1:31">
      <c r="A123" s="100">
        <v>297</v>
      </c>
      <c r="B123" s="108">
        <v>4971710494181</v>
      </c>
      <c r="C123" s="109" t="s">
        <v>116</v>
      </c>
      <c r="D123" s="120" t="s">
        <v>924</v>
      </c>
      <c r="E123" s="101" t="s">
        <v>117</v>
      </c>
      <c r="F123" s="110"/>
      <c r="G123" s="111"/>
      <c r="H123" s="104"/>
      <c r="I123" s="105"/>
      <c r="J123" s="102"/>
      <c r="K123" s="103"/>
      <c r="L123" s="102">
        <v>42</v>
      </c>
      <c r="M123" s="103">
        <v>12474</v>
      </c>
      <c r="N123" s="102">
        <v>30</v>
      </c>
      <c r="O123" s="103">
        <v>8910</v>
      </c>
      <c r="P123" s="102"/>
      <c r="Q123" s="106"/>
      <c r="R123" s="102"/>
      <c r="S123" s="106"/>
      <c r="T123" s="102"/>
      <c r="U123" s="106"/>
      <c r="V123" s="102"/>
      <c r="W123" s="106"/>
      <c r="X123" s="106"/>
      <c r="Y123" s="106"/>
      <c r="Z123" s="106"/>
      <c r="AA123" s="106"/>
      <c r="AB123" s="106"/>
      <c r="AC123" s="106"/>
      <c r="AD123" s="112">
        <f>F123+H123+J123+L123+N123+P123+R123+T123+V123+X123+Z123+AB123</f>
        <v>72</v>
      </c>
      <c r="AE123" s="107">
        <f>G123+I123+K123+M123+O123+Q123+S123+U123+W123+Y123+AA123+AC123</f>
        <v>21384</v>
      </c>
    </row>
    <row r="124" spans="1:31">
      <c r="A124" s="100">
        <v>302</v>
      </c>
      <c r="B124" s="108">
        <v>4971710577402</v>
      </c>
      <c r="C124" s="109" t="s">
        <v>623</v>
      </c>
      <c r="D124" s="120" t="s">
        <v>924</v>
      </c>
      <c r="E124" s="101" t="s">
        <v>624</v>
      </c>
      <c r="F124" s="110"/>
      <c r="G124" s="111"/>
      <c r="H124" s="104"/>
      <c r="I124" s="105"/>
      <c r="J124" s="102"/>
      <c r="K124" s="103"/>
      <c r="L124" s="102">
        <v>42</v>
      </c>
      <c r="M124" s="103">
        <v>27720</v>
      </c>
      <c r="N124" s="102">
        <v>30</v>
      </c>
      <c r="O124" s="103">
        <v>19800</v>
      </c>
      <c r="P124" s="102"/>
      <c r="Q124" s="106"/>
      <c r="R124" s="102"/>
      <c r="S124" s="106"/>
      <c r="T124" s="102"/>
      <c r="U124" s="106"/>
      <c r="V124" s="102"/>
      <c r="W124" s="106"/>
      <c r="X124" s="106"/>
      <c r="Y124" s="106"/>
      <c r="Z124" s="106"/>
      <c r="AA124" s="106"/>
      <c r="AB124" s="106"/>
      <c r="AC124" s="106"/>
      <c r="AD124" s="112">
        <f>F124+H124+J124+L124+N124+P124+R124+T124+V124+X124+Z124+AB124</f>
        <v>72</v>
      </c>
      <c r="AE124" s="107">
        <f>G124+I124+K124+M124+O124+Q124+S124+U124+W124+Y124+AA124+AC124</f>
        <v>47520</v>
      </c>
    </row>
    <row r="125" spans="1:31">
      <c r="A125" s="100">
        <v>176</v>
      </c>
      <c r="B125" s="108">
        <v>4971710565072</v>
      </c>
      <c r="C125" s="109" t="s">
        <v>506</v>
      </c>
      <c r="D125" s="120" t="s">
        <v>1131</v>
      </c>
      <c r="E125" s="101" t="s">
        <v>507</v>
      </c>
      <c r="F125" s="110"/>
      <c r="G125" s="111"/>
      <c r="H125" s="104"/>
      <c r="I125" s="105"/>
      <c r="J125" s="102">
        <f>VLOOKUP(C125,[1]Sheet2!$A:$B,2,0 )</f>
        <v>30</v>
      </c>
      <c r="K125" s="103">
        <f>VLOOKUP(C125,[1]Sheet2!$A:$C,3,0)</f>
        <v>19800</v>
      </c>
      <c r="L125" s="102">
        <v>12</v>
      </c>
      <c r="M125" s="103">
        <v>7920</v>
      </c>
      <c r="N125" s="102">
        <v>30</v>
      </c>
      <c r="O125" s="103">
        <v>19800</v>
      </c>
      <c r="P125" s="102"/>
      <c r="Q125" s="106"/>
      <c r="R125" s="102"/>
      <c r="S125" s="106"/>
      <c r="T125" s="102"/>
      <c r="U125" s="106"/>
      <c r="V125" s="102"/>
      <c r="W125" s="106"/>
      <c r="X125" s="106"/>
      <c r="Y125" s="106"/>
      <c r="Z125" s="106"/>
      <c r="AA125" s="106"/>
      <c r="AB125" s="106"/>
      <c r="AC125" s="106"/>
      <c r="AD125" s="112">
        <f>F125+H125+J125+L125+N125+P125+R125+T125+V125+X125+Z125+AB125</f>
        <v>72</v>
      </c>
      <c r="AE125" s="107">
        <f>G125+I125+K125+M125+O125+Q125+S125+U125+W125+Y125+AA125+AC125</f>
        <v>47520</v>
      </c>
    </row>
    <row r="126" spans="1:31">
      <c r="A126" s="100">
        <v>262</v>
      </c>
      <c r="B126" s="108">
        <v>4971710617108</v>
      </c>
      <c r="C126" s="109" t="s">
        <v>1203</v>
      </c>
      <c r="D126" s="120" t="s">
        <v>920</v>
      </c>
      <c r="E126" s="101" t="s">
        <v>1228</v>
      </c>
      <c r="F126" s="110"/>
      <c r="G126" s="111"/>
      <c r="H126" s="104"/>
      <c r="I126" s="105"/>
      <c r="J126" s="102">
        <f>VLOOKUP(C126,[1]Sheet2!$A:$B,2,0 )</f>
        <v>5</v>
      </c>
      <c r="K126" s="103">
        <f>VLOOKUP(C126,[1]Sheet2!$A:$C,3,0)</f>
        <v>6325</v>
      </c>
      <c r="L126" s="102">
        <v>30</v>
      </c>
      <c r="M126" s="103">
        <v>37950</v>
      </c>
      <c r="N126" s="102">
        <v>30</v>
      </c>
      <c r="O126" s="103">
        <v>37950</v>
      </c>
      <c r="P126" s="102"/>
      <c r="Q126" s="106"/>
      <c r="R126" s="102"/>
      <c r="S126" s="106"/>
      <c r="T126" s="102"/>
      <c r="U126" s="106"/>
      <c r="V126" s="102"/>
      <c r="W126" s="106"/>
      <c r="X126" s="106"/>
      <c r="Y126" s="106"/>
      <c r="Z126" s="106"/>
      <c r="AA126" s="106"/>
      <c r="AB126" s="106"/>
      <c r="AC126" s="106"/>
      <c r="AD126" s="113">
        <f>F126+H126+J126+L126+N126+P126+R126+T126+V126+X126+Z126+AB126</f>
        <v>65</v>
      </c>
      <c r="AE126" s="107">
        <f>G126+I126+K126+M126+O126+Q126+S126+U126+W126+Y126+AA126+AC126</f>
        <v>82225</v>
      </c>
    </row>
    <row r="127" spans="1:31">
      <c r="A127" s="100">
        <v>263</v>
      </c>
      <c r="B127" s="108">
        <v>4971710617115</v>
      </c>
      <c r="C127" s="109" t="s">
        <v>1204</v>
      </c>
      <c r="D127" s="120" t="s">
        <v>920</v>
      </c>
      <c r="E127" s="101" t="s">
        <v>1229</v>
      </c>
      <c r="F127" s="110"/>
      <c r="G127" s="111"/>
      <c r="H127" s="104"/>
      <c r="I127" s="105"/>
      <c r="J127" s="102">
        <f>VLOOKUP(C127,[1]Sheet2!$A:$B,2,0 )</f>
        <v>5</v>
      </c>
      <c r="K127" s="103">
        <f>VLOOKUP(C127,[1]Sheet2!$A:$C,3,0)</f>
        <v>6325</v>
      </c>
      <c r="L127" s="102">
        <v>30</v>
      </c>
      <c r="M127" s="103">
        <v>37950</v>
      </c>
      <c r="N127" s="102">
        <v>30</v>
      </c>
      <c r="O127" s="103">
        <v>37950</v>
      </c>
      <c r="P127" s="102"/>
      <c r="Q127" s="106"/>
      <c r="R127" s="102"/>
      <c r="S127" s="106"/>
      <c r="T127" s="102"/>
      <c r="U127" s="106"/>
      <c r="V127" s="102"/>
      <c r="W127" s="106"/>
      <c r="X127" s="106"/>
      <c r="Y127" s="106"/>
      <c r="Z127" s="106"/>
      <c r="AA127" s="106"/>
      <c r="AB127" s="106"/>
      <c r="AC127" s="106"/>
      <c r="AD127" s="113">
        <f>F127+H127+J127+L127+N127+P127+R127+T127+V127+X127+Z127+AB127</f>
        <v>65</v>
      </c>
      <c r="AE127" s="107">
        <f>G127+I127+K127+M127+O127+Q127+S127+U127+W127+Y127+AA127+AC127</f>
        <v>82225</v>
      </c>
    </row>
    <row r="128" spans="1:31">
      <c r="A128" s="100">
        <v>301</v>
      </c>
      <c r="B128" s="108">
        <v>4971710584707</v>
      </c>
      <c r="C128" s="109" t="s">
        <v>709</v>
      </c>
      <c r="D128" s="120" t="s">
        <v>1131</v>
      </c>
      <c r="E128" s="101" t="s">
        <v>710</v>
      </c>
      <c r="F128" s="110"/>
      <c r="G128" s="111"/>
      <c r="H128" s="104"/>
      <c r="I128" s="105"/>
      <c r="J128" s="102"/>
      <c r="K128" s="103"/>
      <c r="L128" s="102">
        <v>34</v>
      </c>
      <c r="M128" s="103">
        <v>12155</v>
      </c>
      <c r="N128" s="102">
        <v>30</v>
      </c>
      <c r="O128" s="103">
        <v>10725</v>
      </c>
      <c r="P128" s="102"/>
      <c r="Q128" s="106"/>
      <c r="R128" s="102"/>
      <c r="S128" s="106"/>
      <c r="T128" s="102"/>
      <c r="U128" s="106"/>
      <c r="V128" s="102"/>
      <c r="W128" s="106"/>
      <c r="X128" s="106"/>
      <c r="Y128" s="106"/>
      <c r="Z128" s="106"/>
      <c r="AA128" s="106"/>
      <c r="AB128" s="106"/>
      <c r="AC128" s="106"/>
      <c r="AD128" s="112">
        <f>F128+H128+J128+L128+N128+P128+R128+T128+V128+X128+Z128+AB128</f>
        <v>64</v>
      </c>
      <c r="AE128" s="107">
        <f>G128+I128+K128+M128+O128+Q128+S128+U128+W128+Y128+AA128+AC128</f>
        <v>22880</v>
      </c>
    </row>
    <row r="129" spans="1:31">
      <c r="A129" s="100">
        <v>312</v>
      </c>
      <c r="B129" s="108">
        <v>4971710513677</v>
      </c>
      <c r="C129" s="109" t="s">
        <v>270</v>
      </c>
      <c r="D129" s="120" t="s">
        <v>1131</v>
      </c>
      <c r="E129" s="101" t="s">
        <v>271</v>
      </c>
      <c r="F129" s="110"/>
      <c r="G129" s="111"/>
      <c r="H129" s="104"/>
      <c r="I129" s="105"/>
      <c r="J129" s="102"/>
      <c r="K129" s="103"/>
      <c r="L129" s="102">
        <v>34</v>
      </c>
      <c r="M129" s="103">
        <v>18700</v>
      </c>
      <c r="N129" s="102">
        <v>30</v>
      </c>
      <c r="O129" s="103">
        <v>16500</v>
      </c>
      <c r="P129" s="102"/>
      <c r="Q129" s="106"/>
      <c r="R129" s="102"/>
      <c r="S129" s="106"/>
      <c r="T129" s="102"/>
      <c r="U129" s="106"/>
      <c r="V129" s="102"/>
      <c r="W129" s="106"/>
      <c r="X129" s="106"/>
      <c r="Y129" s="106"/>
      <c r="Z129" s="106"/>
      <c r="AA129" s="106"/>
      <c r="AB129" s="106"/>
      <c r="AC129" s="106"/>
      <c r="AD129" s="112">
        <f>F129+H129+J129+L129+N129+P129+R129+T129+V129+X129+Z129+AB129</f>
        <v>64</v>
      </c>
      <c r="AE129" s="107">
        <f>G129+I129+K129+M129+O129+Q129+S129+U129+W129+Y129+AA129+AC129</f>
        <v>35200</v>
      </c>
    </row>
    <row r="130" spans="1:31">
      <c r="A130" s="100">
        <v>177</v>
      </c>
      <c r="B130" s="108">
        <v>4971710564785</v>
      </c>
      <c r="C130" s="109" t="s">
        <v>492</v>
      </c>
      <c r="D130" s="120" t="s">
        <v>924</v>
      </c>
      <c r="E130" s="101" t="s">
        <v>493</v>
      </c>
      <c r="F130" s="110"/>
      <c r="G130" s="111"/>
      <c r="H130" s="104"/>
      <c r="I130" s="105"/>
      <c r="J130" s="102">
        <f>VLOOKUP(C130,[1]Sheet2!$A:$B,2,0 )</f>
        <v>30</v>
      </c>
      <c r="K130" s="103">
        <f>VLOOKUP(C130,[1]Sheet2!$A:$C,3,0)</f>
        <v>19800</v>
      </c>
      <c r="L130" s="102"/>
      <c r="M130" s="103"/>
      <c r="N130" s="102">
        <v>30</v>
      </c>
      <c r="O130" s="103">
        <v>19800</v>
      </c>
      <c r="P130" s="102"/>
      <c r="Q130" s="106"/>
      <c r="R130" s="102"/>
      <c r="S130" s="106"/>
      <c r="T130" s="102"/>
      <c r="U130" s="106"/>
      <c r="V130" s="102"/>
      <c r="W130" s="106"/>
      <c r="X130" s="106"/>
      <c r="Y130" s="106"/>
      <c r="Z130" s="106"/>
      <c r="AA130" s="106"/>
      <c r="AB130" s="106"/>
      <c r="AC130" s="106"/>
      <c r="AD130" s="112">
        <f>F130+H130+J130+L130+N130+P130+R130+T130+V130+X130+Z130+AB130</f>
        <v>60</v>
      </c>
      <c r="AE130" s="107">
        <f>G130+I130+K130+M130+O130+Q130+S130+U130+W130+Y130+AA130+AC130</f>
        <v>39600</v>
      </c>
    </row>
    <row r="131" spans="1:31">
      <c r="A131" s="100">
        <v>300</v>
      </c>
      <c r="B131" s="108">
        <v>4971710513691</v>
      </c>
      <c r="C131" s="109" t="s">
        <v>274</v>
      </c>
      <c r="D131" s="120" t="s">
        <v>1131</v>
      </c>
      <c r="E131" s="101" t="s">
        <v>275</v>
      </c>
      <c r="F131" s="110"/>
      <c r="G131" s="111"/>
      <c r="H131" s="104"/>
      <c r="I131" s="105"/>
      <c r="J131" s="102"/>
      <c r="K131" s="103"/>
      <c r="L131" s="102">
        <v>30</v>
      </c>
      <c r="M131" s="103">
        <v>16500</v>
      </c>
      <c r="N131" s="102">
        <v>30</v>
      </c>
      <c r="O131" s="103">
        <v>16500</v>
      </c>
      <c r="P131" s="102"/>
      <c r="Q131" s="106"/>
      <c r="R131" s="102"/>
      <c r="S131" s="106"/>
      <c r="T131" s="102"/>
      <c r="U131" s="106"/>
      <c r="V131" s="102"/>
      <c r="W131" s="106"/>
      <c r="X131" s="106"/>
      <c r="Y131" s="106"/>
      <c r="Z131" s="106"/>
      <c r="AA131" s="106"/>
      <c r="AB131" s="106"/>
      <c r="AC131" s="106"/>
      <c r="AD131" s="112">
        <f>F131+H131+J131+L131+N131+P131+R131+T131+V131+X131+Z131+AB131</f>
        <v>60</v>
      </c>
      <c r="AE131" s="107">
        <f>G131+I131+K131+M131+O131+Q131+S131+U131+W131+Y131+AA131+AC131</f>
        <v>33000</v>
      </c>
    </row>
    <row r="132" spans="1:31">
      <c r="A132" s="100">
        <v>315</v>
      </c>
      <c r="B132" s="108">
        <v>4971710566154</v>
      </c>
      <c r="C132" s="109" t="s">
        <v>520</v>
      </c>
      <c r="D132" s="120" t="s">
        <v>1131</v>
      </c>
      <c r="E132" s="101" t="s">
        <v>521</v>
      </c>
      <c r="F132" s="110"/>
      <c r="G132" s="111"/>
      <c r="H132" s="104"/>
      <c r="I132" s="105"/>
      <c r="J132" s="102"/>
      <c r="K132" s="103"/>
      <c r="L132" s="102">
        <v>30</v>
      </c>
      <c r="M132" s="103">
        <v>16500</v>
      </c>
      <c r="N132" s="102">
        <v>30</v>
      </c>
      <c r="O132" s="103">
        <v>16500</v>
      </c>
      <c r="P132" s="102"/>
      <c r="Q132" s="106"/>
      <c r="R132" s="102"/>
      <c r="S132" s="106"/>
      <c r="T132" s="102"/>
      <c r="U132" s="106"/>
      <c r="V132" s="102"/>
      <c r="W132" s="106"/>
      <c r="X132" s="106"/>
      <c r="Y132" s="106"/>
      <c r="Z132" s="106"/>
      <c r="AA132" s="106"/>
      <c r="AB132" s="106"/>
      <c r="AC132" s="106"/>
      <c r="AD132" s="112">
        <f>F132+H132+J132+L132+N132+P132+R132+T132+V132+X132+Z132+AB132</f>
        <v>60</v>
      </c>
      <c r="AE132" s="107">
        <f>G132+I132+K132+M132+O132+Q132+S132+U132+W132+Y132+AA132+AC132</f>
        <v>33000</v>
      </c>
    </row>
    <row r="133" spans="1:31">
      <c r="A133" s="100">
        <v>167</v>
      </c>
      <c r="B133" s="108">
        <v>4971710516760</v>
      </c>
      <c r="C133" s="109" t="s">
        <v>327</v>
      </c>
      <c r="D133" s="120" t="s">
        <v>1131</v>
      </c>
      <c r="E133" s="101" t="s">
        <v>325</v>
      </c>
      <c r="F133" s="110"/>
      <c r="G133" s="111"/>
      <c r="H133" s="104">
        <v>30</v>
      </c>
      <c r="I133" s="105">
        <v>18150</v>
      </c>
      <c r="J133" s="102"/>
      <c r="K133" s="103"/>
      <c r="L133" s="102"/>
      <c r="M133" s="103"/>
      <c r="N133" s="102">
        <v>30</v>
      </c>
      <c r="O133" s="103">
        <v>18150</v>
      </c>
      <c r="P133" s="102"/>
      <c r="Q133" s="106"/>
      <c r="R133" s="102"/>
      <c r="S133" s="106"/>
      <c r="T133" s="102"/>
      <c r="U133" s="106"/>
      <c r="V133" s="102"/>
      <c r="W133" s="106"/>
      <c r="X133" s="106"/>
      <c r="Y133" s="106"/>
      <c r="Z133" s="106"/>
      <c r="AA133" s="106"/>
      <c r="AB133" s="106"/>
      <c r="AC133" s="106"/>
      <c r="AD133" s="112">
        <f>F133+H133+J133+L133+N133+P133+R133+T133+V133+X133+Z133+AB133</f>
        <v>60</v>
      </c>
      <c r="AE133" s="107">
        <f>G133+I133+K133+M133+O133+Q133+S133+U133+W133+Y133+AA133+AC133</f>
        <v>36300</v>
      </c>
    </row>
    <row r="134" spans="1:31">
      <c r="A134" s="100">
        <v>470</v>
      </c>
      <c r="B134" s="108">
        <v>4971710617122</v>
      </c>
      <c r="C134" s="109" t="s">
        <v>1237</v>
      </c>
      <c r="D134" s="120" t="s">
        <v>920</v>
      </c>
      <c r="E134" s="101" t="s">
        <v>1236</v>
      </c>
      <c r="F134" s="110"/>
      <c r="G134" s="111"/>
      <c r="H134" s="104"/>
      <c r="I134" s="105"/>
      <c r="J134" s="102"/>
      <c r="K134" s="103"/>
      <c r="L134" s="102">
        <v>30</v>
      </c>
      <c r="M134" s="103">
        <v>37950</v>
      </c>
      <c r="N134" s="102">
        <v>30</v>
      </c>
      <c r="O134" s="103">
        <v>37950</v>
      </c>
      <c r="P134" s="102"/>
      <c r="Q134" s="106"/>
      <c r="R134" s="102"/>
      <c r="S134" s="106"/>
      <c r="T134" s="102"/>
      <c r="U134" s="106"/>
      <c r="V134" s="102"/>
      <c r="W134" s="106"/>
      <c r="X134" s="106"/>
      <c r="Y134" s="106"/>
      <c r="Z134" s="106"/>
      <c r="AA134" s="106"/>
      <c r="AB134" s="106"/>
      <c r="AC134" s="106"/>
      <c r="AD134" s="112">
        <f>F134+H134+J134+L134+N134+P134+R134+T134+V134+X134+Z134+AB134</f>
        <v>60</v>
      </c>
      <c r="AE134" s="107">
        <f>G134+I134+K134+M134+O134+Q134+S134+U134+W134+Y134+AA134+AC134</f>
        <v>75900</v>
      </c>
    </row>
    <row r="135" spans="1:31">
      <c r="A135" s="100">
        <v>215</v>
      </c>
      <c r="B135" s="108">
        <v>4971710294736</v>
      </c>
      <c r="C135" s="109" t="s">
        <v>967</v>
      </c>
      <c r="D135" s="120" t="s">
        <v>1129</v>
      </c>
      <c r="E135" s="101" t="s">
        <v>984</v>
      </c>
      <c r="F135" s="110"/>
      <c r="G135" s="111"/>
      <c r="H135" s="104">
        <v>5</v>
      </c>
      <c r="I135" s="105">
        <v>6875</v>
      </c>
      <c r="J135" s="102">
        <f>VLOOKUP(C135,[1]Sheet2!$A:$B,2,0 )</f>
        <v>10</v>
      </c>
      <c r="K135" s="103">
        <f>VLOOKUP(C135,[1]Sheet2!$A:$C,3,0)</f>
        <v>13750</v>
      </c>
      <c r="L135" s="102">
        <v>6</v>
      </c>
      <c r="M135" s="103">
        <v>8250</v>
      </c>
      <c r="N135" s="102">
        <v>30</v>
      </c>
      <c r="O135" s="103">
        <v>41250</v>
      </c>
      <c r="P135" s="102"/>
      <c r="Q135" s="106"/>
      <c r="R135" s="102"/>
      <c r="S135" s="106"/>
      <c r="T135" s="102"/>
      <c r="U135" s="106"/>
      <c r="V135" s="102"/>
      <c r="W135" s="106"/>
      <c r="X135" s="106"/>
      <c r="Y135" s="106"/>
      <c r="Z135" s="106"/>
      <c r="AA135" s="106"/>
      <c r="AB135" s="106"/>
      <c r="AC135" s="106"/>
      <c r="AD135" s="113">
        <f>F135+H135+J135+L135+N135+P135+R135+T135+V135+X135+Z135+AB135</f>
        <v>51</v>
      </c>
      <c r="AE135" s="107">
        <f>G135+I135+K135+M135+O135+Q135+S135+U135+W135+Y135+AA135+AC135</f>
        <v>70125</v>
      </c>
    </row>
    <row r="136" spans="1:31">
      <c r="A136" s="100">
        <v>249</v>
      </c>
      <c r="B136" s="108">
        <v>4971710632941</v>
      </c>
      <c r="C136" s="109" t="s">
        <v>1198</v>
      </c>
      <c r="D136" s="120" t="s">
        <v>920</v>
      </c>
      <c r="E136" s="101" t="s">
        <v>1224</v>
      </c>
      <c r="F136" s="110"/>
      <c r="G136" s="111"/>
      <c r="H136" s="104"/>
      <c r="I136" s="105"/>
      <c r="J136" s="102">
        <f>VLOOKUP(C136,[1]Sheet2!$A:$B,2,0 )</f>
        <v>6</v>
      </c>
      <c r="K136" s="103">
        <f>VLOOKUP(C136,[1]Sheet2!$A:$C,3,0)</f>
        <v>3960</v>
      </c>
      <c r="L136" s="102">
        <v>15</v>
      </c>
      <c r="M136" s="103">
        <v>9900</v>
      </c>
      <c r="N136" s="102">
        <v>30</v>
      </c>
      <c r="O136" s="103">
        <v>19800</v>
      </c>
      <c r="P136" s="102"/>
      <c r="Q136" s="106"/>
      <c r="R136" s="102"/>
      <c r="S136" s="106"/>
      <c r="T136" s="102"/>
      <c r="U136" s="106"/>
      <c r="V136" s="102"/>
      <c r="W136" s="106"/>
      <c r="X136" s="106"/>
      <c r="Y136" s="106"/>
      <c r="Z136" s="106"/>
      <c r="AA136" s="106"/>
      <c r="AB136" s="106"/>
      <c r="AC136" s="106"/>
      <c r="AD136" s="113">
        <f>F136+H136+J136+L136+N136+P136+R136+T136+V136+X136+Z136+AB136</f>
        <v>51</v>
      </c>
      <c r="AE136" s="107">
        <f>G136+I136+K136+M136+O136+Q136+S136+U136+W136+Y136+AA136+AC136</f>
        <v>33660</v>
      </c>
    </row>
    <row r="137" spans="1:31">
      <c r="A137" s="100">
        <v>266</v>
      </c>
      <c r="B137" s="108">
        <v>4971710632934</v>
      </c>
      <c r="C137" s="109" t="s">
        <v>1197</v>
      </c>
      <c r="D137" s="120" t="s">
        <v>920</v>
      </c>
      <c r="E137" s="101" t="s">
        <v>1225</v>
      </c>
      <c r="F137" s="110"/>
      <c r="G137" s="111"/>
      <c r="H137" s="104"/>
      <c r="I137" s="105"/>
      <c r="J137" s="102">
        <f>VLOOKUP(C137,[1]Sheet2!$A:$B,2,0 )</f>
        <v>3</v>
      </c>
      <c r="K137" s="103">
        <f>VLOOKUP(C137,[1]Sheet2!$A:$C,3,0)</f>
        <v>1980</v>
      </c>
      <c r="L137" s="102">
        <v>15</v>
      </c>
      <c r="M137" s="103">
        <v>9900</v>
      </c>
      <c r="N137" s="102">
        <v>30</v>
      </c>
      <c r="O137" s="103">
        <v>19800</v>
      </c>
      <c r="P137" s="102"/>
      <c r="Q137" s="106"/>
      <c r="R137" s="102"/>
      <c r="S137" s="106"/>
      <c r="T137" s="102"/>
      <c r="U137" s="106"/>
      <c r="V137" s="102"/>
      <c r="W137" s="106"/>
      <c r="X137" s="106"/>
      <c r="Y137" s="106"/>
      <c r="Z137" s="106"/>
      <c r="AA137" s="106"/>
      <c r="AB137" s="106"/>
      <c r="AC137" s="106"/>
      <c r="AD137" s="113">
        <f>F137+H137+J137+L137+N137+P137+R137+T137+V137+X137+Z137+AB137</f>
        <v>48</v>
      </c>
      <c r="AE137" s="107">
        <f>G137+I137+K137+M137+O137+Q137+S137+U137+W137+Y137+AA137+AC137</f>
        <v>31680</v>
      </c>
    </row>
    <row r="138" spans="1:31">
      <c r="A138" s="100">
        <v>267</v>
      </c>
      <c r="B138" s="108">
        <v>4971710632958</v>
      </c>
      <c r="C138" s="109" t="s">
        <v>1199</v>
      </c>
      <c r="D138" s="120" t="s">
        <v>920</v>
      </c>
      <c r="E138" s="101" t="s">
        <v>1226</v>
      </c>
      <c r="F138" s="110"/>
      <c r="G138" s="111"/>
      <c r="H138" s="104"/>
      <c r="I138" s="105"/>
      <c r="J138" s="102">
        <f>VLOOKUP(C138,[1]Sheet2!$A:$B,2,0 )</f>
        <v>3</v>
      </c>
      <c r="K138" s="103">
        <f>VLOOKUP(C138,[1]Sheet2!$A:$C,3,0)</f>
        <v>1980</v>
      </c>
      <c r="L138" s="102">
        <v>15</v>
      </c>
      <c r="M138" s="103">
        <v>9900</v>
      </c>
      <c r="N138" s="102">
        <v>30</v>
      </c>
      <c r="O138" s="103">
        <v>19800</v>
      </c>
      <c r="P138" s="102"/>
      <c r="Q138" s="106"/>
      <c r="R138" s="102"/>
      <c r="S138" s="106"/>
      <c r="T138" s="102"/>
      <c r="U138" s="106"/>
      <c r="V138" s="102"/>
      <c r="W138" s="106"/>
      <c r="X138" s="106"/>
      <c r="Y138" s="106"/>
      <c r="Z138" s="106"/>
      <c r="AA138" s="106"/>
      <c r="AB138" s="106"/>
      <c r="AC138" s="106"/>
      <c r="AD138" s="113">
        <f>F138+H138+J138+L138+N138+P138+R138+T138+V138+X138+Z138+AB138</f>
        <v>48</v>
      </c>
      <c r="AE138" s="107">
        <f>G138+I138+K138+M138+O138+Q138+S138+U138+W138+Y138+AA138+AC138</f>
        <v>31680</v>
      </c>
    </row>
    <row r="139" spans="1:31">
      <c r="A139" s="100">
        <v>268</v>
      </c>
      <c r="B139" s="108">
        <v>4971710632965</v>
      </c>
      <c r="C139" s="109" t="s">
        <v>1200</v>
      </c>
      <c r="D139" s="120" t="s">
        <v>920</v>
      </c>
      <c r="E139" s="101" t="s">
        <v>1227</v>
      </c>
      <c r="F139" s="110"/>
      <c r="G139" s="111"/>
      <c r="H139" s="104"/>
      <c r="I139" s="105"/>
      <c r="J139" s="102">
        <f>VLOOKUP(C139,[1]Sheet2!$A:$B,2,0 )</f>
        <v>3</v>
      </c>
      <c r="K139" s="103">
        <f>VLOOKUP(C139,[1]Sheet2!$A:$C,3,0)</f>
        <v>1980</v>
      </c>
      <c r="L139" s="102">
        <v>15</v>
      </c>
      <c r="M139" s="103">
        <v>9900</v>
      </c>
      <c r="N139" s="102">
        <v>30</v>
      </c>
      <c r="O139" s="103">
        <v>19800</v>
      </c>
      <c r="P139" s="102"/>
      <c r="Q139" s="106"/>
      <c r="R139" s="102"/>
      <c r="S139" s="106"/>
      <c r="T139" s="102"/>
      <c r="U139" s="106"/>
      <c r="V139" s="102"/>
      <c r="W139" s="106"/>
      <c r="X139" s="106"/>
      <c r="Y139" s="106"/>
      <c r="Z139" s="106"/>
      <c r="AA139" s="106"/>
      <c r="AB139" s="106"/>
      <c r="AC139" s="106"/>
      <c r="AD139" s="113">
        <f>F139+H139+J139+L139+N139+P139+R139+T139+V139+X139+Z139+AB139</f>
        <v>48</v>
      </c>
      <c r="AE139" s="107">
        <f>G139+I139+K139+M139+O139+Q139+S139+U139+W139+Y139+AA139+AC139</f>
        <v>31680</v>
      </c>
    </row>
    <row r="140" spans="1:31">
      <c r="A140" s="100">
        <v>220</v>
      </c>
      <c r="B140" s="108">
        <v>4971710508857</v>
      </c>
      <c r="C140" s="109" t="s">
        <v>803</v>
      </c>
      <c r="D140" s="120" t="s">
        <v>924</v>
      </c>
      <c r="E140" s="101" t="s">
        <v>1062</v>
      </c>
      <c r="F140" s="110"/>
      <c r="G140" s="111"/>
      <c r="H140" s="104">
        <v>2</v>
      </c>
      <c r="I140" s="105">
        <v>1760</v>
      </c>
      <c r="J140" s="102">
        <f>VLOOKUP(C140,[1]Sheet2!$A:$B,2,0 )</f>
        <v>10</v>
      </c>
      <c r="K140" s="103">
        <f>VLOOKUP(C140,[1]Sheet2!$A:$C,3,0)</f>
        <v>8800</v>
      </c>
      <c r="L140" s="102"/>
      <c r="M140" s="103"/>
      <c r="N140" s="102">
        <v>30</v>
      </c>
      <c r="O140" s="103">
        <v>26400</v>
      </c>
      <c r="P140" s="102"/>
      <c r="Q140" s="106"/>
      <c r="R140" s="102"/>
      <c r="S140" s="106"/>
      <c r="T140" s="102"/>
      <c r="U140" s="106"/>
      <c r="V140" s="102"/>
      <c r="W140" s="106"/>
      <c r="X140" s="106"/>
      <c r="Y140" s="106"/>
      <c r="Z140" s="106"/>
      <c r="AA140" s="106"/>
      <c r="AB140" s="106"/>
      <c r="AC140" s="106"/>
      <c r="AD140" s="112">
        <f>F140+H140+J140+L140+N140+P140+R140+T140+V140+X140+Z140+AB140</f>
        <v>42</v>
      </c>
      <c r="AE140" s="107">
        <f>G140+I140+K140+M140+O140+Q140+S140+U140+W140+Y140+AA140+AC140</f>
        <v>36960</v>
      </c>
    </row>
    <row r="141" spans="1:31">
      <c r="A141" s="100">
        <v>269</v>
      </c>
      <c r="B141" s="108">
        <v>4971710632972</v>
      </c>
      <c r="C141" s="109" t="s">
        <v>1201</v>
      </c>
      <c r="D141" s="120" t="s">
        <v>920</v>
      </c>
      <c r="E141" s="101" t="s">
        <v>1230</v>
      </c>
      <c r="F141" s="110"/>
      <c r="G141" s="111"/>
      <c r="H141" s="104"/>
      <c r="I141" s="105"/>
      <c r="J141" s="102">
        <f>VLOOKUP(C141,[1]Sheet2!$A:$B,2,0 )</f>
        <v>3</v>
      </c>
      <c r="K141" s="103">
        <f>VLOOKUP(C141,[1]Sheet2!$A:$C,3,0)</f>
        <v>1980</v>
      </c>
      <c r="L141" s="102"/>
      <c r="M141" s="103"/>
      <c r="N141" s="102">
        <v>30</v>
      </c>
      <c r="O141" s="103">
        <v>19800</v>
      </c>
      <c r="P141" s="102"/>
      <c r="Q141" s="106"/>
      <c r="R141" s="102"/>
      <c r="S141" s="106"/>
      <c r="T141" s="102"/>
      <c r="U141" s="106"/>
      <c r="V141" s="102"/>
      <c r="W141" s="106"/>
      <c r="X141" s="106"/>
      <c r="Y141" s="106"/>
      <c r="Z141" s="106"/>
      <c r="AA141" s="106"/>
      <c r="AB141" s="106"/>
      <c r="AC141" s="106"/>
      <c r="AD141" s="113">
        <f>F141+H141+J141+L141+N141+P141+R141+T141+V141+X141+Z141+AB141</f>
        <v>33</v>
      </c>
      <c r="AE141" s="107">
        <f>G141+I141+K141+M141+O141+Q141+S141+U141+W141+Y141+AA141+AC141</f>
        <v>21780</v>
      </c>
    </row>
    <row r="142" spans="1:31">
      <c r="A142" s="100">
        <v>270</v>
      </c>
      <c r="B142" s="108">
        <v>4971710632989</v>
      </c>
      <c r="C142" s="109" t="s">
        <v>1202</v>
      </c>
      <c r="D142" s="120" t="s">
        <v>920</v>
      </c>
      <c r="E142" s="101" t="s">
        <v>1231</v>
      </c>
      <c r="F142" s="110"/>
      <c r="G142" s="111"/>
      <c r="H142" s="104"/>
      <c r="I142" s="105"/>
      <c r="J142" s="102">
        <f>VLOOKUP(C142,[1]Sheet2!$A:$B,2,0 )</f>
        <v>3</v>
      </c>
      <c r="K142" s="103">
        <f>VLOOKUP(C142,[1]Sheet2!$A:$C,3,0)</f>
        <v>1980</v>
      </c>
      <c r="L142" s="102"/>
      <c r="M142" s="103"/>
      <c r="N142" s="102">
        <v>30</v>
      </c>
      <c r="O142" s="103">
        <v>19800</v>
      </c>
      <c r="P142" s="102"/>
      <c r="Q142" s="106"/>
      <c r="R142" s="102"/>
      <c r="S142" s="106"/>
      <c r="T142" s="102"/>
      <c r="U142" s="106"/>
      <c r="V142" s="102"/>
      <c r="W142" s="106"/>
      <c r="X142" s="106"/>
      <c r="Y142" s="106"/>
      <c r="Z142" s="106"/>
      <c r="AA142" s="106"/>
      <c r="AB142" s="106"/>
      <c r="AC142" s="106"/>
      <c r="AD142" s="113">
        <f>F142+H142+J142+L142+N142+P142+R142+T142+V142+X142+Z142+AB142</f>
        <v>33</v>
      </c>
      <c r="AE142" s="107">
        <f>G142+I142+K142+M142+O142+Q142+S142+U142+W142+Y142+AA142+AC142</f>
        <v>21780</v>
      </c>
    </row>
    <row r="143" spans="1:31">
      <c r="A143" s="100">
        <v>319</v>
      </c>
      <c r="B143" s="108">
        <v>4971710584714</v>
      </c>
      <c r="C143" s="109" t="s">
        <v>711</v>
      </c>
      <c r="D143" s="120" t="s">
        <v>1131</v>
      </c>
      <c r="E143" s="101" t="s">
        <v>712</v>
      </c>
      <c r="F143" s="110"/>
      <c r="G143" s="111"/>
      <c r="H143" s="104"/>
      <c r="I143" s="105"/>
      <c r="J143" s="102"/>
      <c r="K143" s="103"/>
      <c r="L143" s="102">
        <v>2</v>
      </c>
      <c r="M143" s="103">
        <v>715</v>
      </c>
      <c r="N143" s="102">
        <v>30</v>
      </c>
      <c r="O143" s="103">
        <v>10725</v>
      </c>
      <c r="P143" s="102"/>
      <c r="Q143" s="106"/>
      <c r="R143" s="102"/>
      <c r="S143" s="106"/>
      <c r="T143" s="102"/>
      <c r="U143" s="106"/>
      <c r="V143" s="102"/>
      <c r="W143" s="106"/>
      <c r="X143" s="106"/>
      <c r="Y143" s="106"/>
      <c r="Z143" s="106"/>
      <c r="AA143" s="106"/>
      <c r="AB143" s="106"/>
      <c r="AC143" s="106"/>
      <c r="AD143" s="112">
        <f>F143+H143+J143+L143+N143+P143+R143+T143+V143+X143+Z143+AB143</f>
        <v>32</v>
      </c>
      <c r="AE143" s="107">
        <f>G143+I143+K143+M143+O143+Q143+S143+U143+W143+Y143+AA143+AC143</f>
        <v>11440</v>
      </c>
    </row>
    <row r="144" spans="1:31">
      <c r="A144" s="100">
        <v>356</v>
      </c>
      <c r="B144" s="108">
        <v>4971710517842</v>
      </c>
      <c r="C144" s="109" t="s">
        <v>336</v>
      </c>
      <c r="D144" s="120" t="s">
        <v>924</v>
      </c>
      <c r="E144" s="101" t="s">
        <v>337</v>
      </c>
      <c r="F144" s="110"/>
      <c r="G144" s="111"/>
      <c r="H144" s="104"/>
      <c r="I144" s="105"/>
      <c r="J144" s="102"/>
      <c r="K144" s="103"/>
      <c r="L144" s="102"/>
      <c r="M144" s="103"/>
      <c r="N144" s="102">
        <v>30</v>
      </c>
      <c r="O144" s="103">
        <v>19800</v>
      </c>
      <c r="P144" s="102"/>
      <c r="Q144" s="106"/>
      <c r="R144" s="102"/>
      <c r="S144" s="106"/>
      <c r="T144" s="102"/>
      <c r="U144" s="106"/>
      <c r="V144" s="102"/>
      <c r="W144" s="106"/>
      <c r="X144" s="106"/>
      <c r="Y144" s="106"/>
      <c r="Z144" s="106"/>
      <c r="AA144" s="106"/>
      <c r="AB144" s="106"/>
      <c r="AC144" s="106"/>
      <c r="AD144" s="112">
        <f>F144+H144+J144+L144+N144+P144+R144+T144+V144+X144+Z144+AB144</f>
        <v>30</v>
      </c>
      <c r="AE144" s="107">
        <f>G144+I144+K144+M144+O144+Q144+S144+U144+W144+Y144+AA144+AC144</f>
        <v>19800</v>
      </c>
    </row>
    <row r="145" spans="1:31">
      <c r="A145" s="100">
        <v>361</v>
      </c>
      <c r="B145" s="108">
        <v>4971710513660</v>
      </c>
      <c r="C145" s="109" t="s">
        <v>268</v>
      </c>
      <c r="D145" s="120" t="s">
        <v>1131</v>
      </c>
      <c r="E145" s="101" t="s">
        <v>269</v>
      </c>
      <c r="F145" s="110"/>
      <c r="G145" s="111"/>
      <c r="H145" s="104"/>
      <c r="I145" s="105"/>
      <c r="J145" s="102"/>
      <c r="K145" s="103"/>
      <c r="L145" s="102"/>
      <c r="M145" s="103"/>
      <c r="N145" s="102">
        <v>30</v>
      </c>
      <c r="O145" s="103">
        <v>14025</v>
      </c>
      <c r="P145" s="102"/>
      <c r="Q145" s="106"/>
      <c r="R145" s="102"/>
      <c r="S145" s="106"/>
      <c r="T145" s="102"/>
      <c r="U145" s="106"/>
      <c r="V145" s="102"/>
      <c r="W145" s="106"/>
      <c r="X145" s="106"/>
      <c r="Y145" s="106"/>
      <c r="Z145" s="106"/>
      <c r="AA145" s="106"/>
      <c r="AB145" s="106"/>
      <c r="AC145" s="106"/>
      <c r="AD145" s="112">
        <f>F145+H145+J145+L145+N145+P145+R145+T145+V145+X145+Z145+AB145</f>
        <v>30</v>
      </c>
      <c r="AE145" s="107">
        <f>G145+I145+K145+M145+O145+Q145+S145+U145+W145+Y145+AA145+AC145</f>
        <v>14025</v>
      </c>
    </row>
    <row r="146" spans="1:31">
      <c r="A146" s="100">
        <v>371</v>
      </c>
      <c r="B146" s="108">
        <v>4971710516753</v>
      </c>
      <c r="C146" s="109" t="s">
        <v>326</v>
      </c>
      <c r="D146" s="120" t="s">
        <v>1131</v>
      </c>
      <c r="E146" s="101" t="s">
        <v>323</v>
      </c>
      <c r="F146" s="110"/>
      <c r="G146" s="111"/>
      <c r="H146" s="104"/>
      <c r="I146" s="105"/>
      <c r="J146" s="102"/>
      <c r="K146" s="103"/>
      <c r="L146" s="102"/>
      <c r="M146" s="103"/>
      <c r="N146" s="102">
        <v>30</v>
      </c>
      <c r="O146" s="103">
        <v>18150</v>
      </c>
      <c r="P146" s="102"/>
      <c r="Q146" s="106"/>
      <c r="R146" s="102"/>
      <c r="S146" s="106"/>
      <c r="T146" s="102"/>
      <c r="U146" s="106"/>
      <c r="V146" s="102"/>
      <c r="W146" s="106"/>
      <c r="X146" s="106"/>
      <c r="Y146" s="106"/>
      <c r="Z146" s="106"/>
      <c r="AA146" s="106"/>
      <c r="AB146" s="106"/>
      <c r="AC146" s="106"/>
      <c r="AD146" s="112">
        <f>F146+H146+J146+L146+N146+P146+R146+T146+V146+X146+Z146+AB146</f>
        <v>30</v>
      </c>
      <c r="AE146" s="107">
        <f>G146+I146+K146+M146+O146+Q146+S146+U146+W146+Y146+AA146+AC146</f>
        <v>18150</v>
      </c>
    </row>
    <row r="147" spans="1:31">
      <c r="A147" s="100">
        <v>398</v>
      </c>
      <c r="B147" s="108">
        <v>4971710519273</v>
      </c>
      <c r="C147" s="109" t="s">
        <v>350</v>
      </c>
      <c r="D147" s="120" t="s">
        <v>1131</v>
      </c>
      <c r="E147" s="101" t="s">
        <v>351</v>
      </c>
      <c r="F147" s="110"/>
      <c r="G147" s="111"/>
      <c r="H147" s="104"/>
      <c r="I147" s="105"/>
      <c r="J147" s="102"/>
      <c r="K147" s="103"/>
      <c r="L147" s="102"/>
      <c r="M147" s="103"/>
      <c r="N147" s="102">
        <v>30</v>
      </c>
      <c r="O147" s="103">
        <v>21450</v>
      </c>
      <c r="P147" s="102"/>
      <c r="Q147" s="106"/>
      <c r="R147" s="102"/>
      <c r="S147" s="106"/>
      <c r="T147" s="102"/>
      <c r="U147" s="106"/>
      <c r="V147" s="102"/>
      <c r="W147" s="106"/>
      <c r="X147" s="106"/>
      <c r="Y147" s="106"/>
      <c r="Z147" s="106"/>
      <c r="AA147" s="106"/>
      <c r="AB147" s="106"/>
      <c r="AC147" s="106"/>
      <c r="AD147" s="112">
        <f>F147+H147+J147+L147+N147+P147+R147+T147+V147+X147+Z147+AB147</f>
        <v>30</v>
      </c>
      <c r="AE147" s="107">
        <f>G147+I147+K147+M147+O147+Q147+S147+U147+W147+Y147+AA147+AC147</f>
        <v>21450</v>
      </c>
    </row>
    <row r="148" spans="1:31">
      <c r="A148" s="100">
        <v>475</v>
      </c>
      <c r="B148" s="108" t="s">
        <v>1297</v>
      </c>
      <c r="C148" s="109" t="s">
        <v>1247</v>
      </c>
      <c r="D148" s="120" t="s">
        <v>920</v>
      </c>
      <c r="E148" s="101" t="s">
        <v>1299</v>
      </c>
      <c r="F148" s="110"/>
      <c r="G148" s="111"/>
      <c r="H148" s="104"/>
      <c r="I148" s="105"/>
      <c r="J148" s="102"/>
      <c r="K148" s="103"/>
      <c r="L148" s="102"/>
      <c r="M148" s="103"/>
      <c r="N148" s="102">
        <f>VLOOKUP(C148,'[4]レポート 3'!$D:$E,2,0)</f>
        <v>30</v>
      </c>
      <c r="O148" s="103">
        <f>VLOOKUP(C148,'[4]レポート 3'!$D:$F,3,0)</f>
        <v>21450</v>
      </c>
      <c r="P148" s="102"/>
      <c r="Q148" s="106"/>
      <c r="R148" s="102"/>
      <c r="S148" s="106"/>
      <c r="T148" s="102"/>
      <c r="U148" s="106"/>
      <c r="V148" s="102"/>
      <c r="W148" s="106"/>
      <c r="X148" s="106"/>
      <c r="Y148" s="106"/>
      <c r="Z148" s="106"/>
      <c r="AA148" s="106"/>
      <c r="AB148" s="106"/>
      <c r="AC148" s="106"/>
      <c r="AD148" s="112">
        <f>F148+H148+J148+L148+N148+P148+R148+T148+V148+X148+Z148+AB148</f>
        <v>30</v>
      </c>
      <c r="AE148" s="107">
        <f>G148+I148+K148+M148+O148+Q148+S148+U148+W148+Y148+AA148+AC148</f>
        <v>21450</v>
      </c>
    </row>
    <row r="149" spans="1:31">
      <c r="A149" s="100">
        <v>476</v>
      </c>
      <c r="B149" s="108" t="s">
        <v>1298</v>
      </c>
      <c r="C149" s="109" t="s">
        <v>1248</v>
      </c>
      <c r="D149" s="120" t="s">
        <v>920</v>
      </c>
      <c r="E149" s="101" t="s">
        <v>1300</v>
      </c>
      <c r="F149" s="110"/>
      <c r="G149" s="111"/>
      <c r="H149" s="104"/>
      <c r="I149" s="105"/>
      <c r="J149" s="102"/>
      <c r="K149" s="103"/>
      <c r="L149" s="102"/>
      <c r="M149" s="103"/>
      <c r="N149" s="102">
        <f>VLOOKUP(C149,'[4]レポート 3'!$D:$E,2,0)</f>
        <v>30</v>
      </c>
      <c r="O149" s="103">
        <f>VLOOKUP(C149,'[4]レポート 3'!$D:$F,3,0)</f>
        <v>21450</v>
      </c>
      <c r="P149" s="102"/>
      <c r="Q149" s="106"/>
      <c r="R149" s="102"/>
      <c r="S149" s="106"/>
      <c r="T149" s="102"/>
      <c r="U149" s="106"/>
      <c r="V149" s="102"/>
      <c r="W149" s="106"/>
      <c r="X149" s="106"/>
      <c r="Y149" s="106"/>
      <c r="Z149" s="106"/>
      <c r="AA149" s="106"/>
      <c r="AB149" s="106"/>
      <c r="AC149" s="106"/>
      <c r="AD149" s="112">
        <f>F149+H149+J149+L149+N149+P149+R149+T149+V149+X149+Z149+AB149</f>
        <v>30</v>
      </c>
      <c r="AE149" s="107">
        <f>G149+I149+K149+M149+O149+Q149+S149+U149+W149+Y149+AA149+AC149</f>
        <v>21450</v>
      </c>
    </row>
    <row r="150" spans="1:31">
      <c r="A150" s="100">
        <v>477</v>
      </c>
      <c r="B150" s="108" t="s">
        <v>1249</v>
      </c>
      <c r="C150" s="109" t="s">
        <v>1249</v>
      </c>
      <c r="D150" s="120" t="s">
        <v>920</v>
      </c>
      <c r="E150" s="101" t="s">
        <v>1301</v>
      </c>
      <c r="F150" s="110"/>
      <c r="G150" s="111"/>
      <c r="H150" s="104"/>
      <c r="I150" s="105"/>
      <c r="J150" s="102"/>
      <c r="K150" s="103"/>
      <c r="L150" s="102"/>
      <c r="M150" s="103"/>
      <c r="N150" s="102">
        <f>VLOOKUP(C150,'[4]レポート 3'!$D:$E,2,0)</f>
        <v>30</v>
      </c>
      <c r="O150" s="103">
        <f>VLOOKUP(C150,'[4]レポート 3'!$D:$F,3,0)</f>
        <v>18150</v>
      </c>
      <c r="P150" s="102"/>
      <c r="Q150" s="106"/>
      <c r="R150" s="102"/>
      <c r="S150" s="106"/>
      <c r="T150" s="102"/>
      <c r="U150" s="106"/>
      <c r="V150" s="102"/>
      <c r="W150" s="106"/>
      <c r="X150" s="106"/>
      <c r="Y150" s="106"/>
      <c r="Z150" s="106"/>
      <c r="AA150" s="106"/>
      <c r="AB150" s="106"/>
      <c r="AC150" s="106"/>
      <c r="AD150" s="112">
        <f>F150+H150+J150+L150+N150+P150+R150+T150+V150+X150+Z150+AB150</f>
        <v>30</v>
      </c>
      <c r="AE150" s="107">
        <f>G150+I150+K150+M150+O150+Q150+S150+U150+W150+Y150+AA150+AC150</f>
        <v>18150</v>
      </c>
    </row>
    <row r="151" spans="1:31">
      <c r="A151" s="100">
        <v>49</v>
      </c>
      <c r="B151" s="108">
        <v>4971710523065</v>
      </c>
      <c r="C151" s="109" t="s">
        <v>394</v>
      </c>
      <c r="D151" s="120" t="s">
        <v>1131</v>
      </c>
      <c r="E151" s="101" t="s">
        <v>395</v>
      </c>
      <c r="F151" s="110">
        <v>30</v>
      </c>
      <c r="G151" s="111">
        <v>26400</v>
      </c>
      <c r="H151" s="104">
        <v>80</v>
      </c>
      <c r="I151" s="105">
        <v>70400</v>
      </c>
      <c r="J151" s="102">
        <f>VLOOKUP(C151,[1]Sheet2!$A:$B,2,0 )</f>
        <v>150</v>
      </c>
      <c r="K151" s="103">
        <f>VLOOKUP(C151,[1]Sheet2!$A:$C,3,0)</f>
        <v>132000</v>
      </c>
      <c r="L151" s="102">
        <v>85</v>
      </c>
      <c r="M151" s="103">
        <v>74800</v>
      </c>
      <c r="N151" s="102">
        <v>20</v>
      </c>
      <c r="O151" s="103">
        <v>17600</v>
      </c>
      <c r="P151" s="102"/>
      <c r="Q151" s="106"/>
      <c r="R151" s="102"/>
      <c r="S151" s="106"/>
      <c r="T151" s="102"/>
      <c r="U151" s="106"/>
      <c r="V151" s="102"/>
      <c r="W151" s="106"/>
      <c r="X151" s="106"/>
      <c r="Y151" s="106"/>
      <c r="Z151" s="106"/>
      <c r="AA151" s="106"/>
      <c r="AB151" s="106"/>
      <c r="AC151" s="106"/>
      <c r="AD151" s="112">
        <f>F151+H151+J151+L151+N151+P151+R151+T151+V151+X151+Z151+AB151</f>
        <v>365</v>
      </c>
      <c r="AE151" s="107">
        <f>G151+I151+K151+M151+O151+Q151+S151+U151+W151+Y151+AA151+AC151</f>
        <v>321200</v>
      </c>
    </row>
    <row r="152" spans="1:31">
      <c r="A152" s="100">
        <v>81</v>
      </c>
      <c r="B152" s="108">
        <v>4971710522426</v>
      </c>
      <c r="C152" s="109" t="s">
        <v>384</v>
      </c>
      <c r="D152" s="120" t="s">
        <v>1131</v>
      </c>
      <c r="E152" s="101" t="s">
        <v>385</v>
      </c>
      <c r="F152" s="110"/>
      <c r="G152" s="111"/>
      <c r="H152" s="104">
        <v>20</v>
      </c>
      <c r="I152" s="105">
        <v>6600</v>
      </c>
      <c r="J152" s="102">
        <f>VLOOKUP(C152,[1]Sheet2!$A:$B,2,0 )</f>
        <v>80</v>
      </c>
      <c r="K152" s="103">
        <f>VLOOKUP(C152,[1]Sheet2!$A:$C,3,0)</f>
        <v>26400</v>
      </c>
      <c r="L152" s="102"/>
      <c r="M152" s="103"/>
      <c r="N152" s="102">
        <v>20</v>
      </c>
      <c r="O152" s="103">
        <v>6600</v>
      </c>
      <c r="P152" s="102"/>
      <c r="Q152" s="106"/>
      <c r="R152" s="102"/>
      <c r="S152" s="106"/>
      <c r="T152" s="102"/>
      <c r="U152" s="106"/>
      <c r="V152" s="102"/>
      <c r="W152" s="106"/>
      <c r="X152" s="106"/>
      <c r="Y152" s="106"/>
      <c r="Z152" s="106"/>
      <c r="AA152" s="106"/>
      <c r="AB152" s="106"/>
      <c r="AC152" s="106"/>
      <c r="AD152" s="112">
        <f>F152+H152+J152+L152+N152+P152+R152+T152+V152+X152+Z152+AB152</f>
        <v>120</v>
      </c>
      <c r="AE152" s="107">
        <f>G152+I152+K152+M152+O152+Q152+S152+U152+W152+Y152+AA152+AC152</f>
        <v>39600</v>
      </c>
    </row>
    <row r="153" spans="1:31">
      <c r="A153" s="100">
        <v>172</v>
      </c>
      <c r="B153" s="108">
        <v>4971710569193</v>
      </c>
      <c r="C153" s="109" t="s">
        <v>542</v>
      </c>
      <c r="D153" s="120" t="s">
        <v>1131</v>
      </c>
      <c r="E153" s="101" t="s">
        <v>543</v>
      </c>
      <c r="F153" s="110"/>
      <c r="G153" s="111"/>
      <c r="H153" s="104"/>
      <c r="I153" s="105"/>
      <c r="J153" s="102">
        <f>VLOOKUP(C153,[1]Sheet2!$A:$B,2,0 )</f>
        <v>30</v>
      </c>
      <c r="K153" s="103">
        <f>VLOOKUP(C153,[1]Sheet2!$A:$C,3,0)</f>
        <v>19800</v>
      </c>
      <c r="L153" s="102">
        <v>30</v>
      </c>
      <c r="M153" s="103">
        <v>19800</v>
      </c>
      <c r="N153" s="102">
        <v>20</v>
      </c>
      <c r="O153" s="103">
        <v>13200</v>
      </c>
      <c r="P153" s="102"/>
      <c r="Q153" s="106"/>
      <c r="R153" s="102"/>
      <c r="S153" s="106"/>
      <c r="T153" s="102"/>
      <c r="U153" s="106"/>
      <c r="V153" s="102"/>
      <c r="W153" s="106"/>
      <c r="X153" s="106"/>
      <c r="Y153" s="106"/>
      <c r="Z153" s="106"/>
      <c r="AA153" s="106"/>
      <c r="AB153" s="106"/>
      <c r="AC153" s="106"/>
      <c r="AD153" s="112">
        <f>F153+H153+J153+L153+N153+P153+R153+T153+V153+X153+Z153+AB153</f>
        <v>80</v>
      </c>
      <c r="AE153" s="107">
        <f>G153+I153+K153+M153+O153+Q153+S153+U153+W153+Y153+AA153+AC153</f>
        <v>52800</v>
      </c>
    </row>
    <row r="154" spans="1:31">
      <c r="A154" s="100">
        <v>306</v>
      </c>
      <c r="B154" s="108">
        <v>4971710564914</v>
      </c>
      <c r="C154" s="109" t="s">
        <v>502</v>
      </c>
      <c r="D154" s="120" t="s">
        <v>1131</v>
      </c>
      <c r="E154" s="101" t="s">
        <v>503</v>
      </c>
      <c r="F154" s="110"/>
      <c r="G154" s="111"/>
      <c r="H154" s="104"/>
      <c r="I154" s="105"/>
      <c r="J154" s="102"/>
      <c r="K154" s="103"/>
      <c r="L154" s="102">
        <v>48</v>
      </c>
      <c r="M154" s="103">
        <v>26400</v>
      </c>
      <c r="N154" s="102">
        <v>20</v>
      </c>
      <c r="O154" s="103">
        <v>11000</v>
      </c>
      <c r="P154" s="102"/>
      <c r="Q154" s="106"/>
      <c r="R154" s="102"/>
      <c r="S154" s="106"/>
      <c r="T154" s="102"/>
      <c r="U154" s="106"/>
      <c r="V154" s="102"/>
      <c r="W154" s="106"/>
      <c r="X154" s="106"/>
      <c r="Y154" s="106"/>
      <c r="Z154" s="106"/>
      <c r="AA154" s="106"/>
      <c r="AB154" s="106"/>
      <c r="AC154" s="106"/>
      <c r="AD154" s="112">
        <f>F154+H154+J154+L154+N154+P154+R154+T154+V154+X154+Z154+AB154</f>
        <v>68</v>
      </c>
      <c r="AE154" s="107">
        <f>G154+I154+K154+M154+O154+Q154+S154+U154+W154+Y154+AA154+AC154</f>
        <v>37400</v>
      </c>
    </row>
    <row r="155" spans="1:31">
      <c r="A155" s="100">
        <v>181</v>
      </c>
      <c r="B155" s="108">
        <v>4971710597059</v>
      </c>
      <c r="C155" s="109" t="s">
        <v>843</v>
      </c>
      <c r="D155" s="120" t="s">
        <v>1131</v>
      </c>
      <c r="E155" s="101" t="s">
        <v>1074</v>
      </c>
      <c r="F155" s="110"/>
      <c r="G155" s="111"/>
      <c r="H155" s="104"/>
      <c r="I155" s="105"/>
      <c r="J155" s="102">
        <f>VLOOKUP(C155,[1]Sheet2!$A:$B,2,0 )</f>
        <v>30</v>
      </c>
      <c r="K155" s="103">
        <f>VLOOKUP(C155,[1]Sheet2!$A:$C,3,0)</f>
        <v>26400</v>
      </c>
      <c r="L155" s="102">
        <v>2</v>
      </c>
      <c r="M155" s="103">
        <v>1760</v>
      </c>
      <c r="N155" s="102">
        <v>20</v>
      </c>
      <c r="O155" s="103">
        <v>17600</v>
      </c>
      <c r="P155" s="102"/>
      <c r="Q155" s="106"/>
      <c r="R155" s="102"/>
      <c r="S155" s="106"/>
      <c r="T155" s="102"/>
      <c r="U155" s="106"/>
      <c r="V155" s="102"/>
      <c r="W155" s="106"/>
      <c r="X155" s="106"/>
      <c r="Y155" s="106"/>
      <c r="Z155" s="106"/>
      <c r="AA155" s="106"/>
      <c r="AB155" s="106"/>
      <c r="AC155" s="106"/>
      <c r="AD155" s="113">
        <f>F155+H155+J155+L155+N155+P155+R155+T155+V155+X155+Z155+AB155</f>
        <v>52</v>
      </c>
      <c r="AE155" s="107">
        <f>G155+I155+K155+M155+O155+Q155+S155+U155+W155+Y155+AA155+AC155</f>
        <v>45760</v>
      </c>
    </row>
    <row r="156" spans="1:31">
      <c r="A156" s="100">
        <v>175</v>
      </c>
      <c r="B156" s="108">
        <v>4971710485721</v>
      </c>
      <c r="C156" s="109" t="s">
        <v>42</v>
      </c>
      <c r="D156" s="120" t="s">
        <v>924</v>
      </c>
      <c r="E156" s="101" t="s">
        <v>43</v>
      </c>
      <c r="F156" s="110"/>
      <c r="G156" s="111"/>
      <c r="H156" s="104"/>
      <c r="I156" s="105"/>
      <c r="J156" s="102">
        <f>VLOOKUP(C156,[1]Sheet2!$A:$B,2,0 )</f>
        <v>30</v>
      </c>
      <c r="K156" s="103">
        <f>VLOOKUP(C156,[1]Sheet2!$A:$C,3,0)</f>
        <v>16500</v>
      </c>
      <c r="L156" s="102"/>
      <c r="M156" s="103"/>
      <c r="N156" s="102">
        <v>20</v>
      </c>
      <c r="O156" s="103">
        <v>11000</v>
      </c>
      <c r="P156" s="102"/>
      <c r="Q156" s="106"/>
      <c r="R156" s="102"/>
      <c r="S156" s="106"/>
      <c r="T156" s="102"/>
      <c r="U156" s="106"/>
      <c r="V156" s="102"/>
      <c r="W156" s="106"/>
      <c r="X156" s="106"/>
      <c r="Y156" s="106"/>
      <c r="Z156" s="106"/>
      <c r="AA156" s="106"/>
      <c r="AB156" s="106"/>
      <c r="AC156" s="106"/>
      <c r="AD156" s="112">
        <f>F156+H156+J156+L156+N156+P156+R156+T156+V156+X156+Z156+AB156</f>
        <v>50</v>
      </c>
      <c r="AE156" s="107">
        <f>G156+I156+K156+M156+O156+Q156+S156+U156+W156+Y156+AA156+AC156</f>
        <v>27500</v>
      </c>
    </row>
    <row r="157" spans="1:31">
      <c r="A157" s="100">
        <v>334</v>
      </c>
      <c r="B157" s="108">
        <v>4971710485714</v>
      </c>
      <c r="C157" s="109" t="s">
        <v>40</v>
      </c>
      <c r="D157" s="120" t="s">
        <v>924</v>
      </c>
      <c r="E157" s="101" t="s">
        <v>41</v>
      </c>
      <c r="F157" s="110"/>
      <c r="G157" s="111"/>
      <c r="H157" s="104"/>
      <c r="I157" s="105"/>
      <c r="J157" s="102"/>
      <c r="K157" s="103"/>
      <c r="L157" s="102"/>
      <c r="M157" s="103"/>
      <c r="N157" s="102">
        <v>20</v>
      </c>
      <c r="O157" s="103">
        <v>11000</v>
      </c>
      <c r="P157" s="102"/>
      <c r="Q157" s="106"/>
      <c r="R157" s="102"/>
      <c r="S157" s="106"/>
      <c r="T157" s="102"/>
      <c r="U157" s="106"/>
      <c r="V157" s="102"/>
      <c r="W157" s="106"/>
      <c r="X157" s="106"/>
      <c r="Y157" s="106"/>
      <c r="Z157" s="106"/>
      <c r="AA157" s="106"/>
      <c r="AB157" s="106"/>
      <c r="AC157" s="106"/>
      <c r="AD157" s="112">
        <f>F157+H157+J157+L157+N157+P157+R157+T157+V157+X157+Z157+AB157</f>
        <v>20</v>
      </c>
      <c r="AE157" s="107">
        <f>G157+I157+K157+M157+O157+Q157+S157+U157+W157+Y157+AA157+AC157</f>
        <v>11000</v>
      </c>
    </row>
    <row r="158" spans="1:31">
      <c r="A158" s="100">
        <v>455</v>
      </c>
      <c r="B158" s="108">
        <v>4971710551778</v>
      </c>
      <c r="C158" s="109" t="s">
        <v>1081</v>
      </c>
      <c r="D158" s="120" t="s">
        <v>1129</v>
      </c>
      <c r="E158" s="101" t="s">
        <v>985</v>
      </c>
      <c r="F158" s="110"/>
      <c r="G158" s="111"/>
      <c r="H158" s="104"/>
      <c r="I158" s="105"/>
      <c r="J158" s="102"/>
      <c r="K158" s="103"/>
      <c r="L158" s="102"/>
      <c r="M158" s="103"/>
      <c r="N158" s="102">
        <v>20</v>
      </c>
      <c r="O158" s="103">
        <v>13200</v>
      </c>
      <c r="P158" s="102"/>
      <c r="Q158" s="106"/>
      <c r="R158" s="102"/>
      <c r="S158" s="106"/>
      <c r="T158" s="102"/>
      <c r="U158" s="106"/>
      <c r="V158" s="102"/>
      <c r="W158" s="106"/>
      <c r="X158" s="106"/>
      <c r="Y158" s="106"/>
      <c r="Z158" s="106"/>
      <c r="AA158" s="106"/>
      <c r="AB158" s="106"/>
      <c r="AC158" s="106"/>
      <c r="AD158" s="113">
        <f>F158+H158+J158+L158+N158+P158+R158+T158+V158+X158+Z158+AB158</f>
        <v>20</v>
      </c>
      <c r="AE158" s="107">
        <f>G158+I158+K158+M158+O158+Q158+S158+U158+W158+Y158+AA158+AC158</f>
        <v>13200</v>
      </c>
    </row>
    <row r="159" spans="1:31">
      <c r="A159" s="100">
        <v>34</v>
      </c>
      <c r="B159" s="108">
        <v>4971710613278</v>
      </c>
      <c r="C159" s="109" t="s">
        <v>1125</v>
      </c>
      <c r="D159" s="120" t="s">
        <v>1133</v>
      </c>
      <c r="E159" s="101" t="s">
        <v>1126</v>
      </c>
      <c r="F159" s="110">
        <v>68</v>
      </c>
      <c r="G159" s="111">
        <v>216920</v>
      </c>
      <c r="H159" s="104">
        <v>146</v>
      </c>
      <c r="I159" s="105">
        <v>465740</v>
      </c>
      <c r="J159" s="102">
        <f>VLOOKUP(C159,[1]Sheet2!$A:$B,2,0 )</f>
        <v>192</v>
      </c>
      <c r="K159" s="103">
        <f>VLOOKUP(C159,[1]Sheet2!$A:$C,3,0)</f>
        <v>612480</v>
      </c>
      <c r="L159" s="102">
        <v>390</v>
      </c>
      <c r="M159" s="103">
        <v>1244100</v>
      </c>
      <c r="N159" s="102">
        <v>16</v>
      </c>
      <c r="O159" s="103">
        <v>51040</v>
      </c>
      <c r="P159" s="102"/>
      <c r="Q159" s="106"/>
      <c r="R159" s="102"/>
      <c r="S159" s="106"/>
      <c r="T159" s="102"/>
      <c r="U159" s="106"/>
      <c r="V159" s="102"/>
      <c r="W159" s="106"/>
      <c r="X159" s="106"/>
      <c r="Y159" s="106"/>
      <c r="Z159" s="106"/>
      <c r="AA159" s="106"/>
      <c r="AB159" s="106"/>
      <c r="AC159" s="106"/>
      <c r="AD159" s="113">
        <f>F159+H159+J159+L159+N159+P159+R159+T159+V159+X159+Z159+AB159</f>
        <v>812</v>
      </c>
      <c r="AE159" s="107">
        <f>G159+I159+K159+M159+O159+Q159+S159+U159+W159+Y159+AA159+AC159</f>
        <v>2590280</v>
      </c>
    </row>
    <row r="160" spans="1:31">
      <c r="A160" s="100">
        <v>206</v>
      </c>
      <c r="B160" s="108">
        <v>4971710615845</v>
      </c>
      <c r="C160" s="109" t="s">
        <v>982</v>
      </c>
      <c r="D160" s="120" t="s">
        <v>1129</v>
      </c>
      <c r="E160" s="101" t="s">
        <v>998</v>
      </c>
      <c r="F160" s="110"/>
      <c r="G160" s="111"/>
      <c r="H160" s="104">
        <v>10</v>
      </c>
      <c r="I160" s="105">
        <v>34100</v>
      </c>
      <c r="J160" s="102">
        <f>VLOOKUP(C160,[1]Sheet2!$A:$B,2,0 )</f>
        <v>6</v>
      </c>
      <c r="K160" s="103">
        <f>VLOOKUP(C160,[1]Sheet2!$A:$C,3,0)</f>
        <v>20460</v>
      </c>
      <c r="L160" s="102"/>
      <c r="M160" s="103"/>
      <c r="N160" s="102">
        <v>15</v>
      </c>
      <c r="O160" s="103">
        <v>51150</v>
      </c>
      <c r="P160" s="102"/>
      <c r="Q160" s="106"/>
      <c r="R160" s="102"/>
      <c r="S160" s="106"/>
      <c r="T160" s="102"/>
      <c r="U160" s="106"/>
      <c r="V160" s="102"/>
      <c r="W160" s="106"/>
      <c r="X160" s="106"/>
      <c r="Y160" s="106"/>
      <c r="Z160" s="106"/>
      <c r="AA160" s="106"/>
      <c r="AB160" s="106"/>
      <c r="AC160" s="106"/>
      <c r="AD160" s="113">
        <f>F160+H160+J160+L160+N160+P160+R160+T160+V160+X160+Z160+AB160</f>
        <v>31</v>
      </c>
      <c r="AE160" s="107">
        <f>G160+I160+K160+M160+O160+Q160+S160+U160+W160+Y160+AA160+AC160</f>
        <v>105710</v>
      </c>
    </row>
    <row r="161" spans="1:31">
      <c r="A161" s="100">
        <v>217</v>
      </c>
      <c r="B161" s="108">
        <v>4971710593525</v>
      </c>
      <c r="C161" s="109" t="s">
        <v>976</v>
      </c>
      <c r="D161" s="120" t="s">
        <v>1129</v>
      </c>
      <c r="E161" s="101" t="s">
        <v>992</v>
      </c>
      <c r="F161" s="110"/>
      <c r="G161" s="111"/>
      <c r="H161" s="104">
        <v>6</v>
      </c>
      <c r="I161" s="105">
        <v>15510</v>
      </c>
      <c r="J161" s="102">
        <f>VLOOKUP(C161,[1]Sheet2!$A:$B,2,0 )</f>
        <v>6</v>
      </c>
      <c r="K161" s="103">
        <f>VLOOKUP(C161,[1]Sheet2!$A:$C,3,0)</f>
        <v>15510</v>
      </c>
      <c r="L161" s="102"/>
      <c r="M161" s="103"/>
      <c r="N161" s="102">
        <v>15</v>
      </c>
      <c r="O161" s="103">
        <v>38775</v>
      </c>
      <c r="P161" s="102"/>
      <c r="Q161" s="106"/>
      <c r="R161" s="102"/>
      <c r="S161" s="106"/>
      <c r="T161" s="102"/>
      <c r="U161" s="106"/>
      <c r="V161" s="102"/>
      <c r="W161" s="106"/>
      <c r="X161" s="106"/>
      <c r="Y161" s="106"/>
      <c r="Z161" s="106"/>
      <c r="AA161" s="106"/>
      <c r="AB161" s="106"/>
      <c r="AC161" s="106"/>
      <c r="AD161" s="113">
        <f>F161+H161+J161+L161+N161+P161+R161+T161+V161+X161+Z161+AB161</f>
        <v>27</v>
      </c>
      <c r="AE161" s="107">
        <f>G161+I161+K161+M161+O161+Q161+S161+U161+W161+Y161+AA161+AC161</f>
        <v>69795</v>
      </c>
    </row>
    <row r="162" spans="1:31">
      <c r="A162" s="100">
        <v>228</v>
      </c>
      <c r="B162" s="108">
        <v>4971710615852</v>
      </c>
      <c r="C162" s="109" t="s">
        <v>1157</v>
      </c>
      <c r="D162" s="120" t="s">
        <v>1129</v>
      </c>
      <c r="E162" s="101" t="s">
        <v>1102</v>
      </c>
      <c r="F162" s="110"/>
      <c r="G162" s="111"/>
      <c r="H162" s="104">
        <v>5</v>
      </c>
      <c r="I162" s="105">
        <v>20900</v>
      </c>
      <c r="J162" s="102">
        <f>VLOOKUP(C162,[1]Sheet2!$A:$B,2,0 )</f>
        <v>5</v>
      </c>
      <c r="K162" s="103">
        <f>VLOOKUP(C162,[1]Sheet2!$A:$C,3,0)</f>
        <v>20900</v>
      </c>
      <c r="L162" s="102"/>
      <c r="M162" s="103"/>
      <c r="N162" s="102">
        <v>15</v>
      </c>
      <c r="O162" s="103">
        <v>62700</v>
      </c>
      <c r="P162" s="102"/>
      <c r="Q162" s="106"/>
      <c r="R162" s="102"/>
      <c r="S162" s="106"/>
      <c r="T162" s="102"/>
      <c r="U162" s="106"/>
      <c r="V162" s="102"/>
      <c r="W162" s="106"/>
      <c r="X162" s="106"/>
      <c r="Y162" s="106"/>
      <c r="Z162" s="106"/>
      <c r="AA162" s="106"/>
      <c r="AB162" s="106"/>
      <c r="AC162" s="106"/>
      <c r="AD162" s="113">
        <f>F162+H162+J162+L162+N162+P162+R162+T162+V162+X162+Z162+AB162</f>
        <v>25</v>
      </c>
      <c r="AE162" s="107">
        <f>G162+I162+K162+M162+O162+Q162+S162+U162+W162+Y162+AA162+AC162</f>
        <v>104500</v>
      </c>
    </row>
    <row r="163" spans="1:31">
      <c r="A163" s="100">
        <v>124</v>
      </c>
      <c r="B163" s="108">
        <v>4971710619751</v>
      </c>
      <c r="C163" s="109" t="s">
        <v>1123</v>
      </c>
      <c r="D163" s="120" t="s">
        <v>924</v>
      </c>
      <c r="E163" s="101" t="s">
        <v>1124</v>
      </c>
      <c r="F163" s="110"/>
      <c r="G163" s="111"/>
      <c r="H163" s="104">
        <v>20</v>
      </c>
      <c r="I163" s="105">
        <v>17600</v>
      </c>
      <c r="J163" s="102">
        <f>VLOOKUP(C163,[1]Sheet2!$A:$B,2,0 )</f>
        <v>40</v>
      </c>
      <c r="K163" s="103">
        <f>VLOOKUP(C163,[1]Sheet2!$A:$C,3,0)</f>
        <v>35200</v>
      </c>
      <c r="L163" s="102"/>
      <c r="M163" s="103"/>
      <c r="N163" s="102">
        <v>11</v>
      </c>
      <c r="O163" s="103">
        <v>9680</v>
      </c>
      <c r="P163" s="102"/>
      <c r="Q163" s="106"/>
      <c r="R163" s="102"/>
      <c r="S163" s="106"/>
      <c r="T163" s="102"/>
      <c r="U163" s="106"/>
      <c r="V163" s="102"/>
      <c r="W163" s="106"/>
      <c r="X163" s="106"/>
      <c r="Y163" s="106"/>
      <c r="Z163" s="106"/>
      <c r="AA163" s="106"/>
      <c r="AB163" s="106"/>
      <c r="AC163" s="106"/>
      <c r="AD163" s="113">
        <f>F163+H163+J163+L163+N163+P163+R163+T163+V163+X163+Z163+AB163</f>
        <v>71</v>
      </c>
      <c r="AE163" s="107">
        <f>G163+I163+K163+M163+O163+Q163+S163+U163+W163+Y163+AA163+AC163</f>
        <v>62480</v>
      </c>
    </row>
    <row r="164" spans="1:31">
      <c r="A164" s="100">
        <v>56</v>
      </c>
      <c r="B164" s="108">
        <v>4971710595529</v>
      </c>
      <c r="C164" s="109" t="s">
        <v>765</v>
      </c>
      <c r="D164" s="120" t="s">
        <v>924</v>
      </c>
      <c r="E164" s="101" t="s">
        <v>766</v>
      </c>
      <c r="F164" s="110">
        <v>48</v>
      </c>
      <c r="G164" s="111">
        <v>36960</v>
      </c>
      <c r="H164" s="104">
        <v>80</v>
      </c>
      <c r="I164" s="105">
        <v>61600</v>
      </c>
      <c r="J164" s="102">
        <f>VLOOKUP(C164,[1]Sheet2!$A:$B,2,0 )</f>
        <v>54</v>
      </c>
      <c r="K164" s="103">
        <f>VLOOKUP(C164,[1]Sheet2!$A:$C,3,0)</f>
        <v>41580</v>
      </c>
      <c r="L164" s="102">
        <v>199</v>
      </c>
      <c r="M164" s="103">
        <v>153230</v>
      </c>
      <c r="N164" s="102">
        <v>10</v>
      </c>
      <c r="O164" s="103">
        <v>7700</v>
      </c>
      <c r="P164" s="102"/>
      <c r="Q164" s="106"/>
      <c r="R164" s="102"/>
      <c r="S164" s="106"/>
      <c r="T164" s="102"/>
      <c r="U164" s="106"/>
      <c r="V164" s="102"/>
      <c r="W164" s="106"/>
      <c r="X164" s="106"/>
      <c r="Y164" s="106"/>
      <c r="Z164" s="106"/>
      <c r="AA164" s="106"/>
      <c r="AB164" s="106"/>
      <c r="AC164" s="106"/>
      <c r="AD164" s="112">
        <f>F164+H164+J164+L164+N164+P164+R164+T164+V164+X164+Z164+AB164</f>
        <v>391</v>
      </c>
      <c r="AE164" s="107">
        <f>G164+I164+K164+M164+O164+Q164+S164+U164+W164+Y164+AA164+AC164</f>
        <v>301070</v>
      </c>
    </row>
    <row r="165" spans="1:31">
      <c r="A165" s="100">
        <v>59</v>
      </c>
      <c r="B165" s="108">
        <v>4971710595536</v>
      </c>
      <c r="C165" s="109" t="s">
        <v>767</v>
      </c>
      <c r="D165" s="120" t="s">
        <v>924</v>
      </c>
      <c r="E165" s="101" t="s">
        <v>768</v>
      </c>
      <c r="F165" s="110">
        <v>10</v>
      </c>
      <c r="G165" s="111">
        <v>7700</v>
      </c>
      <c r="H165" s="104">
        <v>70</v>
      </c>
      <c r="I165" s="105">
        <v>53900</v>
      </c>
      <c r="J165" s="102">
        <f>VLOOKUP(C165,[1]Sheet2!$A:$B,2,0 )</f>
        <v>98</v>
      </c>
      <c r="K165" s="103">
        <f>VLOOKUP(C165,[1]Sheet2!$A:$C,3,0)</f>
        <v>75460</v>
      </c>
      <c r="L165" s="102">
        <v>48</v>
      </c>
      <c r="M165" s="103">
        <v>36960</v>
      </c>
      <c r="N165" s="102">
        <v>10</v>
      </c>
      <c r="O165" s="103">
        <v>7700</v>
      </c>
      <c r="P165" s="102"/>
      <c r="Q165" s="106"/>
      <c r="R165" s="102"/>
      <c r="S165" s="106"/>
      <c r="T165" s="102"/>
      <c r="U165" s="106"/>
      <c r="V165" s="102"/>
      <c r="W165" s="106"/>
      <c r="X165" s="106"/>
      <c r="Y165" s="106"/>
      <c r="Z165" s="106"/>
      <c r="AA165" s="106"/>
      <c r="AB165" s="106"/>
      <c r="AC165" s="106"/>
      <c r="AD165" s="112">
        <f>F165+H165+J165+L165+N165+P165+R165+T165+V165+X165+Z165+AB165</f>
        <v>236</v>
      </c>
      <c r="AE165" s="107">
        <f>G165+I165+K165+M165+O165+Q165+S165+U165+W165+Y165+AA165+AC165</f>
        <v>181720</v>
      </c>
    </row>
    <row r="166" spans="1:31">
      <c r="A166" s="100">
        <v>58</v>
      </c>
      <c r="B166" s="108">
        <v>4971710595512</v>
      </c>
      <c r="C166" s="109" t="s">
        <v>763</v>
      </c>
      <c r="D166" s="120" t="s">
        <v>924</v>
      </c>
      <c r="E166" s="101" t="s">
        <v>764</v>
      </c>
      <c r="F166" s="110">
        <v>14</v>
      </c>
      <c r="G166" s="111">
        <v>10780</v>
      </c>
      <c r="H166" s="104">
        <v>68</v>
      </c>
      <c r="I166" s="105">
        <v>52360</v>
      </c>
      <c r="J166" s="102">
        <f>VLOOKUP(C166,[1]Sheet2!$A:$B,2,0 )</f>
        <v>98</v>
      </c>
      <c r="K166" s="103">
        <f>VLOOKUP(C166,[1]Sheet2!$A:$C,3,0)</f>
        <v>75460</v>
      </c>
      <c r="L166" s="102">
        <v>6</v>
      </c>
      <c r="M166" s="103">
        <v>4620</v>
      </c>
      <c r="N166" s="102">
        <v>10</v>
      </c>
      <c r="O166" s="103">
        <v>7700</v>
      </c>
      <c r="P166" s="102"/>
      <c r="Q166" s="106"/>
      <c r="R166" s="102"/>
      <c r="S166" s="106"/>
      <c r="T166" s="102"/>
      <c r="U166" s="106"/>
      <c r="V166" s="102"/>
      <c r="W166" s="106"/>
      <c r="X166" s="106"/>
      <c r="Y166" s="106"/>
      <c r="Z166" s="106"/>
      <c r="AA166" s="106"/>
      <c r="AB166" s="106"/>
      <c r="AC166" s="106"/>
      <c r="AD166" s="112">
        <f>F166+H166+J166+L166+N166+P166+R166+T166+V166+X166+Z166+AB166</f>
        <v>196</v>
      </c>
      <c r="AE166" s="107">
        <f>G166+I166+K166+M166+O166+Q166+S166+U166+W166+Y166+AA166+AC166</f>
        <v>150920</v>
      </c>
    </row>
    <row r="167" spans="1:31">
      <c r="A167" s="100">
        <v>63</v>
      </c>
      <c r="B167" s="108">
        <v>4971710523072</v>
      </c>
      <c r="C167" s="109" t="s">
        <v>396</v>
      </c>
      <c r="D167" s="120" t="s">
        <v>1131</v>
      </c>
      <c r="E167" s="101" t="s">
        <v>397</v>
      </c>
      <c r="F167" s="110">
        <v>30</v>
      </c>
      <c r="G167" s="111">
        <v>26400</v>
      </c>
      <c r="H167" s="104">
        <v>60</v>
      </c>
      <c r="I167" s="105">
        <v>52800</v>
      </c>
      <c r="J167" s="102">
        <f>VLOOKUP(C167,[1]Sheet2!$A:$B,2,0 )</f>
        <v>65</v>
      </c>
      <c r="K167" s="103">
        <f>VLOOKUP(C167,[1]Sheet2!$A:$C,3,0)</f>
        <v>57200</v>
      </c>
      <c r="L167" s="102">
        <v>24</v>
      </c>
      <c r="M167" s="103">
        <v>21120</v>
      </c>
      <c r="N167" s="102">
        <v>10</v>
      </c>
      <c r="O167" s="103">
        <v>8800</v>
      </c>
      <c r="P167" s="102"/>
      <c r="Q167" s="106"/>
      <c r="R167" s="102"/>
      <c r="S167" s="106"/>
      <c r="T167" s="102"/>
      <c r="U167" s="106"/>
      <c r="V167" s="102"/>
      <c r="W167" s="106"/>
      <c r="X167" s="106"/>
      <c r="Y167" s="106"/>
      <c r="Z167" s="106"/>
      <c r="AA167" s="106"/>
      <c r="AB167" s="106"/>
      <c r="AC167" s="106"/>
      <c r="AD167" s="112">
        <f>F167+H167+J167+L167+N167+P167+R167+T167+V167+X167+Z167+AB167</f>
        <v>189</v>
      </c>
      <c r="AE167" s="107">
        <f>G167+I167+K167+M167+O167+Q167+S167+U167+W167+Y167+AA167+AC167</f>
        <v>166320</v>
      </c>
    </row>
    <row r="168" spans="1:31">
      <c r="A168" s="100">
        <v>109</v>
      </c>
      <c r="B168" s="108">
        <v>4971710595505</v>
      </c>
      <c r="C168" s="109" t="s">
        <v>761</v>
      </c>
      <c r="D168" s="120" t="s">
        <v>924</v>
      </c>
      <c r="E168" s="101" t="s">
        <v>762</v>
      </c>
      <c r="F168" s="110"/>
      <c r="G168" s="111"/>
      <c r="H168" s="104">
        <v>52</v>
      </c>
      <c r="I168" s="105">
        <v>40040</v>
      </c>
      <c r="J168" s="102">
        <f>VLOOKUP(C168,[1]Sheet2!$A:$B,2,0 )</f>
        <v>20</v>
      </c>
      <c r="K168" s="103">
        <f>VLOOKUP(C168,[1]Sheet2!$A:$C,3,0)</f>
        <v>15400</v>
      </c>
      <c r="L168" s="102">
        <v>2</v>
      </c>
      <c r="M168" s="103">
        <v>1540</v>
      </c>
      <c r="N168" s="102">
        <v>10</v>
      </c>
      <c r="O168" s="103">
        <v>7700</v>
      </c>
      <c r="P168" s="102"/>
      <c r="Q168" s="106"/>
      <c r="R168" s="102"/>
      <c r="S168" s="106"/>
      <c r="T168" s="102"/>
      <c r="U168" s="106"/>
      <c r="V168" s="102"/>
      <c r="W168" s="106"/>
      <c r="X168" s="106"/>
      <c r="Y168" s="106"/>
      <c r="Z168" s="106"/>
      <c r="AA168" s="106"/>
      <c r="AB168" s="106"/>
      <c r="AC168" s="106"/>
      <c r="AD168" s="112">
        <f>F168+H168+J168+L168+N168+P168+R168+T168+V168+X168+Z168+AB168</f>
        <v>84</v>
      </c>
      <c r="AE168" s="107">
        <f>G168+I168+K168+M168+O168+Q168+S168+U168+W168+Y168+AA168+AC168</f>
        <v>64680</v>
      </c>
    </row>
    <row r="169" spans="1:31">
      <c r="A169" s="100">
        <v>135</v>
      </c>
      <c r="B169" s="108">
        <v>4971710556698</v>
      </c>
      <c r="C169" s="109" t="s">
        <v>970</v>
      </c>
      <c r="D169" s="120" t="s">
        <v>1129</v>
      </c>
      <c r="E169" s="101" t="s">
        <v>986</v>
      </c>
      <c r="F169" s="110"/>
      <c r="G169" s="111"/>
      <c r="H169" s="104">
        <v>20</v>
      </c>
      <c r="I169" s="105">
        <v>44000</v>
      </c>
      <c r="J169" s="102">
        <f>VLOOKUP(C169,[1]Sheet2!$A:$B,2,0 )</f>
        <v>30</v>
      </c>
      <c r="K169" s="103">
        <f>VLOOKUP(C169,[1]Sheet2!$A:$C,3,0)</f>
        <v>66000</v>
      </c>
      <c r="L169" s="102"/>
      <c r="M169" s="103"/>
      <c r="N169" s="102">
        <v>10</v>
      </c>
      <c r="O169" s="103">
        <v>22000</v>
      </c>
      <c r="P169" s="102"/>
      <c r="Q169" s="106"/>
      <c r="R169" s="102"/>
      <c r="S169" s="106"/>
      <c r="T169" s="102"/>
      <c r="U169" s="106"/>
      <c r="V169" s="102"/>
      <c r="W169" s="106"/>
      <c r="X169" s="106"/>
      <c r="Y169" s="106"/>
      <c r="Z169" s="106"/>
      <c r="AA169" s="106"/>
      <c r="AB169" s="106"/>
      <c r="AC169" s="106"/>
      <c r="AD169" s="113">
        <f>F169+H169+J169+L169+N169+P169+R169+T169+V169+X169+Z169+AB169</f>
        <v>60</v>
      </c>
      <c r="AE169" s="107">
        <f>G169+I169+K169+M169+O169+Q169+S169+U169+W169+Y169+AA169+AC169</f>
        <v>132000</v>
      </c>
    </row>
    <row r="170" spans="1:31">
      <c r="A170" s="100">
        <v>170</v>
      </c>
      <c r="B170" s="108">
        <v>4971710593563</v>
      </c>
      <c r="C170" s="109" t="s">
        <v>980</v>
      </c>
      <c r="D170" s="120" t="s">
        <v>1129</v>
      </c>
      <c r="E170" s="101" t="s">
        <v>996</v>
      </c>
      <c r="F170" s="110"/>
      <c r="G170" s="111"/>
      <c r="H170" s="104">
        <v>20</v>
      </c>
      <c r="I170" s="105">
        <v>51700</v>
      </c>
      <c r="J170" s="102">
        <f>VLOOKUP(C170,[1]Sheet2!$A:$B,2,0 )</f>
        <v>10</v>
      </c>
      <c r="K170" s="103">
        <f>VLOOKUP(C170,[1]Sheet2!$A:$C,3,0)</f>
        <v>25850</v>
      </c>
      <c r="L170" s="102">
        <v>6</v>
      </c>
      <c r="M170" s="103">
        <v>15510</v>
      </c>
      <c r="N170" s="102">
        <v>10</v>
      </c>
      <c r="O170" s="103">
        <v>25850</v>
      </c>
      <c r="P170" s="102"/>
      <c r="Q170" s="106"/>
      <c r="R170" s="102"/>
      <c r="S170" s="106"/>
      <c r="T170" s="102"/>
      <c r="U170" s="106"/>
      <c r="V170" s="102"/>
      <c r="W170" s="106"/>
      <c r="X170" s="106"/>
      <c r="Y170" s="106"/>
      <c r="Z170" s="106"/>
      <c r="AA170" s="106"/>
      <c r="AB170" s="106"/>
      <c r="AC170" s="106"/>
      <c r="AD170" s="113">
        <f>F170+H170+J170+L170+N170+P170+R170+T170+V170+X170+Z170+AB170</f>
        <v>46</v>
      </c>
      <c r="AE170" s="107">
        <f>G170+I170+K170+M170+O170+Q170+S170+U170+W170+Y170+AA170+AC170</f>
        <v>118910</v>
      </c>
    </row>
    <row r="171" spans="1:31">
      <c r="A171" s="100">
        <v>179</v>
      </c>
      <c r="B171" s="108">
        <v>4971710597042</v>
      </c>
      <c r="C171" s="109" t="s">
        <v>844</v>
      </c>
      <c r="D171" s="120" t="s">
        <v>1131</v>
      </c>
      <c r="E171" s="101" t="s">
        <v>1069</v>
      </c>
      <c r="F171" s="110"/>
      <c r="G171" s="111"/>
      <c r="H171" s="104"/>
      <c r="I171" s="105"/>
      <c r="J171" s="102">
        <f>VLOOKUP(C171,[1]Sheet2!$A:$B,2,0 )</f>
        <v>30</v>
      </c>
      <c r="K171" s="103">
        <f>VLOOKUP(C171,[1]Sheet2!$A:$C,3,0)</f>
        <v>26400</v>
      </c>
      <c r="L171" s="102">
        <v>2</v>
      </c>
      <c r="M171" s="103">
        <v>1760</v>
      </c>
      <c r="N171" s="102">
        <v>10</v>
      </c>
      <c r="O171" s="103">
        <v>8800</v>
      </c>
      <c r="P171" s="102"/>
      <c r="Q171" s="106"/>
      <c r="R171" s="102"/>
      <c r="S171" s="106"/>
      <c r="T171" s="102"/>
      <c r="U171" s="106"/>
      <c r="V171" s="102"/>
      <c r="W171" s="106"/>
      <c r="X171" s="106"/>
      <c r="Y171" s="106"/>
      <c r="Z171" s="106"/>
      <c r="AA171" s="106"/>
      <c r="AB171" s="106"/>
      <c r="AC171" s="106"/>
      <c r="AD171" s="113">
        <f>F171+H171+J171+L171+N171+P171+R171+T171+V171+X171+Z171+AB171</f>
        <v>42</v>
      </c>
      <c r="AE171" s="107">
        <f>G171+I171+K171+M171+O171+Q171+S171+U171+W171+Y171+AA171+AC171</f>
        <v>36960</v>
      </c>
    </row>
    <row r="172" spans="1:31">
      <c r="A172" s="100">
        <v>194</v>
      </c>
      <c r="B172" s="108">
        <v>4971710475036</v>
      </c>
      <c r="C172" s="109" t="s">
        <v>775</v>
      </c>
      <c r="D172" s="120" t="s">
        <v>924</v>
      </c>
      <c r="E172" s="101" t="s">
        <v>1065</v>
      </c>
      <c r="F172" s="110">
        <v>20</v>
      </c>
      <c r="G172" s="111">
        <v>8800</v>
      </c>
      <c r="H172" s="104"/>
      <c r="I172" s="105"/>
      <c r="J172" s="102"/>
      <c r="K172" s="103"/>
      <c r="L172" s="102">
        <v>10</v>
      </c>
      <c r="M172" s="103">
        <v>4400</v>
      </c>
      <c r="N172" s="102">
        <v>10</v>
      </c>
      <c r="O172" s="103">
        <v>4400</v>
      </c>
      <c r="P172" s="102"/>
      <c r="Q172" s="106"/>
      <c r="R172" s="102"/>
      <c r="S172" s="106"/>
      <c r="T172" s="102"/>
      <c r="U172" s="106"/>
      <c r="V172" s="102"/>
      <c r="W172" s="106"/>
      <c r="X172" s="106"/>
      <c r="Y172" s="106"/>
      <c r="Z172" s="106"/>
      <c r="AA172" s="106"/>
      <c r="AB172" s="106"/>
      <c r="AC172" s="106"/>
      <c r="AD172" s="112">
        <f>F172+H172+J172+L172+N172+P172+R172+T172+V172+X172+Z172+AB172</f>
        <v>40</v>
      </c>
      <c r="AE172" s="107">
        <f>G172+I172+K172+M172+O172+Q172+S172+U172+W172+Y172+AA172+AC172</f>
        <v>17600</v>
      </c>
    </row>
    <row r="173" spans="1:31">
      <c r="A173" s="100">
        <v>201</v>
      </c>
      <c r="B173" s="108">
        <v>4971710597035</v>
      </c>
      <c r="C173" s="109" t="s">
        <v>845</v>
      </c>
      <c r="D173" s="120" t="s">
        <v>1131</v>
      </c>
      <c r="E173" s="101" t="s">
        <v>1066</v>
      </c>
      <c r="F173" s="110"/>
      <c r="G173" s="111"/>
      <c r="H173" s="104"/>
      <c r="I173" s="105"/>
      <c r="J173" s="102">
        <f>VLOOKUP(C173,[1]Sheet2!$A:$B,2,0 )</f>
        <v>20</v>
      </c>
      <c r="K173" s="103">
        <f>VLOOKUP(C173,[1]Sheet2!$A:$C,3,0)</f>
        <v>17600</v>
      </c>
      <c r="L173" s="102">
        <v>2</v>
      </c>
      <c r="M173" s="103">
        <v>1760</v>
      </c>
      <c r="N173" s="102">
        <v>10</v>
      </c>
      <c r="O173" s="103">
        <v>8800</v>
      </c>
      <c r="P173" s="102"/>
      <c r="Q173" s="106"/>
      <c r="R173" s="102"/>
      <c r="S173" s="106"/>
      <c r="T173" s="102"/>
      <c r="U173" s="106"/>
      <c r="V173" s="102"/>
      <c r="W173" s="106"/>
      <c r="X173" s="106"/>
      <c r="Y173" s="106"/>
      <c r="Z173" s="106"/>
      <c r="AA173" s="106"/>
      <c r="AB173" s="106"/>
      <c r="AC173" s="106"/>
      <c r="AD173" s="113">
        <f>F173+H173+J173+L173+N173+P173+R173+T173+V173+X173+Z173+AB173</f>
        <v>32</v>
      </c>
      <c r="AE173" s="107">
        <f>G173+I173+K173+M173+O173+Q173+S173+U173+W173+Y173+AA173+AC173</f>
        <v>28160</v>
      </c>
    </row>
    <row r="174" spans="1:31">
      <c r="A174" s="100">
        <v>196</v>
      </c>
      <c r="B174" s="108">
        <v>4971710570144</v>
      </c>
      <c r="C174" s="109" t="s">
        <v>971</v>
      </c>
      <c r="D174" s="120" t="s">
        <v>1129</v>
      </c>
      <c r="E174" s="101" t="s">
        <v>987</v>
      </c>
      <c r="F174" s="110"/>
      <c r="G174" s="111"/>
      <c r="H174" s="104">
        <v>15</v>
      </c>
      <c r="I174" s="105">
        <v>55275</v>
      </c>
      <c r="J174" s="102">
        <f>VLOOKUP(C174,[1]Sheet2!$A:$B,2,0 )</f>
        <v>5</v>
      </c>
      <c r="K174" s="103">
        <f>VLOOKUP(C174,[1]Sheet2!$A:$C,3,0)</f>
        <v>18425</v>
      </c>
      <c r="L174" s="102"/>
      <c r="M174" s="103"/>
      <c r="N174" s="102">
        <v>10</v>
      </c>
      <c r="O174" s="103">
        <v>36850</v>
      </c>
      <c r="P174" s="102"/>
      <c r="Q174" s="106"/>
      <c r="R174" s="102"/>
      <c r="S174" s="106"/>
      <c r="T174" s="102"/>
      <c r="U174" s="106"/>
      <c r="V174" s="102"/>
      <c r="W174" s="106"/>
      <c r="X174" s="106"/>
      <c r="Y174" s="106"/>
      <c r="Z174" s="106"/>
      <c r="AA174" s="106"/>
      <c r="AB174" s="106"/>
      <c r="AC174" s="106"/>
      <c r="AD174" s="113">
        <f>F174+H174+J174+L174+N174+P174+R174+T174+V174+X174+Z174+AB174</f>
        <v>30</v>
      </c>
      <c r="AE174" s="107">
        <f>G174+I174+K174+M174+O174+Q174+S174+U174+W174+Y174+AA174+AC174</f>
        <v>110550</v>
      </c>
    </row>
    <row r="175" spans="1:31">
      <c r="A175" s="100">
        <v>197</v>
      </c>
      <c r="B175" s="108">
        <v>4971710570168</v>
      </c>
      <c r="C175" s="109" t="s">
        <v>972</v>
      </c>
      <c r="D175" s="120" t="s">
        <v>1129</v>
      </c>
      <c r="E175" s="101" t="s">
        <v>988</v>
      </c>
      <c r="F175" s="110"/>
      <c r="G175" s="111"/>
      <c r="H175" s="104">
        <v>15</v>
      </c>
      <c r="I175" s="105">
        <v>55275</v>
      </c>
      <c r="J175" s="102">
        <f>VLOOKUP(C175,[1]Sheet2!$A:$B,2,0 )</f>
        <v>5</v>
      </c>
      <c r="K175" s="103">
        <f>VLOOKUP(C175,[1]Sheet2!$A:$C,3,0)</f>
        <v>18425</v>
      </c>
      <c r="L175" s="102"/>
      <c r="M175" s="103"/>
      <c r="N175" s="102">
        <v>10</v>
      </c>
      <c r="O175" s="103">
        <v>36850</v>
      </c>
      <c r="P175" s="102"/>
      <c r="Q175" s="106"/>
      <c r="R175" s="102"/>
      <c r="S175" s="106"/>
      <c r="T175" s="102"/>
      <c r="U175" s="106"/>
      <c r="V175" s="102"/>
      <c r="W175" s="106"/>
      <c r="X175" s="106"/>
      <c r="Y175" s="106"/>
      <c r="Z175" s="106"/>
      <c r="AA175" s="106"/>
      <c r="AB175" s="106"/>
      <c r="AC175" s="106"/>
      <c r="AD175" s="113">
        <f>F175+H175+J175+L175+N175+P175+R175+T175+V175+X175+Z175+AB175</f>
        <v>30</v>
      </c>
      <c r="AE175" s="107">
        <f>G175+I175+K175+M175+O175+Q175+S175+U175+W175+Y175+AA175+AC175</f>
        <v>110550</v>
      </c>
    </row>
    <row r="176" spans="1:31">
      <c r="A176" s="100">
        <v>203</v>
      </c>
      <c r="B176" s="108">
        <v>4971710597066</v>
      </c>
      <c r="C176" s="109" t="s">
        <v>1023</v>
      </c>
      <c r="D176" s="120" t="s">
        <v>1131</v>
      </c>
      <c r="E176" s="101" t="s">
        <v>1024</v>
      </c>
      <c r="F176" s="110"/>
      <c r="G176" s="111"/>
      <c r="H176" s="104"/>
      <c r="I176" s="105"/>
      <c r="J176" s="102">
        <f>VLOOKUP(C176,[1]Sheet2!$A:$B,2,0 )</f>
        <v>20</v>
      </c>
      <c r="K176" s="103">
        <f>VLOOKUP(C176,[1]Sheet2!$A:$C,3,0)</f>
        <v>17600</v>
      </c>
      <c r="L176" s="102"/>
      <c r="M176" s="103"/>
      <c r="N176" s="102">
        <v>10</v>
      </c>
      <c r="O176" s="103">
        <v>8800</v>
      </c>
      <c r="P176" s="102"/>
      <c r="Q176" s="106"/>
      <c r="R176" s="102"/>
      <c r="S176" s="106"/>
      <c r="T176" s="102"/>
      <c r="U176" s="106"/>
      <c r="V176" s="102"/>
      <c r="W176" s="106"/>
      <c r="X176" s="106"/>
      <c r="Y176" s="106"/>
      <c r="Z176" s="106"/>
      <c r="AA176" s="106"/>
      <c r="AB176" s="106"/>
      <c r="AC176" s="106"/>
      <c r="AD176" s="113">
        <f>F176+H176+J176+L176+N176+P176+R176+T176+V176+X176+Z176+AB176</f>
        <v>30</v>
      </c>
      <c r="AE176" s="107">
        <f>G176+I176+K176+M176+O176+Q176+S176+U176+W176+Y176+AA176+AC176</f>
        <v>26400</v>
      </c>
    </row>
    <row r="177" spans="1:31">
      <c r="A177" s="100">
        <v>209</v>
      </c>
      <c r="B177" s="108">
        <v>4971710615821</v>
      </c>
      <c r="C177" s="109" t="s">
        <v>1104</v>
      </c>
      <c r="D177" s="120" t="s">
        <v>1129</v>
      </c>
      <c r="E177" s="101" t="s">
        <v>1094</v>
      </c>
      <c r="F177" s="110"/>
      <c r="G177" s="111"/>
      <c r="H177" s="104">
        <v>15</v>
      </c>
      <c r="I177" s="105">
        <v>74250</v>
      </c>
      <c r="J177" s="102"/>
      <c r="K177" s="103"/>
      <c r="L177" s="102"/>
      <c r="M177" s="103"/>
      <c r="N177" s="102">
        <v>10</v>
      </c>
      <c r="O177" s="103">
        <v>49500</v>
      </c>
      <c r="P177" s="102"/>
      <c r="Q177" s="106"/>
      <c r="R177" s="102"/>
      <c r="S177" s="106"/>
      <c r="T177" s="102"/>
      <c r="U177" s="106"/>
      <c r="V177" s="102"/>
      <c r="W177" s="106"/>
      <c r="X177" s="106"/>
      <c r="Y177" s="106"/>
      <c r="Z177" s="106"/>
      <c r="AA177" s="106"/>
      <c r="AB177" s="106"/>
      <c r="AC177" s="106"/>
      <c r="AD177" s="113">
        <f>F177+H177+J177+L177+N177+P177+R177+T177+V177+X177+Z177+AB177</f>
        <v>25</v>
      </c>
      <c r="AE177" s="107">
        <f>G177+I177+K177+M177+O177+Q177+S177+U177+W177+Y177+AA177+AC177</f>
        <v>123750</v>
      </c>
    </row>
    <row r="178" spans="1:31">
      <c r="A178" s="100">
        <v>239</v>
      </c>
      <c r="B178" s="108">
        <v>4971710463729</v>
      </c>
      <c r="C178" s="109" t="s">
        <v>833</v>
      </c>
      <c r="D178" s="120" t="s">
        <v>924</v>
      </c>
      <c r="E178" s="101" t="s">
        <v>1072</v>
      </c>
      <c r="F178" s="110"/>
      <c r="G178" s="111"/>
      <c r="H178" s="104"/>
      <c r="I178" s="105"/>
      <c r="J178" s="102">
        <f>VLOOKUP(C178,[1]Sheet2!$A:$B,2,0 )</f>
        <v>10</v>
      </c>
      <c r="K178" s="103">
        <f>VLOOKUP(C178,[1]Sheet2!$A:$C,3,0)</f>
        <v>4400</v>
      </c>
      <c r="L178" s="102"/>
      <c r="M178" s="103"/>
      <c r="N178" s="102">
        <v>10</v>
      </c>
      <c r="O178" s="103">
        <v>4400</v>
      </c>
      <c r="P178" s="102"/>
      <c r="Q178" s="106"/>
      <c r="R178" s="102"/>
      <c r="S178" s="106"/>
      <c r="T178" s="102"/>
      <c r="U178" s="106"/>
      <c r="V178" s="102"/>
      <c r="W178" s="106"/>
      <c r="X178" s="106"/>
      <c r="Y178" s="106"/>
      <c r="Z178" s="106"/>
      <c r="AA178" s="106"/>
      <c r="AB178" s="106"/>
      <c r="AC178" s="106"/>
      <c r="AD178" s="113">
        <f>F178+H178+J178+L178+N178+P178+R178+T178+V178+X178+Z178+AB178</f>
        <v>20</v>
      </c>
      <c r="AE178" s="107">
        <f>G178+I178+K178+M178+O178+Q178+S178+U178+W178+Y178+AA178+AC178</f>
        <v>8800</v>
      </c>
    </row>
    <row r="179" spans="1:31">
      <c r="A179" s="100">
        <v>227</v>
      </c>
      <c r="B179" s="108">
        <v>4971710615838</v>
      </c>
      <c r="C179" s="109" t="s">
        <v>1156</v>
      </c>
      <c r="D179" s="120" t="s">
        <v>1129</v>
      </c>
      <c r="E179" s="101" t="s">
        <v>998</v>
      </c>
      <c r="F179" s="110"/>
      <c r="G179" s="111"/>
      <c r="H179" s="104">
        <v>5</v>
      </c>
      <c r="I179" s="105">
        <v>19250</v>
      </c>
      <c r="J179" s="102">
        <f>VLOOKUP(C179,[1]Sheet2!$A:$B,2,0 )</f>
        <v>5</v>
      </c>
      <c r="K179" s="103">
        <f>VLOOKUP(C179,[1]Sheet2!$A:$C,3,0)</f>
        <v>19250</v>
      </c>
      <c r="L179" s="102"/>
      <c r="M179" s="103"/>
      <c r="N179" s="102">
        <v>10</v>
      </c>
      <c r="O179" s="103">
        <v>38500</v>
      </c>
      <c r="P179" s="102"/>
      <c r="Q179" s="106"/>
      <c r="R179" s="102"/>
      <c r="S179" s="106"/>
      <c r="T179" s="102"/>
      <c r="U179" s="106"/>
      <c r="V179" s="102"/>
      <c r="W179" s="106"/>
      <c r="X179" s="106"/>
      <c r="Y179" s="106"/>
      <c r="Z179" s="106"/>
      <c r="AA179" s="106"/>
      <c r="AB179" s="106"/>
      <c r="AC179" s="106"/>
      <c r="AD179" s="113">
        <f>F179+H179+J179+L179+N179+P179+R179+T179+V179+X179+Z179+AB179</f>
        <v>20</v>
      </c>
      <c r="AE179" s="107">
        <f>G179+I179+K179+M179+O179+Q179+S179+U179+W179+Y179+AA179+AC179</f>
        <v>77000</v>
      </c>
    </row>
    <row r="180" spans="1:31">
      <c r="A180" s="100">
        <v>328</v>
      </c>
      <c r="B180" s="108">
        <v>4971710514162</v>
      </c>
      <c r="C180" s="109" t="s">
        <v>298</v>
      </c>
      <c r="D180" s="120" t="s">
        <v>1131</v>
      </c>
      <c r="E180" s="101" t="s">
        <v>299</v>
      </c>
      <c r="F180" s="110"/>
      <c r="G180" s="111"/>
      <c r="H180" s="104"/>
      <c r="I180" s="105"/>
      <c r="J180" s="102"/>
      <c r="K180" s="103"/>
      <c r="L180" s="102"/>
      <c r="M180" s="103"/>
      <c r="N180" s="102">
        <v>10</v>
      </c>
      <c r="O180" s="103">
        <v>4950</v>
      </c>
      <c r="P180" s="102"/>
      <c r="Q180" s="106"/>
      <c r="R180" s="102"/>
      <c r="S180" s="106"/>
      <c r="T180" s="102"/>
      <c r="U180" s="106"/>
      <c r="V180" s="102"/>
      <c r="W180" s="106"/>
      <c r="X180" s="106"/>
      <c r="Y180" s="106"/>
      <c r="Z180" s="106"/>
      <c r="AA180" s="106"/>
      <c r="AB180" s="106"/>
      <c r="AC180" s="106"/>
      <c r="AD180" s="112">
        <f>F180+H180+J180+L180+N180+P180+R180+T180+V180+X180+Z180+AB180</f>
        <v>10</v>
      </c>
      <c r="AE180" s="107">
        <f>G180+I180+K180+M180+O180+Q180+S180+U180+W180+Y180+AA180+AC180</f>
        <v>4950</v>
      </c>
    </row>
    <row r="181" spans="1:31">
      <c r="A181" s="100">
        <v>340</v>
      </c>
      <c r="B181" s="108">
        <v>4971710514131</v>
      </c>
      <c r="C181" s="109" t="s">
        <v>294</v>
      </c>
      <c r="D181" s="120" t="s">
        <v>1131</v>
      </c>
      <c r="E181" s="101" t="s">
        <v>295</v>
      </c>
      <c r="F181" s="110"/>
      <c r="G181" s="111"/>
      <c r="H181" s="104"/>
      <c r="I181" s="105"/>
      <c r="J181" s="102"/>
      <c r="K181" s="103"/>
      <c r="L181" s="102"/>
      <c r="M181" s="103"/>
      <c r="N181" s="102">
        <v>10</v>
      </c>
      <c r="O181" s="103">
        <v>4950</v>
      </c>
      <c r="P181" s="102"/>
      <c r="Q181" s="106"/>
      <c r="R181" s="102"/>
      <c r="S181" s="106"/>
      <c r="T181" s="102"/>
      <c r="U181" s="106"/>
      <c r="V181" s="102"/>
      <c r="W181" s="106"/>
      <c r="X181" s="106"/>
      <c r="Y181" s="106"/>
      <c r="Z181" s="106"/>
      <c r="AA181" s="106"/>
      <c r="AB181" s="106"/>
      <c r="AC181" s="106"/>
      <c r="AD181" s="112">
        <f>F181+H181+J181+L181+N181+P181+R181+T181+V181+X181+Z181+AB181</f>
        <v>10</v>
      </c>
      <c r="AE181" s="107">
        <f>G181+I181+K181+M181+O181+Q181+S181+U181+W181+Y181+AA181+AC181</f>
        <v>4950</v>
      </c>
    </row>
    <row r="182" spans="1:31">
      <c r="A182" s="100">
        <v>395</v>
      </c>
      <c r="B182" s="108">
        <v>4971710514155</v>
      </c>
      <c r="C182" s="109" t="s">
        <v>296</v>
      </c>
      <c r="D182" s="120" t="s">
        <v>1131</v>
      </c>
      <c r="E182" s="101" t="s">
        <v>297</v>
      </c>
      <c r="F182" s="110"/>
      <c r="G182" s="111"/>
      <c r="H182" s="104"/>
      <c r="I182" s="105"/>
      <c r="J182" s="102"/>
      <c r="K182" s="103"/>
      <c r="L182" s="102"/>
      <c r="M182" s="103"/>
      <c r="N182" s="102">
        <v>10</v>
      </c>
      <c r="O182" s="103">
        <v>4950</v>
      </c>
      <c r="P182" s="102"/>
      <c r="Q182" s="106"/>
      <c r="R182" s="102"/>
      <c r="S182" s="106"/>
      <c r="T182" s="102"/>
      <c r="U182" s="106"/>
      <c r="V182" s="102"/>
      <c r="W182" s="106"/>
      <c r="X182" s="106"/>
      <c r="Y182" s="106"/>
      <c r="Z182" s="106"/>
      <c r="AA182" s="106"/>
      <c r="AB182" s="106"/>
      <c r="AC182" s="106"/>
      <c r="AD182" s="112">
        <f>F182+H182+J182+L182+N182+P182+R182+T182+V182+X182+Z182+AB182</f>
        <v>10</v>
      </c>
      <c r="AE182" s="107">
        <f>G182+I182+K182+M182+O182+Q182+S182+U182+W182+Y182+AA182+AC182</f>
        <v>4950</v>
      </c>
    </row>
    <row r="183" spans="1:31">
      <c r="A183" s="100">
        <v>53</v>
      </c>
      <c r="B183" s="108">
        <v>4971710584097</v>
      </c>
      <c r="C183" s="109" t="s">
        <v>975</v>
      </c>
      <c r="D183" s="120" t="s">
        <v>1129</v>
      </c>
      <c r="E183" s="101" t="s">
        <v>991</v>
      </c>
      <c r="F183" s="110">
        <v>100</v>
      </c>
      <c r="G183" s="111">
        <v>88000</v>
      </c>
      <c r="H183" s="104">
        <v>60</v>
      </c>
      <c r="I183" s="105">
        <v>52800</v>
      </c>
      <c r="J183" s="102">
        <f>VLOOKUP(C183,[1]Sheet2!$A:$B,2,0 )</f>
        <v>30</v>
      </c>
      <c r="K183" s="103">
        <f>VLOOKUP(C183,[1]Sheet2!$A:$C,3,0)</f>
        <v>26400</v>
      </c>
      <c r="L183" s="102">
        <v>6</v>
      </c>
      <c r="M183" s="103">
        <v>5280</v>
      </c>
      <c r="N183" s="102">
        <v>6</v>
      </c>
      <c r="O183" s="103">
        <v>5280</v>
      </c>
      <c r="P183" s="102"/>
      <c r="Q183" s="106"/>
      <c r="R183" s="102"/>
      <c r="S183" s="106"/>
      <c r="T183" s="102"/>
      <c r="U183" s="106"/>
      <c r="V183" s="102"/>
      <c r="W183" s="106"/>
      <c r="X183" s="106"/>
      <c r="Y183" s="106"/>
      <c r="Z183" s="106"/>
      <c r="AA183" s="106"/>
      <c r="AB183" s="106"/>
      <c r="AC183" s="106"/>
      <c r="AD183" s="113">
        <f>F183+H183+J183+L183+N183+P183+R183+T183+V183+X183+Z183+AB183</f>
        <v>202</v>
      </c>
      <c r="AE183" s="107">
        <f>G183+I183+K183+M183+O183+Q183+S183+U183+W183+Y183+AA183+AC183</f>
        <v>177760</v>
      </c>
    </row>
    <row r="184" spans="1:31">
      <c r="A184" s="100">
        <v>67</v>
      </c>
      <c r="B184" s="108">
        <v>4971710598537</v>
      </c>
      <c r="C184" s="109" t="s">
        <v>840</v>
      </c>
      <c r="D184" s="120" t="s">
        <v>924</v>
      </c>
      <c r="E184" s="101" t="s">
        <v>860</v>
      </c>
      <c r="F184" s="110"/>
      <c r="G184" s="111"/>
      <c r="H184" s="104">
        <v>86</v>
      </c>
      <c r="I184" s="105">
        <v>56760</v>
      </c>
      <c r="J184" s="102">
        <f>VLOOKUP(C184,[1]Sheet2!$A:$B,2,0 )</f>
        <v>40</v>
      </c>
      <c r="K184" s="103">
        <f>VLOOKUP(C184,[1]Sheet2!$A:$C,3,0)</f>
        <v>26400</v>
      </c>
      <c r="L184" s="102">
        <v>30</v>
      </c>
      <c r="M184" s="103">
        <v>19800</v>
      </c>
      <c r="N184" s="102">
        <v>6</v>
      </c>
      <c r="O184" s="103">
        <v>3960</v>
      </c>
      <c r="P184" s="102"/>
      <c r="Q184" s="106"/>
      <c r="R184" s="102"/>
      <c r="S184" s="106"/>
      <c r="T184" s="102"/>
      <c r="U184" s="106"/>
      <c r="V184" s="102"/>
      <c r="W184" s="106"/>
      <c r="X184" s="106"/>
      <c r="Y184" s="106"/>
      <c r="Z184" s="106"/>
      <c r="AA184" s="106"/>
      <c r="AB184" s="106"/>
      <c r="AC184" s="106"/>
      <c r="AD184" s="113">
        <f>F184+H184+J184+L184+N184+P184+R184+T184+V184+X184+Z184+AB184</f>
        <v>162</v>
      </c>
      <c r="AE184" s="107">
        <f>G184+I184+K184+M184+O184+Q184+S184+U184+W184+Y184+AA184+AC184</f>
        <v>106920</v>
      </c>
    </row>
    <row r="185" spans="1:31">
      <c r="A185" s="100">
        <v>65</v>
      </c>
      <c r="B185" s="108">
        <v>4971710568561</v>
      </c>
      <c r="C185" s="109" t="s">
        <v>526</v>
      </c>
      <c r="D185" s="120" t="s">
        <v>924</v>
      </c>
      <c r="E185" s="101" t="s">
        <v>527</v>
      </c>
      <c r="F185" s="110"/>
      <c r="G185" s="111"/>
      <c r="H185" s="104">
        <v>65</v>
      </c>
      <c r="I185" s="105">
        <v>42900</v>
      </c>
      <c r="J185" s="102">
        <f>VLOOKUP(C185,[1]Sheet2!$A:$B,2,0 )</f>
        <v>75</v>
      </c>
      <c r="K185" s="103">
        <f>VLOOKUP(C185,[1]Sheet2!$A:$C,3,0)</f>
        <v>49500</v>
      </c>
      <c r="L185" s="102">
        <v>2</v>
      </c>
      <c r="M185" s="103">
        <v>1320</v>
      </c>
      <c r="N185" s="102">
        <v>6</v>
      </c>
      <c r="O185" s="103">
        <v>3960</v>
      </c>
      <c r="P185" s="102"/>
      <c r="Q185" s="106"/>
      <c r="R185" s="102"/>
      <c r="S185" s="106"/>
      <c r="T185" s="102"/>
      <c r="U185" s="106"/>
      <c r="V185" s="102"/>
      <c r="W185" s="106"/>
      <c r="X185" s="106"/>
      <c r="Y185" s="106"/>
      <c r="Z185" s="106"/>
      <c r="AA185" s="106"/>
      <c r="AB185" s="106"/>
      <c r="AC185" s="106"/>
      <c r="AD185" s="112">
        <f>F185+H185+J185+L185+N185+P185+R185+T185+V185+X185+Z185+AB185</f>
        <v>148</v>
      </c>
      <c r="AE185" s="107">
        <f>G185+I185+K185+M185+O185+Q185+S185+U185+W185+Y185+AA185+AC185</f>
        <v>97680</v>
      </c>
    </row>
    <row r="186" spans="1:31">
      <c r="A186" s="100">
        <v>184</v>
      </c>
      <c r="B186" s="108">
        <v>4971710598599</v>
      </c>
      <c r="C186" s="109" t="s">
        <v>832</v>
      </c>
      <c r="D186" s="120" t="s">
        <v>924</v>
      </c>
      <c r="E186" s="101" t="s">
        <v>1056</v>
      </c>
      <c r="F186" s="110"/>
      <c r="G186" s="111"/>
      <c r="H186" s="104">
        <v>26</v>
      </c>
      <c r="I186" s="105">
        <v>14300</v>
      </c>
      <c r="J186" s="102"/>
      <c r="K186" s="103"/>
      <c r="L186" s="102">
        <v>30</v>
      </c>
      <c r="M186" s="103">
        <v>16500</v>
      </c>
      <c r="N186" s="102">
        <v>6</v>
      </c>
      <c r="O186" s="103">
        <v>3300</v>
      </c>
      <c r="P186" s="102"/>
      <c r="Q186" s="106"/>
      <c r="R186" s="102"/>
      <c r="S186" s="106"/>
      <c r="T186" s="102"/>
      <c r="U186" s="106"/>
      <c r="V186" s="102"/>
      <c r="W186" s="106"/>
      <c r="X186" s="106"/>
      <c r="Y186" s="106"/>
      <c r="Z186" s="106"/>
      <c r="AA186" s="106"/>
      <c r="AB186" s="106"/>
      <c r="AC186" s="106"/>
      <c r="AD186" s="113">
        <f>F186+H186+J186+L186+N186+P186+R186+T186+V186+X186+Z186+AB186</f>
        <v>62</v>
      </c>
      <c r="AE186" s="107">
        <f>G186+I186+K186+M186+O186+Q186+S186+U186+W186+Y186+AA186+AC186</f>
        <v>34100</v>
      </c>
    </row>
    <row r="187" spans="1:31">
      <c r="A187" s="100">
        <v>252</v>
      </c>
      <c r="B187" s="108">
        <v>4971710615814</v>
      </c>
      <c r="C187" s="109" t="s">
        <v>1097</v>
      </c>
      <c r="D187" s="120" t="s">
        <v>1129</v>
      </c>
      <c r="E187" s="101" t="s">
        <v>1098</v>
      </c>
      <c r="F187" s="110"/>
      <c r="G187" s="111"/>
      <c r="H187" s="104">
        <v>5</v>
      </c>
      <c r="I187" s="105">
        <v>27500</v>
      </c>
      <c r="J187" s="102"/>
      <c r="K187" s="103"/>
      <c r="L187" s="102">
        <v>6</v>
      </c>
      <c r="M187" s="103">
        <v>33000</v>
      </c>
      <c r="N187" s="102">
        <v>6</v>
      </c>
      <c r="O187" s="103">
        <v>33000</v>
      </c>
      <c r="P187" s="102"/>
      <c r="Q187" s="106"/>
      <c r="R187" s="102"/>
      <c r="S187" s="106"/>
      <c r="T187" s="102"/>
      <c r="U187" s="106"/>
      <c r="V187" s="102"/>
      <c r="W187" s="106"/>
      <c r="X187" s="106"/>
      <c r="Y187" s="106"/>
      <c r="Z187" s="106"/>
      <c r="AA187" s="106"/>
      <c r="AB187" s="106"/>
      <c r="AC187" s="106"/>
      <c r="AD187" s="113">
        <f>F187+H187+J187+L187+N187+P187+R187+T187+V187+X187+Z187+AB187</f>
        <v>17</v>
      </c>
      <c r="AE187" s="107">
        <f>G187+I187+K187+M187+O187+Q187+S187+U187+W187+Y187+AA187+AC187</f>
        <v>93500</v>
      </c>
    </row>
    <row r="188" spans="1:31">
      <c r="A188" s="100">
        <v>255</v>
      </c>
      <c r="B188" s="108">
        <v>4971710615876</v>
      </c>
      <c r="C188" s="109" t="s">
        <v>1159</v>
      </c>
      <c r="D188" s="120" t="s">
        <v>1129</v>
      </c>
      <c r="E188" s="101" t="s">
        <v>1098</v>
      </c>
      <c r="F188" s="110"/>
      <c r="G188" s="111"/>
      <c r="H188" s="104">
        <v>5</v>
      </c>
      <c r="I188" s="105">
        <v>26675</v>
      </c>
      <c r="J188" s="102"/>
      <c r="K188" s="103"/>
      <c r="L188" s="102"/>
      <c r="M188" s="103"/>
      <c r="N188" s="102">
        <v>6</v>
      </c>
      <c r="O188" s="103">
        <v>32010</v>
      </c>
      <c r="P188" s="102"/>
      <c r="Q188" s="106"/>
      <c r="R188" s="102"/>
      <c r="S188" s="106"/>
      <c r="T188" s="102"/>
      <c r="U188" s="106"/>
      <c r="V188" s="102"/>
      <c r="W188" s="106"/>
      <c r="X188" s="106"/>
      <c r="Y188" s="106"/>
      <c r="Z188" s="106"/>
      <c r="AA188" s="106"/>
      <c r="AB188" s="106"/>
      <c r="AC188" s="106"/>
      <c r="AD188" s="113">
        <f>F188+H188+J188+L188+N188+P188+R188+T188+V188+X188+Z188+AB188</f>
        <v>11</v>
      </c>
      <c r="AE188" s="107">
        <f>G188+I188+K188+M188+O188+Q188+S188+U188+W188+Y188+AA188+AC188</f>
        <v>58685</v>
      </c>
    </row>
    <row r="189" spans="1:31">
      <c r="A189" s="100">
        <v>443</v>
      </c>
      <c r="B189" s="108">
        <v>4971710282153</v>
      </c>
      <c r="C189" s="109" t="s">
        <v>1095</v>
      </c>
      <c r="D189" s="120" t="s">
        <v>1129</v>
      </c>
      <c r="E189" s="101" t="s">
        <v>1096</v>
      </c>
      <c r="F189" s="110"/>
      <c r="G189" s="111"/>
      <c r="H189" s="104"/>
      <c r="I189" s="105"/>
      <c r="J189" s="102"/>
      <c r="K189" s="103"/>
      <c r="L189" s="102"/>
      <c r="M189" s="103"/>
      <c r="N189" s="102">
        <v>6</v>
      </c>
      <c r="O189" s="103">
        <v>11550</v>
      </c>
      <c r="P189" s="102"/>
      <c r="Q189" s="106"/>
      <c r="R189" s="102"/>
      <c r="S189" s="106"/>
      <c r="T189" s="102"/>
      <c r="U189" s="106"/>
      <c r="V189" s="102"/>
      <c r="W189" s="106"/>
      <c r="X189" s="106"/>
      <c r="Y189" s="106"/>
      <c r="Z189" s="106"/>
      <c r="AA189" s="106"/>
      <c r="AB189" s="106"/>
      <c r="AC189" s="106"/>
      <c r="AD189" s="113">
        <f>F189+H189+J189+L189+N189+P189+R189+T189+V189+X189+Z189+AB189</f>
        <v>6</v>
      </c>
      <c r="AE189" s="107">
        <f>G189+I189+K189+M189+O189+Q189+S189+U189+W189+Y189+AA189+AC189</f>
        <v>11550</v>
      </c>
    </row>
    <row r="190" spans="1:31">
      <c r="A190" s="100">
        <v>103</v>
      </c>
      <c r="B190" s="108">
        <v>4971710564891</v>
      </c>
      <c r="C190" s="109" t="s">
        <v>498</v>
      </c>
      <c r="D190" s="120" t="s">
        <v>1131</v>
      </c>
      <c r="E190" s="101" t="s">
        <v>499</v>
      </c>
      <c r="F190" s="110"/>
      <c r="G190" s="111"/>
      <c r="H190" s="104">
        <v>50</v>
      </c>
      <c r="I190" s="105">
        <v>27500</v>
      </c>
      <c r="J190" s="102">
        <f>VLOOKUP(C190,[1]Sheet2!$A:$B,2,0 )</f>
        <v>30</v>
      </c>
      <c r="K190" s="103">
        <f>VLOOKUP(C190,[1]Sheet2!$A:$C,3,0)</f>
        <v>16500</v>
      </c>
      <c r="L190" s="102"/>
      <c r="M190" s="103"/>
      <c r="N190" s="102">
        <v>5</v>
      </c>
      <c r="O190" s="103">
        <v>2750</v>
      </c>
      <c r="P190" s="102"/>
      <c r="Q190" s="106"/>
      <c r="R190" s="102"/>
      <c r="S190" s="106"/>
      <c r="T190" s="102"/>
      <c r="U190" s="106"/>
      <c r="V190" s="102"/>
      <c r="W190" s="106"/>
      <c r="X190" s="106"/>
      <c r="Y190" s="106"/>
      <c r="Z190" s="106"/>
      <c r="AA190" s="106"/>
      <c r="AB190" s="106"/>
      <c r="AC190" s="106"/>
      <c r="AD190" s="112">
        <f>F190+H190+J190+L190+N190+P190+R190+T190+V190+X190+Z190+AB190</f>
        <v>85</v>
      </c>
      <c r="AE190" s="107">
        <f>G190+I190+K190+M190+O190+Q190+S190+U190+W190+Y190+AA190+AC190</f>
        <v>46750</v>
      </c>
    </row>
    <row r="191" spans="1:31">
      <c r="A191" s="100">
        <v>127</v>
      </c>
      <c r="B191" s="108">
        <v>4971710619799</v>
      </c>
      <c r="C191" s="109" t="s">
        <v>1172</v>
      </c>
      <c r="D191" s="120" t="s">
        <v>924</v>
      </c>
      <c r="E191" s="101" t="s">
        <v>1185</v>
      </c>
      <c r="F191" s="110"/>
      <c r="G191" s="111"/>
      <c r="H191" s="104">
        <v>50</v>
      </c>
      <c r="I191" s="105">
        <v>44000</v>
      </c>
      <c r="J191" s="102"/>
      <c r="K191" s="103"/>
      <c r="L191" s="102">
        <v>8</v>
      </c>
      <c r="M191" s="103">
        <v>7040</v>
      </c>
      <c r="N191" s="102">
        <v>5</v>
      </c>
      <c r="O191" s="103">
        <v>4400</v>
      </c>
      <c r="P191" s="102"/>
      <c r="Q191" s="106"/>
      <c r="R191" s="102"/>
      <c r="S191" s="106"/>
      <c r="T191" s="102"/>
      <c r="U191" s="106"/>
      <c r="V191" s="102"/>
      <c r="W191" s="106"/>
      <c r="X191" s="106"/>
      <c r="Y191" s="106"/>
      <c r="Z191" s="106"/>
      <c r="AA191" s="106"/>
      <c r="AB191" s="106"/>
      <c r="AC191" s="106"/>
      <c r="AD191" s="113">
        <f>F191+H191+J191+L191+N191+P191+R191+T191+V191+X191+Z191+AB191</f>
        <v>63</v>
      </c>
      <c r="AE191" s="107">
        <f>G191+I191+K191+M191+O191+Q191+S191+U191+W191+Y191+AA191+AC191</f>
        <v>55440</v>
      </c>
    </row>
    <row r="192" spans="1:31">
      <c r="A192" s="100">
        <v>250</v>
      </c>
      <c r="B192" s="108">
        <v>4971710556834</v>
      </c>
      <c r="C192" s="109" t="s">
        <v>448</v>
      </c>
      <c r="D192" s="120" t="s">
        <v>924</v>
      </c>
      <c r="E192" s="101" t="s">
        <v>449</v>
      </c>
      <c r="F192" s="110"/>
      <c r="G192" s="111"/>
      <c r="H192" s="104">
        <v>5</v>
      </c>
      <c r="I192" s="105">
        <v>4950</v>
      </c>
      <c r="J192" s="102"/>
      <c r="K192" s="103"/>
      <c r="L192" s="102">
        <v>44</v>
      </c>
      <c r="M192" s="103">
        <v>43560</v>
      </c>
      <c r="N192" s="102">
        <v>5</v>
      </c>
      <c r="O192" s="103">
        <v>4950</v>
      </c>
      <c r="P192" s="102"/>
      <c r="Q192" s="106"/>
      <c r="R192" s="102"/>
      <c r="S192" s="106"/>
      <c r="T192" s="102"/>
      <c r="U192" s="106"/>
      <c r="V192" s="102"/>
      <c r="W192" s="106"/>
      <c r="X192" s="106"/>
      <c r="Y192" s="106"/>
      <c r="Z192" s="106"/>
      <c r="AA192" s="106"/>
      <c r="AB192" s="106"/>
      <c r="AC192" s="106"/>
      <c r="AD192" s="112">
        <f>F192+H192+J192+L192+N192+P192+R192+T192+V192+X192+Z192+AB192</f>
        <v>54</v>
      </c>
      <c r="AE192" s="107">
        <f>G192+I192+K192+M192+O192+Q192+S192+U192+W192+Y192+AA192+AC192</f>
        <v>53460</v>
      </c>
    </row>
    <row r="193" spans="1:31">
      <c r="A193" s="100">
        <v>212</v>
      </c>
      <c r="B193" s="108">
        <v>4971710572803</v>
      </c>
      <c r="C193" s="109" t="s">
        <v>973</v>
      </c>
      <c r="D193" s="120" t="s">
        <v>1129</v>
      </c>
      <c r="E193" s="101" t="s">
        <v>989</v>
      </c>
      <c r="F193" s="110"/>
      <c r="G193" s="111"/>
      <c r="H193" s="104">
        <v>10</v>
      </c>
      <c r="I193" s="105">
        <v>17600</v>
      </c>
      <c r="J193" s="102">
        <f>VLOOKUP(C193,[1]Sheet2!$A:$B,2,0 )</f>
        <v>5</v>
      </c>
      <c r="K193" s="103">
        <f>VLOOKUP(C193,[1]Sheet2!$A:$C,3,0)</f>
        <v>8800</v>
      </c>
      <c r="L193" s="102"/>
      <c r="M193" s="103"/>
      <c r="N193" s="102">
        <v>5</v>
      </c>
      <c r="O193" s="103">
        <v>8800</v>
      </c>
      <c r="P193" s="102"/>
      <c r="Q193" s="106"/>
      <c r="R193" s="102"/>
      <c r="S193" s="106"/>
      <c r="T193" s="102"/>
      <c r="U193" s="106"/>
      <c r="V193" s="102"/>
      <c r="W193" s="106"/>
      <c r="X193" s="106"/>
      <c r="Y193" s="106"/>
      <c r="Z193" s="106"/>
      <c r="AA193" s="106"/>
      <c r="AB193" s="106"/>
      <c r="AC193" s="106"/>
      <c r="AD193" s="113">
        <f>F193+H193+J193+L193+N193+P193+R193+T193+V193+X193+Z193+AB193</f>
        <v>20</v>
      </c>
      <c r="AE193" s="107">
        <f>G193+I193+K193+M193+O193+Q193+S193+U193+W193+Y193+AA193+AC193</f>
        <v>35200</v>
      </c>
    </row>
    <row r="194" spans="1:31">
      <c r="A194" s="100">
        <v>213</v>
      </c>
      <c r="B194" s="108">
        <v>4971710572810</v>
      </c>
      <c r="C194" s="109" t="s">
        <v>974</v>
      </c>
      <c r="D194" s="120" t="s">
        <v>1129</v>
      </c>
      <c r="E194" s="101" t="s">
        <v>990</v>
      </c>
      <c r="F194" s="110"/>
      <c r="G194" s="111"/>
      <c r="H194" s="104">
        <v>10</v>
      </c>
      <c r="I194" s="105">
        <v>17600</v>
      </c>
      <c r="J194" s="102">
        <f>VLOOKUP(C194,[1]Sheet2!$A:$B,2,0 )</f>
        <v>5</v>
      </c>
      <c r="K194" s="103">
        <f>VLOOKUP(C194,[1]Sheet2!$A:$C,3,0)</f>
        <v>8800</v>
      </c>
      <c r="L194" s="102"/>
      <c r="M194" s="103"/>
      <c r="N194" s="102">
        <v>5</v>
      </c>
      <c r="O194" s="103">
        <v>8800</v>
      </c>
      <c r="P194" s="102"/>
      <c r="Q194" s="106"/>
      <c r="R194" s="102"/>
      <c r="S194" s="106"/>
      <c r="T194" s="102"/>
      <c r="U194" s="106"/>
      <c r="V194" s="102"/>
      <c r="W194" s="106"/>
      <c r="X194" s="106"/>
      <c r="Y194" s="106"/>
      <c r="Z194" s="106"/>
      <c r="AA194" s="106"/>
      <c r="AB194" s="106"/>
      <c r="AC194" s="106"/>
      <c r="AD194" s="113">
        <f>F194+H194+J194+L194+N194+P194+R194+T194+V194+X194+Z194+AB194</f>
        <v>20</v>
      </c>
      <c r="AE194" s="107">
        <f>G194+I194+K194+M194+O194+Q194+S194+U194+W194+Y194+AA194+AC194</f>
        <v>35200</v>
      </c>
    </row>
    <row r="195" spans="1:31">
      <c r="A195" s="100">
        <v>211</v>
      </c>
      <c r="B195" s="108">
        <v>4971710615883</v>
      </c>
      <c r="C195" s="109" t="s">
        <v>1093</v>
      </c>
      <c r="D195" s="120" t="s">
        <v>1129</v>
      </c>
      <c r="E195" s="101" t="s">
        <v>1094</v>
      </c>
      <c r="F195" s="110"/>
      <c r="G195" s="111"/>
      <c r="H195" s="104">
        <v>15</v>
      </c>
      <c r="I195" s="105">
        <v>71775</v>
      </c>
      <c r="J195" s="102"/>
      <c r="K195" s="103"/>
      <c r="L195" s="102"/>
      <c r="M195" s="103"/>
      <c r="N195" s="102">
        <v>5</v>
      </c>
      <c r="O195" s="103">
        <v>23925</v>
      </c>
      <c r="P195" s="102"/>
      <c r="Q195" s="106"/>
      <c r="R195" s="102"/>
      <c r="S195" s="106"/>
      <c r="T195" s="102"/>
      <c r="U195" s="106"/>
      <c r="V195" s="102"/>
      <c r="W195" s="106"/>
      <c r="X195" s="106"/>
      <c r="Y195" s="106"/>
      <c r="Z195" s="106"/>
      <c r="AA195" s="106"/>
      <c r="AB195" s="106"/>
      <c r="AC195" s="106"/>
      <c r="AD195" s="113">
        <f>F195+H195+J195+L195+N195+P195+R195+T195+V195+X195+Z195+AB195</f>
        <v>20</v>
      </c>
      <c r="AE195" s="107">
        <f>G195+I195+K195+M195+O195+Q195+S195+U195+W195+Y195+AA195+AC195</f>
        <v>95700</v>
      </c>
    </row>
    <row r="196" spans="1:31">
      <c r="A196" s="100">
        <v>259</v>
      </c>
      <c r="B196" s="108">
        <v>4971710570182</v>
      </c>
      <c r="C196" s="109" t="s">
        <v>1194</v>
      </c>
      <c r="D196" s="120" t="s">
        <v>1129</v>
      </c>
      <c r="E196" s="101" t="s">
        <v>1233</v>
      </c>
      <c r="F196" s="110"/>
      <c r="G196" s="111"/>
      <c r="H196" s="104"/>
      <c r="I196" s="105"/>
      <c r="J196" s="102">
        <f>VLOOKUP(C196,[1]Sheet2!$A:$B,2,0 )</f>
        <v>5</v>
      </c>
      <c r="K196" s="103">
        <f>VLOOKUP(C196,[1]Sheet2!$A:$C,3,0)</f>
        <v>28875</v>
      </c>
      <c r="L196" s="102"/>
      <c r="M196" s="103"/>
      <c r="N196" s="102">
        <v>5</v>
      </c>
      <c r="O196" s="103">
        <v>28875</v>
      </c>
      <c r="P196" s="102"/>
      <c r="Q196" s="106"/>
      <c r="R196" s="102"/>
      <c r="S196" s="106"/>
      <c r="T196" s="102"/>
      <c r="U196" s="106"/>
      <c r="V196" s="102"/>
      <c r="W196" s="106"/>
      <c r="X196" s="106"/>
      <c r="Y196" s="106"/>
      <c r="Z196" s="106"/>
      <c r="AA196" s="106"/>
      <c r="AB196" s="106"/>
      <c r="AC196" s="106"/>
      <c r="AD196" s="113">
        <f>F196+H196+J196+L196+N196+P196+R196+T196+V196+X196+Z196+AB196</f>
        <v>10</v>
      </c>
      <c r="AE196" s="107">
        <f>G196+I196+K196+M196+O196+Q196+S196+U196+W196+Y196+AA196+AC196</f>
        <v>57750</v>
      </c>
    </row>
    <row r="197" spans="1:31">
      <c r="A197" s="100">
        <v>253</v>
      </c>
      <c r="B197" s="108">
        <v>4971710570137</v>
      </c>
      <c r="C197" s="109" t="s">
        <v>1091</v>
      </c>
      <c r="D197" s="120" t="s">
        <v>1129</v>
      </c>
      <c r="E197" s="101" t="s">
        <v>987</v>
      </c>
      <c r="F197" s="110"/>
      <c r="G197" s="111"/>
      <c r="H197" s="104">
        <v>5</v>
      </c>
      <c r="I197" s="105">
        <v>20625</v>
      </c>
      <c r="J197" s="102"/>
      <c r="K197" s="103"/>
      <c r="L197" s="102"/>
      <c r="M197" s="103"/>
      <c r="N197" s="102">
        <v>5</v>
      </c>
      <c r="O197" s="103">
        <v>20625</v>
      </c>
      <c r="P197" s="102"/>
      <c r="Q197" s="106"/>
      <c r="R197" s="102"/>
      <c r="S197" s="106"/>
      <c r="T197" s="102"/>
      <c r="U197" s="106"/>
      <c r="V197" s="102"/>
      <c r="W197" s="106"/>
      <c r="X197" s="106"/>
      <c r="Y197" s="106"/>
      <c r="Z197" s="106"/>
      <c r="AA197" s="106"/>
      <c r="AB197" s="106"/>
      <c r="AC197" s="106"/>
      <c r="AD197" s="113">
        <f>F197+H197+J197+L197+N197+P197+R197+T197+V197+X197+Z197+AB197</f>
        <v>10</v>
      </c>
      <c r="AE197" s="107">
        <f>G197+I197+K197+M197+O197+Q197+S197+U197+W197+Y197+AA197+AC197</f>
        <v>41250</v>
      </c>
    </row>
    <row r="198" spans="1:31">
      <c r="A198" s="100">
        <v>254</v>
      </c>
      <c r="B198" s="108">
        <v>4971710570151</v>
      </c>
      <c r="C198" s="109" t="s">
        <v>1092</v>
      </c>
      <c r="D198" s="120" t="s">
        <v>1129</v>
      </c>
      <c r="E198" s="101" t="s">
        <v>988</v>
      </c>
      <c r="F198" s="110"/>
      <c r="G198" s="111"/>
      <c r="H198" s="104">
        <v>5</v>
      </c>
      <c r="I198" s="105">
        <v>20625</v>
      </c>
      <c r="J198" s="102"/>
      <c r="K198" s="103"/>
      <c r="L198" s="102"/>
      <c r="M198" s="103"/>
      <c r="N198" s="102">
        <v>5</v>
      </c>
      <c r="O198" s="103">
        <v>20625</v>
      </c>
      <c r="P198" s="102"/>
      <c r="Q198" s="106"/>
      <c r="R198" s="102"/>
      <c r="S198" s="106"/>
      <c r="T198" s="102"/>
      <c r="U198" s="106"/>
      <c r="V198" s="102"/>
      <c r="W198" s="106"/>
      <c r="X198" s="106"/>
      <c r="Y198" s="106"/>
      <c r="Z198" s="106"/>
      <c r="AA198" s="106"/>
      <c r="AB198" s="106"/>
      <c r="AC198" s="106"/>
      <c r="AD198" s="113">
        <f>F198+H198+J198+L198+N198+P198+R198+T198+V198+X198+Z198+AB198</f>
        <v>10</v>
      </c>
      <c r="AE198" s="107">
        <f>G198+I198+K198+M198+O198+Q198+S198+U198+W198+Y198+AA198+AC198</f>
        <v>41250</v>
      </c>
    </row>
    <row r="199" spans="1:31">
      <c r="A199" s="100">
        <v>471</v>
      </c>
      <c r="B199" s="108">
        <v>4971710270747</v>
      </c>
      <c r="C199" s="109" t="s">
        <v>1243</v>
      </c>
      <c r="D199" s="120" t="s">
        <v>1129</v>
      </c>
      <c r="E199" s="101" t="s">
        <v>1291</v>
      </c>
      <c r="F199" s="110"/>
      <c r="G199" s="111"/>
      <c r="H199" s="104"/>
      <c r="I199" s="105"/>
      <c r="J199" s="102"/>
      <c r="K199" s="103"/>
      <c r="L199" s="102"/>
      <c r="M199" s="103"/>
      <c r="N199" s="102">
        <f>VLOOKUP(C199,'[4]レポート 3'!$D:$E,2,0)</f>
        <v>5</v>
      </c>
      <c r="O199" s="103">
        <f>VLOOKUP(C199,'[4]レポート 3'!$D:$F,3,0)</f>
        <v>1375</v>
      </c>
      <c r="P199" s="102"/>
      <c r="Q199" s="106"/>
      <c r="R199" s="102"/>
      <c r="S199" s="106"/>
      <c r="T199" s="102"/>
      <c r="U199" s="106"/>
      <c r="V199" s="102"/>
      <c r="W199" s="106"/>
      <c r="X199" s="106"/>
      <c r="Y199" s="106"/>
      <c r="Z199" s="106"/>
      <c r="AA199" s="106"/>
      <c r="AB199" s="106"/>
      <c r="AC199" s="106"/>
      <c r="AD199" s="112">
        <f>F199+H199+J199+L199+N199+P199+R199+T199+V199+X199+Z199+AB199</f>
        <v>5</v>
      </c>
      <c r="AE199" s="107">
        <f>G199+I199+K199+M199+O199+Q199+S199+U199+W199+Y199+AA199+AC199</f>
        <v>1375</v>
      </c>
    </row>
    <row r="200" spans="1:31">
      <c r="A200" s="100">
        <v>1</v>
      </c>
      <c r="B200" s="108">
        <v>4971710621945</v>
      </c>
      <c r="C200" s="109" t="s">
        <v>1144</v>
      </c>
      <c r="D200" s="120" t="s">
        <v>1145</v>
      </c>
      <c r="E200" s="101" t="s">
        <v>1147</v>
      </c>
      <c r="F200" s="110">
        <v>28800</v>
      </c>
      <c r="G200" s="111">
        <v>20592000</v>
      </c>
      <c r="H200" s="104"/>
      <c r="I200" s="105"/>
      <c r="J200" s="102">
        <f>VLOOKUP(C200,[1]Sheet2!$A:$B,2,0 )</f>
        <v>9360</v>
      </c>
      <c r="K200" s="103">
        <f>VLOOKUP(C200,[1]Sheet2!$A:$C,3,0)</f>
        <v>6692400</v>
      </c>
      <c r="L200" s="102">
        <v>11463</v>
      </c>
      <c r="M200" s="103">
        <v>8196045</v>
      </c>
      <c r="N200" s="102"/>
      <c r="O200" s="103"/>
      <c r="P200" s="102"/>
      <c r="Q200" s="106"/>
      <c r="R200" s="102"/>
      <c r="S200" s="106"/>
      <c r="T200" s="102"/>
      <c r="U200" s="106"/>
      <c r="V200" s="102"/>
      <c r="W200" s="106"/>
      <c r="X200" s="106"/>
      <c r="Y200" s="106"/>
      <c r="Z200" s="106"/>
      <c r="AA200" s="106"/>
      <c r="AB200" s="106"/>
      <c r="AC200" s="106"/>
      <c r="AD200" s="113">
        <f>F200+H200+J200+L200+N200+P200+R200+T200+V200+X200+Z200+AB200</f>
        <v>49623</v>
      </c>
      <c r="AE200" s="107">
        <f>G200+I200+K200+M200+O200+Q200+S200+U200+W200+Y200+AA200+AC200</f>
        <v>35480445</v>
      </c>
    </row>
    <row r="201" spans="1:31">
      <c r="A201" s="100">
        <v>3</v>
      </c>
      <c r="B201" s="108">
        <v>4971710595789</v>
      </c>
      <c r="C201" s="109" t="s">
        <v>819</v>
      </c>
      <c r="D201" s="120" t="s">
        <v>1133</v>
      </c>
      <c r="E201" s="101" t="s">
        <v>1033</v>
      </c>
      <c r="F201" s="110">
        <v>5500</v>
      </c>
      <c r="G201" s="111">
        <v>5445000</v>
      </c>
      <c r="H201" s="104">
        <v>14008</v>
      </c>
      <c r="I201" s="105">
        <v>13867920</v>
      </c>
      <c r="J201" s="102"/>
      <c r="K201" s="103"/>
      <c r="L201" s="102">
        <v>4000</v>
      </c>
      <c r="M201" s="103">
        <v>3960000</v>
      </c>
      <c r="N201" s="102"/>
      <c r="O201" s="103"/>
      <c r="P201" s="102"/>
      <c r="Q201" s="106"/>
      <c r="R201" s="102"/>
      <c r="S201" s="106"/>
      <c r="T201" s="102"/>
      <c r="U201" s="106"/>
      <c r="V201" s="102"/>
      <c r="W201" s="106"/>
      <c r="X201" s="106"/>
      <c r="Y201" s="106"/>
      <c r="Z201" s="106"/>
      <c r="AA201" s="106"/>
      <c r="AB201" s="106"/>
      <c r="AC201" s="106"/>
      <c r="AD201" s="112">
        <f>F201+H201+J201+L201+N201+P201+R201+T201+V201+X201+Z201+AB201</f>
        <v>23508</v>
      </c>
      <c r="AE201" s="107">
        <f>G201+I201+K201+M201+O201+Q201+S201+U201+W201+Y201+AA201+AC201</f>
        <v>23272920</v>
      </c>
    </row>
    <row r="202" spans="1:31">
      <c r="A202" s="100">
        <v>4</v>
      </c>
      <c r="B202" s="108">
        <v>4971710574852</v>
      </c>
      <c r="C202" s="109" t="s">
        <v>584</v>
      </c>
      <c r="D202" s="120" t="s">
        <v>1133</v>
      </c>
      <c r="E202" s="101" t="s">
        <v>931</v>
      </c>
      <c r="F202" s="110">
        <v>6000</v>
      </c>
      <c r="G202" s="111">
        <v>4950000</v>
      </c>
      <c r="H202" s="104"/>
      <c r="I202" s="105"/>
      <c r="J202" s="102">
        <f>VLOOKUP(C202,[1]Sheet2!$A:$B,2,0 )</f>
        <v>5000</v>
      </c>
      <c r="K202" s="103">
        <f>VLOOKUP(C202,[1]Sheet2!$A:$C,3,0)</f>
        <v>4125000</v>
      </c>
      <c r="L202" s="102"/>
      <c r="M202" s="103"/>
      <c r="N202" s="102"/>
      <c r="O202" s="103"/>
      <c r="P202" s="102"/>
      <c r="Q202" s="106"/>
      <c r="R202" s="102"/>
      <c r="S202" s="106"/>
      <c r="T202" s="102"/>
      <c r="U202" s="106"/>
      <c r="V202" s="102"/>
      <c r="W202" s="106"/>
      <c r="X202" s="106"/>
      <c r="Y202" s="106"/>
      <c r="Z202" s="106"/>
      <c r="AA202" s="106"/>
      <c r="AB202" s="106"/>
      <c r="AC202" s="106"/>
      <c r="AD202" s="112">
        <f>F202+H202+J202+L202+N202+P202+R202+T202+V202+X202+Z202+AB202</f>
        <v>11000</v>
      </c>
      <c r="AE202" s="107">
        <f>G202+I202+K202+M202+O202+Q202+S202+U202+W202+Y202+AA202+AC202</f>
        <v>9075000</v>
      </c>
    </row>
    <row r="203" spans="1:31">
      <c r="A203" s="100">
        <v>48</v>
      </c>
      <c r="B203" s="108">
        <v>4971710625592</v>
      </c>
      <c r="C203" s="109" t="s">
        <v>1162</v>
      </c>
      <c r="D203" s="120" t="s">
        <v>1141</v>
      </c>
      <c r="E203" s="101" t="s">
        <v>1187</v>
      </c>
      <c r="F203" s="110"/>
      <c r="G203" s="111"/>
      <c r="H203" s="104">
        <v>216</v>
      </c>
      <c r="I203" s="105">
        <v>154440</v>
      </c>
      <c r="J203" s="102">
        <f>VLOOKUP(C203,[1]Sheet2!$A:$B,2,0 )</f>
        <v>72</v>
      </c>
      <c r="K203" s="103">
        <f>VLOOKUP(C203,[1]Sheet2!$A:$C,3,0)</f>
        <v>51480</v>
      </c>
      <c r="L203" s="102">
        <v>2880</v>
      </c>
      <c r="M203" s="103">
        <v>2059200</v>
      </c>
      <c r="N203" s="102"/>
      <c r="O203" s="103"/>
      <c r="P203" s="102"/>
      <c r="Q203" s="106"/>
      <c r="R203" s="102"/>
      <c r="S203" s="106"/>
      <c r="T203" s="102"/>
      <c r="U203" s="106"/>
      <c r="V203" s="102"/>
      <c r="W203" s="106"/>
      <c r="X203" s="106"/>
      <c r="Y203" s="106"/>
      <c r="Z203" s="106"/>
      <c r="AA203" s="106"/>
      <c r="AB203" s="106"/>
      <c r="AC203" s="106"/>
      <c r="AD203" s="113">
        <f>F203+H203+J203+L203+N203+P203+R203+T203+V203+X203+Z203+AB203</f>
        <v>3168</v>
      </c>
      <c r="AE203" s="107">
        <f>G203+I203+K203+M203+O203+Q203+S203+U203+W203+Y203+AA203+AC203</f>
        <v>2265120</v>
      </c>
    </row>
    <row r="204" spans="1:31">
      <c r="A204" s="100">
        <v>20</v>
      </c>
      <c r="B204" s="108">
        <v>4971710592993</v>
      </c>
      <c r="C204" s="109" t="s">
        <v>747</v>
      </c>
      <c r="D204" s="120" t="s">
        <v>924</v>
      </c>
      <c r="E204" s="101" t="s">
        <v>748</v>
      </c>
      <c r="F204" s="110"/>
      <c r="G204" s="111"/>
      <c r="H204" s="104">
        <v>540</v>
      </c>
      <c r="I204" s="105">
        <v>326700</v>
      </c>
      <c r="J204" s="102">
        <f>VLOOKUP(C204,[1]Sheet2!$A:$B,2,0 )</f>
        <v>156</v>
      </c>
      <c r="K204" s="103">
        <f>VLOOKUP(C204,[1]Sheet2!$A:$C,3,0)</f>
        <v>94380</v>
      </c>
      <c r="L204" s="102">
        <v>246</v>
      </c>
      <c r="M204" s="103">
        <v>148830</v>
      </c>
      <c r="N204" s="102"/>
      <c r="O204" s="103"/>
      <c r="P204" s="102"/>
      <c r="Q204" s="106"/>
      <c r="R204" s="102"/>
      <c r="S204" s="106"/>
      <c r="T204" s="102"/>
      <c r="U204" s="106"/>
      <c r="V204" s="102"/>
      <c r="W204" s="106"/>
      <c r="X204" s="106"/>
      <c r="Y204" s="106"/>
      <c r="Z204" s="106"/>
      <c r="AA204" s="106"/>
      <c r="AB204" s="106"/>
      <c r="AC204" s="106"/>
      <c r="AD204" s="112">
        <f>F204+H204+J204+L204+N204+P204+R204+T204+V204+X204+Z204+AB204</f>
        <v>942</v>
      </c>
      <c r="AE204" s="107">
        <f>G204+I204+K204+M204+O204+Q204+S204+U204+W204+Y204+AA204+AC204</f>
        <v>569910</v>
      </c>
    </row>
    <row r="205" spans="1:31">
      <c r="A205" s="100">
        <v>18</v>
      </c>
      <c r="B205" s="108">
        <v>4971710619812</v>
      </c>
      <c r="C205" s="109" t="s">
        <v>1119</v>
      </c>
      <c r="D205" s="120" t="s">
        <v>924</v>
      </c>
      <c r="E205" s="101" t="s">
        <v>1121</v>
      </c>
      <c r="F205" s="110">
        <v>115</v>
      </c>
      <c r="G205" s="111">
        <v>82225</v>
      </c>
      <c r="H205" s="104">
        <v>260</v>
      </c>
      <c r="I205" s="105">
        <v>185900</v>
      </c>
      <c r="J205" s="102">
        <f>VLOOKUP(C205,[1]Sheet2!$A:$B,2,0 )</f>
        <v>530</v>
      </c>
      <c r="K205" s="103">
        <f>VLOOKUP(C205,[1]Sheet2!$A:$C,3,0)</f>
        <v>378950</v>
      </c>
      <c r="L205" s="102">
        <v>20</v>
      </c>
      <c r="M205" s="103">
        <v>14300</v>
      </c>
      <c r="N205" s="102"/>
      <c r="O205" s="103"/>
      <c r="P205" s="102"/>
      <c r="Q205" s="106"/>
      <c r="R205" s="102"/>
      <c r="S205" s="106"/>
      <c r="T205" s="102"/>
      <c r="U205" s="106"/>
      <c r="V205" s="102"/>
      <c r="W205" s="106"/>
      <c r="X205" s="106"/>
      <c r="Y205" s="106"/>
      <c r="Z205" s="106"/>
      <c r="AA205" s="106"/>
      <c r="AB205" s="106"/>
      <c r="AC205" s="106"/>
      <c r="AD205" s="113">
        <f>F205+H205+J205+L205+N205+P205+R205+T205+V205+X205+Z205+AB205</f>
        <v>925</v>
      </c>
      <c r="AE205" s="107">
        <f>G205+I205+K205+M205+O205+Q205+S205+U205+W205+Y205+AA205+AC205</f>
        <v>661375</v>
      </c>
    </row>
    <row r="206" spans="1:31">
      <c r="A206" s="100">
        <v>17</v>
      </c>
      <c r="B206" s="108">
        <v>4971710619829</v>
      </c>
      <c r="C206" s="109" t="s">
        <v>1120</v>
      </c>
      <c r="D206" s="120" t="s">
        <v>924</v>
      </c>
      <c r="E206" s="101" t="s">
        <v>1122</v>
      </c>
      <c r="F206" s="110">
        <v>115</v>
      </c>
      <c r="G206" s="111">
        <v>82225</v>
      </c>
      <c r="H206" s="104">
        <v>150</v>
      </c>
      <c r="I206" s="105">
        <v>107250</v>
      </c>
      <c r="J206" s="102">
        <f>VLOOKUP(C206,[1]Sheet2!$A:$B,2,0 )</f>
        <v>650</v>
      </c>
      <c r="K206" s="103">
        <f>VLOOKUP(C206,[1]Sheet2!$A:$C,3,0)</f>
        <v>464750</v>
      </c>
      <c r="L206" s="102"/>
      <c r="M206" s="103"/>
      <c r="N206" s="102"/>
      <c r="O206" s="103"/>
      <c r="P206" s="102"/>
      <c r="Q206" s="106"/>
      <c r="R206" s="102"/>
      <c r="S206" s="106"/>
      <c r="T206" s="102"/>
      <c r="U206" s="106"/>
      <c r="V206" s="102"/>
      <c r="W206" s="106"/>
      <c r="X206" s="106"/>
      <c r="Y206" s="106"/>
      <c r="Z206" s="106"/>
      <c r="AA206" s="106"/>
      <c r="AB206" s="106"/>
      <c r="AC206" s="106"/>
      <c r="AD206" s="113">
        <f>F206+H206+J206+L206+N206+P206+R206+T206+V206+X206+Z206+AB206</f>
        <v>915</v>
      </c>
      <c r="AE206" s="107">
        <f>G206+I206+K206+M206+O206+Q206+S206+U206+W206+Y206+AA206+AC206</f>
        <v>654225</v>
      </c>
    </row>
    <row r="207" spans="1:31">
      <c r="A207" s="100">
        <v>25</v>
      </c>
      <c r="B207" s="108">
        <v>4971710576641</v>
      </c>
      <c r="C207" s="109" t="s">
        <v>618</v>
      </c>
      <c r="D207" s="120" t="s">
        <v>1133</v>
      </c>
      <c r="E207" s="101" t="s">
        <v>617</v>
      </c>
      <c r="F207" s="110"/>
      <c r="G207" s="111"/>
      <c r="H207" s="104">
        <v>228</v>
      </c>
      <c r="I207" s="105">
        <v>413820</v>
      </c>
      <c r="J207" s="102">
        <f>VLOOKUP(C207,[1]Sheet2!$A:$B,2,0 )</f>
        <v>290</v>
      </c>
      <c r="K207" s="103">
        <f>VLOOKUP(C207,[1]Sheet2!$A:$C,3,0)</f>
        <v>526350</v>
      </c>
      <c r="L207" s="102">
        <v>120</v>
      </c>
      <c r="M207" s="103">
        <v>217800</v>
      </c>
      <c r="N207" s="102"/>
      <c r="O207" s="103"/>
      <c r="P207" s="102"/>
      <c r="Q207" s="106"/>
      <c r="R207" s="102"/>
      <c r="S207" s="106"/>
      <c r="T207" s="102"/>
      <c r="U207" s="106"/>
      <c r="V207" s="102"/>
      <c r="W207" s="106"/>
      <c r="X207" s="106"/>
      <c r="Y207" s="106"/>
      <c r="Z207" s="106"/>
      <c r="AA207" s="106"/>
      <c r="AB207" s="106"/>
      <c r="AC207" s="106"/>
      <c r="AD207" s="112">
        <f>F207+H207+J207+L207+N207+P207+R207+T207+V207+X207+Z207+AB207</f>
        <v>638</v>
      </c>
      <c r="AE207" s="107">
        <f>G207+I207+K207+M207+O207+Q207+S207+U207+W207+Y207+AA207+AC207</f>
        <v>1157970</v>
      </c>
    </row>
    <row r="208" spans="1:31">
      <c r="A208" s="100">
        <v>36</v>
      </c>
      <c r="B208" s="108">
        <v>4971710586565</v>
      </c>
      <c r="C208" s="109" t="s">
        <v>831</v>
      </c>
      <c r="D208" s="120" t="s">
        <v>1131</v>
      </c>
      <c r="E208" s="101" t="s">
        <v>1063</v>
      </c>
      <c r="F208" s="110">
        <v>200</v>
      </c>
      <c r="G208" s="111">
        <v>132000</v>
      </c>
      <c r="H208" s="104"/>
      <c r="I208" s="105"/>
      <c r="J208" s="102">
        <f>VLOOKUP(C208,[1]Sheet2!$A:$B,2,0 )</f>
        <v>180</v>
      </c>
      <c r="K208" s="103">
        <f>VLOOKUP(C208,[1]Sheet2!$A:$C,3,0)</f>
        <v>118800</v>
      </c>
      <c r="L208" s="102">
        <v>252</v>
      </c>
      <c r="M208" s="103">
        <v>166320</v>
      </c>
      <c r="N208" s="102"/>
      <c r="O208" s="103"/>
      <c r="P208" s="102"/>
      <c r="Q208" s="106"/>
      <c r="R208" s="102"/>
      <c r="S208" s="106"/>
      <c r="T208" s="102"/>
      <c r="U208" s="106"/>
      <c r="V208" s="102"/>
      <c r="W208" s="106"/>
      <c r="X208" s="106"/>
      <c r="Y208" s="106"/>
      <c r="Z208" s="106"/>
      <c r="AA208" s="106"/>
      <c r="AB208" s="106"/>
      <c r="AC208" s="106"/>
      <c r="AD208" s="113">
        <f>F208+H208+J208+L208+N208+P208+R208+T208+V208+X208+Z208+AB208</f>
        <v>632</v>
      </c>
      <c r="AE208" s="107">
        <f>G208+I208+K208+M208+O208+Q208+S208+U208+W208+Y208+AA208+AC208</f>
        <v>417120</v>
      </c>
    </row>
    <row r="209" spans="1:31">
      <c r="A209" s="100">
        <v>47</v>
      </c>
      <c r="B209" s="108">
        <v>4971710576634</v>
      </c>
      <c r="C209" s="109" t="s">
        <v>616</v>
      </c>
      <c r="D209" s="120" t="s">
        <v>1133</v>
      </c>
      <c r="E209" s="101" t="s">
        <v>617</v>
      </c>
      <c r="F209" s="110"/>
      <c r="G209" s="111"/>
      <c r="H209" s="104">
        <v>156</v>
      </c>
      <c r="I209" s="105">
        <v>300300</v>
      </c>
      <c r="J209" s="102">
        <f>VLOOKUP(C209,[1]Sheet2!$A:$B,2,0 )</f>
        <v>156</v>
      </c>
      <c r="K209" s="103">
        <f>VLOOKUP(C209,[1]Sheet2!$A:$C,3,0)</f>
        <v>300300</v>
      </c>
      <c r="L209" s="102">
        <v>72</v>
      </c>
      <c r="M209" s="103">
        <v>138600</v>
      </c>
      <c r="N209" s="102"/>
      <c r="O209" s="103"/>
      <c r="P209" s="102"/>
      <c r="Q209" s="106"/>
      <c r="R209" s="102"/>
      <c r="S209" s="106"/>
      <c r="T209" s="102"/>
      <c r="U209" s="106"/>
      <c r="V209" s="102"/>
      <c r="W209" s="106"/>
      <c r="X209" s="106"/>
      <c r="Y209" s="106"/>
      <c r="Z209" s="106"/>
      <c r="AA209" s="106"/>
      <c r="AB209" s="106"/>
      <c r="AC209" s="106"/>
      <c r="AD209" s="112">
        <f>F209+H209+J209+L209+N209+P209+R209+T209+V209+X209+Z209+AB209</f>
        <v>384</v>
      </c>
      <c r="AE209" s="107">
        <f>G209+I209+K209+M209+O209+Q209+S209+U209+W209+Y209+AA209+AC209</f>
        <v>739200</v>
      </c>
    </row>
    <row r="210" spans="1:31">
      <c r="A210" s="100">
        <v>45</v>
      </c>
      <c r="B210" s="108">
        <v>4971710557718</v>
      </c>
      <c r="C210" s="109" t="s">
        <v>456</v>
      </c>
      <c r="D210" s="120" t="s">
        <v>1131</v>
      </c>
      <c r="E210" s="101" t="s">
        <v>457</v>
      </c>
      <c r="F210" s="110">
        <v>220</v>
      </c>
      <c r="G210" s="111">
        <v>145200</v>
      </c>
      <c r="H210" s="104">
        <v>100</v>
      </c>
      <c r="I210" s="105">
        <v>66000</v>
      </c>
      <c r="J210" s="102"/>
      <c r="K210" s="103"/>
      <c r="L210" s="102">
        <v>28</v>
      </c>
      <c r="M210" s="103">
        <v>18480</v>
      </c>
      <c r="N210" s="102"/>
      <c r="O210" s="103"/>
      <c r="P210" s="102"/>
      <c r="Q210" s="106"/>
      <c r="R210" s="102"/>
      <c r="S210" s="106"/>
      <c r="T210" s="102"/>
      <c r="U210" s="106"/>
      <c r="V210" s="102"/>
      <c r="W210" s="106"/>
      <c r="X210" s="106"/>
      <c r="Y210" s="106"/>
      <c r="Z210" s="106"/>
      <c r="AA210" s="106"/>
      <c r="AB210" s="106"/>
      <c r="AC210" s="106"/>
      <c r="AD210" s="112">
        <f>F210+H210+J210+L210+N210+P210+R210+T210+V210+X210+Z210+AB210</f>
        <v>348</v>
      </c>
      <c r="AE210" s="107">
        <f>G210+I210+K210+M210+O210+Q210+S210+U210+W210+Y210+AA210+AC210</f>
        <v>229680</v>
      </c>
    </row>
    <row r="211" spans="1:31">
      <c r="A211" s="100">
        <v>44</v>
      </c>
      <c r="B211" s="108">
        <v>4971710593037</v>
      </c>
      <c r="C211" s="109" t="s">
        <v>755</v>
      </c>
      <c r="D211" s="120" t="s">
        <v>924</v>
      </c>
      <c r="E211" s="101" t="s">
        <v>756</v>
      </c>
      <c r="F211" s="110">
        <v>48</v>
      </c>
      <c r="G211" s="111">
        <v>44880</v>
      </c>
      <c r="H211" s="104">
        <v>240</v>
      </c>
      <c r="I211" s="105">
        <v>224400</v>
      </c>
      <c r="J211" s="102">
        <f>VLOOKUP(C211,[1]Sheet2!$A:$B,2,0 )</f>
        <v>36</v>
      </c>
      <c r="K211" s="103">
        <f>VLOOKUP(C211,[1]Sheet2!$A:$C,3,0)</f>
        <v>33660</v>
      </c>
      <c r="L211" s="102">
        <v>6</v>
      </c>
      <c r="M211" s="103">
        <v>5610</v>
      </c>
      <c r="N211" s="102"/>
      <c r="O211" s="103"/>
      <c r="P211" s="102"/>
      <c r="Q211" s="106"/>
      <c r="R211" s="102"/>
      <c r="S211" s="106"/>
      <c r="T211" s="102"/>
      <c r="U211" s="106"/>
      <c r="V211" s="102"/>
      <c r="W211" s="106"/>
      <c r="X211" s="106"/>
      <c r="Y211" s="106"/>
      <c r="Z211" s="106"/>
      <c r="AA211" s="106"/>
      <c r="AB211" s="106"/>
      <c r="AC211" s="106"/>
      <c r="AD211" s="112">
        <f>F211+H211+J211+L211+N211+P211+R211+T211+V211+X211+Z211+AB211</f>
        <v>330</v>
      </c>
      <c r="AE211" s="107">
        <f>G211+I211+K211+M211+O211+Q211+S211+U211+W211+Y211+AA211+AC211</f>
        <v>308550</v>
      </c>
    </row>
    <row r="212" spans="1:31" ht="14.5">
      <c r="A212" s="100">
        <v>46</v>
      </c>
      <c r="B212" s="108">
        <v>4971710622195</v>
      </c>
      <c r="C212" s="109" t="s">
        <v>1152</v>
      </c>
      <c r="D212" s="120" t="s">
        <v>922</v>
      </c>
      <c r="E212" s="101" t="s">
        <v>1242</v>
      </c>
      <c r="F212" s="110">
        <v>100</v>
      </c>
      <c r="G212" s="111">
        <v>423500</v>
      </c>
      <c r="H212" s="104">
        <v>216</v>
      </c>
      <c r="I212" s="105">
        <v>914760</v>
      </c>
      <c r="J212" s="102">
        <f>VLOOKUP(C212,[1]Sheet2!$A:$B,2,0 )</f>
        <v>0</v>
      </c>
      <c r="K212" s="103">
        <f>VLOOKUP(C212,[1]Sheet2!$A:$C,3,0)</f>
        <v>0</v>
      </c>
      <c r="L212" s="102"/>
      <c r="M212" s="103"/>
      <c r="N212" s="102"/>
      <c r="O212" s="103"/>
      <c r="P212" s="102"/>
      <c r="Q212" s="106"/>
      <c r="R212" s="102"/>
      <c r="S212" s="106"/>
      <c r="T212" s="102"/>
      <c r="U212" s="106"/>
      <c r="V212" s="102"/>
      <c r="W212" s="106"/>
      <c r="X212" s="106"/>
      <c r="Y212" s="106"/>
      <c r="Z212" s="106"/>
      <c r="AA212" s="106"/>
      <c r="AB212" s="106"/>
      <c r="AC212" s="106"/>
      <c r="AD212" s="113">
        <f>F212+H212+J212+L212+N212+P212+R212+T212+V212+X212+Z212+AB212</f>
        <v>316</v>
      </c>
      <c r="AE212" s="107">
        <f>G212+I212+K212+M212+O212+Q212+S212+U212+W212+Y212+AA212+AC212</f>
        <v>1338260</v>
      </c>
    </row>
    <row r="213" spans="1:31">
      <c r="A213" s="100">
        <v>111</v>
      </c>
      <c r="B213" s="108">
        <v>4971710571790</v>
      </c>
      <c r="C213" s="109" t="s">
        <v>556</v>
      </c>
      <c r="D213" s="120" t="s">
        <v>924</v>
      </c>
      <c r="E213" s="101" t="s">
        <v>557</v>
      </c>
      <c r="F213" s="110">
        <v>1</v>
      </c>
      <c r="G213" s="111">
        <v>660</v>
      </c>
      <c r="H213" s="104"/>
      <c r="I213" s="105"/>
      <c r="J213" s="102">
        <f>VLOOKUP(C213,[1]Sheet2!$A:$B,2,0 )</f>
        <v>70</v>
      </c>
      <c r="K213" s="103">
        <f>VLOOKUP(C213,[1]Sheet2!$A:$C,3,0)</f>
        <v>46200</v>
      </c>
      <c r="L213" s="102">
        <v>160</v>
      </c>
      <c r="M213" s="103">
        <v>105600</v>
      </c>
      <c r="N213" s="102"/>
      <c r="O213" s="103"/>
      <c r="P213" s="102"/>
      <c r="Q213" s="106"/>
      <c r="R213" s="102"/>
      <c r="S213" s="106"/>
      <c r="T213" s="102"/>
      <c r="U213" s="106"/>
      <c r="V213" s="102"/>
      <c r="W213" s="106"/>
      <c r="X213" s="106"/>
      <c r="Y213" s="106"/>
      <c r="Z213" s="106"/>
      <c r="AA213" s="106"/>
      <c r="AB213" s="106"/>
      <c r="AC213" s="106"/>
      <c r="AD213" s="112">
        <f>F213+H213+J213+L213+N213+P213+R213+T213+V213+X213+Z213+AB213</f>
        <v>231</v>
      </c>
      <c r="AE213" s="107">
        <f>G213+I213+K213+M213+O213+Q213+S213+U213+W213+Y213+AA213+AC213</f>
        <v>152460</v>
      </c>
    </row>
    <row r="214" spans="1:31">
      <c r="A214" s="100">
        <v>51</v>
      </c>
      <c r="B214" s="108">
        <v>4971710524055</v>
      </c>
      <c r="C214" s="109" t="s">
        <v>398</v>
      </c>
      <c r="D214" s="120" t="s">
        <v>924</v>
      </c>
      <c r="E214" s="101" t="s">
        <v>399</v>
      </c>
      <c r="F214" s="110">
        <v>40</v>
      </c>
      <c r="G214" s="111">
        <v>24200</v>
      </c>
      <c r="H214" s="104">
        <v>115</v>
      </c>
      <c r="I214" s="105">
        <v>69575</v>
      </c>
      <c r="J214" s="102">
        <f>VLOOKUP(C214,[1]Sheet2!$A:$B,2,0 )</f>
        <v>60</v>
      </c>
      <c r="K214" s="103">
        <f>VLOOKUP(C214,[1]Sheet2!$A:$C,3,0)</f>
        <v>36300</v>
      </c>
      <c r="L214" s="102"/>
      <c r="M214" s="103"/>
      <c r="N214" s="102"/>
      <c r="O214" s="103"/>
      <c r="P214" s="102"/>
      <c r="Q214" s="106"/>
      <c r="R214" s="102"/>
      <c r="S214" s="106"/>
      <c r="T214" s="102"/>
      <c r="U214" s="106"/>
      <c r="V214" s="102"/>
      <c r="W214" s="106"/>
      <c r="X214" s="106"/>
      <c r="Y214" s="106"/>
      <c r="Z214" s="106"/>
      <c r="AA214" s="106"/>
      <c r="AB214" s="106"/>
      <c r="AC214" s="106"/>
      <c r="AD214" s="112">
        <f>F214+H214+J214+L214+N214+P214+R214+T214+V214+X214+Z214+AB214</f>
        <v>215</v>
      </c>
      <c r="AE214" s="107">
        <f>G214+I214+K214+M214+O214+Q214+S214+U214+W214+Y214+AA214+AC214</f>
        <v>130075</v>
      </c>
    </row>
    <row r="215" spans="1:31">
      <c r="A215" s="100">
        <v>62</v>
      </c>
      <c r="B215" s="108">
        <v>4971710571905</v>
      </c>
      <c r="C215" s="109" t="s">
        <v>1055</v>
      </c>
      <c r="D215" s="120" t="s">
        <v>1138</v>
      </c>
      <c r="E215" s="101" t="s">
        <v>898</v>
      </c>
      <c r="F215" s="110"/>
      <c r="G215" s="111"/>
      <c r="H215" s="104">
        <v>60</v>
      </c>
      <c r="I215" s="105">
        <v>19140</v>
      </c>
      <c r="J215" s="102">
        <f>VLOOKUP(C215,[1]Sheet2!$A:$B,2,0 )</f>
        <v>96</v>
      </c>
      <c r="K215" s="103">
        <f>VLOOKUP(C215,[1]Sheet2!$A:$C,3,0)</f>
        <v>30624</v>
      </c>
      <c r="L215" s="102">
        <v>48</v>
      </c>
      <c r="M215" s="103">
        <v>15312</v>
      </c>
      <c r="N215" s="102"/>
      <c r="O215" s="103"/>
      <c r="P215" s="102"/>
      <c r="Q215" s="106"/>
      <c r="R215" s="102"/>
      <c r="S215" s="106"/>
      <c r="T215" s="102"/>
      <c r="U215" s="106"/>
      <c r="V215" s="102"/>
      <c r="W215" s="106"/>
      <c r="X215" s="106"/>
      <c r="Y215" s="106"/>
      <c r="Z215" s="106"/>
      <c r="AA215" s="106"/>
      <c r="AB215" s="106"/>
      <c r="AC215" s="106"/>
      <c r="AD215" s="113">
        <f>F215+H215+J215+L215+N215+P215+R215+T215+V215+X215+Z215+AB215</f>
        <v>204</v>
      </c>
      <c r="AE215" s="107">
        <f>G215+I215+K215+M215+O215+Q215+S215+U215+W215+Y215+AA215+AC215</f>
        <v>65076</v>
      </c>
    </row>
    <row r="216" spans="1:31">
      <c r="A216" s="100">
        <v>57</v>
      </c>
      <c r="B216" s="108">
        <v>4971710557732</v>
      </c>
      <c r="C216" s="109" t="s">
        <v>460</v>
      </c>
      <c r="D216" s="120" t="s">
        <v>1131</v>
      </c>
      <c r="E216" s="101" t="s">
        <v>461</v>
      </c>
      <c r="F216" s="110">
        <v>20</v>
      </c>
      <c r="G216" s="111">
        <v>13200</v>
      </c>
      <c r="H216" s="104">
        <v>100</v>
      </c>
      <c r="I216" s="105">
        <v>66000</v>
      </c>
      <c r="J216" s="102">
        <f>VLOOKUP(C216,[1]Sheet2!$A:$B,2,0 )</f>
        <v>60</v>
      </c>
      <c r="K216" s="103">
        <f>VLOOKUP(C216,[1]Sheet2!$A:$C,3,0)</f>
        <v>39600</v>
      </c>
      <c r="L216" s="102">
        <v>8</v>
      </c>
      <c r="M216" s="103">
        <v>5280</v>
      </c>
      <c r="N216" s="102"/>
      <c r="O216" s="103"/>
      <c r="P216" s="102"/>
      <c r="Q216" s="106"/>
      <c r="R216" s="102"/>
      <c r="S216" s="106"/>
      <c r="T216" s="102"/>
      <c r="U216" s="106"/>
      <c r="V216" s="102"/>
      <c r="W216" s="106"/>
      <c r="X216" s="106"/>
      <c r="Y216" s="106"/>
      <c r="Z216" s="106"/>
      <c r="AA216" s="106"/>
      <c r="AB216" s="106"/>
      <c r="AC216" s="106"/>
      <c r="AD216" s="112">
        <f>F216+H216+J216+L216+N216+P216+R216+T216+V216+X216+Z216+AB216</f>
        <v>188</v>
      </c>
      <c r="AE216" s="107">
        <f>G216+I216+K216+M216+O216+Q216+S216+U216+W216+Y216+AA216+AC216</f>
        <v>124080</v>
      </c>
    </row>
    <row r="217" spans="1:31">
      <c r="A217" s="100">
        <v>97</v>
      </c>
      <c r="B217" s="108">
        <v>4971710621891</v>
      </c>
      <c r="C217" s="109" t="s">
        <v>1167</v>
      </c>
      <c r="D217" s="120" t="s">
        <v>924</v>
      </c>
      <c r="E217" s="101" t="s">
        <v>1178</v>
      </c>
      <c r="F217" s="110"/>
      <c r="G217" s="111"/>
      <c r="H217" s="104">
        <v>80</v>
      </c>
      <c r="I217" s="105">
        <v>66000</v>
      </c>
      <c r="J217" s="102"/>
      <c r="K217" s="103"/>
      <c r="L217" s="102">
        <v>97</v>
      </c>
      <c r="M217" s="103">
        <v>80025</v>
      </c>
      <c r="N217" s="102"/>
      <c r="O217" s="103"/>
      <c r="P217" s="102"/>
      <c r="Q217" s="106"/>
      <c r="R217" s="102"/>
      <c r="S217" s="106"/>
      <c r="T217" s="102"/>
      <c r="U217" s="106"/>
      <c r="V217" s="102"/>
      <c r="W217" s="106"/>
      <c r="X217" s="106"/>
      <c r="Y217" s="106"/>
      <c r="Z217" s="106"/>
      <c r="AA217" s="106"/>
      <c r="AB217" s="106"/>
      <c r="AC217" s="106"/>
      <c r="AD217" s="113">
        <f>F217+H217+J217+L217+N217+P217+R217+T217+V217+X217+Z217+AB217</f>
        <v>177</v>
      </c>
      <c r="AE217" s="107">
        <f>G217+I217+K217+M217+O217+Q217+S217+U217+W217+Y217+AA217+AC217</f>
        <v>146025</v>
      </c>
    </row>
    <row r="218" spans="1:31">
      <c r="A218" s="100">
        <v>70</v>
      </c>
      <c r="B218" s="108">
        <v>4971710598544</v>
      </c>
      <c r="C218" s="109" t="s">
        <v>839</v>
      </c>
      <c r="D218" s="120" t="s">
        <v>924</v>
      </c>
      <c r="E218" s="101" t="s">
        <v>1053</v>
      </c>
      <c r="F218" s="110"/>
      <c r="G218" s="111"/>
      <c r="H218" s="104">
        <v>80</v>
      </c>
      <c r="I218" s="105">
        <v>52800</v>
      </c>
      <c r="J218" s="102">
        <f>VLOOKUP(C218,[1]Sheet2!$A:$B,2,0 )</f>
        <v>40</v>
      </c>
      <c r="K218" s="103">
        <f>VLOOKUP(C218,[1]Sheet2!$A:$C,3,0)</f>
        <v>26400</v>
      </c>
      <c r="L218" s="102">
        <v>56</v>
      </c>
      <c r="M218" s="103">
        <v>36960</v>
      </c>
      <c r="N218" s="102"/>
      <c r="O218" s="103"/>
      <c r="P218" s="102"/>
      <c r="Q218" s="106"/>
      <c r="R218" s="102"/>
      <c r="S218" s="106"/>
      <c r="T218" s="102"/>
      <c r="U218" s="106"/>
      <c r="V218" s="102"/>
      <c r="W218" s="106"/>
      <c r="X218" s="106"/>
      <c r="Y218" s="106"/>
      <c r="Z218" s="106"/>
      <c r="AA218" s="106"/>
      <c r="AB218" s="106"/>
      <c r="AC218" s="106"/>
      <c r="AD218" s="113">
        <f>F218+H218+J218+L218+N218+P218+R218+T218+V218+X218+Z218+AB218</f>
        <v>176</v>
      </c>
      <c r="AE218" s="107">
        <f>G218+I218+K218+M218+O218+Q218+S218+U218+W218+Y218+AA218+AC218</f>
        <v>116160</v>
      </c>
    </row>
    <row r="219" spans="1:31">
      <c r="A219" s="100">
        <v>64</v>
      </c>
      <c r="B219" s="108">
        <v>4971710593044</v>
      </c>
      <c r="C219" s="109" t="s">
        <v>757</v>
      </c>
      <c r="D219" s="120" t="s">
        <v>924</v>
      </c>
      <c r="E219" s="101" t="s">
        <v>758</v>
      </c>
      <c r="F219" s="110"/>
      <c r="G219" s="111"/>
      <c r="H219" s="104">
        <v>150</v>
      </c>
      <c r="I219" s="105">
        <v>140250</v>
      </c>
      <c r="J219" s="102"/>
      <c r="K219" s="103"/>
      <c r="L219" s="102">
        <v>6</v>
      </c>
      <c r="M219" s="103">
        <v>5610</v>
      </c>
      <c r="N219" s="102"/>
      <c r="O219" s="103"/>
      <c r="P219" s="102"/>
      <c r="Q219" s="106"/>
      <c r="R219" s="102"/>
      <c r="S219" s="106"/>
      <c r="T219" s="102"/>
      <c r="U219" s="106"/>
      <c r="V219" s="102"/>
      <c r="W219" s="106"/>
      <c r="X219" s="106"/>
      <c r="Y219" s="106"/>
      <c r="Z219" s="106"/>
      <c r="AA219" s="106"/>
      <c r="AB219" s="106"/>
      <c r="AC219" s="106"/>
      <c r="AD219" s="112">
        <f>F219+H219+J219+L219+N219+P219+R219+T219+V219+X219+Z219+AB219</f>
        <v>156</v>
      </c>
      <c r="AE219" s="107">
        <f>G219+I219+K219+M219+O219+Q219+S219+U219+W219+Y219+AA219+AC219</f>
        <v>145860</v>
      </c>
    </row>
    <row r="220" spans="1:31">
      <c r="A220" s="100">
        <v>66</v>
      </c>
      <c r="B220" s="108">
        <v>4971710588125</v>
      </c>
      <c r="C220" s="109" t="s">
        <v>717</v>
      </c>
      <c r="D220" s="120" t="s">
        <v>924</v>
      </c>
      <c r="E220" s="101" t="s">
        <v>718</v>
      </c>
      <c r="F220" s="110">
        <v>20</v>
      </c>
      <c r="G220" s="111">
        <v>14300</v>
      </c>
      <c r="H220" s="104">
        <v>80</v>
      </c>
      <c r="I220" s="105">
        <v>57200</v>
      </c>
      <c r="J220" s="102">
        <f>VLOOKUP(C220,[1]Sheet2!$A:$B,2,0 )</f>
        <v>32</v>
      </c>
      <c r="K220" s="103">
        <f>VLOOKUP(C220,[1]Sheet2!$A:$C,3,0)</f>
        <v>22880</v>
      </c>
      <c r="L220" s="102">
        <v>4</v>
      </c>
      <c r="M220" s="103">
        <v>2860</v>
      </c>
      <c r="N220" s="102"/>
      <c r="O220" s="103"/>
      <c r="P220" s="102"/>
      <c r="Q220" s="106"/>
      <c r="R220" s="102"/>
      <c r="S220" s="106"/>
      <c r="T220" s="102"/>
      <c r="U220" s="106"/>
      <c r="V220" s="102"/>
      <c r="W220" s="106"/>
      <c r="X220" s="106"/>
      <c r="Y220" s="106"/>
      <c r="Z220" s="106"/>
      <c r="AA220" s="106"/>
      <c r="AB220" s="106"/>
      <c r="AC220" s="106"/>
      <c r="AD220" s="112">
        <f>F220+H220+J220+L220+N220+P220+R220+T220+V220+X220+Z220+AB220</f>
        <v>136</v>
      </c>
      <c r="AE220" s="107">
        <f>G220+I220+K220+M220+O220+Q220+S220+U220+W220+Y220+AA220+AC220</f>
        <v>97240</v>
      </c>
    </row>
    <row r="221" spans="1:31">
      <c r="A221" s="100">
        <v>80</v>
      </c>
      <c r="B221" s="108">
        <v>4971710575996</v>
      </c>
      <c r="C221" s="109" t="s">
        <v>603</v>
      </c>
      <c r="D221" s="120" t="s">
        <v>924</v>
      </c>
      <c r="E221" s="101" t="s">
        <v>604</v>
      </c>
      <c r="F221" s="110"/>
      <c r="G221" s="111"/>
      <c r="H221" s="104">
        <v>30</v>
      </c>
      <c r="I221" s="105">
        <v>19800</v>
      </c>
      <c r="J221" s="102">
        <f>VLOOKUP(C221,[1]Sheet2!$A:$B,2,0 )</f>
        <v>70</v>
      </c>
      <c r="K221" s="103">
        <f>VLOOKUP(C221,[1]Sheet2!$A:$C,3,0)</f>
        <v>46200</v>
      </c>
      <c r="L221" s="102">
        <v>32</v>
      </c>
      <c r="M221" s="103">
        <v>21120</v>
      </c>
      <c r="N221" s="102"/>
      <c r="O221" s="103"/>
      <c r="P221" s="102"/>
      <c r="Q221" s="106"/>
      <c r="R221" s="102"/>
      <c r="S221" s="106"/>
      <c r="T221" s="102"/>
      <c r="U221" s="106"/>
      <c r="V221" s="102"/>
      <c r="W221" s="106"/>
      <c r="X221" s="106"/>
      <c r="Y221" s="106"/>
      <c r="Z221" s="106"/>
      <c r="AA221" s="106"/>
      <c r="AB221" s="106"/>
      <c r="AC221" s="106"/>
      <c r="AD221" s="112">
        <f>F221+H221+J221+L221+N221+P221+R221+T221+V221+X221+Z221+AB221</f>
        <v>132</v>
      </c>
      <c r="AE221" s="107">
        <f>G221+I221+K221+M221+O221+Q221+S221+U221+W221+Y221+AA221+AC221</f>
        <v>87120</v>
      </c>
    </row>
    <row r="222" spans="1:31">
      <c r="A222" s="100">
        <v>130</v>
      </c>
      <c r="B222" s="108">
        <v>4971710580457</v>
      </c>
      <c r="C222" s="109" t="s">
        <v>679</v>
      </c>
      <c r="D222" s="120" t="s">
        <v>1131</v>
      </c>
      <c r="E222" s="101" t="s">
        <v>680</v>
      </c>
      <c r="F222" s="110">
        <v>50</v>
      </c>
      <c r="G222" s="111">
        <v>33000</v>
      </c>
      <c r="H222" s="104"/>
      <c r="I222" s="105"/>
      <c r="J222" s="102"/>
      <c r="K222" s="103"/>
      <c r="L222" s="102">
        <v>74</v>
      </c>
      <c r="M222" s="103">
        <v>48840</v>
      </c>
      <c r="N222" s="102"/>
      <c r="O222" s="103"/>
      <c r="P222" s="102"/>
      <c r="Q222" s="106"/>
      <c r="R222" s="102"/>
      <c r="S222" s="106"/>
      <c r="T222" s="102"/>
      <c r="U222" s="106"/>
      <c r="V222" s="102"/>
      <c r="W222" s="106"/>
      <c r="X222" s="106"/>
      <c r="Y222" s="106"/>
      <c r="Z222" s="106"/>
      <c r="AA222" s="106"/>
      <c r="AB222" s="106"/>
      <c r="AC222" s="106"/>
      <c r="AD222" s="112">
        <f>F222+H222+J222+L222+N222+P222+R222+T222+V222+X222+Z222+AB222</f>
        <v>124</v>
      </c>
      <c r="AE222" s="107">
        <f>G222+I222+K222+M222+O222+Q222+S222+U222+W222+Y222+AA222+AC222</f>
        <v>81840</v>
      </c>
    </row>
    <row r="223" spans="1:31">
      <c r="A223" s="100">
        <v>73</v>
      </c>
      <c r="B223" s="108">
        <v>4971710578577</v>
      </c>
      <c r="C223" s="109" t="s">
        <v>631</v>
      </c>
      <c r="D223" s="120" t="s">
        <v>1131</v>
      </c>
      <c r="E223" s="101" t="s">
        <v>632</v>
      </c>
      <c r="F223" s="110"/>
      <c r="G223" s="111"/>
      <c r="H223" s="104">
        <v>60</v>
      </c>
      <c r="I223" s="105">
        <v>33000</v>
      </c>
      <c r="J223" s="102">
        <f>VLOOKUP(C223,[1]Sheet2!$A:$B,2,0 )</f>
        <v>50</v>
      </c>
      <c r="K223" s="103">
        <f>VLOOKUP(C223,[1]Sheet2!$A:$C,3,0)</f>
        <v>27500</v>
      </c>
      <c r="L223" s="102">
        <v>6</v>
      </c>
      <c r="M223" s="103">
        <v>3300</v>
      </c>
      <c r="N223" s="102"/>
      <c r="O223" s="103"/>
      <c r="P223" s="102"/>
      <c r="Q223" s="106"/>
      <c r="R223" s="102"/>
      <c r="S223" s="106"/>
      <c r="T223" s="102"/>
      <c r="U223" s="106"/>
      <c r="V223" s="102"/>
      <c r="W223" s="106"/>
      <c r="X223" s="106"/>
      <c r="Y223" s="106"/>
      <c r="Z223" s="106"/>
      <c r="AA223" s="106"/>
      <c r="AB223" s="106"/>
      <c r="AC223" s="106"/>
      <c r="AD223" s="112">
        <f>F223+H223+J223+L223+N223+P223+R223+T223+V223+X223+Z223+AB223</f>
        <v>116</v>
      </c>
      <c r="AE223" s="107">
        <f>G223+I223+K223+M223+O223+Q223+S223+U223+W223+Y223+AA223+AC223</f>
        <v>63800</v>
      </c>
    </row>
    <row r="224" spans="1:31">
      <c r="A224" s="100">
        <v>71</v>
      </c>
      <c r="B224" s="108">
        <v>4971710595482</v>
      </c>
      <c r="C224" s="109" t="s">
        <v>792</v>
      </c>
      <c r="D224" s="120" t="s">
        <v>924</v>
      </c>
      <c r="E224" s="101" t="s">
        <v>1049</v>
      </c>
      <c r="F224" s="110">
        <v>25</v>
      </c>
      <c r="G224" s="111">
        <v>20625</v>
      </c>
      <c r="H224" s="104">
        <v>90</v>
      </c>
      <c r="I224" s="105">
        <v>74250</v>
      </c>
      <c r="J224" s="102"/>
      <c r="K224" s="103"/>
      <c r="L224" s="102"/>
      <c r="M224" s="103"/>
      <c r="N224" s="102"/>
      <c r="O224" s="103"/>
      <c r="P224" s="102"/>
      <c r="Q224" s="106"/>
      <c r="R224" s="102"/>
      <c r="S224" s="106"/>
      <c r="T224" s="102"/>
      <c r="U224" s="106"/>
      <c r="V224" s="102"/>
      <c r="W224" s="106"/>
      <c r="X224" s="106"/>
      <c r="Y224" s="106"/>
      <c r="Z224" s="106"/>
      <c r="AA224" s="106"/>
      <c r="AB224" s="106"/>
      <c r="AC224" s="106"/>
      <c r="AD224" s="112">
        <f>F224+H224+J224+L224+N224+P224+R224+T224+V224+X224+Z224+AB224</f>
        <v>115</v>
      </c>
      <c r="AE224" s="107">
        <f>G224+I224+K224+M224+O224+Q224+S224+U224+W224+Y224+AA224+AC224</f>
        <v>94875</v>
      </c>
    </row>
    <row r="225" spans="1:31">
      <c r="A225" s="100">
        <v>76</v>
      </c>
      <c r="B225" s="108">
        <v>4971710489194</v>
      </c>
      <c r="C225" s="109" t="s">
        <v>88</v>
      </c>
      <c r="D225" s="120" t="s">
        <v>924</v>
      </c>
      <c r="E225" s="101" t="s">
        <v>89</v>
      </c>
      <c r="F225" s="110">
        <v>48</v>
      </c>
      <c r="G225" s="111">
        <v>26400</v>
      </c>
      <c r="H225" s="104">
        <v>55</v>
      </c>
      <c r="I225" s="105">
        <v>30250</v>
      </c>
      <c r="J225" s="102"/>
      <c r="K225" s="103"/>
      <c r="L225" s="102">
        <v>10</v>
      </c>
      <c r="M225" s="103">
        <v>5500</v>
      </c>
      <c r="N225" s="102"/>
      <c r="O225" s="103"/>
      <c r="P225" s="102"/>
      <c r="Q225" s="106"/>
      <c r="R225" s="102"/>
      <c r="S225" s="106"/>
      <c r="T225" s="102"/>
      <c r="U225" s="106"/>
      <c r="V225" s="102"/>
      <c r="W225" s="106"/>
      <c r="X225" s="106"/>
      <c r="Y225" s="106"/>
      <c r="Z225" s="106"/>
      <c r="AA225" s="106"/>
      <c r="AB225" s="106"/>
      <c r="AC225" s="106"/>
      <c r="AD225" s="112">
        <f>F225+H225+J225+L225+N225+P225+R225+T225+V225+X225+Z225+AB225</f>
        <v>113</v>
      </c>
      <c r="AE225" s="107">
        <f>G225+I225+K225+M225+O225+Q225+S225+U225+W225+Y225+AA225+AC225</f>
        <v>62150</v>
      </c>
    </row>
    <row r="226" spans="1:31">
      <c r="A226" s="100">
        <v>74</v>
      </c>
      <c r="B226" s="108">
        <v>4971710568554</v>
      </c>
      <c r="C226" s="109" t="s">
        <v>524</v>
      </c>
      <c r="D226" s="120" t="s">
        <v>924</v>
      </c>
      <c r="E226" s="101" t="s">
        <v>525</v>
      </c>
      <c r="F226" s="110"/>
      <c r="G226" s="111"/>
      <c r="H226" s="104">
        <v>50</v>
      </c>
      <c r="I226" s="105">
        <v>33000</v>
      </c>
      <c r="J226" s="102">
        <f>VLOOKUP(C226,[1]Sheet2!$A:$B,2,0 )</f>
        <v>60</v>
      </c>
      <c r="K226" s="103">
        <f>VLOOKUP(C226,[1]Sheet2!$A:$C,3,0)</f>
        <v>39600</v>
      </c>
      <c r="L226" s="102">
        <v>2</v>
      </c>
      <c r="M226" s="103">
        <v>1320</v>
      </c>
      <c r="N226" s="102"/>
      <c r="O226" s="103"/>
      <c r="P226" s="102"/>
      <c r="Q226" s="106"/>
      <c r="R226" s="102"/>
      <c r="S226" s="106"/>
      <c r="T226" s="102"/>
      <c r="U226" s="106"/>
      <c r="V226" s="102"/>
      <c r="W226" s="106"/>
      <c r="X226" s="106"/>
      <c r="Y226" s="106"/>
      <c r="Z226" s="106"/>
      <c r="AA226" s="106"/>
      <c r="AB226" s="106"/>
      <c r="AC226" s="106"/>
      <c r="AD226" s="112">
        <f>F226+H226+J226+L226+N226+P226+R226+T226+V226+X226+Z226+AB226</f>
        <v>112</v>
      </c>
      <c r="AE226" s="107">
        <f>G226+I226+K226+M226+O226+Q226+S226+U226+W226+Y226+AA226+AC226</f>
        <v>73920</v>
      </c>
    </row>
    <row r="227" spans="1:31">
      <c r="A227" s="100">
        <v>72</v>
      </c>
      <c r="B227" s="108">
        <v>4971710561265</v>
      </c>
      <c r="C227" s="109" t="s">
        <v>474</v>
      </c>
      <c r="D227" s="120" t="s">
        <v>924</v>
      </c>
      <c r="E227" s="101" t="s">
        <v>475</v>
      </c>
      <c r="F227" s="110">
        <v>10</v>
      </c>
      <c r="G227" s="111">
        <v>7700</v>
      </c>
      <c r="H227" s="104">
        <v>60</v>
      </c>
      <c r="I227" s="105">
        <v>46200</v>
      </c>
      <c r="J227" s="102">
        <f>VLOOKUP(C227,[1]Sheet2!$A:$B,2,0 )</f>
        <v>42</v>
      </c>
      <c r="K227" s="103">
        <f>VLOOKUP(C227,[1]Sheet2!$A:$C,3,0)</f>
        <v>32340</v>
      </c>
      <c r="L227" s="102"/>
      <c r="M227" s="103"/>
      <c r="N227" s="102"/>
      <c r="O227" s="103"/>
      <c r="P227" s="102"/>
      <c r="Q227" s="106"/>
      <c r="R227" s="102"/>
      <c r="S227" s="106"/>
      <c r="T227" s="102"/>
      <c r="U227" s="106"/>
      <c r="V227" s="102"/>
      <c r="W227" s="106"/>
      <c r="X227" s="106"/>
      <c r="Y227" s="106"/>
      <c r="Z227" s="106"/>
      <c r="AA227" s="106"/>
      <c r="AB227" s="106"/>
      <c r="AC227" s="106"/>
      <c r="AD227" s="112">
        <f>F227+H227+J227+L227+N227+P227+R227+T227+V227+X227+Z227+AB227</f>
        <v>112</v>
      </c>
      <c r="AE227" s="107">
        <f>G227+I227+K227+M227+O227+Q227+S227+U227+W227+Y227+AA227+AC227</f>
        <v>86240</v>
      </c>
    </row>
    <row r="228" spans="1:31">
      <c r="A228" s="100">
        <v>107</v>
      </c>
      <c r="B228" s="108">
        <v>4971710575989</v>
      </c>
      <c r="C228" s="109" t="s">
        <v>601</v>
      </c>
      <c r="D228" s="120" t="s">
        <v>924</v>
      </c>
      <c r="E228" s="101" t="s">
        <v>602</v>
      </c>
      <c r="F228" s="110"/>
      <c r="G228" s="111"/>
      <c r="H228" s="104">
        <v>30</v>
      </c>
      <c r="I228" s="105">
        <v>19800</v>
      </c>
      <c r="J228" s="102">
        <f>VLOOKUP(C228,[1]Sheet2!$A:$B,2,0 )</f>
        <v>48</v>
      </c>
      <c r="K228" s="103">
        <f>VLOOKUP(C228,[1]Sheet2!$A:$C,3,0)</f>
        <v>31680</v>
      </c>
      <c r="L228" s="102">
        <v>30</v>
      </c>
      <c r="M228" s="103">
        <v>19800</v>
      </c>
      <c r="N228" s="102"/>
      <c r="O228" s="103"/>
      <c r="P228" s="102"/>
      <c r="Q228" s="106"/>
      <c r="R228" s="102"/>
      <c r="S228" s="106"/>
      <c r="T228" s="102"/>
      <c r="U228" s="106"/>
      <c r="V228" s="102"/>
      <c r="W228" s="106"/>
      <c r="X228" s="106"/>
      <c r="Y228" s="106"/>
      <c r="Z228" s="106"/>
      <c r="AA228" s="106"/>
      <c r="AB228" s="106"/>
      <c r="AC228" s="106"/>
      <c r="AD228" s="112">
        <f>F228+H228+J228+L228+N228+P228+R228+T228+V228+X228+Z228+AB228</f>
        <v>108</v>
      </c>
      <c r="AE228" s="107">
        <f>G228+I228+K228+M228+O228+Q228+S228+U228+W228+Y228+AA228+AC228</f>
        <v>71280</v>
      </c>
    </row>
    <row r="229" spans="1:31">
      <c r="A229" s="100">
        <v>113</v>
      </c>
      <c r="B229" s="108">
        <v>4971710576009</v>
      </c>
      <c r="C229" s="109" t="s">
        <v>605</v>
      </c>
      <c r="D229" s="120" t="s">
        <v>924</v>
      </c>
      <c r="E229" s="101" t="s">
        <v>606</v>
      </c>
      <c r="F229" s="110"/>
      <c r="G229" s="111"/>
      <c r="H229" s="104">
        <v>30</v>
      </c>
      <c r="I229" s="105">
        <v>19800</v>
      </c>
      <c r="J229" s="102">
        <f>VLOOKUP(C229,[1]Sheet2!$A:$B,2,0 )</f>
        <v>40</v>
      </c>
      <c r="K229" s="103">
        <f>VLOOKUP(C229,[1]Sheet2!$A:$C,3,0)</f>
        <v>26400</v>
      </c>
      <c r="L229" s="102">
        <v>32</v>
      </c>
      <c r="M229" s="103">
        <v>21120</v>
      </c>
      <c r="N229" s="102"/>
      <c r="O229" s="103"/>
      <c r="P229" s="102"/>
      <c r="Q229" s="106"/>
      <c r="R229" s="102"/>
      <c r="S229" s="106"/>
      <c r="T229" s="102"/>
      <c r="U229" s="106"/>
      <c r="V229" s="102"/>
      <c r="W229" s="106"/>
      <c r="X229" s="106"/>
      <c r="Y229" s="106"/>
      <c r="Z229" s="106"/>
      <c r="AA229" s="106"/>
      <c r="AB229" s="106"/>
      <c r="AC229" s="106"/>
      <c r="AD229" s="112">
        <f>F229+H229+J229+L229+N229+P229+R229+T229+V229+X229+Z229+AB229</f>
        <v>102</v>
      </c>
      <c r="AE229" s="107">
        <f>G229+I229+K229+M229+O229+Q229+S229+U229+W229+Y229+AA229+AC229</f>
        <v>67320</v>
      </c>
    </row>
    <row r="230" spans="1:31">
      <c r="A230" s="100">
        <v>142</v>
      </c>
      <c r="B230" s="108">
        <v>4971710615913</v>
      </c>
      <c r="C230" s="109" t="s">
        <v>1107</v>
      </c>
      <c r="D230" s="120" t="s">
        <v>1131</v>
      </c>
      <c r="E230" s="101" t="s">
        <v>1110</v>
      </c>
      <c r="F230" s="110">
        <v>20</v>
      </c>
      <c r="G230" s="111">
        <v>13200</v>
      </c>
      <c r="H230" s="104"/>
      <c r="I230" s="105"/>
      <c r="J230" s="102">
        <f>VLOOKUP(C230,[1]Sheet2!$A:$B,2,0 )</f>
        <v>30</v>
      </c>
      <c r="K230" s="103">
        <f>VLOOKUP(C230,[1]Sheet2!$A:$C,3,0)</f>
        <v>19800</v>
      </c>
      <c r="L230" s="102">
        <v>52</v>
      </c>
      <c r="M230" s="103">
        <v>34320</v>
      </c>
      <c r="N230" s="102"/>
      <c r="O230" s="103"/>
      <c r="P230" s="102"/>
      <c r="Q230" s="106"/>
      <c r="R230" s="102"/>
      <c r="S230" s="106"/>
      <c r="T230" s="102"/>
      <c r="U230" s="106"/>
      <c r="V230" s="102"/>
      <c r="W230" s="106"/>
      <c r="X230" s="106"/>
      <c r="Y230" s="106"/>
      <c r="Z230" s="106"/>
      <c r="AA230" s="106"/>
      <c r="AB230" s="106"/>
      <c r="AC230" s="106"/>
      <c r="AD230" s="113">
        <f>F230+H230+J230+L230+N230+P230+R230+T230+V230+X230+Z230+AB230</f>
        <v>102</v>
      </c>
      <c r="AE230" s="107">
        <f>G230+I230+K230+M230+O230+Q230+S230+U230+W230+Y230+AA230+AC230</f>
        <v>67320</v>
      </c>
    </row>
    <row r="231" spans="1:31" ht="14.5">
      <c r="A231" s="100">
        <v>79</v>
      </c>
      <c r="B231" s="108">
        <v>4971710622171</v>
      </c>
      <c r="C231" s="109" t="s">
        <v>1150</v>
      </c>
      <c r="D231" s="120" t="s">
        <v>922</v>
      </c>
      <c r="E231" s="101" t="s">
        <v>1242</v>
      </c>
      <c r="F231" s="110">
        <v>100</v>
      </c>
      <c r="G231" s="111">
        <v>79700</v>
      </c>
      <c r="H231" s="104"/>
      <c r="I231" s="105"/>
      <c r="J231" s="102"/>
      <c r="K231" s="103"/>
      <c r="L231" s="102"/>
      <c r="M231" s="103"/>
      <c r="N231" s="102"/>
      <c r="O231" s="103"/>
      <c r="P231" s="102"/>
      <c r="Q231" s="106"/>
      <c r="R231" s="102"/>
      <c r="S231" s="106"/>
      <c r="T231" s="102"/>
      <c r="U231" s="106"/>
      <c r="V231" s="102"/>
      <c r="W231" s="106"/>
      <c r="X231" s="106"/>
      <c r="Y231" s="106"/>
      <c r="Z231" s="106"/>
      <c r="AA231" s="106"/>
      <c r="AB231" s="106"/>
      <c r="AC231" s="106"/>
      <c r="AD231" s="113">
        <f>F231+H231+J231+L231+N231+P231+R231+T231+V231+X231+Z231+AB231</f>
        <v>100</v>
      </c>
      <c r="AE231" s="107">
        <f>G231+I231+K231+M231+O231+Q231+S231+U231+W231+Y231+AA231+AC231</f>
        <v>79700</v>
      </c>
    </row>
    <row r="232" spans="1:31">
      <c r="A232" s="100">
        <v>83</v>
      </c>
      <c r="B232" s="108">
        <v>4971710561227</v>
      </c>
      <c r="C232" s="109" t="s">
        <v>466</v>
      </c>
      <c r="D232" s="120" t="s">
        <v>924</v>
      </c>
      <c r="E232" s="101" t="s">
        <v>467</v>
      </c>
      <c r="F232" s="110">
        <v>2</v>
      </c>
      <c r="G232" s="111">
        <v>1540</v>
      </c>
      <c r="H232" s="104">
        <v>5</v>
      </c>
      <c r="I232" s="105">
        <v>3850</v>
      </c>
      <c r="J232" s="102">
        <f>VLOOKUP(C232,[1]Sheet2!$A:$B,2,0 )</f>
        <v>91</v>
      </c>
      <c r="K232" s="103">
        <f>VLOOKUP(C232,[1]Sheet2!$A:$C,3,0)</f>
        <v>70070</v>
      </c>
      <c r="L232" s="102">
        <v>1</v>
      </c>
      <c r="M232" s="103">
        <v>770</v>
      </c>
      <c r="N232" s="102"/>
      <c r="O232" s="103"/>
      <c r="P232" s="102"/>
      <c r="Q232" s="106"/>
      <c r="R232" s="102"/>
      <c r="S232" s="106"/>
      <c r="T232" s="102"/>
      <c r="U232" s="106"/>
      <c r="V232" s="102"/>
      <c r="W232" s="106"/>
      <c r="X232" s="106"/>
      <c r="Y232" s="106"/>
      <c r="Z232" s="106"/>
      <c r="AA232" s="106"/>
      <c r="AB232" s="106"/>
      <c r="AC232" s="106"/>
      <c r="AD232" s="112">
        <f>F232+H232+J232+L232+N232+P232+R232+T232+V232+X232+Z232+AB232</f>
        <v>99</v>
      </c>
      <c r="AE232" s="107">
        <f>G232+I232+K232+M232+O232+Q232+S232+U232+W232+Y232+AA232+AC232</f>
        <v>76230</v>
      </c>
    </row>
    <row r="233" spans="1:31">
      <c r="A233" s="100">
        <v>87</v>
      </c>
      <c r="B233" s="108">
        <v>4971710566130</v>
      </c>
      <c r="C233" s="109" t="s">
        <v>516</v>
      </c>
      <c r="D233" s="120" t="s">
        <v>1131</v>
      </c>
      <c r="E233" s="101" t="s">
        <v>517</v>
      </c>
      <c r="F233" s="110"/>
      <c r="G233" s="111"/>
      <c r="H233" s="104">
        <v>60</v>
      </c>
      <c r="I233" s="105">
        <v>33000</v>
      </c>
      <c r="J233" s="102">
        <f>VLOOKUP(C233,[1]Sheet2!$A:$B,2,0 )</f>
        <v>30</v>
      </c>
      <c r="K233" s="103">
        <f>VLOOKUP(C233,[1]Sheet2!$A:$C,3,0)</f>
        <v>16500</v>
      </c>
      <c r="L233" s="102">
        <v>6</v>
      </c>
      <c r="M233" s="103">
        <v>3300</v>
      </c>
      <c r="N233" s="102"/>
      <c r="O233" s="103"/>
      <c r="P233" s="102"/>
      <c r="Q233" s="106"/>
      <c r="R233" s="102"/>
      <c r="S233" s="106"/>
      <c r="T233" s="102"/>
      <c r="U233" s="106"/>
      <c r="V233" s="102"/>
      <c r="W233" s="106"/>
      <c r="X233" s="106"/>
      <c r="Y233" s="106"/>
      <c r="Z233" s="106"/>
      <c r="AA233" s="106"/>
      <c r="AB233" s="106"/>
      <c r="AC233" s="106"/>
      <c r="AD233" s="112">
        <f>F233+H233+J233+L233+N233+P233+R233+T233+V233+X233+Z233+AB233</f>
        <v>96</v>
      </c>
      <c r="AE233" s="107">
        <f>G233+I233+K233+M233+O233+Q233+S233+U233+W233+Y233+AA233+AC233</f>
        <v>52800</v>
      </c>
    </row>
    <row r="234" spans="1:31">
      <c r="A234" s="100">
        <v>84</v>
      </c>
      <c r="B234" s="108">
        <v>4971710582864</v>
      </c>
      <c r="C234" s="109" t="s">
        <v>695</v>
      </c>
      <c r="D234" s="120" t="s">
        <v>924</v>
      </c>
      <c r="E234" s="101" t="s">
        <v>696</v>
      </c>
      <c r="F234" s="110">
        <v>20</v>
      </c>
      <c r="G234" s="111">
        <v>14300</v>
      </c>
      <c r="H234" s="104">
        <v>50</v>
      </c>
      <c r="I234" s="105">
        <v>35750</v>
      </c>
      <c r="J234" s="102">
        <f>VLOOKUP(C234,[1]Sheet2!$A:$B,2,0 )</f>
        <v>22</v>
      </c>
      <c r="K234" s="103">
        <f>VLOOKUP(C234,[1]Sheet2!$A:$C,3,0)</f>
        <v>15730</v>
      </c>
      <c r="L234" s="102"/>
      <c r="M234" s="103"/>
      <c r="N234" s="102"/>
      <c r="O234" s="103"/>
      <c r="P234" s="102"/>
      <c r="Q234" s="106"/>
      <c r="R234" s="102"/>
      <c r="S234" s="106"/>
      <c r="T234" s="102"/>
      <c r="U234" s="106"/>
      <c r="V234" s="102"/>
      <c r="W234" s="106"/>
      <c r="X234" s="106"/>
      <c r="Y234" s="106"/>
      <c r="Z234" s="106"/>
      <c r="AA234" s="106"/>
      <c r="AB234" s="106"/>
      <c r="AC234" s="106"/>
      <c r="AD234" s="112">
        <f>F234+H234+J234+L234+N234+P234+R234+T234+V234+X234+Z234+AB234</f>
        <v>92</v>
      </c>
      <c r="AE234" s="107">
        <f>G234+I234+K234+M234+O234+Q234+S234+U234+W234+Y234+AA234+AC234</f>
        <v>65780</v>
      </c>
    </row>
    <row r="235" spans="1:31">
      <c r="A235" s="100">
        <v>90</v>
      </c>
      <c r="B235" s="108">
        <v>4971710598568</v>
      </c>
      <c r="C235" s="109" t="s">
        <v>837</v>
      </c>
      <c r="D235" s="120" t="s">
        <v>924</v>
      </c>
      <c r="E235" s="101" t="s">
        <v>1061</v>
      </c>
      <c r="F235" s="110"/>
      <c r="G235" s="111"/>
      <c r="H235" s="104">
        <v>56</v>
      </c>
      <c r="I235" s="105">
        <v>30800</v>
      </c>
      <c r="J235" s="102">
        <f>VLOOKUP(C235,[1]Sheet2!$A:$B,2,0 )</f>
        <v>30</v>
      </c>
      <c r="K235" s="103">
        <f>VLOOKUP(C235,[1]Sheet2!$A:$C,3,0)</f>
        <v>16500</v>
      </c>
      <c r="L235" s="102">
        <v>4</v>
      </c>
      <c r="M235" s="103">
        <v>2200</v>
      </c>
      <c r="N235" s="102"/>
      <c r="O235" s="103"/>
      <c r="P235" s="102"/>
      <c r="Q235" s="106"/>
      <c r="R235" s="102"/>
      <c r="S235" s="106"/>
      <c r="T235" s="102"/>
      <c r="U235" s="106"/>
      <c r="V235" s="102"/>
      <c r="W235" s="106"/>
      <c r="X235" s="106"/>
      <c r="Y235" s="106"/>
      <c r="Z235" s="106"/>
      <c r="AA235" s="106"/>
      <c r="AB235" s="106"/>
      <c r="AC235" s="106"/>
      <c r="AD235" s="113">
        <f>F235+H235+J235+L235+N235+P235+R235+T235+V235+X235+Z235+AB235</f>
        <v>90</v>
      </c>
      <c r="AE235" s="107">
        <f>G235+I235+K235+M235+O235+Q235+S235+U235+W235+Y235+AA235+AC235</f>
        <v>49500</v>
      </c>
    </row>
    <row r="236" spans="1:31">
      <c r="A236" s="100">
        <v>89</v>
      </c>
      <c r="B236" s="108">
        <v>4971710579796</v>
      </c>
      <c r="C236" s="109" t="s">
        <v>655</v>
      </c>
      <c r="D236" s="120" t="s">
        <v>924</v>
      </c>
      <c r="E236" s="101" t="s">
        <v>656</v>
      </c>
      <c r="F236" s="110"/>
      <c r="G236" s="111"/>
      <c r="H236" s="104">
        <v>30</v>
      </c>
      <c r="I236" s="105">
        <v>19800</v>
      </c>
      <c r="J236" s="102">
        <f>VLOOKUP(C236,[1]Sheet2!$A:$B,2,0 )</f>
        <v>60</v>
      </c>
      <c r="K236" s="103">
        <f>VLOOKUP(C236,[1]Sheet2!$A:$C,3,0)</f>
        <v>39600</v>
      </c>
      <c r="L236" s="102"/>
      <c r="M236" s="103"/>
      <c r="N236" s="102"/>
      <c r="O236" s="103"/>
      <c r="P236" s="102"/>
      <c r="Q236" s="106"/>
      <c r="R236" s="102"/>
      <c r="S236" s="106"/>
      <c r="T236" s="102"/>
      <c r="U236" s="106"/>
      <c r="V236" s="102"/>
      <c r="W236" s="106"/>
      <c r="X236" s="106"/>
      <c r="Y236" s="106"/>
      <c r="Z236" s="106"/>
      <c r="AA236" s="106"/>
      <c r="AB236" s="106"/>
      <c r="AC236" s="106"/>
      <c r="AD236" s="112">
        <f>F236+H236+J236+L236+N236+P236+R236+T236+V236+X236+Z236+AB236</f>
        <v>90</v>
      </c>
      <c r="AE236" s="107">
        <f>G236+I236+K236+M236+O236+Q236+S236+U236+W236+Y236+AA236+AC236</f>
        <v>59400</v>
      </c>
    </row>
    <row r="237" spans="1:31">
      <c r="A237" s="100">
        <v>85</v>
      </c>
      <c r="B237" s="108">
        <v>4971710590036</v>
      </c>
      <c r="C237" s="109" t="s">
        <v>727</v>
      </c>
      <c r="D237" s="120" t="s">
        <v>924</v>
      </c>
      <c r="E237" s="101" t="s">
        <v>728</v>
      </c>
      <c r="F237" s="110"/>
      <c r="G237" s="111"/>
      <c r="H237" s="104">
        <v>90</v>
      </c>
      <c r="I237" s="105">
        <v>69300</v>
      </c>
      <c r="J237" s="102"/>
      <c r="K237" s="103"/>
      <c r="L237" s="102"/>
      <c r="M237" s="103"/>
      <c r="N237" s="102"/>
      <c r="O237" s="103"/>
      <c r="P237" s="102"/>
      <c r="Q237" s="106"/>
      <c r="R237" s="102"/>
      <c r="S237" s="106"/>
      <c r="T237" s="102"/>
      <c r="U237" s="106"/>
      <c r="V237" s="102"/>
      <c r="W237" s="106"/>
      <c r="X237" s="106"/>
      <c r="Y237" s="106"/>
      <c r="Z237" s="106"/>
      <c r="AA237" s="106"/>
      <c r="AB237" s="106"/>
      <c r="AC237" s="106"/>
      <c r="AD237" s="112">
        <f>F237+H237+J237+L237+N237+P237+R237+T237+V237+X237+Z237+AB237</f>
        <v>90</v>
      </c>
      <c r="AE237" s="107">
        <f>G237+I237+K237+M237+O237+Q237+S237+U237+W237+Y237+AA237+AC237</f>
        <v>69300</v>
      </c>
    </row>
    <row r="238" spans="1:31">
      <c r="A238" s="100">
        <v>86</v>
      </c>
      <c r="B238" s="108">
        <v>4971710513721</v>
      </c>
      <c r="C238" s="109" t="s">
        <v>280</v>
      </c>
      <c r="D238" s="120" t="s">
        <v>1131</v>
      </c>
      <c r="E238" s="101" t="s">
        <v>281</v>
      </c>
      <c r="F238" s="110">
        <v>90</v>
      </c>
      <c r="G238" s="111">
        <v>49500</v>
      </c>
      <c r="H238" s="104"/>
      <c r="I238" s="105"/>
      <c r="J238" s="102"/>
      <c r="K238" s="103"/>
      <c r="L238" s="102"/>
      <c r="M238" s="103"/>
      <c r="N238" s="102"/>
      <c r="O238" s="103"/>
      <c r="P238" s="102"/>
      <c r="Q238" s="106"/>
      <c r="R238" s="102"/>
      <c r="S238" s="106"/>
      <c r="T238" s="102"/>
      <c r="U238" s="106"/>
      <c r="V238" s="102"/>
      <c r="W238" s="106"/>
      <c r="X238" s="106"/>
      <c r="Y238" s="106"/>
      <c r="Z238" s="106"/>
      <c r="AA238" s="106"/>
      <c r="AB238" s="106"/>
      <c r="AC238" s="106"/>
      <c r="AD238" s="112">
        <f>F238+H238+J238+L238+N238+P238+R238+T238+V238+X238+Z238+AB238</f>
        <v>90</v>
      </c>
      <c r="AE238" s="107">
        <f>G238+I238+K238+M238+O238+Q238+S238+U238+W238+Y238+AA238+AC238</f>
        <v>49500</v>
      </c>
    </row>
    <row r="239" spans="1:31">
      <c r="A239" s="100">
        <v>92</v>
      </c>
      <c r="B239" s="108">
        <v>4971710576610</v>
      </c>
      <c r="C239" s="109" t="s">
        <v>612</v>
      </c>
      <c r="D239" s="120" t="s">
        <v>924</v>
      </c>
      <c r="E239" s="101" t="s">
        <v>613</v>
      </c>
      <c r="F239" s="110"/>
      <c r="G239" s="111"/>
      <c r="H239" s="104">
        <v>84</v>
      </c>
      <c r="I239" s="105">
        <v>64680</v>
      </c>
      <c r="J239" s="102"/>
      <c r="K239" s="103"/>
      <c r="L239" s="102"/>
      <c r="M239" s="103"/>
      <c r="N239" s="102"/>
      <c r="O239" s="103"/>
      <c r="P239" s="102"/>
      <c r="Q239" s="106"/>
      <c r="R239" s="102"/>
      <c r="S239" s="106"/>
      <c r="T239" s="102"/>
      <c r="U239" s="106"/>
      <c r="V239" s="102"/>
      <c r="W239" s="106"/>
      <c r="X239" s="106"/>
      <c r="Y239" s="106"/>
      <c r="Z239" s="106"/>
      <c r="AA239" s="106"/>
      <c r="AB239" s="106"/>
      <c r="AC239" s="106"/>
      <c r="AD239" s="112">
        <f>F239+H239+J239+L239+N239+P239+R239+T239+V239+X239+Z239+AB239</f>
        <v>84</v>
      </c>
      <c r="AE239" s="107">
        <f>G239+I239+K239+M239+O239+Q239+S239+U239+W239+Y239+AA239+AC239</f>
        <v>64680</v>
      </c>
    </row>
    <row r="240" spans="1:31">
      <c r="A240" s="100">
        <v>193</v>
      </c>
      <c r="B240" s="108">
        <v>4971710569186</v>
      </c>
      <c r="C240" s="109" t="s">
        <v>540</v>
      </c>
      <c r="D240" s="120" t="s">
        <v>1131</v>
      </c>
      <c r="E240" s="101" t="s">
        <v>541</v>
      </c>
      <c r="F240" s="110">
        <v>20</v>
      </c>
      <c r="G240" s="111">
        <v>13200</v>
      </c>
      <c r="H240" s="104"/>
      <c r="I240" s="105"/>
      <c r="J240" s="102"/>
      <c r="K240" s="103"/>
      <c r="L240" s="102">
        <v>64</v>
      </c>
      <c r="M240" s="103">
        <v>42240</v>
      </c>
      <c r="N240" s="102"/>
      <c r="O240" s="103"/>
      <c r="P240" s="102"/>
      <c r="Q240" s="106"/>
      <c r="R240" s="102"/>
      <c r="S240" s="106"/>
      <c r="T240" s="102"/>
      <c r="U240" s="106"/>
      <c r="V240" s="102"/>
      <c r="W240" s="106"/>
      <c r="X240" s="106"/>
      <c r="Y240" s="106"/>
      <c r="Z240" s="106"/>
      <c r="AA240" s="106"/>
      <c r="AB240" s="106"/>
      <c r="AC240" s="106"/>
      <c r="AD240" s="112">
        <f>F240+H240+J240+L240+N240+P240+R240+T240+V240+X240+Z240+AB240</f>
        <v>84</v>
      </c>
      <c r="AE240" s="107">
        <f>G240+I240+K240+M240+O240+Q240+S240+U240+W240+Y240+AA240+AC240</f>
        <v>55440</v>
      </c>
    </row>
    <row r="241" spans="1:31">
      <c r="A241" s="100">
        <v>104</v>
      </c>
      <c r="B241" s="108">
        <v>4971710610765</v>
      </c>
      <c r="C241" s="109" t="s">
        <v>952</v>
      </c>
      <c r="D241" s="120" t="s">
        <v>1131</v>
      </c>
      <c r="E241" s="101" t="s">
        <v>956</v>
      </c>
      <c r="F241" s="110">
        <v>20</v>
      </c>
      <c r="G241" s="111">
        <v>13200</v>
      </c>
      <c r="H241" s="104">
        <v>30</v>
      </c>
      <c r="I241" s="105">
        <v>19800</v>
      </c>
      <c r="J241" s="102">
        <f>VLOOKUP(C241,[1]Sheet2!$A:$B,2,0 )</f>
        <v>30</v>
      </c>
      <c r="K241" s="103">
        <f>VLOOKUP(C241,[1]Sheet2!$A:$C,3,0)</f>
        <v>19800</v>
      </c>
      <c r="L241" s="102">
        <v>4</v>
      </c>
      <c r="M241" s="103">
        <v>2640</v>
      </c>
      <c r="N241" s="102"/>
      <c r="O241" s="103"/>
      <c r="P241" s="102"/>
      <c r="Q241" s="106"/>
      <c r="R241" s="102"/>
      <c r="S241" s="106"/>
      <c r="T241" s="102"/>
      <c r="U241" s="106"/>
      <c r="V241" s="102"/>
      <c r="W241" s="106"/>
      <c r="X241" s="106"/>
      <c r="Y241" s="106"/>
      <c r="Z241" s="106"/>
      <c r="AA241" s="106"/>
      <c r="AB241" s="106"/>
      <c r="AC241" s="106"/>
      <c r="AD241" s="113">
        <f>F241+H241+J241+L241+N241+P241+R241+T241+V241+X241+Z241+AB241</f>
        <v>84</v>
      </c>
      <c r="AE241" s="107">
        <f>G241+I241+K241+M241+O241+Q241+S241+U241+W241+Y241+AA241+AC241</f>
        <v>55440</v>
      </c>
    </row>
    <row r="242" spans="1:31">
      <c r="A242" s="100">
        <v>102</v>
      </c>
      <c r="B242" s="108">
        <v>4971710578553</v>
      </c>
      <c r="C242" s="109" t="s">
        <v>627</v>
      </c>
      <c r="D242" s="120" t="s">
        <v>1131</v>
      </c>
      <c r="E242" s="101" t="s">
        <v>628</v>
      </c>
      <c r="F242" s="110">
        <v>20</v>
      </c>
      <c r="G242" s="111">
        <v>11000</v>
      </c>
      <c r="H242" s="104">
        <v>60</v>
      </c>
      <c r="I242" s="105">
        <v>33000</v>
      </c>
      <c r="J242" s="102"/>
      <c r="K242" s="103"/>
      <c r="L242" s="102">
        <v>4</v>
      </c>
      <c r="M242" s="103">
        <v>2200</v>
      </c>
      <c r="N242" s="102"/>
      <c r="O242" s="103"/>
      <c r="P242" s="102"/>
      <c r="Q242" s="106"/>
      <c r="R242" s="102"/>
      <c r="S242" s="106"/>
      <c r="T242" s="102"/>
      <c r="U242" s="106"/>
      <c r="V242" s="102"/>
      <c r="W242" s="106"/>
      <c r="X242" s="106"/>
      <c r="Y242" s="106"/>
      <c r="Z242" s="106"/>
      <c r="AA242" s="106"/>
      <c r="AB242" s="106"/>
      <c r="AC242" s="106"/>
      <c r="AD242" s="112">
        <f>F242+H242+J242+L242+N242+P242+R242+T242+V242+X242+Z242+AB242</f>
        <v>84</v>
      </c>
      <c r="AE242" s="107">
        <f>G242+I242+K242+M242+O242+Q242+S242+U242+W242+Y242+AA242+AC242</f>
        <v>46200</v>
      </c>
    </row>
    <row r="243" spans="1:31">
      <c r="A243" s="100">
        <v>286</v>
      </c>
      <c r="B243" s="108">
        <v>4971710490756</v>
      </c>
      <c r="C243" s="109" t="s">
        <v>94</v>
      </c>
      <c r="D243" s="120" t="s">
        <v>924</v>
      </c>
      <c r="E243" s="101" t="s">
        <v>95</v>
      </c>
      <c r="F243" s="110"/>
      <c r="G243" s="111"/>
      <c r="H243" s="104"/>
      <c r="I243" s="105"/>
      <c r="J243" s="102"/>
      <c r="K243" s="103"/>
      <c r="L243" s="102">
        <v>80</v>
      </c>
      <c r="M243" s="103">
        <v>44000</v>
      </c>
      <c r="N243" s="102"/>
      <c r="O243" s="103"/>
      <c r="P243" s="102"/>
      <c r="Q243" s="106"/>
      <c r="R243" s="102"/>
      <c r="S243" s="106"/>
      <c r="T243" s="102"/>
      <c r="U243" s="106"/>
      <c r="V243" s="102"/>
      <c r="W243" s="106"/>
      <c r="X243" s="106"/>
      <c r="Y243" s="106"/>
      <c r="Z243" s="106"/>
      <c r="AA243" s="106"/>
      <c r="AB243" s="106"/>
      <c r="AC243" s="106"/>
      <c r="AD243" s="112">
        <f>F243+H243+J243+L243+N243+P243+R243+T243+V243+X243+Z243+AB243</f>
        <v>80</v>
      </c>
      <c r="AE243" s="107">
        <f>G243+I243+K243+M243+O243+Q243+S243+U243+W243+Y243+AA243+AC243</f>
        <v>44000</v>
      </c>
    </row>
    <row r="244" spans="1:31">
      <c r="A244" s="100">
        <v>470</v>
      </c>
      <c r="B244" s="108">
        <v>4971710597172</v>
      </c>
      <c r="C244" s="109" t="s">
        <v>1238</v>
      </c>
      <c r="D244" s="120" t="s">
        <v>1138</v>
      </c>
      <c r="E244" s="101" t="s">
        <v>1239</v>
      </c>
      <c r="F244" s="110"/>
      <c r="G244" s="111"/>
      <c r="H244" s="104"/>
      <c r="I244" s="105"/>
      <c r="J244" s="102"/>
      <c r="K244" s="103"/>
      <c r="L244" s="102">
        <v>80</v>
      </c>
      <c r="M244" s="103">
        <v>198000</v>
      </c>
      <c r="N244" s="102"/>
      <c r="O244" s="103"/>
      <c r="P244" s="102"/>
      <c r="Q244" s="106"/>
      <c r="R244" s="102"/>
      <c r="S244" s="106"/>
      <c r="T244" s="102"/>
      <c r="U244" s="106"/>
      <c r="V244" s="102"/>
      <c r="W244" s="106"/>
      <c r="X244" s="106"/>
      <c r="Y244" s="106"/>
      <c r="Z244" s="106"/>
      <c r="AA244" s="106"/>
      <c r="AB244" s="106"/>
      <c r="AC244" s="106"/>
      <c r="AD244" s="113">
        <f>F244+H244+J244+L244+N244+P244+R244+T244+V244+X244+Z244+AB244</f>
        <v>80</v>
      </c>
      <c r="AE244" s="107">
        <f>G244+I244+K244+M244+O244+Q244+S244+U244+W244+Y244+AA244+AC244</f>
        <v>198000</v>
      </c>
    </row>
    <row r="245" spans="1:31">
      <c r="A245" s="100">
        <v>204</v>
      </c>
      <c r="B245" s="108">
        <v>4971710576016</v>
      </c>
      <c r="C245" s="109" t="s">
        <v>607</v>
      </c>
      <c r="D245" s="120" t="s">
        <v>924</v>
      </c>
      <c r="E245" s="101" t="s">
        <v>608</v>
      </c>
      <c r="F245" s="110"/>
      <c r="G245" s="111"/>
      <c r="H245" s="104"/>
      <c r="I245" s="105"/>
      <c r="J245" s="102">
        <f>VLOOKUP(C245,[1]Sheet2!$A:$B,2,0 )</f>
        <v>18</v>
      </c>
      <c r="K245" s="103">
        <f>VLOOKUP(C245,[1]Sheet2!$A:$C,3,0)</f>
        <v>11880</v>
      </c>
      <c r="L245" s="102">
        <v>60</v>
      </c>
      <c r="M245" s="103">
        <v>39600</v>
      </c>
      <c r="N245" s="102"/>
      <c r="O245" s="103"/>
      <c r="P245" s="102"/>
      <c r="Q245" s="106"/>
      <c r="R245" s="102"/>
      <c r="S245" s="106"/>
      <c r="T245" s="102"/>
      <c r="U245" s="106"/>
      <c r="V245" s="102"/>
      <c r="W245" s="106"/>
      <c r="X245" s="106"/>
      <c r="Y245" s="106"/>
      <c r="Z245" s="106"/>
      <c r="AA245" s="106"/>
      <c r="AB245" s="106"/>
      <c r="AC245" s="106"/>
      <c r="AD245" s="112">
        <f>F245+H245+J245+L245+N245+P245+R245+T245+V245+X245+Z245+AB245</f>
        <v>78</v>
      </c>
      <c r="AE245" s="107">
        <f>G245+I245+K245+M245+O245+Q245+S245+U245+W245+Y245+AA245+AC245</f>
        <v>51480</v>
      </c>
    </row>
    <row r="246" spans="1:31">
      <c r="A246" s="100">
        <v>106</v>
      </c>
      <c r="B246" s="108">
        <v>4971710541212</v>
      </c>
      <c r="C246" s="109" t="s">
        <v>432</v>
      </c>
      <c r="D246" s="120" t="s">
        <v>1133</v>
      </c>
      <c r="E246" s="101" t="s">
        <v>433</v>
      </c>
      <c r="F246" s="110"/>
      <c r="G246" s="111"/>
      <c r="H246" s="104">
        <v>72</v>
      </c>
      <c r="I246" s="105">
        <v>126720</v>
      </c>
      <c r="J246" s="102">
        <f>VLOOKUP(C246,[1]Sheet2!$A:$B,2,0 )</f>
        <v>6</v>
      </c>
      <c r="K246" s="103">
        <f>VLOOKUP(C246,[1]Sheet2!$A:$C,3,0)</f>
        <v>10560</v>
      </c>
      <c r="L246" s="102"/>
      <c r="M246" s="103"/>
      <c r="N246" s="102"/>
      <c r="O246" s="103"/>
      <c r="P246" s="102"/>
      <c r="Q246" s="106"/>
      <c r="R246" s="102"/>
      <c r="S246" s="106"/>
      <c r="T246" s="102"/>
      <c r="U246" s="106"/>
      <c r="V246" s="102"/>
      <c r="W246" s="106"/>
      <c r="X246" s="106"/>
      <c r="Y246" s="106"/>
      <c r="Z246" s="106"/>
      <c r="AA246" s="106"/>
      <c r="AB246" s="106"/>
      <c r="AC246" s="106"/>
      <c r="AD246" s="112">
        <f>F246+H246+J246+L246+N246+P246+R246+T246+V246+X246+Z246+AB246</f>
        <v>78</v>
      </c>
      <c r="AE246" s="107">
        <f>G246+I246+K246+M246+O246+Q246+S246+U246+W246+Y246+AA246+AC246</f>
        <v>137280</v>
      </c>
    </row>
    <row r="247" spans="1:31">
      <c r="A247" s="100">
        <v>138</v>
      </c>
      <c r="B247" s="108">
        <v>4971710569209</v>
      </c>
      <c r="C247" s="109" t="s">
        <v>544</v>
      </c>
      <c r="D247" s="120" t="s">
        <v>1131</v>
      </c>
      <c r="E247" s="101" t="s">
        <v>545</v>
      </c>
      <c r="F247" s="110">
        <v>20</v>
      </c>
      <c r="G247" s="111">
        <v>13200</v>
      </c>
      <c r="H247" s="104"/>
      <c r="I247" s="105"/>
      <c r="J247" s="102">
        <f>VLOOKUP(C247,[1]Sheet2!$A:$B,2,0 )</f>
        <v>30</v>
      </c>
      <c r="K247" s="103">
        <f>VLOOKUP(C247,[1]Sheet2!$A:$C,3,0)</f>
        <v>19800</v>
      </c>
      <c r="L247" s="102">
        <v>28</v>
      </c>
      <c r="M247" s="103">
        <v>18480</v>
      </c>
      <c r="N247" s="102"/>
      <c r="O247" s="103"/>
      <c r="P247" s="102"/>
      <c r="Q247" s="106"/>
      <c r="R247" s="102"/>
      <c r="S247" s="106"/>
      <c r="T247" s="102"/>
      <c r="U247" s="106"/>
      <c r="V247" s="102"/>
      <c r="W247" s="106"/>
      <c r="X247" s="106"/>
      <c r="Y247" s="106"/>
      <c r="Z247" s="106"/>
      <c r="AA247" s="106"/>
      <c r="AB247" s="106"/>
      <c r="AC247" s="106"/>
      <c r="AD247" s="112">
        <f>F247+H247+J247+L247+N247+P247+R247+T247+V247+X247+Z247+AB247</f>
        <v>78</v>
      </c>
      <c r="AE247" s="107">
        <f>G247+I247+K247+M247+O247+Q247+S247+U247+W247+Y247+AA247+AC247</f>
        <v>51480</v>
      </c>
    </row>
    <row r="248" spans="1:31">
      <c r="A248" s="100">
        <v>112</v>
      </c>
      <c r="B248" s="108">
        <v>4971710578584</v>
      </c>
      <c r="C248" s="109" t="s">
        <v>633</v>
      </c>
      <c r="D248" s="120" t="s">
        <v>1131</v>
      </c>
      <c r="E248" s="101" t="s">
        <v>634</v>
      </c>
      <c r="F248" s="110"/>
      <c r="G248" s="111"/>
      <c r="H248" s="104">
        <v>40</v>
      </c>
      <c r="I248" s="105">
        <v>24200</v>
      </c>
      <c r="J248" s="102">
        <f>VLOOKUP(C248,[1]Sheet2!$A:$B,2,0 )</f>
        <v>30</v>
      </c>
      <c r="K248" s="103">
        <f>VLOOKUP(C248,[1]Sheet2!$A:$C,3,0)</f>
        <v>18150</v>
      </c>
      <c r="L248" s="102">
        <v>6</v>
      </c>
      <c r="M248" s="103">
        <v>3630</v>
      </c>
      <c r="N248" s="102"/>
      <c r="O248" s="103"/>
      <c r="P248" s="102"/>
      <c r="Q248" s="106"/>
      <c r="R248" s="102"/>
      <c r="S248" s="106"/>
      <c r="T248" s="102"/>
      <c r="U248" s="106"/>
      <c r="V248" s="102"/>
      <c r="W248" s="106"/>
      <c r="X248" s="106"/>
      <c r="Y248" s="106"/>
      <c r="Z248" s="106"/>
      <c r="AA248" s="106"/>
      <c r="AB248" s="106"/>
      <c r="AC248" s="106"/>
      <c r="AD248" s="112">
        <f>F248+H248+J248+L248+N248+P248+R248+T248+V248+X248+Z248+AB248</f>
        <v>76</v>
      </c>
      <c r="AE248" s="107">
        <f>G248+I248+K248+M248+O248+Q248+S248+U248+W248+Y248+AA248+AC248</f>
        <v>45980</v>
      </c>
    </row>
    <row r="249" spans="1:31">
      <c r="A249" s="100">
        <v>158</v>
      </c>
      <c r="B249" s="108">
        <v>4971710593020</v>
      </c>
      <c r="C249" s="109" t="s">
        <v>753</v>
      </c>
      <c r="D249" s="120" t="s">
        <v>924</v>
      </c>
      <c r="E249" s="101" t="s">
        <v>754</v>
      </c>
      <c r="F249" s="110"/>
      <c r="G249" s="111"/>
      <c r="H249" s="104">
        <v>30</v>
      </c>
      <c r="I249" s="105">
        <v>18150</v>
      </c>
      <c r="J249" s="102">
        <f>VLOOKUP(C249,[1]Sheet2!$A:$B,2,0 )</f>
        <v>6</v>
      </c>
      <c r="K249" s="103">
        <f>VLOOKUP(C249,[1]Sheet2!$A:$C,3,0)</f>
        <v>3630</v>
      </c>
      <c r="L249" s="102">
        <v>34</v>
      </c>
      <c r="M249" s="103">
        <v>20570</v>
      </c>
      <c r="N249" s="102"/>
      <c r="O249" s="103"/>
      <c r="P249" s="102"/>
      <c r="Q249" s="106"/>
      <c r="R249" s="102"/>
      <c r="S249" s="106"/>
      <c r="T249" s="102"/>
      <c r="U249" s="106"/>
      <c r="V249" s="102"/>
      <c r="W249" s="106"/>
      <c r="X249" s="106"/>
      <c r="Y249" s="106"/>
      <c r="Z249" s="106"/>
      <c r="AA249" s="106"/>
      <c r="AB249" s="106"/>
      <c r="AC249" s="106"/>
      <c r="AD249" s="112">
        <f>F249+H249+J249+L249+N249+P249+R249+T249+V249+X249+Z249+AB249</f>
        <v>70</v>
      </c>
      <c r="AE249" s="107">
        <f>G249+I249+K249+M249+O249+Q249+S249+U249+W249+Y249+AA249+AC249</f>
        <v>42350</v>
      </c>
    </row>
    <row r="250" spans="1:31">
      <c r="A250" s="100">
        <v>151</v>
      </c>
      <c r="B250" s="108">
        <v>4971710598551</v>
      </c>
      <c r="C250" s="109" t="s">
        <v>838</v>
      </c>
      <c r="D250" s="120" t="s">
        <v>924</v>
      </c>
      <c r="E250" s="101" t="s">
        <v>1059</v>
      </c>
      <c r="F250" s="110"/>
      <c r="G250" s="111"/>
      <c r="H250" s="104">
        <v>30</v>
      </c>
      <c r="I250" s="105">
        <v>19800</v>
      </c>
      <c r="J250" s="102">
        <f>VLOOKUP(C250,[1]Sheet2!$A:$B,2,0 )</f>
        <v>10</v>
      </c>
      <c r="K250" s="103">
        <f>VLOOKUP(C250,[1]Sheet2!$A:$C,3,0)</f>
        <v>6600</v>
      </c>
      <c r="L250" s="102">
        <v>30</v>
      </c>
      <c r="M250" s="103">
        <v>19800</v>
      </c>
      <c r="N250" s="102"/>
      <c r="O250" s="103"/>
      <c r="P250" s="102"/>
      <c r="Q250" s="106"/>
      <c r="R250" s="102"/>
      <c r="S250" s="106"/>
      <c r="T250" s="102"/>
      <c r="U250" s="106"/>
      <c r="V250" s="102"/>
      <c r="W250" s="106"/>
      <c r="X250" s="106"/>
      <c r="Y250" s="106"/>
      <c r="Z250" s="106"/>
      <c r="AA250" s="106"/>
      <c r="AB250" s="106"/>
      <c r="AC250" s="106"/>
      <c r="AD250" s="113">
        <f>F250+H250+J250+L250+N250+P250+R250+T250+V250+X250+Z250+AB250</f>
        <v>70</v>
      </c>
      <c r="AE250" s="107">
        <f>G250+I250+K250+M250+O250+Q250+S250+U250+W250+Y250+AA250+AC250</f>
        <v>46200</v>
      </c>
    </row>
    <row r="251" spans="1:31">
      <c r="A251" s="100">
        <v>115</v>
      </c>
      <c r="B251" s="108">
        <v>4971710521498</v>
      </c>
      <c r="C251" s="109" t="s">
        <v>362</v>
      </c>
      <c r="D251" s="120" t="s">
        <v>924</v>
      </c>
      <c r="E251" s="101" t="s">
        <v>363</v>
      </c>
      <c r="F251" s="110"/>
      <c r="G251" s="111"/>
      <c r="H251" s="104"/>
      <c r="I251" s="105"/>
      <c r="J251" s="102">
        <f>VLOOKUP(C251,[1]Sheet2!$A:$B,2,0 )</f>
        <v>68</v>
      </c>
      <c r="K251" s="103">
        <f>VLOOKUP(C251,[1]Sheet2!$A:$C,3,0)</f>
        <v>48620</v>
      </c>
      <c r="L251" s="102"/>
      <c r="M251" s="103"/>
      <c r="N251" s="102"/>
      <c r="O251" s="103"/>
      <c r="P251" s="102"/>
      <c r="Q251" s="106"/>
      <c r="R251" s="102"/>
      <c r="S251" s="106"/>
      <c r="T251" s="102"/>
      <c r="U251" s="106"/>
      <c r="V251" s="102"/>
      <c r="W251" s="106"/>
      <c r="X251" s="106"/>
      <c r="Y251" s="106"/>
      <c r="Z251" s="106"/>
      <c r="AA251" s="106"/>
      <c r="AB251" s="106"/>
      <c r="AC251" s="106"/>
      <c r="AD251" s="112">
        <f>F251+H251+J251+L251+N251+P251+R251+T251+V251+X251+Z251+AB251</f>
        <v>68</v>
      </c>
      <c r="AE251" s="107">
        <f>G251+I251+K251+M251+O251+Q251+S251+U251+W251+Y251+AA251+AC251</f>
        <v>48620</v>
      </c>
    </row>
    <row r="252" spans="1:31">
      <c r="A252" s="100">
        <v>116</v>
      </c>
      <c r="B252" s="108">
        <v>4971710588132</v>
      </c>
      <c r="C252" s="109" t="s">
        <v>719</v>
      </c>
      <c r="D252" s="120" t="s">
        <v>924</v>
      </c>
      <c r="E252" s="101" t="s">
        <v>720</v>
      </c>
      <c r="F252" s="110">
        <v>5</v>
      </c>
      <c r="G252" s="111">
        <v>3575</v>
      </c>
      <c r="H252" s="104">
        <v>30</v>
      </c>
      <c r="I252" s="105">
        <v>21450</v>
      </c>
      <c r="J252" s="102">
        <f>VLOOKUP(C252,[1]Sheet2!$A:$B,2,0 )</f>
        <v>30</v>
      </c>
      <c r="K252" s="103">
        <f>VLOOKUP(C252,[1]Sheet2!$A:$C,3,0)</f>
        <v>21450</v>
      </c>
      <c r="L252" s="102"/>
      <c r="M252" s="103"/>
      <c r="N252" s="102"/>
      <c r="O252" s="103"/>
      <c r="P252" s="102"/>
      <c r="Q252" s="106"/>
      <c r="R252" s="102"/>
      <c r="S252" s="106"/>
      <c r="T252" s="102"/>
      <c r="U252" s="106"/>
      <c r="V252" s="102"/>
      <c r="W252" s="106"/>
      <c r="X252" s="106"/>
      <c r="Y252" s="106"/>
      <c r="Z252" s="106"/>
      <c r="AA252" s="106"/>
      <c r="AB252" s="106"/>
      <c r="AC252" s="106"/>
      <c r="AD252" s="112">
        <f>F252+H252+J252+L252+N252+P252+R252+T252+V252+X252+Z252+AB252</f>
        <v>65</v>
      </c>
      <c r="AE252" s="107">
        <f>G252+I252+K252+M252+O252+Q252+S252+U252+W252+Y252+AA252+AC252</f>
        <v>46475</v>
      </c>
    </row>
    <row r="253" spans="1:31">
      <c r="A253" s="100">
        <v>316</v>
      </c>
      <c r="B253" s="108">
        <v>4971710599633</v>
      </c>
      <c r="C253" s="109" t="s">
        <v>999</v>
      </c>
      <c r="D253" s="120" t="s">
        <v>924</v>
      </c>
      <c r="E253" s="101" t="s">
        <v>1000</v>
      </c>
      <c r="F253" s="110"/>
      <c r="G253" s="111"/>
      <c r="H253" s="104"/>
      <c r="I253" s="105"/>
      <c r="J253" s="102"/>
      <c r="K253" s="103"/>
      <c r="L253" s="102">
        <v>62</v>
      </c>
      <c r="M253" s="103">
        <v>51150</v>
      </c>
      <c r="N253" s="102"/>
      <c r="O253" s="103"/>
      <c r="P253" s="102"/>
      <c r="Q253" s="106"/>
      <c r="R253" s="102"/>
      <c r="S253" s="106"/>
      <c r="T253" s="102"/>
      <c r="U253" s="106"/>
      <c r="V253" s="102"/>
      <c r="W253" s="106"/>
      <c r="X253" s="106"/>
      <c r="Y253" s="106"/>
      <c r="Z253" s="106"/>
      <c r="AA253" s="106"/>
      <c r="AB253" s="106"/>
      <c r="AC253" s="106"/>
      <c r="AD253" s="113">
        <f>F253+H253+J253+L253+N253+P253+R253+T253+V253+X253+Z253+AB253</f>
        <v>62</v>
      </c>
      <c r="AE253" s="107">
        <f>G253+I253+K253+M253+O253+Q253+S253+U253+W253+Y253+AA253+AC253</f>
        <v>51150</v>
      </c>
    </row>
    <row r="254" spans="1:31">
      <c r="A254" s="100">
        <v>118</v>
      </c>
      <c r="B254" s="108">
        <v>4971710578560</v>
      </c>
      <c r="C254" s="109" t="s">
        <v>629</v>
      </c>
      <c r="D254" s="120" t="s">
        <v>1131</v>
      </c>
      <c r="E254" s="101" t="s">
        <v>630</v>
      </c>
      <c r="F254" s="110"/>
      <c r="G254" s="111"/>
      <c r="H254" s="104">
        <v>60</v>
      </c>
      <c r="I254" s="105">
        <v>33000</v>
      </c>
      <c r="J254" s="102"/>
      <c r="K254" s="103"/>
      <c r="L254" s="102">
        <v>2</v>
      </c>
      <c r="M254" s="103">
        <v>1100</v>
      </c>
      <c r="N254" s="102"/>
      <c r="O254" s="103"/>
      <c r="P254" s="102"/>
      <c r="Q254" s="106"/>
      <c r="R254" s="102"/>
      <c r="S254" s="106"/>
      <c r="T254" s="102"/>
      <c r="U254" s="106"/>
      <c r="V254" s="102"/>
      <c r="W254" s="106"/>
      <c r="X254" s="106"/>
      <c r="Y254" s="106"/>
      <c r="Z254" s="106"/>
      <c r="AA254" s="106"/>
      <c r="AB254" s="106"/>
      <c r="AC254" s="106"/>
      <c r="AD254" s="112">
        <f>F254+H254+J254+L254+N254+P254+R254+T254+V254+X254+Z254+AB254</f>
        <v>62</v>
      </c>
      <c r="AE254" s="107">
        <f>G254+I254+K254+M254+O254+Q254+S254+U254+W254+Y254+AA254+AC254</f>
        <v>34100</v>
      </c>
    </row>
    <row r="255" spans="1:31">
      <c r="A255" s="100">
        <v>246</v>
      </c>
      <c r="B255" s="108">
        <v>4971710593006</v>
      </c>
      <c r="C255" s="109" t="s">
        <v>749</v>
      </c>
      <c r="D255" s="120" t="s">
        <v>924</v>
      </c>
      <c r="E255" s="101" t="s">
        <v>750</v>
      </c>
      <c r="F255" s="110"/>
      <c r="G255" s="111"/>
      <c r="H255" s="104"/>
      <c r="I255" s="105"/>
      <c r="J255" s="102">
        <f>VLOOKUP(C255,[1]Sheet2!$A:$B,2,0 )</f>
        <v>6</v>
      </c>
      <c r="K255" s="103">
        <f>VLOOKUP(C255,[1]Sheet2!$A:$C,3,0)</f>
        <v>3630</v>
      </c>
      <c r="L255" s="102">
        <v>54</v>
      </c>
      <c r="M255" s="103">
        <v>32670</v>
      </c>
      <c r="N255" s="102"/>
      <c r="O255" s="103"/>
      <c r="P255" s="102"/>
      <c r="Q255" s="106"/>
      <c r="R255" s="102"/>
      <c r="S255" s="106"/>
      <c r="T255" s="102"/>
      <c r="U255" s="106"/>
      <c r="V255" s="102"/>
      <c r="W255" s="106"/>
      <c r="X255" s="106"/>
      <c r="Y255" s="106"/>
      <c r="Z255" s="106"/>
      <c r="AA255" s="106"/>
      <c r="AB255" s="106"/>
      <c r="AC255" s="106"/>
      <c r="AD255" s="112">
        <f>F255+H255+J255+L255+N255+P255+R255+T255+V255+X255+Z255+AB255</f>
        <v>60</v>
      </c>
      <c r="AE255" s="107">
        <f>G255+I255+K255+M255+O255+Q255+S255+U255+W255+Y255+AA255+AC255</f>
        <v>36300</v>
      </c>
    </row>
    <row r="256" spans="1:31">
      <c r="A256" s="100">
        <v>152</v>
      </c>
      <c r="B256" s="108">
        <v>4971710578454</v>
      </c>
      <c r="C256" s="109" t="s">
        <v>625</v>
      </c>
      <c r="D256" s="120" t="s">
        <v>924</v>
      </c>
      <c r="E256" s="101" t="s">
        <v>626</v>
      </c>
      <c r="F256" s="110"/>
      <c r="G256" s="111"/>
      <c r="H256" s="104">
        <v>30</v>
      </c>
      <c r="I256" s="105">
        <v>19800</v>
      </c>
      <c r="J256" s="102">
        <f>VLOOKUP(C256,[1]Sheet2!$A:$B,2,0 )</f>
        <v>10</v>
      </c>
      <c r="K256" s="103">
        <f>VLOOKUP(C256,[1]Sheet2!$A:$C,3,0)</f>
        <v>6600</v>
      </c>
      <c r="L256" s="102">
        <v>20</v>
      </c>
      <c r="M256" s="103">
        <v>13200</v>
      </c>
      <c r="N256" s="102"/>
      <c r="O256" s="103"/>
      <c r="P256" s="102"/>
      <c r="Q256" s="106"/>
      <c r="R256" s="102"/>
      <c r="S256" s="106"/>
      <c r="T256" s="102"/>
      <c r="U256" s="106"/>
      <c r="V256" s="102"/>
      <c r="W256" s="106"/>
      <c r="X256" s="106"/>
      <c r="Y256" s="106"/>
      <c r="Z256" s="106"/>
      <c r="AA256" s="106"/>
      <c r="AB256" s="106"/>
      <c r="AC256" s="106"/>
      <c r="AD256" s="112">
        <f>F256+H256+J256+L256+N256+P256+R256+T256+V256+X256+Z256+AB256</f>
        <v>60</v>
      </c>
      <c r="AE256" s="107">
        <f>G256+I256+K256+M256+O256+Q256+S256+U256+W256+Y256+AA256+AC256</f>
        <v>39600</v>
      </c>
    </row>
    <row r="257" spans="1:31">
      <c r="A257" s="100">
        <v>117</v>
      </c>
      <c r="B257" s="108">
        <v>4971710591095</v>
      </c>
      <c r="C257" s="109" t="s">
        <v>737</v>
      </c>
      <c r="D257" s="120" t="s">
        <v>924</v>
      </c>
      <c r="E257" s="101" t="s">
        <v>738</v>
      </c>
      <c r="F257" s="110"/>
      <c r="G257" s="111"/>
      <c r="H257" s="104">
        <v>60</v>
      </c>
      <c r="I257" s="105">
        <v>46200</v>
      </c>
      <c r="J257" s="102"/>
      <c r="K257" s="103"/>
      <c r="L257" s="102"/>
      <c r="M257" s="103"/>
      <c r="N257" s="102"/>
      <c r="O257" s="103"/>
      <c r="P257" s="102"/>
      <c r="Q257" s="106"/>
      <c r="R257" s="102"/>
      <c r="S257" s="106"/>
      <c r="T257" s="102"/>
      <c r="U257" s="106"/>
      <c r="V257" s="102"/>
      <c r="W257" s="106"/>
      <c r="X257" s="106"/>
      <c r="Y257" s="106"/>
      <c r="Z257" s="106"/>
      <c r="AA257" s="106"/>
      <c r="AB257" s="106"/>
      <c r="AC257" s="106"/>
      <c r="AD257" s="112">
        <f>F257+H257+J257+L257+N257+P257+R257+T257+V257+X257+Z257+AB257</f>
        <v>60</v>
      </c>
      <c r="AE257" s="107">
        <f>G257+I257+K257+M257+O257+Q257+S257+U257+W257+Y257+AA257+AC257</f>
        <v>46200</v>
      </c>
    </row>
    <row r="258" spans="1:31">
      <c r="A258" s="100">
        <v>232</v>
      </c>
      <c r="B258" s="108">
        <v>4971710549805</v>
      </c>
      <c r="C258" s="109" t="s">
        <v>436</v>
      </c>
      <c r="D258" s="120" t="s">
        <v>1133</v>
      </c>
      <c r="E258" s="101" t="s">
        <v>435</v>
      </c>
      <c r="F258" s="110"/>
      <c r="G258" s="111"/>
      <c r="H258" s="104"/>
      <c r="I258" s="105"/>
      <c r="J258" s="102">
        <f>VLOOKUP(C258,[1]Sheet2!$A:$B,2,0 )</f>
        <v>10</v>
      </c>
      <c r="K258" s="103">
        <f>VLOOKUP(C258,[1]Sheet2!$A:$C,3,0)</f>
        <v>27500</v>
      </c>
      <c r="L258" s="102">
        <v>48</v>
      </c>
      <c r="M258" s="103">
        <v>132000</v>
      </c>
      <c r="N258" s="102"/>
      <c r="O258" s="103"/>
      <c r="P258" s="102"/>
      <c r="Q258" s="106"/>
      <c r="R258" s="102"/>
      <c r="S258" s="106"/>
      <c r="T258" s="102"/>
      <c r="U258" s="106"/>
      <c r="V258" s="102"/>
      <c r="W258" s="106"/>
      <c r="X258" s="106"/>
      <c r="Y258" s="106"/>
      <c r="Z258" s="106"/>
      <c r="AA258" s="106"/>
      <c r="AB258" s="106"/>
      <c r="AC258" s="106"/>
      <c r="AD258" s="112">
        <f>F258+H258+J258+L258+N258+P258+R258+T258+V258+X258+Z258+AB258</f>
        <v>58</v>
      </c>
      <c r="AE258" s="107">
        <f>G258+I258+K258+M258+O258+Q258+S258+U258+W258+Y258+AA258+AC258</f>
        <v>159500</v>
      </c>
    </row>
    <row r="259" spans="1:31">
      <c r="A259" s="100">
        <v>144</v>
      </c>
      <c r="B259" s="108">
        <v>4971710615944</v>
      </c>
      <c r="C259" s="109" t="s">
        <v>1113</v>
      </c>
      <c r="D259" s="120" t="s">
        <v>1131</v>
      </c>
      <c r="E259" s="101" t="s">
        <v>1116</v>
      </c>
      <c r="F259" s="110">
        <v>20</v>
      </c>
      <c r="G259" s="111">
        <v>13200</v>
      </c>
      <c r="H259" s="104"/>
      <c r="I259" s="105"/>
      <c r="J259" s="102">
        <f>VLOOKUP(C259,[1]Sheet2!$A:$B,2,0 )</f>
        <v>30</v>
      </c>
      <c r="K259" s="103">
        <f>VLOOKUP(C259,[1]Sheet2!$A:$C,3,0)</f>
        <v>19800</v>
      </c>
      <c r="L259" s="102">
        <v>8</v>
      </c>
      <c r="M259" s="103">
        <v>5280</v>
      </c>
      <c r="N259" s="102"/>
      <c r="O259" s="103"/>
      <c r="P259" s="102"/>
      <c r="Q259" s="106"/>
      <c r="R259" s="102"/>
      <c r="S259" s="106"/>
      <c r="T259" s="102"/>
      <c r="U259" s="106"/>
      <c r="V259" s="102"/>
      <c r="W259" s="106"/>
      <c r="X259" s="106"/>
      <c r="Y259" s="106"/>
      <c r="Z259" s="106"/>
      <c r="AA259" s="106"/>
      <c r="AB259" s="106"/>
      <c r="AC259" s="106"/>
      <c r="AD259" s="113">
        <f>F259+H259+J259+L259+N259+P259+R259+T259+V259+X259+Z259+AB259</f>
        <v>58</v>
      </c>
      <c r="AE259" s="107">
        <f>G259+I259+K259+M259+O259+Q259+S259+U259+W259+Y259+AA259+AC259</f>
        <v>38280</v>
      </c>
    </row>
    <row r="260" spans="1:31">
      <c r="A260" s="100">
        <v>140</v>
      </c>
      <c r="B260" s="108">
        <v>4971710565096</v>
      </c>
      <c r="C260" s="109" t="s">
        <v>510</v>
      </c>
      <c r="D260" s="120" t="s">
        <v>1131</v>
      </c>
      <c r="E260" s="101" t="s">
        <v>511</v>
      </c>
      <c r="F260" s="110">
        <v>20</v>
      </c>
      <c r="G260" s="111">
        <v>13200</v>
      </c>
      <c r="H260" s="104"/>
      <c r="I260" s="105"/>
      <c r="J260" s="102">
        <f>VLOOKUP(C260,[1]Sheet2!$A:$B,2,0 )</f>
        <v>30</v>
      </c>
      <c r="K260" s="103">
        <f>VLOOKUP(C260,[1]Sheet2!$A:$C,3,0)</f>
        <v>19800</v>
      </c>
      <c r="L260" s="102">
        <v>6</v>
      </c>
      <c r="M260" s="103">
        <v>3960</v>
      </c>
      <c r="N260" s="102"/>
      <c r="O260" s="103"/>
      <c r="P260" s="102"/>
      <c r="Q260" s="106"/>
      <c r="R260" s="102"/>
      <c r="S260" s="106"/>
      <c r="T260" s="102"/>
      <c r="U260" s="106"/>
      <c r="V260" s="102"/>
      <c r="W260" s="106"/>
      <c r="X260" s="106"/>
      <c r="Y260" s="106"/>
      <c r="Z260" s="106"/>
      <c r="AA260" s="106"/>
      <c r="AB260" s="106"/>
      <c r="AC260" s="106"/>
      <c r="AD260" s="112">
        <f>F260+H260+J260+L260+N260+P260+R260+T260+V260+X260+Z260+AB260</f>
        <v>56</v>
      </c>
      <c r="AE260" s="107">
        <f>G260+I260+K260+M260+O260+Q260+S260+U260+W260+Y260+AA260+AC260</f>
        <v>36960</v>
      </c>
    </row>
    <row r="261" spans="1:31">
      <c r="A261" s="100">
        <v>148</v>
      </c>
      <c r="B261" s="108">
        <v>4971710556858</v>
      </c>
      <c r="C261" s="109" t="s">
        <v>452</v>
      </c>
      <c r="D261" s="120" t="s">
        <v>924</v>
      </c>
      <c r="E261" s="101" t="s">
        <v>453</v>
      </c>
      <c r="F261" s="110"/>
      <c r="G261" s="111"/>
      <c r="H261" s="104">
        <v>30</v>
      </c>
      <c r="I261" s="105">
        <v>24750</v>
      </c>
      <c r="J261" s="102">
        <f>VLOOKUP(C261,[1]Sheet2!$A:$B,2,0 )</f>
        <v>15</v>
      </c>
      <c r="K261" s="103">
        <f>VLOOKUP(C261,[1]Sheet2!$A:$C,3,0)</f>
        <v>12375</v>
      </c>
      <c r="L261" s="102">
        <v>10</v>
      </c>
      <c r="M261" s="103">
        <v>8250</v>
      </c>
      <c r="N261" s="102"/>
      <c r="O261" s="103"/>
      <c r="P261" s="102"/>
      <c r="Q261" s="106"/>
      <c r="R261" s="102"/>
      <c r="S261" s="106"/>
      <c r="T261" s="102"/>
      <c r="U261" s="106"/>
      <c r="V261" s="102"/>
      <c r="W261" s="106"/>
      <c r="X261" s="106"/>
      <c r="Y261" s="106"/>
      <c r="Z261" s="106"/>
      <c r="AA261" s="106"/>
      <c r="AB261" s="106"/>
      <c r="AC261" s="106"/>
      <c r="AD261" s="112">
        <f>F261+H261+J261+L261+N261+P261+R261+T261+V261+X261+Z261+AB261</f>
        <v>55</v>
      </c>
      <c r="AE261" s="107">
        <f>G261+I261+K261+M261+O261+Q261+S261+U261+W261+Y261+AA261+AC261</f>
        <v>45375</v>
      </c>
    </row>
    <row r="262" spans="1:31">
      <c r="A262" s="100">
        <v>126</v>
      </c>
      <c r="B262" s="108">
        <v>4971710588118</v>
      </c>
      <c r="C262" s="109" t="s">
        <v>715</v>
      </c>
      <c r="D262" s="120" t="s">
        <v>924</v>
      </c>
      <c r="E262" s="101" t="s">
        <v>716</v>
      </c>
      <c r="F262" s="110"/>
      <c r="G262" s="111"/>
      <c r="H262" s="104">
        <v>20</v>
      </c>
      <c r="I262" s="105">
        <v>14300</v>
      </c>
      <c r="J262" s="102">
        <f>VLOOKUP(C262,[1]Sheet2!$A:$B,2,0 )</f>
        <v>32</v>
      </c>
      <c r="K262" s="103">
        <f>VLOOKUP(C262,[1]Sheet2!$A:$C,3,0)</f>
        <v>22880</v>
      </c>
      <c r="L262" s="102">
        <v>2</v>
      </c>
      <c r="M262" s="103">
        <v>1430</v>
      </c>
      <c r="N262" s="102"/>
      <c r="O262" s="103"/>
      <c r="P262" s="102"/>
      <c r="Q262" s="106"/>
      <c r="R262" s="102"/>
      <c r="S262" s="106"/>
      <c r="T262" s="102"/>
      <c r="U262" s="106"/>
      <c r="V262" s="102"/>
      <c r="W262" s="106"/>
      <c r="X262" s="106"/>
      <c r="Y262" s="106"/>
      <c r="Z262" s="106"/>
      <c r="AA262" s="106"/>
      <c r="AB262" s="106"/>
      <c r="AC262" s="106"/>
      <c r="AD262" s="112">
        <f>F262+H262+J262+L262+N262+P262+R262+T262+V262+X262+Z262+AB262</f>
        <v>54</v>
      </c>
      <c r="AE262" s="107">
        <f>G262+I262+K262+M262+O262+Q262+S262+U262+W262+Y262+AA262+AC262</f>
        <v>38610</v>
      </c>
    </row>
    <row r="263" spans="1:31">
      <c r="A263" s="100">
        <v>134</v>
      </c>
      <c r="B263" s="108">
        <v>4971710610772</v>
      </c>
      <c r="C263" s="109" t="s">
        <v>953</v>
      </c>
      <c r="D263" s="120" t="s">
        <v>1131</v>
      </c>
      <c r="E263" s="101" t="s">
        <v>957</v>
      </c>
      <c r="F263" s="110"/>
      <c r="G263" s="111"/>
      <c r="H263" s="104">
        <v>20</v>
      </c>
      <c r="I263" s="105">
        <v>13200</v>
      </c>
      <c r="J263" s="102">
        <f>VLOOKUP(C263,[1]Sheet2!$A:$B,2,0 )</f>
        <v>30</v>
      </c>
      <c r="K263" s="103">
        <f>VLOOKUP(C263,[1]Sheet2!$A:$C,3,0)</f>
        <v>19800</v>
      </c>
      <c r="L263" s="102">
        <v>4</v>
      </c>
      <c r="M263" s="103">
        <v>2640</v>
      </c>
      <c r="N263" s="102"/>
      <c r="O263" s="103"/>
      <c r="P263" s="102"/>
      <c r="Q263" s="106"/>
      <c r="R263" s="102"/>
      <c r="S263" s="106"/>
      <c r="T263" s="102"/>
      <c r="U263" s="106"/>
      <c r="V263" s="102"/>
      <c r="W263" s="106"/>
      <c r="X263" s="106"/>
      <c r="Y263" s="106"/>
      <c r="Z263" s="106"/>
      <c r="AA263" s="106"/>
      <c r="AB263" s="106"/>
      <c r="AC263" s="106"/>
      <c r="AD263" s="113">
        <f>F263+H263+J263+L263+N263+P263+R263+T263+V263+X263+Z263+AB263</f>
        <v>54</v>
      </c>
      <c r="AE263" s="107">
        <f>G263+I263+K263+M263+O263+Q263+S263+U263+W263+Y263+AA263+AC263</f>
        <v>35640</v>
      </c>
    </row>
    <row r="264" spans="1:31">
      <c r="A264" s="100">
        <v>128</v>
      </c>
      <c r="B264" s="108">
        <v>4971710565119</v>
      </c>
      <c r="C264" s="109" t="s">
        <v>514</v>
      </c>
      <c r="D264" s="120" t="s">
        <v>1131</v>
      </c>
      <c r="E264" s="101" t="s">
        <v>515</v>
      </c>
      <c r="F264" s="110">
        <v>20</v>
      </c>
      <c r="G264" s="111">
        <v>13200</v>
      </c>
      <c r="H264" s="104">
        <v>30</v>
      </c>
      <c r="I264" s="105">
        <v>19800</v>
      </c>
      <c r="J264" s="102"/>
      <c r="K264" s="103"/>
      <c r="L264" s="102">
        <v>4</v>
      </c>
      <c r="M264" s="103">
        <v>2640</v>
      </c>
      <c r="N264" s="102"/>
      <c r="O264" s="103"/>
      <c r="P264" s="102"/>
      <c r="Q264" s="106"/>
      <c r="R264" s="102"/>
      <c r="S264" s="106"/>
      <c r="T264" s="102"/>
      <c r="U264" s="106"/>
      <c r="V264" s="102"/>
      <c r="W264" s="106"/>
      <c r="X264" s="106"/>
      <c r="Y264" s="106"/>
      <c r="Z264" s="106"/>
      <c r="AA264" s="106"/>
      <c r="AB264" s="106"/>
      <c r="AC264" s="106"/>
      <c r="AD264" s="112">
        <f>F264+H264+J264+L264+N264+P264+R264+T264+V264+X264+Z264+AB264</f>
        <v>54</v>
      </c>
      <c r="AE264" s="107">
        <f>G264+I264+K264+M264+O264+Q264+S264+U264+W264+Y264+AA264+AC264</f>
        <v>35640</v>
      </c>
    </row>
    <row r="265" spans="1:31">
      <c r="A265" s="100">
        <v>314</v>
      </c>
      <c r="B265" s="108">
        <v>4971710599671</v>
      </c>
      <c r="C265" s="109" t="s">
        <v>1007</v>
      </c>
      <c r="D265" s="120" t="s">
        <v>924</v>
      </c>
      <c r="E265" s="101" t="s">
        <v>1008</v>
      </c>
      <c r="F265" s="110"/>
      <c r="G265" s="111"/>
      <c r="H265" s="104"/>
      <c r="I265" s="105"/>
      <c r="J265" s="102"/>
      <c r="K265" s="103"/>
      <c r="L265" s="102">
        <v>53</v>
      </c>
      <c r="M265" s="103">
        <v>43725</v>
      </c>
      <c r="N265" s="102"/>
      <c r="O265" s="103"/>
      <c r="P265" s="102"/>
      <c r="Q265" s="106"/>
      <c r="R265" s="102"/>
      <c r="S265" s="106"/>
      <c r="T265" s="102"/>
      <c r="U265" s="106"/>
      <c r="V265" s="102"/>
      <c r="W265" s="106"/>
      <c r="X265" s="106"/>
      <c r="Y265" s="106"/>
      <c r="Z265" s="106"/>
      <c r="AA265" s="106"/>
      <c r="AB265" s="106"/>
      <c r="AC265" s="106"/>
      <c r="AD265" s="113">
        <f>F265+H265+J265+L265+N265+P265+R265+T265+V265+X265+Z265+AB265</f>
        <v>53</v>
      </c>
      <c r="AE265" s="107">
        <f>G265+I265+K265+M265+O265+Q265+S265+U265+W265+Y265+AA265+AC265</f>
        <v>43725</v>
      </c>
    </row>
    <row r="266" spans="1:31">
      <c r="A266" s="100">
        <v>325</v>
      </c>
      <c r="B266" s="108">
        <v>4971710599688</v>
      </c>
      <c r="C266" s="109" t="s">
        <v>1009</v>
      </c>
      <c r="D266" s="120" t="s">
        <v>924</v>
      </c>
      <c r="E266" s="101" t="s">
        <v>1010</v>
      </c>
      <c r="F266" s="110"/>
      <c r="G266" s="111"/>
      <c r="H266" s="104"/>
      <c r="I266" s="105"/>
      <c r="J266" s="102"/>
      <c r="K266" s="103"/>
      <c r="L266" s="102">
        <v>52</v>
      </c>
      <c r="M266" s="103">
        <v>42900</v>
      </c>
      <c r="N266" s="102"/>
      <c r="O266" s="103"/>
      <c r="P266" s="102"/>
      <c r="Q266" s="106"/>
      <c r="R266" s="102"/>
      <c r="S266" s="106"/>
      <c r="T266" s="102"/>
      <c r="U266" s="106"/>
      <c r="V266" s="102"/>
      <c r="W266" s="106"/>
      <c r="X266" s="106"/>
      <c r="Y266" s="106"/>
      <c r="Z266" s="106"/>
      <c r="AA266" s="106"/>
      <c r="AB266" s="106"/>
      <c r="AC266" s="106"/>
      <c r="AD266" s="113">
        <f>F266+H266+J266+L266+N266+P266+R266+T266+V266+X266+Z266+AB266</f>
        <v>52</v>
      </c>
      <c r="AE266" s="107">
        <f>G266+I266+K266+M266+O266+Q266+S266+U266+W266+Y266+AA266+AC266</f>
        <v>42900</v>
      </c>
    </row>
    <row r="267" spans="1:31">
      <c r="A267" s="100">
        <v>133</v>
      </c>
      <c r="B267" s="108">
        <v>4971710611816</v>
      </c>
      <c r="C267" s="109" t="s">
        <v>1011</v>
      </c>
      <c r="D267" s="120" t="s">
        <v>924</v>
      </c>
      <c r="E267" s="101" t="s">
        <v>1012</v>
      </c>
      <c r="F267" s="110"/>
      <c r="G267" s="111"/>
      <c r="H267" s="104">
        <v>20</v>
      </c>
      <c r="I267" s="105">
        <v>15400</v>
      </c>
      <c r="J267" s="102">
        <f>VLOOKUP(C267,[1]Sheet2!$A:$B,2,0 )</f>
        <v>30</v>
      </c>
      <c r="K267" s="103">
        <f>VLOOKUP(C267,[1]Sheet2!$A:$C,3,0)</f>
        <v>23100</v>
      </c>
      <c r="L267" s="102">
        <v>2</v>
      </c>
      <c r="M267" s="103">
        <v>1540</v>
      </c>
      <c r="N267" s="102"/>
      <c r="O267" s="103"/>
      <c r="P267" s="102"/>
      <c r="Q267" s="106"/>
      <c r="R267" s="102"/>
      <c r="S267" s="106"/>
      <c r="T267" s="102"/>
      <c r="U267" s="106"/>
      <c r="V267" s="102"/>
      <c r="W267" s="106"/>
      <c r="X267" s="106"/>
      <c r="Y267" s="106"/>
      <c r="Z267" s="106"/>
      <c r="AA267" s="106"/>
      <c r="AB267" s="106"/>
      <c r="AC267" s="106"/>
      <c r="AD267" s="113">
        <f>F267+H267+J267+L267+N267+P267+R267+T267+V267+X267+Z267+AB267</f>
        <v>52</v>
      </c>
      <c r="AE267" s="107">
        <f>G267+I267+K267+M267+O267+Q267+S267+U267+W267+Y267+AA267+AC267</f>
        <v>40040</v>
      </c>
    </row>
    <row r="268" spans="1:31">
      <c r="A268" s="100">
        <v>309</v>
      </c>
      <c r="B268" s="108">
        <v>4971710565102</v>
      </c>
      <c r="C268" s="109" t="s">
        <v>512</v>
      </c>
      <c r="D268" s="120" t="s">
        <v>1131</v>
      </c>
      <c r="E268" s="101" t="s">
        <v>513</v>
      </c>
      <c r="F268" s="110"/>
      <c r="G268" s="111"/>
      <c r="H268" s="104"/>
      <c r="I268" s="105"/>
      <c r="J268" s="102"/>
      <c r="K268" s="103"/>
      <c r="L268" s="102">
        <v>52</v>
      </c>
      <c r="M268" s="103">
        <v>34320</v>
      </c>
      <c r="N268" s="102"/>
      <c r="O268" s="103"/>
      <c r="P268" s="102"/>
      <c r="Q268" s="106"/>
      <c r="R268" s="102"/>
      <c r="S268" s="106"/>
      <c r="T268" s="102"/>
      <c r="U268" s="106"/>
      <c r="V268" s="102"/>
      <c r="W268" s="106"/>
      <c r="X268" s="106"/>
      <c r="Y268" s="106"/>
      <c r="Z268" s="106"/>
      <c r="AA268" s="106"/>
      <c r="AB268" s="106"/>
      <c r="AC268" s="106"/>
      <c r="AD268" s="112">
        <f>F268+H268+J268+L268+N268+P268+R268+T268+V268+X268+Z268+AB268</f>
        <v>52</v>
      </c>
      <c r="AE268" s="107">
        <f>G268+I268+K268+M268+O268+Q268+S268+U268+W268+Y268+AA268+AC268</f>
        <v>34320</v>
      </c>
    </row>
    <row r="269" spans="1:31">
      <c r="A269" s="100">
        <v>145</v>
      </c>
      <c r="B269" s="108">
        <v>4971710615951</v>
      </c>
      <c r="C269" s="109" t="s">
        <v>1114</v>
      </c>
      <c r="D269" s="120" t="s">
        <v>1131</v>
      </c>
      <c r="E269" s="101" t="s">
        <v>1117</v>
      </c>
      <c r="F269" s="110">
        <v>20</v>
      </c>
      <c r="G269" s="111">
        <v>13200</v>
      </c>
      <c r="H269" s="104"/>
      <c r="I269" s="105"/>
      <c r="J269" s="102">
        <f>VLOOKUP(C269,[1]Sheet2!$A:$B,2,0 )</f>
        <v>30</v>
      </c>
      <c r="K269" s="103">
        <f>VLOOKUP(C269,[1]Sheet2!$A:$C,3,0)</f>
        <v>19800</v>
      </c>
      <c r="L269" s="102">
        <v>2</v>
      </c>
      <c r="M269" s="103">
        <v>1320</v>
      </c>
      <c r="N269" s="102"/>
      <c r="O269" s="103"/>
      <c r="P269" s="102"/>
      <c r="Q269" s="106"/>
      <c r="R269" s="102"/>
      <c r="S269" s="106"/>
      <c r="T269" s="102"/>
      <c r="U269" s="106"/>
      <c r="V269" s="102"/>
      <c r="W269" s="106"/>
      <c r="X269" s="106"/>
      <c r="Y269" s="106"/>
      <c r="Z269" s="106"/>
      <c r="AA269" s="106"/>
      <c r="AB269" s="106"/>
      <c r="AC269" s="106"/>
      <c r="AD269" s="113">
        <f>F269+H269+J269+L269+N269+P269+R269+T269+V269+X269+Z269+AB269</f>
        <v>52</v>
      </c>
      <c r="AE269" s="107">
        <f>G269+I269+K269+M269+O269+Q269+S269+U269+W269+Y269+AA269+AC269</f>
        <v>34320</v>
      </c>
    </row>
    <row r="270" spans="1:31">
      <c r="A270" s="100">
        <v>136</v>
      </c>
      <c r="B270" s="108">
        <v>4971710551761</v>
      </c>
      <c r="C270" s="109" t="s">
        <v>969</v>
      </c>
      <c r="D270" s="120" t="s">
        <v>1129</v>
      </c>
      <c r="E270" s="101" t="s">
        <v>985</v>
      </c>
      <c r="F270" s="110"/>
      <c r="G270" s="111"/>
      <c r="H270" s="104">
        <v>20</v>
      </c>
      <c r="I270" s="105">
        <v>30800</v>
      </c>
      <c r="J270" s="102">
        <f>VLOOKUP(C270,[1]Sheet2!$A:$B,2,0 )</f>
        <v>30</v>
      </c>
      <c r="K270" s="103">
        <f>VLOOKUP(C270,[1]Sheet2!$A:$C,3,0)</f>
        <v>46200</v>
      </c>
      <c r="L270" s="102"/>
      <c r="M270" s="103"/>
      <c r="N270" s="102"/>
      <c r="O270" s="103"/>
      <c r="P270" s="102"/>
      <c r="Q270" s="106"/>
      <c r="R270" s="102"/>
      <c r="S270" s="106"/>
      <c r="T270" s="102"/>
      <c r="U270" s="106"/>
      <c r="V270" s="102"/>
      <c r="W270" s="106"/>
      <c r="X270" s="106"/>
      <c r="Y270" s="106"/>
      <c r="Z270" s="106"/>
      <c r="AA270" s="106"/>
      <c r="AB270" s="106"/>
      <c r="AC270" s="106"/>
      <c r="AD270" s="113">
        <f>F270+H270+J270+L270+N270+P270+R270+T270+V270+X270+Z270+AB270</f>
        <v>50</v>
      </c>
      <c r="AE270" s="107">
        <f>G270+I270+K270+M270+O270+Q270+S270+U270+W270+Y270+AA270+AC270</f>
        <v>77000</v>
      </c>
    </row>
    <row r="271" spans="1:31">
      <c r="A271" s="100">
        <v>137</v>
      </c>
      <c r="B271" s="108">
        <v>4971710551754</v>
      </c>
      <c r="C271" s="109" t="s">
        <v>968</v>
      </c>
      <c r="D271" s="120" t="s">
        <v>1129</v>
      </c>
      <c r="E271" s="101" t="s">
        <v>985</v>
      </c>
      <c r="F271" s="110"/>
      <c r="G271" s="111"/>
      <c r="H271" s="104">
        <v>20</v>
      </c>
      <c r="I271" s="105">
        <v>33000</v>
      </c>
      <c r="J271" s="102">
        <f>VLOOKUP(C271,[1]Sheet2!$A:$B,2,0 )</f>
        <v>30</v>
      </c>
      <c r="K271" s="103">
        <f>VLOOKUP(C271,[1]Sheet2!$A:$C,3,0)</f>
        <v>49500</v>
      </c>
      <c r="L271" s="102"/>
      <c r="M271" s="103"/>
      <c r="N271" s="102"/>
      <c r="O271" s="103"/>
      <c r="P271" s="102"/>
      <c r="Q271" s="106"/>
      <c r="R271" s="102"/>
      <c r="S271" s="106"/>
      <c r="T271" s="102"/>
      <c r="U271" s="106"/>
      <c r="V271" s="102"/>
      <c r="W271" s="106"/>
      <c r="X271" s="106"/>
      <c r="Y271" s="106"/>
      <c r="Z271" s="106"/>
      <c r="AA271" s="106"/>
      <c r="AB271" s="106"/>
      <c r="AC271" s="106"/>
      <c r="AD271" s="113">
        <f>F271+H271+J271+L271+N271+P271+R271+T271+V271+X271+Z271+AB271</f>
        <v>50</v>
      </c>
      <c r="AE271" s="107">
        <f>G271+I271+K271+M271+O271+Q271+S271+U271+W271+Y271+AA271+AC271</f>
        <v>82500</v>
      </c>
    </row>
    <row r="272" spans="1:31">
      <c r="A272" s="100">
        <v>149</v>
      </c>
      <c r="B272" s="108">
        <v>4971710571820</v>
      </c>
      <c r="C272" s="109" t="s">
        <v>562</v>
      </c>
      <c r="D272" s="120" t="s">
        <v>924</v>
      </c>
      <c r="E272" s="101" t="s">
        <v>563</v>
      </c>
      <c r="F272" s="110"/>
      <c r="G272" s="111"/>
      <c r="H272" s="104"/>
      <c r="I272" s="105"/>
      <c r="J272" s="102">
        <f>VLOOKUP(C272,[1]Sheet2!$A:$B,2,0 )</f>
        <v>44</v>
      </c>
      <c r="K272" s="103">
        <f>VLOOKUP(C272,[1]Sheet2!$A:$C,3,0)</f>
        <v>29040</v>
      </c>
      <c r="L272" s="102"/>
      <c r="M272" s="103"/>
      <c r="N272" s="102"/>
      <c r="O272" s="103"/>
      <c r="P272" s="102"/>
      <c r="Q272" s="106"/>
      <c r="R272" s="102"/>
      <c r="S272" s="106"/>
      <c r="T272" s="102"/>
      <c r="U272" s="106"/>
      <c r="V272" s="102"/>
      <c r="W272" s="106"/>
      <c r="X272" s="106"/>
      <c r="Y272" s="106"/>
      <c r="Z272" s="106"/>
      <c r="AA272" s="106"/>
      <c r="AB272" s="106"/>
      <c r="AC272" s="106"/>
      <c r="AD272" s="112">
        <f>F272+H272+J272+L272+N272+P272+R272+T272+V272+X272+Z272+AB272</f>
        <v>44</v>
      </c>
      <c r="AE272" s="107">
        <f>G272+I272+K272+M272+O272+Q272+S272+U272+W272+Y272+AA272+AC272</f>
        <v>29040</v>
      </c>
    </row>
    <row r="273" spans="1:31">
      <c r="A273" s="100">
        <v>155</v>
      </c>
      <c r="B273" s="108">
        <v>4971710583991</v>
      </c>
      <c r="C273" s="109" t="s">
        <v>697</v>
      </c>
      <c r="D273" s="120" t="s">
        <v>924</v>
      </c>
      <c r="E273" s="101" t="s">
        <v>698</v>
      </c>
      <c r="F273" s="110"/>
      <c r="G273" s="111"/>
      <c r="H273" s="104"/>
      <c r="I273" s="105"/>
      <c r="J273" s="102">
        <f>VLOOKUP(C273,[1]Sheet2!$A:$B,2,0 )</f>
        <v>40</v>
      </c>
      <c r="K273" s="103">
        <f>VLOOKUP(C273,[1]Sheet2!$A:$C,3,0)</f>
        <v>28600</v>
      </c>
      <c r="L273" s="102"/>
      <c r="M273" s="103"/>
      <c r="N273" s="102"/>
      <c r="O273" s="103"/>
      <c r="P273" s="102"/>
      <c r="Q273" s="106"/>
      <c r="R273" s="102"/>
      <c r="S273" s="106"/>
      <c r="T273" s="102"/>
      <c r="U273" s="106"/>
      <c r="V273" s="102"/>
      <c r="W273" s="106"/>
      <c r="X273" s="106"/>
      <c r="Y273" s="106"/>
      <c r="Z273" s="106"/>
      <c r="AA273" s="106"/>
      <c r="AB273" s="106"/>
      <c r="AC273" s="106"/>
      <c r="AD273" s="112">
        <f>F273+H273+J273+L273+N273+P273+R273+T273+V273+X273+Z273+AB273</f>
        <v>40</v>
      </c>
      <c r="AE273" s="107">
        <f>G273+I273+K273+M273+O273+Q273+S273+U273+W273+Y273+AA273+AC273</f>
        <v>28600</v>
      </c>
    </row>
    <row r="274" spans="1:31">
      <c r="A274" s="100">
        <v>160</v>
      </c>
      <c r="B274" s="108">
        <v>4971710508918</v>
      </c>
      <c r="C274" s="109" t="s">
        <v>204</v>
      </c>
      <c r="D274" s="120" t="s">
        <v>924</v>
      </c>
      <c r="E274" s="101" t="s">
        <v>205</v>
      </c>
      <c r="F274" s="110"/>
      <c r="G274" s="111"/>
      <c r="H274" s="104">
        <v>13</v>
      </c>
      <c r="I274" s="105">
        <v>4290</v>
      </c>
      <c r="J274" s="102">
        <f>VLOOKUP(C274,[1]Sheet2!$A:$B,2,0 )</f>
        <v>20</v>
      </c>
      <c r="K274" s="103">
        <f>VLOOKUP(C274,[1]Sheet2!$A:$C,3,0)</f>
        <v>6600</v>
      </c>
      <c r="L274" s="102"/>
      <c r="M274" s="103"/>
      <c r="N274" s="102"/>
      <c r="O274" s="103"/>
      <c r="P274" s="102"/>
      <c r="Q274" s="106"/>
      <c r="R274" s="102"/>
      <c r="S274" s="106"/>
      <c r="T274" s="102"/>
      <c r="U274" s="106"/>
      <c r="V274" s="102"/>
      <c r="W274" s="106"/>
      <c r="X274" s="106"/>
      <c r="Y274" s="106"/>
      <c r="Z274" s="106"/>
      <c r="AA274" s="106"/>
      <c r="AB274" s="106"/>
      <c r="AC274" s="106"/>
      <c r="AD274" s="112">
        <f>F274+H274+J274+L274+N274+P274+R274+T274+V274+X274+Z274+AB274</f>
        <v>33</v>
      </c>
      <c r="AE274" s="107">
        <f>G274+I274+K274+M274+O274+Q274+S274+U274+W274+Y274+AA274+AC274</f>
        <v>10890</v>
      </c>
    </row>
    <row r="275" spans="1:31">
      <c r="A275" s="100">
        <v>322</v>
      </c>
      <c r="B275" s="108">
        <v>4971710599640</v>
      </c>
      <c r="C275" s="109" t="s">
        <v>1001</v>
      </c>
      <c r="D275" s="120" t="s">
        <v>924</v>
      </c>
      <c r="E275" s="101" t="s">
        <v>1002</v>
      </c>
      <c r="F275" s="110"/>
      <c r="G275" s="111"/>
      <c r="H275" s="104"/>
      <c r="I275" s="105"/>
      <c r="J275" s="102"/>
      <c r="K275" s="103"/>
      <c r="L275" s="102">
        <v>32</v>
      </c>
      <c r="M275" s="103">
        <v>26400</v>
      </c>
      <c r="N275" s="102"/>
      <c r="O275" s="103"/>
      <c r="P275" s="102"/>
      <c r="Q275" s="106"/>
      <c r="R275" s="102"/>
      <c r="S275" s="106"/>
      <c r="T275" s="102"/>
      <c r="U275" s="106"/>
      <c r="V275" s="102"/>
      <c r="W275" s="106"/>
      <c r="X275" s="106"/>
      <c r="Y275" s="106"/>
      <c r="Z275" s="106"/>
      <c r="AA275" s="106"/>
      <c r="AB275" s="106"/>
      <c r="AC275" s="106"/>
      <c r="AD275" s="113">
        <f>F275+H275+J275+L275+N275+P275+R275+T275+V275+X275+Z275+AB275</f>
        <v>32</v>
      </c>
      <c r="AE275" s="107">
        <f>G275+I275+K275+M275+O275+Q275+S275+U275+W275+Y275+AA275+AC275</f>
        <v>26400</v>
      </c>
    </row>
    <row r="276" spans="1:31">
      <c r="A276" s="100">
        <v>161</v>
      </c>
      <c r="B276" s="108">
        <v>4971710582857</v>
      </c>
      <c r="C276" s="109" t="s">
        <v>693</v>
      </c>
      <c r="D276" s="120" t="s">
        <v>924</v>
      </c>
      <c r="E276" s="101" t="s">
        <v>694</v>
      </c>
      <c r="F276" s="110"/>
      <c r="G276" s="111"/>
      <c r="H276" s="104">
        <v>10</v>
      </c>
      <c r="I276" s="105">
        <v>7150</v>
      </c>
      <c r="J276" s="102">
        <f>VLOOKUP(C276,[1]Sheet2!$A:$B,2,0 )</f>
        <v>22</v>
      </c>
      <c r="K276" s="103">
        <f>VLOOKUP(C276,[1]Sheet2!$A:$C,3,0)</f>
        <v>15730</v>
      </c>
      <c r="L276" s="102"/>
      <c r="M276" s="103"/>
      <c r="N276" s="102"/>
      <c r="O276" s="103"/>
      <c r="P276" s="102"/>
      <c r="Q276" s="106"/>
      <c r="R276" s="102"/>
      <c r="S276" s="106"/>
      <c r="T276" s="102"/>
      <c r="U276" s="106"/>
      <c r="V276" s="102"/>
      <c r="W276" s="106"/>
      <c r="X276" s="106"/>
      <c r="Y276" s="106"/>
      <c r="Z276" s="106"/>
      <c r="AA276" s="106"/>
      <c r="AB276" s="106"/>
      <c r="AC276" s="106"/>
      <c r="AD276" s="112">
        <f>F276+H276+J276+L276+N276+P276+R276+T276+V276+X276+Z276+AB276</f>
        <v>32</v>
      </c>
      <c r="AE276" s="107">
        <f>G276+I276+K276+M276+O276+Q276+S276+U276+W276+Y276+AA276+AC276</f>
        <v>22880</v>
      </c>
    </row>
    <row r="277" spans="1:31">
      <c r="A277" s="100">
        <v>327</v>
      </c>
      <c r="B277" s="108">
        <v>4971710580464</v>
      </c>
      <c r="C277" s="109" t="s">
        <v>681</v>
      </c>
      <c r="D277" s="120" t="s">
        <v>1131</v>
      </c>
      <c r="E277" s="101" t="s">
        <v>682</v>
      </c>
      <c r="F277" s="110"/>
      <c r="G277" s="111"/>
      <c r="H277" s="104"/>
      <c r="I277" s="105"/>
      <c r="J277" s="102"/>
      <c r="K277" s="103"/>
      <c r="L277" s="102">
        <v>32</v>
      </c>
      <c r="M277" s="103">
        <v>21120</v>
      </c>
      <c r="N277" s="102"/>
      <c r="O277" s="103"/>
      <c r="P277" s="102"/>
      <c r="Q277" s="106"/>
      <c r="R277" s="102"/>
      <c r="S277" s="106"/>
      <c r="T277" s="102"/>
      <c r="U277" s="106"/>
      <c r="V277" s="102"/>
      <c r="W277" s="106"/>
      <c r="X277" s="106"/>
      <c r="Y277" s="106"/>
      <c r="Z277" s="106"/>
      <c r="AA277" s="106"/>
      <c r="AB277" s="106"/>
      <c r="AC277" s="106"/>
      <c r="AD277" s="112">
        <f>F277+H277+J277+L277+N277+P277+R277+T277+V277+X277+Z277+AB277</f>
        <v>32</v>
      </c>
      <c r="AE277" s="107">
        <f>G277+I277+K277+M277+O277+Q277+S277+U277+W277+Y277+AA277+AC277</f>
        <v>21120</v>
      </c>
    </row>
    <row r="278" spans="1:31">
      <c r="A278" s="100">
        <v>337</v>
      </c>
      <c r="B278" s="108">
        <v>4971710584684</v>
      </c>
      <c r="C278" s="109" t="s">
        <v>795</v>
      </c>
      <c r="D278" s="120" t="s">
        <v>1131</v>
      </c>
      <c r="E278" s="101" t="s">
        <v>1051</v>
      </c>
      <c r="F278" s="110"/>
      <c r="G278" s="111"/>
      <c r="H278" s="104"/>
      <c r="I278" s="105"/>
      <c r="J278" s="102"/>
      <c r="K278" s="103"/>
      <c r="L278" s="102">
        <v>32</v>
      </c>
      <c r="M278" s="103">
        <v>17600</v>
      </c>
      <c r="N278" s="102"/>
      <c r="O278" s="103"/>
      <c r="P278" s="102"/>
      <c r="Q278" s="106"/>
      <c r="R278" s="102"/>
      <c r="S278" s="106"/>
      <c r="T278" s="102"/>
      <c r="U278" s="106"/>
      <c r="V278" s="102"/>
      <c r="W278" s="106"/>
      <c r="X278" s="106"/>
      <c r="Y278" s="106"/>
      <c r="Z278" s="106"/>
      <c r="AA278" s="106"/>
      <c r="AB278" s="106"/>
      <c r="AC278" s="106"/>
      <c r="AD278" s="112">
        <f>F278+H278+J278+L278+N278+P278+R278+T278+V278+X278+Z278+AB278</f>
        <v>32</v>
      </c>
      <c r="AE278" s="107">
        <f>G278+I278+K278+M278+O278+Q278+S278+U278+W278+Y278+AA278+AC278</f>
        <v>17600</v>
      </c>
    </row>
    <row r="279" spans="1:31">
      <c r="A279" s="100">
        <v>365</v>
      </c>
      <c r="B279" s="108">
        <v>4971710565089</v>
      </c>
      <c r="C279" s="109" t="s">
        <v>508</v>
      </c>
      <c r="D279" s="120" t="s">
        <v>1131</v>
      </c>
      <c r="E279" s="101" t="s">
        <v>509</v>
      </c>
      <c r="F279" s="110"/>
      <c r="G279" s="111"/>
      <c r="H279" s="104"/>
      <c r="I279" s="105"/>
      <c r="J279" s="102"/>
      <c r="K279" s="103"/>
      <c r="L279" s="102">
        <v>32</v>
      </c>
      <c r="M279" s="103">
        <v>21120</v>
      </c>
      <c r="N279" s="102"/>
      <c r="O279" s="103"/>
      <c r="P279" s="102"/>
      <c r="Q279" s="106"/>
      <c r="R279" s="102"/>
      <c r="S279" s="106"/>
      <c r="T279" s="102"/>
      <c r="U279" s="106"/>
      <c r="V279" s="102"/>
      <c r="W279" s="106"/>
      <c r="X279" s="106"/>
      <c r="Y279" s="106"/>
      <c r="Z279" s="106"/>
      <c r="AA279" s="106"/>
      <c r="AB279" s="106"/>
      <c r="AC279" s="106"/>
      <c r="AD279" s="112">
        <f>F279+H279+J279+L279+N279+P279+R279+T279+V279+X279+Z279+AB279</f>
        <v>32</v>
      </c>
      <c r="AE279" s="107">
        <f>G279+I279+K279+M279+O279+Q279+S279+U279+W279+Y279+AA279+AC279</f>
        <v>21120</v>
      </c>
    </row>
    <row r="280" spans="1:31">
      <c r="A280" s="100">
        <v>326</v>
      </c>
      <c r="B280" s="108">
        <v>4971710485745</v>
      </c>
      <c r="C280" s="109" t="s">
        <v>44</v>
      </c>
      <c r="D280" s="120" t="s">
        <v>924</v>
      </c>
      <c r="E280" s="101" t="s">
        <v>45</v>
      </c>
      <c r="F280" s="110"/>
      <c r="G280" s="111"/>
      <c r="H280" s="104"/>
      <c r="I280" s="105"/>
      <c r="J280" s="102"/>
      <c r="K280" s="103"/>
      <c r="L280" s="102">
        <v>30</v>
      </c>
      <c r="M280" s="103">
        <v>16500</v>
      </c>
      <c r="N280" s="102"/>
      <c r="O280" s="103"/>
      <c r="P280" s="102"/>
      <c r="Q280" s="106"/>
      <c r="R280" s="102"/>
      <c r="S280" s="106"/>
      <c r="T280" s="102"/>
      <c r="U280" s="106"/>
      <c r="V280" s="102"/>
      <c r="W280" s="106"/>
      <c r="X280" s="106"/>
      <c r="Y280" s="106"/>
      <c r="Z280" s="106"/>
      <c r="AA280" s="106"/>
      <c r="AB280" s="106"/>
      <c r="AC280" s="106"/>
      <c r="AD280" s="112">
        <f>F280+H280+J280+L280+N280+P280+R280+T280+V280+X280+Z280+AB280</f>
        <v>30</v>
      </c>
      <c r="AE280" s="107">
        <f>G280+I280+K280+M280+O280+Q280+S280+U280+W280+Y280+AA280+AC280</f>
        <v>16500</v>
      </c>
    </row>
    <row r="281" spans="1:31">
      <c r="A281" s="100">
        <v>178</v>
      </c>
      <c r="B281" s="108">
        <v>4971710541199</v>
      </c>
      <c r="C281" s="109" t="s">
        <v>430</v>
      </c>
      <c r="D281" s="120" t="s">
        <v>924</v>
      </c>
      <c r="E281" s="101" t="s">
        <v>431</v>
      </c>
      <c r="F281" s="110"/>
      <c r="G281" s="111"/>
      <c r="H281" s="104"/>
      <c r="I281" s="105"/>
      <c r="J281" s="102">
        <f>VLOOKUP(C281,[1]Sheet2!$A:$B,2,0 )</f>
        <v>30</v>
      </c>
      <c r="K281" s="103">
        <f>VLOOKUP(C281,[1]Sheet2!$A:$C,3,0)</f>
        <v>19800</v>
      </c>
      <c r="L281" s="102"/>
      <c r="M281" s="103"/>
      <c r="N281" s="102"/>
      <c r="O281" s="103"/>
      <c r="P281" s="102"/>
      <c r="Q281" s="106"/>
      <c r="R281" s="102"/>
      <c r="S281" s="106"/>
      <c r="T281" s="102"/>
      <c r="U281" s="106"/>
      <c r="V281" s="102"/>
      <c r="W281" s="106"/>
      <c r="X281" s="106"/>
      <c r="Y281" s="106"/>
      <c r="Z281" s="106"/>
      <c r="AA281" s="106"/>
      <c r="AB281" s="106"/>
      <c r="AC281" s="106"/>
      <c r="AD281" s="112">
        <f>F281+H281+J281+L281+N281+P281+R281+T281+V281+X281+Z281+AB281</f>
        <v>30</v>
      </c>
      <c r="AE281" s="107">
        <f>G281+I281+K281+M281+O281+Q281+S281+U281+W281+Y281+AA281+AC281</f>
        <v>19800</v>
      </c>
    </row>
    <row r="282" spans="1:31">
      <c r="A282" s="100">
        <v>162</v>
      </c>
      <c r="B282" s="108">
        <v>4971710515800</v>
      </c>
      <c r="C282" s="109" t="s">
        <v>314</v>
      </c>
      <c r="D282" s="120" t="s">
        <v>924</v>
      </c>
      <c r="E282" s="101" t="s">
        <v>315</v>
      </c>
      <c r="F282" s="110"/>
      <c r="G282" s="111"/>
      <c r="H282" s="104">
        <v>30</v>
      </c>
      <c r="I282" s="105">
        <v>15660</v>
      </c>
      <c r="J282" s="102"/>
      <c r="K282" s="103"/>
      <c r="L282" s="102"/>
      <c r="M282" s="103"/>
      <c r="N282" s="102"/>
      <c r="O282" s="103"/>
      <c r="P282" s="102"/>
      <c r="Q282" s="106"/>
      <c r="R282" s="102"/>
      <c r="S282" s="106"/>
      <c r="T282" s="102"/>
      <c r="U282" s="106"/>
      <c r="V282" s="102"/>
      <c r="W282" s="106"/>
      <c r="X282" s="106"/>
      <c r="Y282" s="106"/>
      <c r="Z282" s="106"/>
      <c r="AA282" s="106"/>
      <c r="AB282" s="106"/>
      <c r="AC282" s="106"/>
      <c r="AD282" s="112">
        <f>F282+H282+J282+L282+N282+P282+R282+T282+V282+X282+Z282+AB282</f>
        <v>30</v>
      </c>
      <c r="AE282" s="107">
        <f>G282+I282+K282+M282+O282+Q282+S282+U282+W282+Y282+AA282+AC282</f>
        <v>15660</v>
      </c>
    </row>
    <row r="283" spans="1:31">
      <c r="A283" s="100">
        <v>163</v>
      </c>
      <c r="B283" s="108">
        <v>4971710515787</v>
      </c>
      <c r="C283" s="109" t="s">
        <v>310</v>
      </c>
      <c r="D283" s="120" t="s">
        <v>924</v>
      </c>
      <c r="E283" s="101" t="s">
        <v>311</v>
      </c>
      <c r="F283" s="110"/>
      <c r="G283" s="111"/>
      <c r="H283" s="104">
        <v>30</v>
      </c>
      <c r="I283" s="105">
        <v>15660</v>
      </c>
      <c r="J283" s="102"/>
      <c r="K283" s="103"/>
      <c r="L283" s="102"/>
      <c r="M283" s="103"/>
      <c r="N283" s="102"/>
      <c r="O283" s="103"/>
      <c r="P283" s="102"/>
      <c r="Q283" s="106"/>
      <c r="R283" s="102"/>
      <c r="S283" s="106"/>
      <c r="T283" s="102"/>
      <c r="U283" s="106"/>
      <c r="V283" s="102"/>
      <c r="W283" s="106"/>
      <c r="X283" s="106"/>
      <c r="Y283" s="106"/>
      <c r="Z283" s="106"/>
      <c r="AA283" s="106"/>
      <c r="AB283" s="106"/>
      <c r="AC283" s="106"/>
      <c r="AD283" s="112">
        <f>F283+H283+J283+L283+N283+P283+R283+T283+V283+X283+Z283+AB283</f>
        <v>30</v>
      </c>
      <c r="AE283" s="107">
        <f>G283+I283+K283+M283+O283+Q283+S283+U283+W283+Y283+AA283+AC283</f>
        <v>15660</v>
      </c>
    </row>
    <row r="284" spans="1:31">
      <c r="A284" s="100">
        <v>164</v>
      </c>
      <c r="B284" s="108">
        <v>4971710579802</v>
      </c>
      <c r="C284" s="109" t="s">
        <v>657</v>
      </c>
      <c r="D284" s="120" t="s">
        <v>924</v>
      </c>
      <c r="E284" s="101" t="s">
        <v>658</v>
      </c>
      <c r="F284" s="110"/>
      <c r="G284" s="111"/>
      <c r="H284" s="104">
        <v>30</v>
      </c>
      <c r="I284" s="105">
        <v>19800</v>
      </c>
      <c r="J284" s="102"/>
      <c r="K284" s="103"/>
      <c r="L284" s="102"/>
      <c r="M284" s="103"/>
      <c r="N284" s="102"/>
      <c r="O284" s="103"/>
      <c r="P284" s="102"/>
      <c r="Q284" s="106"/>
      <c r="R284" s="102"/>
      <c r="S284" s="106"/>
      <c r="T284" s="102"/>
      <c r="U284" s="106"/>
      <c r="V284" s="102"/>
      <c r="W284" s="106"/>
      <c r="X284" s="106"/>
      <c r="Y284" s="106"/>
      <c r="Z284" s="106"/>
      <c r="AA284" s="106"/>
      <c r="AB284" s="106"/>
      <c r="AC284" s="106"/>
      <c r="AD284" s="112">
        <f>F284+H284+J284+L284+N284+P284+R284+T284+V284+X284+Z284+AB284</f>
        <v>30</v>
      </c>
      <c r="AE284" s="107">
        <f>G284+I284+K284+M284+O284+Q284+S284+U284+W284+Y284+AA284+AC284</f>
        <v>19800</v>
      </c>
    </row>
    <row r="285" spans="1:31">
      <c r="A285" s="100">
        <v>165</v>
      </c>
      <c r="B285" s="108">
        <v>4971710541151</v>
      </c>
      <c r="C285" s="109" t="s">
        <v>422</v>
      </c>
      <c r="D285" s="120" t="s">
        <v>924</v>
      </c>
      <c r="E285" s="101" t="s">
        <v>423</v>
      </c>
      <c r="F285" s="110"/>
      <c r="G285" s="111"/>
      <c r="H285" s="104">
        <v>30</v>
      </c>
      <c r="I285" s="105">
        <v>19800</v>
      </c>
      <c r="J285" s="102"/>
      <c r="K285" s="103"/>
      <c r="L285" s="102"/>
      <c r="M285" s="103"/>
      <c r="N285" s="102"/>
      <c r="O285" s="103"/>
      <c r="P285" s="102"/>
      <c r="Q285" s="106"/>
      <c r="R285" s="102"/>
      <c r="S285" s="106"/>
      <c r="T285" s="102"/>
      <c r="U285" s="106"/>
      <c r="V285" s="102"/>
      <c r="W285" s="106"/>
      <c r="X285" s="106"/>
      <c r="Y285" s="106"/>
      <c r="Z285" s="106"/>
      <c r="AA285" s="106"/>
      <c r="AB285" s="106"/>
      <c r="AC285" s="106"/>
      <c r="AD285" s="112">
        <f>F285+H285+J285+L285+N285+P285+R285+T285+V285+X285+Z285+AB285</f>
        <v>30</v>
      </c>
      <c r="AE285" s="107">
        <f>G285+I285+K285+M285+O285+Q285+S285+U285+W285+Y285+AA285+AC285</f>
        <v>19800</v>
      </c>
    </row>
    <row r="286" spans="1:31">
      <c r="A286" s="100">
        <v>362</v>
      </c>
      <c r="B286" s="108">
        <v>4971710519266</v>
      </c>
      <c r="C286" s="109" t="s">
        <v>348</v>
      </c>
      <c r="D286" s="120" t="s">
        <v>1131</v>
      </c>
      <c r="E286" s="101" t="s">
        <v>349</v>
      </c>
      <c r="F286" s="110"/>
      <c r="G286" s="111"/>
      <c r="H286" s="104"/>
      <c r="I286" s="105"/>
      <c r="J286" s="102"/>
      <c r="K286" s="103"/>
      <c r="L286" s="102">
        <v>30</v>
      </c>
      <c r="M286" s="103">
        <v>21450</v>
      </c>
      <c r="N286" s="102"/>
      <c r="O286" s="103"/>
      <c r="P286" s="102"/>
      <c r="Q286" s="106"/>
      <c r="R286" s="102"/>
      <c r="S286" s="106"/>
      <c r="T286" s="102"/>
      <c r="U286" s="106"/>
      <c r="V286" s="102"/>
      <c r="W286" s="106"/>
      <c r="X286" s="106"/>
      <c r="Y286" s="106"/>
      <c r="Z286" s="106"/>
      <c r="AA286" s="106"/>
      <c r="AB286" s="106"/>
      <c r="AC286" s="106"/>
      <c r="AD286" s="112">
        <f>F286+H286+J286+L286+N286+P286+R286+T286+V286+X286+Z286+AB286</f>
        <v>30</v>
      </c>
      <c r="AE286" s="107">
        <f>G286+I286+K286+M286+O286+Q286+S286+U286+W286+Y286+AA286+AC286</f>
        <v>21450</v>
      </c>
    </row>
    <row r="287" spans="1:31">
      <c r="A287" s="100">
        <v>180</v>
      </c>
      <c r="B287" s="108">
        <v>4971710591538</v>
      </c>
      <c r="C287" s="109" t="s">
        <v>817</v>
      </c>
      <c r="D287" s="120" t="s">
        <v>1131</v>
      </c>
      <c r="E287" s="101" t="s">
        <v>1052</v>
      </c>
      <c r="F287" s="110"/>
      <c r="G287" s="111"/>
      <c r="H287" s="104"/>
      <c r="I287" s="105"/>
      <c r="J287" s="102">
        <f>VLOOKUP(C287,[1]Sheet2!$A:$B,2,0 )</f>
        <v>30</v>
      </c>
      <c r="K287" s="103">
        <f>VLOOKUP(C287,[1]Sheet2!$A:$C,3,0)</f>
        <v>19800</v>
      </c>
      <c r="L287" s="102"/>
      <c r="M287" s="103"/>
      <c r="N287" s="102"/>
      <c r="O287" s="103"/>
      <c r="P287" s="102"/>
      <c r="Q287" s="106"/>
      <c r="R287" s="102"/>
      <c r="S287" s="106"/>
      <c r="T287" s="102"/>
      <c r="U287" s="106"/>
      <c r="V287" s="102"/>
      <c r="W287" s="106"/>
      <c r="X287" s="106"/>
      <c r="Y287" s="106"/>
      <c r="Z287" s="106"/>
      <c r="AA287" s="106"/>
      <c r="AB287" s="106"/>
      <c r="AC287" s="106"/>
      <c r="AD287" s="112">
        <f>F287+H287+J287+L287+N287+P287+R287+T287+V287+X287+Z287+AB287</f>
        <v>30</v>
      </c>
      <c r="AE287" s="107">
        <f>G287+I287+K287+M287+O287+Q287+S287+U287+W287+Y287+AA287+AC287</f>
        <v>19800</v>
      </c>
    </row>
    <row r="288" spans="1:31">
      <c r="A288" s="100">
        <v>166</v>
      </c>
      <c r="B288" s="108">
        <v>4971710513646</v>
      </c>
      <c r="C288" s="109" t="s">
        <v>264</v>
      </c>
      <c r="D288" s="120" t="s">
        <v>1131</v>
      </c>
      <c r="E288" s="101" t="s">
        <v>265</v>
      </c>
      <c r="F288" s="110"/>
      <c r="G288" s="111"/>
      <c r="H288" s="104">
        <v>30</v>
      </c>
      <c r="I288" s="105">
        <v>14010</v>
      </c>
      <c r="J288" s="102"/>
      <c r="K288" s="103"/>
      <c r="L288" s="102"/>
      <c r="M288" s="103"/>
      <c r="N288" s="102"/>
      <c r="O288" s="103"/>
      <c r="P288" s="102"/>
      <c r="Q288" s="106"/>
      <c r="R288" s="102"/>
      <c r="S288" s="106"/>
      <c r="T288" s="102"/>
      <c r="U288" s="106"/>
      <c r="V288" s="102"/>
      <c r="W288" s="106"/>
      <c r="X288" s="106"/>
      <c r="Y288" s="106"/>
      <c r="Z288" s="106"/>
      <c r="AA288" s="106"/>
      <c r="AB288" s="106"/>
      <c r="AC288" s="106"/>
      <c r="AD288" s="112">
        <f>F288+H288+J288+L288+N288+P288+R288+T288+V288+X288+Z288+AB288</f>
        <v>30</v>
      </c>
      <c r="AE288" s="107">
        <f>G288+I288+K288+M288+O288+Q288+S288+U288+W288+Y288+AA288+AC288</f>
        <v>14010</v>
      </c>
    </row>
    <row r="289" spans="1:31">
      <c r="A289" s="100">
        <v>183</v>
      </c>
      <c r="B289" s="108">
        <v>4971710515817</v>
      </c>
      <c r="C289" s="109" t="s">
        <v>316</v>
      </c>
      <c r="D289" s="120" t="s">
        <v>924</v>
      </c>
      <c r="E289" s="101" t="s">
        <v>317</v>
      </c>
      <c r="F289" s="110"/>
      <c r="G289" s="111"/>
      <c r="H289" s="104">
        <v>26</v>
      </c>
      <c r="I289" s="105">
        <v>13572</v>
      </c>
      <c r="J289" s="102"/>
      <c r="K289" s="103"/>
      <c r="L289" s="102"/>
      <c r="M289" s="103"/>
      <c r="N289" s="102"/>
      <c r="O289" s="103"/>
      <c r="P289" s="102"/>
      <c r="Q289" s="106"/>
      <c r="R289" s="102"/>
      <c r="S289" s="106"/>
      <c r="T289" s="102"/>
      <c r="U289" s="106"/>
      <c r="V289" s="102"/>
      <c r="W289" s="106"/>
      <c r="X289" s="106"/>
      <c r="Y289" s="106"/>
      <c r="Z289" s="106"/>
      <c r="AA289" s="106"/>
      <c r="AB289" s="106"/>
      <c r="AC289" s="106"/>
      <c r="AD289" s="112">
        <f>F289+H289+J289+L289+N289+P289+R289+T289+V289+X289+Z289+AB289</f>
        <v>26</v>
      </c>
      <c r="AE289" s="107">
        <f>G289+I289+K289+M289+O289+Q289+S289+U289+W289+Y289+AA289+AC289</f>
        <v>13572</v>
      </c>
    </row>
    <row r="290" spans="1:31">
      <c r="A290" s="100">
        <v>186</v>
      </c>
      <c r="B290" s="108">
        <v>4971710579871</v>
      </c>
      <c r="C290" s="109" t="s">
        <v>661</v>
      </c>
      <c r="D290" s="120" t="s">
        <v>924</v>
      </c>
      <c r="E290" s="101" t="s">
        <v>662</v>
      </c>
      <c r="F290" s="110"/>
      <c r="G290" s="111"/>
      <c r="H290" s="104">
        <v>23</v>
      </c>
      <c r="I290" s="105">
        <v>18975</v>
      </c>
      <c r="J290" s="102"/>
      <c r="K290" s="103"/>
      <c r="L290" s="102">
        <v>2</v>
      </c>
      <c r="M290" s="103">
        <v>1650</v>
      </c>
      <c r="N290" s="102"/>
      <c r="O290" s="103"/>
      <c r="P290" s="102"/>
      <c r="Q290" s="106"/>
      <c r="R290" s="102"/>
      <c r="S290" s="106"/>
      <c r="T290" s="102"/>
      <c r="U290" s="106"/>
      <c r="V290" s="102"/>
      <c r="W290" s="106"/>
      <c r="X290" s="106"/>
      <c r="Y290" s="106"/>
      <c r="Z290" s="106"/>
      <c r="AA290" s="106"/>
      <c r="AB290" s="106"/>
      <c r="AC290" s="106"/>
      <c r="AD290" s="112">
        <f>F290+H290+J290+L290+N290+P290+R290+T290+V290+X290+Z290+AB290</f>
        <v>25</v>
      </c>
      <c r="AE290" s="107">
        <f>G290+I290+K290+M290+O290+Q290+S290+U290+W290+Y290+AA290+AC290</f>
        <v>20625</v>
      </c>
    </row>
    <row r="291" spans="1:31">
      <c r="A291" s="100">
        <v>185</v>
      </c>
      <c r="B291" s="108">
        <v>4971710595475</v>
      </c>
      <c r="C291" s="109" t="s">
        <v>794</v>
      </c>
      <c r="D291" s="120" t="s">
        <v>924</v>
      </c>
      <c r="E291" s="101" t="s">
        <v>1049</v>
      </c>
      <c r="F291" s="110">
        <v>25</v>
      </c>
      <c r="G291" s="111">
        <v>20625</v>
      </c>
      <c r="H291" s="104"/>
      <c r="I291" s="105"/>
      <c r="J291" s="102"/>
      <c r="K291" s="103"/>
      <c r="L291" s="102"/>
      <c r="M291" s="103"/>
      <c r="N291" s="102"/>
      <c r="O291" s="103"/>
      <c r="P291" s="102"/>
      <c r="Q291" s="106"/>
      <c r="R291" s="102"/>
      <c r="S291" s="106"/>
      <c r="T291" s="102"/>
      <c r="U291" s="106"/>
      <c r="V291" s="102"/>
      <c r="W291" s="106"/>
      <c r="X291" s="106"/>
      <c r="Y291" s="106"/>
      <c r="Z291" s="106"/>
      <c r="AA291" s="106"/>
      <c r="AB291" s="106"/>
      <c r="AC291" s="106"/>
      <c r="AD291" s="112">
        <f>F291+H291+J291+L291+N291+P291+R291+T291+V291+X291+Z291+AB291</f>
        <v>25</v>
      </c>
      <c r="AE291" s="107">
        <f>G291+I291+K291+M291+O291+Q291+S291+U291+W291+Y291+AA291+AC291</f>
        <v>20625</v>
      </c>
    </row>
    <row r="292" spans="1:31">
      <c r="A292" s="100">
        <v>351</v>
      </c>
      <c r="B292" s="108">
        <v>4971710571783</v>
      </c>
      <c r="C292" s="109" t="s">
        <v>554</v>
      </c>
      <c r="D292" s="120" t="s">
        <v>924</v>
      </c>
      <c r="E292" s="101" t="s">
        <v>555</v>
      </c>
      <c r="F292" s="110"/>
      <c r="G292" s="111"/>
      <c r="H292" s="104"/>
      <c r="I292" s="105"/>
      <c r="J292" s="102"/>
      <c r="K292" s="103"/>
      <c r="L292" s="102">
        <v>24</v>
      </c>
      <c r="M292" s="103">
        <v>15840</v>
      </c>
      <c r="N292" s="102"/>
      <c r="O292" s="103"/>
      <c r="P292" s="102"/>
      <c r="Q292" s="106"/>
      <c r="R292" s="102"/>
      <c r="S292" s="106"/>
      <c r="T292" s="102"/>
      <c r="U292" s="106"/>
      <c r="V292" s="102"/>
      <c r="W292" s="106"/>
      <c r="X292" s="106"/>
      <c r="Y292" s="106"/>
      <c r="Z292" s="106"/>
      <c r="AA292" s="106"/>
      <c r="AB292" s="106"/>
      <c r="AC292" s="106"/>
      <c r="AD292" s="112">
        <f>F292+H292+J292+L292+N292+P292+R292+T292+V292+X292+Z292+AB292</f>
        <v>24</v>
      </c>
      <c r="AE292" s="107">
        <f>G292+I292+K292+M292+O292+Q292+S292+U292+W292+Y292+AA292+AC292</f>
        <v>15840</v>
      </c>
    </row>
    <row r="293" spans="1:31">
      <c r="A293" s="100">
        <v>321</v>
      </c>
      <c r="B293" s="108">
        <v>4971710571806</v>
      </c>
      <c r="C293" s="109" t="s">
        <v>558</v>
      </c>
      <c r="D293" s="120" t="s">
        <v>924</v>
      </c>
      <c r="E293" s="101" t="s">
        <v>559</v>
      </c>
      <c r="F293" s="110"/>
      <c r="G293" s="111"/>
      <c r="H293" s="104"/>
      <c r="I293" s="105"/>
      <c r="J293" s="102"/>
      <c r="K293" s="103"/>
      <c r="L293" s="102">
        <v>22</v>
      </c>
      <c r="M293" s="103">
        <v>14520</v>
      </c>
      <c r="N293" s="102"/>
      <c r="O293" s="103"/>
      <c r="P293" s="102"/>
      <c r="Q293" s="106"/>
      <c r="R293" s="102"/>
      <c r="S293" s="106"/>
      <c r="T293" s="102"/>
      <c r="U293" s="106"/>
      <c r="V293" s="102"/>
      <c r="W293" s="106"/>
      <c r="X293" s="106"/>
      <c r="Y293" s="106"/>
      <c r="Z293" s="106"/>
      <c r="AA293" s="106"/>
      <c r="AB293" s="106"/>
      <c r="AC293" s="106"/>
      <c r="AD293" s="112">
        <f>F293+H293+J293+L293+N293+P293+R293+T293+V293+X293+Z293+AB293</f>
        <v>22</v>
      </c>
      <c r="AE293" s="107">
        <f>G293+I293+K293+M293+O293+Q293+S293+U293+W293+Y293+AA293+AC293</f>
        <v>14520</v>
      </c>
    </row>
    <row r="294" spans="1:31">
      <c r="A294" s="100">
        <v>200</v>
      </c>
      <c r="B294" s="108">
        <v>4971710611823</v>
      </c>
      <c r="C294" s="109" t="s">
        <v>1013</v>
      </c>
      <c r="D294" s="120" t="s">
        <v>924</v>
      </c>
      <c r="E294" s="101" t="s">
        <v>1014</v>
      </c>
      <c r="F294" s="110"/>
      <c r="G294" s="111"/>
      <c r="H294" s="104"/>
      <c r="I294" s="105"/>
      <c r="J294" s="102">
        <f>VLOOKUP(C294,[1]Sheet2!$A:$B,2,0 )</f>
        <v>20</v>
      </c>
      <c r="K294" s="103">
        <f>VLOOKUP(C294,[1]Sheet2!$A:$C,3,0)</f>
        <v>15400</v>
      </c>
      <c r="L294" s="102">
        <v>2</v>
      </c>
      <c r="M294" s="103">
        <v>1540</v>
      </c>
      <c r="N294" s="102"/>
      <c r="O294" s="103"/>
      <c r="P294" s="102"/>
      <c r="Q294" s="106"/>
      <c r="R294" s="102"/>
      <c r="S294" s="106"/>
      <c r="T294" s="102"/>
      <c r="U294" s="106"/>
      <c r="V294" s="102"/>
      <c r="W294" s="106"/>
      <c r="X294" s="106"/>
      <c r="Y294" s="106"/>
      <c r="Z294" s="106"/>
      <c r="AA294" s="106"/>
      <c r="AB294" s="106"/>
      <c r="AC294" s="106"/>
      <c r="AD294" s="113">
        <f>F294+H294+J294+L294+N294+P294+R294+T294+V294+X294+Z294+AB294</f>
        <v>22</v>
      </c>
      <c r="AE294" s="107">
        <f>G294+I294+K294+M294+O294+Q294+S294+U294+W294+Y294+AA294+AC294</f>
        <v>16940</v>
      </c>
    </row>
    <row r="295" spans="1:31">
      <c r="A295" s="100">
        <v>199</v>
      </c>
      <c r="B295" s="108">
        <v>4971710571813</v>
      </c>
      <c r="C295" s="109" t="s">
        <v>560</v>
      </c>
      <c r="D295" s="120" t="s">
        <v>924</v>
      </c>
      <c r="E295" s="101" t="s">
        <v>561</v>
      </c>
      <c r="F295" s="110"/>
      <c r="G295" s="111"/>
      <c r="H295" s="104"/>
      <c r="I295" s="105"/>
      <c r="J295" s="102">
        <f>VLOOKUP(C295,[1]Sheet2!$A:$B,2,0 )</f>
        <v>20</v>
      </c>
      <c r="K295" s="103">
        <f>VLOOKUP(C295,[1]Sheet2!$A:$C,3,0)</f>
        <v>13200</v>
      </c>
      <c r="L295" s="102"/>
      <c r="M295" s="103"/>
      <c r="N295" s="102"/>
      <c r="O295" s="103"/>
      <c r="P295" s="102"/>
      <c r="Q295" s="106"/>
      <c r="R295" s="102"/>
      <c r="S295" s="106"/>
      <c r="T295" s="102"/>
      <c r="U295" s="106"/>
      <c r="V295" s="102"/>
      <c r="W295" s="106"/>
      <c r="X295" s="106"/>
      <c r="Y295" s="106"/>
      <c r="Z295" s="106"/>
      <c r="AA295" s="106"/>
      <c r="AB295" s="106"/>
      <c r="AC295" s="106"/>
      <c r="AD295" s="112">
        <f>F295+H295+J295+L295+N295+P295+R295+T295+V295+X295+Z295+AB295</f>
        <v>20</v>
      </c>
      <c r="AE295" s="107">
        <f>G295+I295+K295+M295+O295+Q295+S295+U295+W295+Y295+AA295+AC295</f>
        <v>13200</v>
      </c>
    </row>
    <row r="296" spans="1:31">
      <c r="A296" s="100">
        <v>187</v>
      </c>
      <c r="B296" s="108">
        <v>4971710579918</v>
      </c>
      <c r="C296" s="109" t="s">
        <v>669</v>
      </c>
      <c r="D296" s="120" t="s">
        <v>924</v>
      </c>
      <c r="E296" s="101" t="s">
        <v>670</v>
      </c>
      <c r="F296" s="110"/>
      <c r="G296" s="111"/>
      <c r="H296" s="104">
        <v>20</v>
      </c>
      <c r="I296" s="105">
        <v>16500</v>
      </c>
      <c r="J296" s="102"/>
      <c r="K296" s="103"/>
      <c r="L296" s="102"/>
      <c r="M296" s="103"/>
      <c r="N296" s="102"/>
      <c r="O296" s="103"/>
      <c r="P296" s="102"/>
      <c r="Q296" s="106"/>
      <c r="R296" s="102"/>
      <c r="S296" s="106"/>
      <c r="T296" s="102"/>
      <c r="U296" s="106"/>
      <c r="V296" s="102"/>
      <c r="W296" s="106"/>
      <c r="X296" s="106"/>
      <c r="Y296" s="106"/>
      <c r="Z296" s="106"/>
      <c r="AA296" s="106"/>
      <c r="AB296" s="106"/>
      <c r="AC296" s="106"/>
      <c r="AD296" s="112">
        <f>F296+H296+J296+L296+N296+P296+R296+T296+V296+X296+Z296+AB296</f>
        <v>20</v>
      </c>
      <c r="AE296" s="107">
        <f>G296+I296+K296+M296+O296+Q296+S296+U296+W296+Y296+AA296+AC296</f>
        <v>16500</v>
      </c>
    </row>
    <row r="297" spans="1:31">
      <c r="A297" s="100">
        <v>188</v>
      </c>
      <c r="B297" s="108">
        <v>4971710541168</v>
      </c>
      <c r="C297" s="109" t="s">
        <v>424</v>
      </c>
      <c r="D297" s="120" t="s">
        <v>924</v>
      </c>
      <c r="E297" s="101" t="s">
        <v>425</v>
      </c>
      <c r="F297" s="110"/>
      <c r="G297" s="111"/>
      <c r="H297" s="104">
        <v>20</v>
      </c>
      <c r="I297" s="105">
        <v>13200</v>
      </c>
      <c r="J297" s="102"/>
      <c r="K297" s="103"/>
      <c r="L297" s="102"/>
      <c r="M297" s="103"/>
      <c r="N297" s="102"/>
      <c r="O297" s="103"/>
      <c r="P297" s="102"/>
      <c r="Q297" s="106"/>
      <c r="R297" s="102"/>
      <c r="S297" s="106"/>
      <c r="T297" s="102"/>
      <c r="U297" s="106"/>
      <c r="V297" s="102"/>
      <c r="W297" s="106"/>
      <c r="X297" s="106"/>
      <c r="Y297" s="106"/>
      <c r="Z297" s="106"/>
      <c r="AA297" s="106"/>
      <c r="AB297" s="106"/>
      <c r="AC297" s="106"/>
      <c r="AD297" s="112">
        <f>F297+H297+J297+L297+N297+P297+R297+T297+V297+X297+Z297+AB297</f>
        <v>20</v>
      </c>
      <c r="AE297" s="107">
        <f>G297+I297+K297+M297+O297+Q297+S297+U297+W297+Y297+AA297+AC297</f>
        <v>13200</v>
      </c>
    </row>
    <row r="298" spans="1:31">
      <c r="A298" s="100">
        <v>189</v>
      </c>
      <c r="B298" s="108">
        <v>4971710579901</v>
      </c>
      <c r="C298" s="109" t="s">
        <v>667</v>
      </c>
      <c r="D298" s="120" t="s">
        <v>924</v>
      </c>
      <c r="E298" s="101" t="s">
        <v>668</v>
      </c>
      <c r="F298" s="110"/>
      <c r="G298" s="111"/>
      <c r="H298" s="104">
        <v>20</v>
      </c>
      <c r="I298" s="105">
        <v>16500</v>
      </c>
      <c r="J298" s="102"/>
      <c r="K298" s="103"/>
      <c r="L298" s="102"/>
      <c r="M298" s="103"/>
      <c r="N298" s="102"/>
      <c r="O298" s="103"/>
      <c r="P298" s="102"/>
      <c r="Q298" s="106"/>
      <c r="R298" s="102"/>
      <c r="S298" s="106"/>
      <c r="T298" s="102"/>
      <c r="U298" s="106"/>
      <c r="V298" s="102"/>
      <c r="W298" s="106"/>
      <c r="X298" s="106"/>
      <c r="Y298" s="106"/>
      <c r="Z298" s="106"/>
      <c r="AA298" s="106"/>
      <c r="AB298" s="106"/>
      <c r="AC298" s="106"/>
      <c r="AD298" s="112">
        <f>F298+H298+J298+L298+N298+P298+R298+T298+V298+X298+Z298+AB298</f>
        <v>20</v>
      </c>
      <c r="AE298" s="107">
        <f>G298+I298+K298+M298+O298+Q298+S298+U298+W298+Y298+AA298+AC298</f>
        <v>16500</v>
      </c>
    </row>
    <row r="299" spans="1:31">
      <c r="A299" s="100">
        <v>190</v>
      </c>
      <c r="B299" s="108">
        <v>4971710579895</v>
      </c>
      <c r="C299" s="109" t="s">
        <v>665</v>
      </c>
      <c r="D299" s="120" t="s">
        <v>924</v>
      </c>
      <c r="E299" s="101" t="s">
        <v>666</v>
      </c>
      <c r="F299" s="110"/>
      <c r="G299" s="111"/>
      <c r="H299" s="104">
        <v>20</v>
      </c>
      <c r="I299" s="105">
        <v>16500</v>
      </c>
      <c r="J299" s="102"/>
      <c r="K299" s="103"/>
      <c r="L299" s="102"/>
      <c r="M299" s="103"/>
      <c r="N299" s="102"/>
      <c r="O299" s="103"/>
      <c r="P299" s="102"/>
      <c r="Q299" s="106"/>
      <c r="R299" s="102"/>
      <c r="S299" s="106"/>
      <c r="T299" s="102"/>
      <c r="U299" s="106"/>
      <c r="V299" s="102"/>
      <c r="W299" s="106"/>
      <c r="X299" s="106"/>
      <c r="Y299" s="106"/>
      <c r="Z299" s="106"/>
      <c r="AA299" s="106"/>
      <c r="AB299" s="106"/>
      <c r="AC299" s="106"/>
      <c r="AD299" s="112">
        <f>F299+H299+J299+L299+N299+P299+R299+T299+V299+X299+Z299+AB299</f>
        <v>20</v>
      </c>
      <c r="AE299" s="107">
        <f>G299+I299+K299+M299+O299+Q299+S299+U299+W299+Y299+AA299+AC299</f>
        <v>16500</v>
      </c>
    </row>
    <row r="300" spans="1:31">
      <c r="A300" s="100">
        <v>191</v>
      </c>
      <c r="B300" s="108">
        <v>4971710541175</v>
      </c>
      <c r="C300" s="109" t="s">
        <v>426</v>
      </c>
      <c r="D300" s="120" t="s">
        <v>924</v>
      </c>
      <c r="E300" s="101" t="s">
        <v>427</v>
      </c>
      <c r="F300" s="110"/>
      <c r="G300" s="111"/>
      <c r="H300" s="104">
        <v>20</v>
      </c>
      <c r="I300" s="105">
        <v>13200</v>
      </c>
      <c r="J300" s="102"/>
      <c r="K300" s="103"/>
      <c r="L300" s="102"/>
      <c r="M300" s="103"/>
      <c r="N300" s="102"/>
      <c r="O300" s="103"/>
      <c r="P300" s="102"/>
      <c r="Q300" s="106"/>
      <c r="R300" s="102"/>
      <c r="S300" s="106"/>
      <c r="T300" s="102"/>
      <c r="U300" s="106"/>
      <c r="V300" s="102"/>
      <c r="W300" s="106"/>
      <c r="X300" s="106"/>
      <c r="Y300" s="106"/>
      <c r="Z300" s="106"/>
      <c r="AA300" s="106"/>
      <c r="AB300" s="106"/>
      <c r="AC300" s="106"/>
      <c r="AD300" s="112">
        <f>F300+H300+J300+L300+N300+P300+R300+T300+V300+X300+Z300+AB300</f>
        <v>20</v>
      </c>
      <c r="AE300" s="107">
        <f>G300+I300+K300+M300+O300+Q300+S300+U300+W300+Y300+AA300+AC300</f>
        <v>13200</v>
      </c>
    </row>
    <row r="301" spans="1:31">
      <c r="A301" s="100">
        <v>192</v>
      </c>
      <c r="B301" s="108">
        <v>4971710541182</v>
      </c>
      <c r="C301" s="109" t="s">
        <v>428</v>
      </c>
      <c r="D301" s="120" t="s">
        <v>924</v>
      </c>
      <c r="E301" s="101" t="s">
        <v>429</v>
      </c>
      <c r="F301" s="110"/>
      <c r="G301" s="111"/>
      <c r="H301" s="104">
        <v>20</v>
      </c>
      <c r="I301" s="105">
        <v>13200</v>
      </c>
      <c r="J301" s="102"/>
      <c r="K301" s="103"/>
      <c r="L301" s="102"/>
      <c r="M301" s="103"/>
      <c r="N301" s="102"/>
      <c r="O301" s="103"/>
      <c r="P301" s="102"/>
      <c r="Q301" s="106"/>
      <c r="R301" s="102"/>
      <c r="S301" s="106"/>
      <c r="T301" s="102"/>
      <c r="U301" s="106"/>
      <c r="V301" s="102"/>
      <c r="W301" s="106"/>
      <c r="X301" s="106"/>
      <c r="Y301" s="106"/>
      <c r="Z301" s="106"/>
      <c r="AA301" s="106"/>
      <c r="AB301" s="106"/>
      <c r="AC301" s="106"/>
      <c r="AD301" s="112">
        <f>F301+H301+J301+L301+N301+P301+R301+T301+V301+X301+Z301+AB301</f>
        <v>20</v>
      </c>
      <c r="AE301" s="107">
        <f>G301+I301+K301+M301+O301+Q301+S301+U301+W301+Y301+AA301+AC301</f>
        <v>13200</v>
      </c>
    </row>
    <row r="302" spans="1:31">
      <c r="A302" s="100">
        <v>372</v>
      </c>
      <c r="B302" s="108">
        <v>4971710516852</v>
      </c>
      <c r="C302" s="109" t="s">
        <v>330</v>
      </c>
      <c r="D302" s="120" t="s">
        <v>1131</v>
      </c>
      <c r="E302" s="101" t="s">
        <v>331</v>
      </c>
      <c r="F302" s="110"/>
      <c r="G302" s="111"/>
      <c r="H302" s="104"/>
      <c r="I302" s="105"/>
      <c r="J302" s="102"/>
      <c r="K302" s="103"/>
      <c r="L302" s="102">
        <v>20</v>
      </c>
      <c r="M302" s="103">
        <v>17600</v>
      </c>
      <c r="N302" s="102"/>
      <c r="O302" s="103"/>
      <c r="P302" s="102"/>
      <c r="Q302" s="106"/>
      <c r="R302" s="102"/>
      <c r="S302" s="106"/>
      <c r="T302" s="102"/>
      <c r="U302" s="106"/>
      <c r="V302" s="102"/>
      <c r="W302" s="106"/>
      <c r="X302" s="106"/>
      <c r="Y302" s="106"/>
      <c r="Z302" s="106"/>
      <c r="AA302" s="106"/>
      <c r="AB302" s="106"/>
      <c r="AC302" s="106"/>
      <c r="AD302" s="112">
        <f>F302+H302+J302+L302+N302+P302+R302+T302+V302+X302+Z302+AB302</f>
        <v>20</v>
      </c>
      <c r="AE302" s="107">
        <f>G302+I302+K302+M302+O302+Q302+S302+U302+W302+Y302+AA302+AC302</f>
        <v>17600</v>
      </c>
    </row>
    <row r="303" spans="1:31">
      <c r="A303" s="100">
        <v>202</v>
      </c>
      <c r="B303" s="108">
        <v>4971710591521</v>
      </c>
      <c r="C303" s="109" t="s">
        <v>816</v>
      </c>
      <c r="D303" s="120" t="s">
        <v>1131</v>
      </c>
      <c r="E303" s="101" t="s">
        <v>1052</v>
      </c>
      <c r="F303" s="110"/>
      <c r="G303" s="111"/>
      <c r="H303" s="104"/>
      <c r="I303" s="105"/>
      <c r="J303" s="102">
        <f>VLOOKUP(C303,[1]Sheet2!$A:$B,2,0 )</f>
        <v>20</v>
      </c>
      <c r="K303" s="103">
        <f>VLOOKUP(C303,[1]Sheet2!$A:$C,3,0)</f>
        <v>13200</v>
      </c>
      <c r="L303" s="102"/>
      <c r="M303" s="103"/>
      <c r="N303" s="102"/>
      <c r="O303" s="103"/>
      <c r="P303" s="102"/>
      <c r="Q303" s="106"/>
      <c r="R303" s="102"/>
      <c r="S303" s="106"/>
      <c r="T303" s="102"/>
      <c r="U303" s="106"/>
      <c r="V303" s="102"/>
      <c r="W303" s="106"/>
      <c r="X303" s="106"/>
      <c r="Y303" s="106"/>
      <c r="Z303" s="106"/>
      <c r="AA303" s="106"/>
      <c r="AB303" s="106"/>
      <c r="AC303" s="106"/>
      <c r="AD303" s="112">
        <f>F303+H303+J303+L303+N303+P303+R303+T303+V303+X303+Z303+AB303</f>
        <v>20</v>
      </c>
      <c r="AE303" s="107">
        <f>G303+I303+K303+M303+O303+Q303+S303+U303+W303+Y303+AA303+AC303</f>
        <v>13200</v>
      </c>
    </row>
    <row r="304" spans="1:31">
      <c r="A304" s="100">
        <v>195</v>
      </c>
      <c r="B304" s="108">
        <v>4971710514421</v>
      </c>
      <c r="C304" s="109" t="s">
        <v>1143</v>
      </c>
      <c r="D304" s="120" t="s">
        <v>920</v>
      </c>
      <c r="E304" s="101" t="s">
        <v>1148</v>
      </c>
      <c r="F304" s="110">
        <v>20</v>
      </c>
      <c r="G304" s="111">
        <v>9900</v>
      </c>
      <c r="H304" s="104"/>
      <c r="I304" s="105"/>
      <c r="J304" s="102"/>
      <c r="K304" s="103"/>
      <c r="L304" s="102"/>
      <c r="M304" s="103"/>
      <c r="N304" s="102"/>
      <c r="O304" s="103"/>
      <c r="P304" s="102"/>
      <c r="Q304" s="106"/>
      <c r="R304" s="102"/>
      <c r="S304" s="106"/>
      <c r="T304" s="102"/>
      <c r="U304" s="106"/>
      <c r="V304" s="102"/>
      <c r="W304" s="106"/>
      <c r="X304" s="106"/>
      <c r="Y304" s="106"/>
      <c r="Z304" s="106"/>
      <c r="AA304" s="106"/>
      <c r="AB304" s="106"/>
      <c r="AC304" s="106"/>
      <c r="AD304" s="113">
        <f>F304+H304+J304+L304+N304+P304+R304+T304+V304+X304+Z304+AB304</f>
        <v>20</v>
      </c>
      <c r="AE304" s="107">
        <f>G304+I304+K304+M304+O304+Q304+S304+U304+W304+Y304+AA304+AC304</f>
        <v>9900</v>
      </c>
    </row>
    <row r="305" spans="1:31">
      <c r="A305" s="100">
        <v>413</v>
      </c>
      <c r="B305" s="108">
        <v>4971710507560</v>
      </c>
      <c r="C305" s="109" t="s">
        <v>174</v>
      </c>
      <c r="D305" s="120" t="s">
        <v>924</v>
      </c>
      <c r="E305" s="101" t="s">
        <v>175</v>
      </c>
      <c r="F305" s="110"/>
      <c r="G305" s="111"/>
      <c r="H305" s="104"/>
      <c r="I305" s="105"/>
      <c r="J305" s="102"/>
      <c r="K305" s="103"/>
      <c r="L305" s="102">
        <v>16</v>
      </c>
      <c r="M305" s="103">
        <v>10560</v>
      </c>
      <c r="N305" s="102"/>
      <c r="O305" s="103"/>
      <c r="P305" s="102"/>
      <c r="Q305" s="106"/>
      <c r="R305" s="102"/>
      <c r="S305" s="106"/>
      <c r="T305" s="102"/>
      <c r="U305" s="106"/>
      <c r="V305" s="102"/>
      <c r="W305" s="106"/>
      <c r="X305" s="106"/>
      <c r="Y305" s="106"/>
      <c r="Z305" s="106"/>
      <c r="AA305" s="106"/>
      <c r="AB305" s="106"/>
      <c r="AC305" s="106"/>
      <c r="AD305" s="112">
        <f>F305+H305+J305+L305+N305+P305+R305+T305+V305+X305+Z305+AB305</f>
        <v>16</v>
      </c>
      <c r="AE305" s="107">
        <f>G305+I305+K305+M305+O305+Q305+S305+U305+W305+Y305+AA305+AC305</f>
        <v>10560</v>
      </c>
    </row>
    <row r="306" spans="1:31">
      <c r="A306" s="100">
        <v>208</v>
      </c>
      <c r="B306" s="108">
        <v>4971710578775</v>
      </c>
      <c r="C306" s="109" t="s">
        <v>641</v>
      </c>
      <c r="D306" s="120" t="s">
        <v>924</v>
      </c>
      <c r="E306" s="101" t="s">
        <v>642</v>
      </c>
      <c r="F306" s="110"/>
      <c r="G306" s="111"/>
      <c r="H306" s="104">
        <v>6</v>
      </c>
      <c r="I306" s="105">
        <v>2970</v>
      </c>
      <c r="J306" s="102">
        <f>VLOOKUP(C306,[1]Sheet2!$A:$B,2,0 )</f>
        <v>10</v>
      </c>
      <c r="K306" s="103">
        <f>VLOOKUP(C306,[1]Sheet2!$A:$C,3,0)</f>
        <v>4950</v>
      </c>
      <c r="L306" s="102"/>
      <c r="M306" s="103"/>
      <c r="N306" s="102"/>
      <c r="O306" s="103"/>
      <c r="P306" s="102"/>
      <c r="Q306" s="106"/>
      <c r="R306" s="102"/>
      <c r="S306" s="106"/>
      <c r="T306" s="102"/>
      <c r="U306" s="106"/>
      <c r="V306" s="102"/>
      <c r="W306" s="106"/>
      <c r="X306" s="106"/>
      <c r="Y306" s="106"/>
      <c r="Z306" s="106"/>
      <c r="AA306" s="106"/>
      <c r="AB306" s="106"/>
      <c r="AC306" s="106"/>
      <c r="AD306" s="112">
        <f>F306+H306+J306+L306+N306+P306+R306+T306+V306+X306+Z306+AB306</f>
        <v>16</v>
      </c>
      <c r="AE306" s="107">
        <f>G306+I306+K306+M306+O306+Q306+S306+U306+W306+Y306+AA306+AC306</f>
        <v>7920</v>
      </c>
    </row>
    <row r="307" spans="1:31">
      <c r="A307" s="100">
        <v>205</v>
      </c>
      <c r="B307" s="108">
        <v>4971710561234</v>
      </c>
      <c r="C307" s="109" t="s">
        <v>468</v>
      </c>
      <c r="D307" s="120" t="s">
        <v>924</v>
      </c>
      <c r="E307" s="101" t="s">
        <v>469</v>
      </c>
      <c r="F307" s="110">
        <v>16</v>
      </c>
      <c r="G307" s="111">
        <v>12320</v>
      </c>
      <c r="H307" s="104"/>
      <c r="I307" s="105"/>
      <c r="J307" s="102"/>
      <c r="K307" s="103"/>
      <c r="L307" s="102"/>
      <c r="M307" s="103"/>
      <c r="N307" s="102"/>
      <c r="O307" s="103"/>
      <c r="P307" s="102"/>
      <c r="Q307" s="106"/>
      <c r="R307" s="102"/>
      <c r="S307" s="106"/>
      <c r="T307" s="102"/>
      <c r="U307" s="106"/>
      <c r="V307" s="102"/>
      <c r="W307" s="106"/>
      <c r="X307" s="106"/>
      <c r="Y307" s="106"/>
      <c r="Z307" s="106"/>
      <c r="AA307" s="106"/>
      <c r="AB307" s="106"/>
      <c r="AC307" s="106"/>
      <c r="AD307" s="112">
        <f>F307+H307+J307+L307+N307+P307+R307+T307+V307+X307+Z307+AB307</f>
        <v>16</v>
      </c>
      <c r="AE307" s="107">
        <f>G307+I307+K307+M307+O307+Q307+S307+U307+W307+Y307+AA307+AC307</f>
        <v>12320</v>
      </c>
    </row>
    <row r="308" spans="1:31">
      <c r="A308" s="100">
        <v>207</v>
      </c>
      <c r="B308" s="108">
        <v>4971710285208</v>
      </c>
      <c r="C308" s="109" t="s">
        <v>966</v>
      </c>
      <c r="D308" s="120" t="s">
        <v>1129</v>
      </c>
      <c r="E308" s="101" t="s">
        <v>983</v>
      </c>
      <c r="F308" s="110"/>
      <c r="G308" s="111"/>
      <c r="H308" s="104">
        <v>6</v>
      </c>
      <c r="I308" s="105">
        <v>26400</v>
      </c>
      <c r="J308" s="102">
        <f>VLOOKUP(C308,[1]Sheet2!$A:$B,2,0 )</f>
        <v>10</v>
      </c>
      <c r="K308" s="103">
        <f>VLOOKUP(C308,[1]Sheet2!$A:$C,3,0)</f>
        <v>44000</v>
      </c>
      <c r="L308" s="102"/>
      <c r="M308" s="103"/>
      <c r="N308" s="102"/>
      <c r="O308" s="103"/>
      <c r="P308" s="102"/>
      <c r="Q308" s="106"/>
      <c r="R308" s="102"/>
      <c r="S308" s="106"/>
      <c r="T308" s="102"/>
      <c r="U308" s="106"/>
      <c r="V308" s="102"/>
      <c r="W308" s="106"/>
      <c r="X308" s="106"/>
      <c r="Y308" s="106"/>
      <c r="Z308" s="106"/>
      <c r="AA308" s="106"/>
      <c r="AB308" s="106"/>
      <c r="AC308" s="106"/>
      <c r="AD308" s="113">
        <f>F308+H308+J308+L308+N308+P308+R308+T308+V308+X308+Z308+AB308</f>
        <v>16</v>
      </c>
      <c r="AE308" s="107">
        <f>G308+I308+K308+M308+O308+Q308+S308+U308+W308+Y308+AA308+AC308</f>
        <v>70400</v>
      </c>
    </row>
    <row r="309" spans="1:31">
      <c r="A309" s="100">
        <v>214</v>
      </c>
      <c r="B309" s="108">
        <v>4971710593570</v>
      </c>
      <c r="C309" s="109" t="s">
        <v>981</v>
      </c>
      <c r="D309" s="120" t="s">
        <v>1129</v>
      </c>
      <c r="E309" s="101" t="s">
        <v>997</v>
      </c>
      <c r="F309" s="110"/>
      <c r="G309" s="111"/>
      <c r="H309" s="104">
        <v>10</v>
      </c>
      <c r="I309" s="105">
        <v>25850</v>
      </c>
      <c r="J309" s="102">
        <f>VLOOKUP(C309,[1]Sheet2!$A:$B,2,0 )</f>
        <v>5</v>
      </c>
      <c r="K309" s="103">
        <f>VLOOKUP(C309,[1]Sheet2!$A:$C,3,0)</f>
        <v>12925</v>
      </c>
      <c r="L309" s="102"/>
      <c r="M309" s="103"/>
      <c r="N309" s="102"/>
      <c r="O309" s="103"/>
      <c r="P309" s="102"/>
      <c r="Q309" s="106"/>
      <c r="R309" s="102"/>
      <c r="S309" s="106"/>
      <c r="T309" s="102"/>
      <c r="U309" s="106"/>
      <c r="V309" s="102"/>
      <c r="W309" s="106"/>
      <c r="X309" s="106"/>
      <c r="Y309" s="106"/>
      <c r="Z309" s="106"/>
      <c r="AA309" s="106"/>
      <c r="AB309" s="106"/>
      <c r="AC309" s="106"/>
      <c r="AD309" s="113">
        <f>F309+H309+J309+L309+N309+P309+R309+T309+V309+X309+Z309+AB309</f>
        <v>15</v>
      </c>
      <c r="AE309" s="107">
        <f>G309+I309+K309+M309+O309+Q309+S309+U309+W309+Y309+AA309+AC309</f>
        <v>38775</v>
      </c>
    </row>
    <row r="310" spans="1:31">
      <c r="A310" s="100">
        <v>210</v>
      </c>
      <c r="B310" s="108">
        <v>4971710294750</v>
      </c>
      <c r="C310" s="109" t="s">
        <v>1088</v>
      </c>
      <c r="D310" s="120" t="s">
        <v>1129</v>
      </c>
      <c r="E310" s="101" t="s">
        <v>1089</v>
      </c>
      <c r="F310" s="110"/>
      <c r="G310" s="111"/>
      <c r="H310" s="104">
        <v>15</v>
      </c>
      <c r="I310" s="105">
        <v>41250</v>
      </c>
      <c r="J310" s="102"/>
      <c r="K310" s="103"/>
      <c r="L310" s="102"/>
      <c r="M310" s="103"/>
      <c r="N310" s="102"/>
      <c r="O310" s="103"/>
      <c r="P310" s="102"/>
      <c r="Q310" s="106"/>
      <c r="R310" s="102"/>
      <c r="S310" s="106"/>
      <c r="T310" s="102"/>
      <c r="U310" s="106"/>
      <c r="V310" s="102"/>
      <c r="W310" s="106"/>
      <c r="X310" s="106"/>
      <c r="Y310" s="106"/>
      <c r="Z310" s="106"/>
      <c r="AA310" s="106"/>
      <c r="AB310" s="106"/>
      <c r="AC310" s="106"/>
      <c r="AD310" s="113">
        <f>F310+H310+J310+L310+N310+P310+R310+T310+V310+X310+Z310+AB310</f>
        <v>15</v>
      </c>
      <c r="AE310" s="107">
        <f>G310+I310+K310+M310+O310+Q310+S310+U310+W310+Y310+AA310+AC310</f>
        <v>41250</v>
      </c>
    </row>
    <row r="311" spans="1:31">
      <c r="A311" s="100">
        <v>242</v>
      </c>
      <c r="B311" s="108">
        <v>4971710590067</v>
      </c>
      <c r="C311" s="109" t="s">
        <v>733</v>
      </c>
      <c r="D311" s="120" t="s">
        <v>924</v>
      </c>
      <c r="E311" s="101" t="s">
        <v>734</v>
      </c>
      <c r="F311" s="110"/>
      <c r="G311" s="111"/>
      <c r="H311" s="104"/>
      <c r="I311" s="105"/>
      <c r="J311" s="102">
        <f>VLOOKUP(C311,[1]Sheet2!$A:$B,2,0 )</f>
        <v>8</v>
      </c>
      <c r="K311" s="103">
        <f>VLOOKUP(C311,[1]Sheet2!$A:$C,3,0)</f>
        <v>6160</v>
      </c>
      <c r="L311" s="102">
        <v>6</v>
      </c>
      <c r="M311" s="103">
        <v>4620</v>
      </c>
      <c r="N311" s="102"/>
      <c r="O311" s="103"/>
      <c r="P311" s="102"/>
      <c r="Q311" s="106"/>
      <c r="R311" s="102"/>
      <c r="S311" s="106"/>
      <c r="T311" s="102"/>
      <c r="U311" s="106"/>
      <c r="V311" s="102"/>
      <c r="W311" s="106"/>
      <c r="X311" s="106"/>
      <c r="Y311" s="106"/>
      <c r="Z311" s="106"/>
      <c r="AA311" s="106"/>
      <c r="AB311" s="106"/>
      <c r="AC311" s="106"/>
      <c r="AD311" s="112">
        <f>F311+H311+J311+L311+N311+P311+R311+T311+V311+X311+Z311+AB311</f>
        <v>14</v>
      </c>
      <c r="AE311" s="107">
        <f>G311+I311+K311+M311+O311+Q311+S311+U311+W311+Y311+AA311+AC311</f>
        <v>10780</v>
      </c>
    </row>
    <row r="312" spans="1:31">
      <c r="A312" s="100">
        <v>310</v>
      </c>
      <c r="B312" s="108">
        <v>4971710507607</v>
      </c>
      <c r="C312" s="109" t="s">
        <v>182</v>
      </c>
      <c r="D312" s="120" t="s">
        <v>924</v>
      </c>
      <c r="E312" s="101" t="s">
        <v>183</v>
      </c>
      <c r="F312" s="110"/>
      <c r="G312" s="111"/>
      <c r="H312" s="104"/>
      <c r="I312" s="105"/>
      <c r="J312" s="102"/>
      <c r="K312" s="103"/>
      <c r="L312" s="102">
        <v>12</v>
      </c>
      <c r="M312" s="103">
        <v>7920</v>
      </c>
      <c r="N312" s="102"/>
      <c r="O312" s="103"/>
      <c r="P312" s="102"/>
      <c r="Q312" s="106"/>
      <c r="R312" s="102"/>
      <c r="S312" s="106"/>
      <c r="T312" s="102"/>
      <c r="U312" s="106"/>
      <c r="V312" s="102"/>
      <c r="W312" s="106"/>
      <c r="X312" s="106"/>
      <c r="Y312" s="106"/>
      <c r="Z312" s="106"/>
      <c r="AA312" s="106"/>
      <c r="AB312" s="106"/>
      <c r="AC312" s="106"/>
      <c r="AD312" s="112">
        <f>F312+H312+J312+L312+N312+P312+R312+T312+V312+X312+Z312+AB312</f>
        <v>12</v>
      </c>
      <c r="AE312" s="107">
        <f>G312+I312+K312+M312+O312+Q312+S312+U312+W312+Y312+AA312+AC312</f>
        <v>7920</v>
      </c>
    </row>
    <row r="313" spans="1:31">
      <c r="A313" s="100">
        <v>417</v>
      </c>
      <c r="B313" s="108">
        <v>4971710507577</v>
      </c>
      <c r="C313" s="109" t="s">
        <v>176</v>
      </c>
      <c r="D313" s="120" t="s">
        <v>924</v>
      </c>
      <c r="E313" s="101" t="s">
        <v>177</v>
      </c>
      <c r="F313" s="110"/>
      <c r="G313" s="111"/>
      <c r="H313" s="104"/>
      <c r="I313" s="105"/>
      <c r="J313" s="102"/>
      <c r="K313" s="103"/>
      <c r="L313" s="102">
        <v>12</v>
      </c>
      <c r="M313" s="103">
        <v>7920</v>
      </c>
      <c r="N313" s="102"/>
      <c r="O313" s="103"/>
      <c r="P313" s="102"/>
      <c r="Q313" s="106"/>
      <c r="R313" s="102"/>
      <c r="S313" s="106"/>
      <c r="T313" s="102"/>
      <c r="U313" s="106"/>
      <c r="V313" s="102"/>
      <c r="W313" s="106"/>
      <c r="X313" s="106"/>
      <c r="Y313" s="106"/>
      <c r="Z313" s="106"/>
      <c r="AA313" s="106"/>
      <c r="AB313" s="106"/>
      <c r="AC313" s="106"/>
      <c r="AD313" s="112">
        <f>F313+H313+J313+L313+N313+P313+R313+T313+V313+X313+Z313+AB313</f>
        <v>12</v>
      </c>
      <c r="AE313" s="107">
        <f>G313+I313+K313+M313+O313+Q313+S313+U313+W313+Y313+AA313+AC313</f>
        <v>7920</v>
      </c>
    </row>
    <row r="314" spans="1:31">
      <c r="A314" s="100">
        <v>219</v>
      </c>
      <c r="B314" s="108">
        <v>4971710593549</v>
      </c>
      <c r="C314" s="109" t="s">
        <v>978</v>
      </c>
      <c r="D314" s="120" t="s">
        <v>1129</v>
      </c>
      <c r="E314" s="101" t="s">
        <v>994</v>
      </c>
      <c r="F314" s="110"/>
      <c r="G314" s="111"/>
      <c r="H314" s="104">
        <v>6</v>
      </c>
      <c r="I314" s="105">
        <v>15510</v>
      </c>
      <c r="J314" s="102">
        <f>VLOOKUP(C314,[1]Sheet2!$A:$B,2,0 )</f>
        <v>6</v>
      </c>
      <c r="K314" s="103">
        <f>VLOOKUP(C314,[1]Sheet2!$A:$C,3,0)</f>
        <v>15510</v>
      </c>
      <c r="L314" s="102"/>
      <c r="M314" s="103"/>
      <c r="N314" s="102"/>
      <c r="O314" s="103"/>
      <c r="P314" s="102"/>
      <c r="Q314" s="106"/>
      <c r="R314" s="102"/>
      <c r="S314" s="106"/>
      <c r="T314" s="102"/>
      <c r="U314" s="106"/>
      <c r="V314" s="102"/>
      <c r="W314" s="106"/>
      <c r="X314" s="106"/>
      <c r="Y314" s="106"/>
      <c r="Z314" s="106"/>
      <c r="AA314" s="106"/>
      <c r="AB314" s="106"/>
      <c r="AC314" s="106"/>
      <c r="AD314" s="113">
        <f>F314+H314+J314+L314+N314+P314+R314+T314+V314+X314+Z314+AB314</f>
        <v>12</v>
      </c>
      <c r="AE314" s="107">
        <f>G314+I314+K314+M314+O314+Q314+S314+U314+W314+Y314+AA314+AC314</f>
        <v>31020</v>
      </c>
    </row>
    <row r="315" spans="1:31">
      <c r="A315" s="100">
        <v>240</v>
      </c>
      <c r="B315" s="108">
        <v>4971710610741</v>
      </c>
      <c r="C315" s="109" t="s">
        <v>950</v>
      </c>
      <c r="D315" s="120" t="s">
        <v>1131</v>
      </c>
      <c r="E315" s="101" t="s">
        <v>959</v>
      </c>
      <c r="F315" s="110"/>
      <c r="G315" s="111"/>
      <c r="H315" s="104"/>
      <c r="I315" s="105"/>
      <c r="J315" s="102">
        <f>VLOOKUP(C315,[1]Sheet2!$A:$B,2,0 )</f>
        <v>10</v>
      </c>
      <c r="K315" s="103">
        <f>VLOOKUP(C315,[1]Sheet2!$A:$C,3,0)</f>
        <v>7150</v>
      </c>
      <c r="L315" s="102">
        <v>2</v>
      </c>
      <c r="M315" s="103">
        <v>1430</v>
      </c>
      <c r="N315" s="102"/>
      <c r="O315" s="103"/>
      <c r="P315" s="102"/>
      <c r="Q315" s="106"/>
      <c r="R315" s="102"/>
      <c r="S315" s="106"/>
      <c r="T315" s="102"/>
      <c r="U315" s="106"/>
      <c r="V315" s="102"/>
      <c r="W315" s="106"/>
      <c r="X315" s="106"/>
      <c r="Y315" s="106"/>
      <c r="Z315" s="106"/>
      <c r="AA315" s="106"/>
      <c r="AB315" s="106"/>
      <c r="AC315" s="106"/>
      <c r="AD315" s="113">
        <f>F315+H315+J315+L315+N315+P315+R315+T315+V315+X315+Z315+AB315</f>
        <v>12</v>
      </c>
      <c r="AE315" s="107">
        <f>G315+I315+K315+M315+O315+Q315+S315+U315+W315+Y315+AA315+AC315</f>
        <v>8580</v>
      </c>
    </row>
    <row r="316" spans="1:31">
      <c r="A316" s="100">
        <v>241</v>
      </c>
      <c r="B316" s="108">
        <v>4971710610758</v>
      </c>
      <c r="C316" s="109" t="s">
        <v>951</v>
      </c>
      <c r="D316" s="120" t="s">
        <v>1131</v>
      </c>
      <c r="E316" s="101" t="s">
        <v>960</v>
      </c>
      <c r="F316" s="110"/>
      <c r="G316" s="111"/>
      <c r="H316" s="104"/>
      <c r="I316" s="105"/>
      <c r="J316" s="102">
        <f>VLOOKUP(C316,[1]Sheet2!$A:$B,2,0 )</f>
        <v>10</v>
      </c>
      <c r="K316" s="103">
        <f>VLOOKUP(C316,[1]Sheet2!$A:$C,3,0)</f>
        <v>7150</v>
      </c>
      <c r="L316" s="102">
        <v>2</v>
      </c>
      <c r="M316" s="103">
        <v>1430</v>
      </c>
      <c r="N316" s="102"/>
      <c r="O316" s="103"/>
      <c r="P316" s="102"/>
      <c r="Q316" s="106"/>
      <c r="R316" s="102"/>
      <c r="S316" s="106"/>
      <c r="T316" s="102"/>
      <c r="U316" s="106"/>
      <c r="V316" s="102"/>
      <c r="W316" s="106"/>
      <c r="X316" s="106"/>
      <c r="Y316" s="106"/>
      <c r="Z316" s="106"/>
      <c r="AA316" s="106"/>
      <c r="AB316" s="106"/>
      <c r="AC316" s="106"/>
      <c r="AD316" s="113">
        <f>F316+H316+J316+L316+N316+P316+R316+T316+V316+X316+Z316+AB316</f>
        <v>12</v>
      </c>
      <c r="AE316" s="107">
        <f>G316+I316+K316+M316+O316+Q316+S316+U316+W316+Y316+AA316+AC316</f>
        <v>8580</v>
      </c>
    </row>
    <row r="317" spans="1:31">
      <c r="A317" s="100">
        <v>394</v>
      </c>
      <c r="B317" s="108">
        <v>4971710487701</v>
      </c>
      <c r="C317" s="109" t="s">
        <v>54</v>
      </c>
      <c r="D317" s="120" t="s">
        <v>924</v>
      </c>
      <c r="E317" s="101" t="s">
        <v>55</v>
      </c>
      <c r="F317" s="110"/>
      <c r="G317" s="111"/>
      <c r="H317" s="104"/>
      <c r="I317" s="105"/>
      <c r="J317" s="102"/>
      <c r="K317" s="103"/>
      <c r="L317" s="102">
        <v>10</v>
      </c>
      <c r="M317" s="103">
        <v>8800</v>
      </c>
      <c r="N317" s="102"/>
      <c r="O317" s="103"/>
      <c r="P317" s="102"/>
      <c r="Q317" s="106"/>
      <c r="R317" s="102"/>
      <c r="S317" s="106"/>
      <c r="T317" s="102"/>
      <c r="U317" s="106"/>
      <c r="V317" s="102"/>
      <c r="W317" s="106"/>
      <c r="X317" s="106"/>
      <c r="Y317" s="106"/>
      <c r="Z317" s="106"/>
      <c r="AA317" s="106"/>
      <c r="AB317" s="106"/>
      <c r="AC317" s="106"/>
      <c r="AD317" s="112">
        <f>F317+H317+J317+L317+N317+P317+R317+T317+V317+X317+Z317+AB317</f>
        <v>10</v>
      </c>
      <c r="AE317" s="107">
        <f>G317+I317+K317+M317+O317+Q317+S317+U317+W317+Y317+AA317+AC317</f>
        <v>8800</v>
      </c>
    </row>
    <row r="318" spans="1:31">
      <c r="A318" s="100">
        <v>424</v>
      </c>
      <c r="B318" s="108">
        <v>4971710568707</v>
      </c>
      <c r="C318" s="109" t="s">
        <v>536</v>
      </c>
      <c r="D318" s="120" t="s">
        <v>924</v>
      </c>
      <c r="E318" s="101" t="s">
        <v>537</v>
      </c>
      <c r="F318" s="110"/>
      <c r="G318" s="111"/>
      <c r="H318" s="104"/>
      <c r="I318" s="105"/>
      <c r="J318" s="102"/>
      <c r="K318" s="103"/>
      <c r="L318" s="102">
        <v>10</v>
      </c>
      <c r="M318" s="103">
        <v>8250</v>
      </c>
      <c r="N318" s="102"/>
      <c r="O318" s="103"/>
      <c r="P318" s="102"/>
      <c r="Q318" s="106"/>
      <c r="R318" s="102"/>
      <c r="S318" s="106"/>
      <c r="T318" s="102"/>
      <c r="U318" s="106"/>
      <c r="V318" s="102"/>
      <c r="W318" s="106"/>
      <c r="X318" s="106"/>
      <c r="Y318" s="106"/>
      <c r="Z318" s="106"/>
      <c r="AA318" s="106"/>
      <c r="AB318" s="106"/>
      <c r="AC318" s="106"/>
      <c r="AD318" s="112">
        <f>F318+H318+J318+L318+N318+P318+R318+T318+V318+X318+Z318+AB318</f>
        <v>10</v>
      </c>
      <c r="AE318" s="107">
        <f>G318+I318+K318+M318+O318+Q318+S318+U318+W318+Y318+AA318+AC318</f>
        <v>8250</v>
      </c>
    </row>
    <row r="319" spans="1:31">
      <c r="A319" s="100">
        <v>230</v>
      </c>
      <c r="B319" s="108">
        <v>4971710549812</v>
      </c>
      <c r="C319" s="109" t="s">
        <v>437</v>
      </c>
      <c r="D319" s="120" t="s">
        <v>924</v>
      </c>
      <c r="E319" s="101" t="s">
        <v>435</v>
      </c>
      <c r="F319" s="110"/>
      <c r="G319" s="111"/>
      <c r="H319" s="104"/>
      <c r="I319" s="105"/>
      <c r="J319" s="102">
        <f>VLOOKUP(C319,[1]Sheet2!$A:$B,2,0 )</f>
        <v>10</v>
      </c>
      <c r="K319" s="103">
        <f>VLOOKUP(C319,[1]Sheet2!$A:$C,3,0)</f>
        <v>37950</v>
      </c>
      <c r="L319" s="102"/>
      <c r="M319" s="103"/>
      <c r="N319" s="102"/>
      <c r="O319" s="103"/>
      <c r="P319" s="102"/>
      <c r="Q319" s="106"/>
      <c r="R319" s="102"/>
      <c r="S319" s="106"/>
      <c r="T319" s="102"/>
      <c r="U319" s="106"/>
      <c r="V319" s="102"/>
      <c r="W319" s="106"/>
      <c r="X319" s="106"/>
      <c r="Y319" s="106"/>
      <c r="Z319" s="106"/>
      <c r="AA319" s="106"/>
      <c r="AB319" s="106"/>
      <c r="AC319" s="106"/>
      <c r="AD319" s="112">
        <f>F319+H319+J319+L319+N319+P319+R319+T319+V319+X319+Z319+AB319</f>
        <v>10</v>
      </c>
      <c r="AE319" s="107">
        <f>G319+I319+K319+M319+O319+Q319+S319+U319+W319+Y319+AA319+AC319</f>
        <v>37950</v>
      </c>
    </row>
    <row r="320" spans="1:31">
      <c r="A320" s="100">
        <v>233</v>
      </c>
      <c r="B320" s="108">
        <v>4971710584059</v>
      </c>
      <c r="C320" s="109" t="s">
        <v>701</v>
      </c>
      <c r="D320" s="120" t="s">
        <v>924</v>
      </c>
      <c r="E320" s="101" t="s">
        <v>702</v>
      </c>
      <c r="F320" s="110"/>
      <c r="G320" s="111"/>
      <c r="H320" s="104"/>
      <c r="I320" s="105"/>
      <c r="J320" s="102">
        <f>VLOOKUP(C320,[1]Sheet2!$A:$B,2,0 )</f>
        <v>10</v>
      </c>
      <c r="K320" s="103">
        <f>VLOOKUP(C320,[1]Sheet2!$A:$C,3,0)</f>
        <v>7150</v>
      </c>
      <c r="L320" s="102"/>
      <c r="M320" s="103"/>
      <c r="N320" s="102"/>
      <c r="O320" s="103"/>
      <c r="P320" s="102"/>
      <c r="Q320" s="106"/>
      <c r="R320" s="102"/>
      <c r="S320" s="106"/>
      <c r="T320" s="102"/>
      <c r="U320" s="106"/>
      <c r="V320" s="102"/>
      <c r="W320" s="106"/>
      <c r="X320" s="106"/>
      <c r="Y320" s="106"/>
      <c r="Z320" s="106"/>
      <c r="AA320" s="106"/>
      <c r="AB320" s="106"/>
      <c r="AC320" s="106"/>
      <c r="AD320" s="112">
        <f>F320+H320+J320+L320+N320+P320+R320+T320+V320+X320+Z320+AB320</f>
        <v>10</v>
      </c>
      <c r="AE320" s="107">
        <f>G320+I320+K320+M320+O320+Q320+S320+U320+W320+Y320+AA320+AC320</f>
        <v>7150</v>
      </c>
    </row>
    <row r="321" spans="1:31">
      <c r="A321" s="100">
        <v>235</v>
      </c>
      <c r="B321" s="108">
        <v>4971710584042</v>
      </c>
      <c r="C321" s="109" t="s">
        <v>699</v>
      </c>
      <c r="D321" s="120" t="s">
        <v>924</v>
      </c>
      <c r="E321" s="101" t="s">
        <v>700</v>
      </c>
      <c r="F321" s="110"/>
      <c r="G321" s="111"/>
      <c r="H321" s="104"/>
      <c r="I321" s="105"/>
      <c r="J321" s="102">
        <f>VLOOKUP(C321,[1]Sheet2!$A:$B,2,0 )</f>
        <v>10</v>
      </c>
      <c r="K321" s="103">
        <f>VLOOKUP(C321,[1]Sheet2!$A:$C,3,0)</f>
        <v>7150</v>
      </c>
      <c r="L321" s="102"/>
      <c r="M321" s="103"/>
      <c r="N321" s="102"/>
      <c r="O321" s="103"/>
      <c r="P321" s="102"/>
      <c r="Q321" s="106"/>
      <c r="R321" s="102"/>
      <c r="S321" s="106"/>
      <c r="T321" s="102"/>
      <c r="U321" s="106"/>
      <c r="V321" s="102"/>
      <c r="W321" s="106"/>
      <c r="X321" s="106"/>
      <c r="Y321" s="106"/>
      <c r="Z321" s="106"/>
      <c r="AA321" s="106"/>
      <c r="AB321" s="106"/>
      <c r="AC321" s="106"/>
      <c r="AD321" s="112">
        <f>F321+H321+J321+L321+N321+P321+R321+T321+V321+X321+Z321+AB321</f>
        <v>10</v>
      </c>
      <c r="AE321" s="107">
        <f>G321+I321+K321+M321+O321+Q321+S321+U321+W321+Y321+AA321+AC321</f>
        <v>7150</v>
      </c>
    </row>
    <row r="322" spans="1:31">
      <c r="A322" s="100">
        <v>236</v>
      </c>
      <c r="B322" s="108">
        <v>4971710584066</v>
      </c>
      <c r="C322" s="109" t="s">
        <v>703</v>
      </c>
      <c r="D322" s="120" t="s">
        <v>924</v>
      </c>
      <c r="E322" s="101" t="s">
        <v>704</v>
      </c>
      <c r="F322" s="110"/>
      <c r="G322" s="111"/>
      <c r="H322" s="104"/>
      <c r="I322" s="105"/>
      <c r="J322" s="102">
        <f>VLOOKUP(C322,[1]Sheet2!$A:$B,2,0 )</f>
        <v>10</v>
      </c>
      <c r="K322" s="103">
        <f>VLOOKUP(C322,[1]Sheet2!$A:$C,3,0)</f>
        <v>7150</v>
      </c>
      <c r="L322" s="102"/>
      <c r="M322" s="103"/>
      <c r="N322" s="102"/>
      <c r="O322" s="103"/>
      <c r="P322" s="102"/>
      <c r="Q322" s="106"/>
      <c r="R322" s="102"/>
      <c r="S322" s="106"/>
      <c r="T322" s="102"/>
      <c r="U322" s="106"/>
      <c r="V322" s="102"/>
      <c r="W322" s="106"/>
      <c r="X322" s="106"/>
      <c r="Y322" s="106"/>
      <c r="Z322" s="106"/>
      <c r="AA322" s="106"/>
      <c r="AB322" s="106"/>
      <c r="AC322" s="106"/>
      <c r="AD322" s="112">
        <f>F322+H322+J322+L322+N322+P322+R322+T322+V322+X322+Z322+AB322</f>
        <v>10</v>
      </c>
      <c r="AE322" s="107">
        <f>G322+I322+K322+M322+O322+Q322+S322+U322+W322+Y322+AA322+AC322</f>
        <v>7150</v>
      </c>
    </row>
    <row r="323" spans="1:31">
      <c r="A323" s="100">
        <v>237</v>
      </c>
      <c r="B323" s="108">
        <v>4971710463712</v>
      </c>
      <c r="C323" s="109" t="s">
        <v>835</v>
      </c>
      <c r="D323" s="120" t="s">
        <v>924</v>
      </c>
      <c r="E323" s="101" t="s">
        <v>1073</v>
      </c>
      <c r="F323" s="110"/>
      <c r="G323" s="111"/>
      <c r="H323" s="104"/>
      <c r="I323" s="105"/>
      <c r="J323" s="102">
        <f>VLOOKUP(C323,[1]Sheet2!$A:$B,2,0 )</f>
        <v>10</v>
      </c>
      <c r="K323" s="103">
        <f>VLOOKUP(C323,[1]Sheet2!$A:$C,3,0)</f>
        <v>4400</v>
      </c>
      <c r="L323" s="102"/>
      <c r="M323" s="103"/>
      <c r="N323" s="102"/>
      <c r="O323" s="103"/>
      <c r="P323" s="102"/>
      <c r="Q323" s="106"/>
      <c r="R323" s="102"/>
      <c r="S323" s="106"/>
      <c r="T323" s="102"/>
      <c r="U323" s="106"/>
      <c r="V323" s="102"/>
      <c r="W323" s="106"/>
      <c r="X323" s="106"/>
      <c r="Y323" s="106"/>
      <c r="Z323" s="106"/>
      <c r="AA323" s="106"/>
      <c r="AB323" s="106"/>
      <c r="AC323" s="106"/>
      <c r="AD323" s="113">
        <f>F323+H323+J323+L323+N323+P323+R323+T323+V323+X323+Z323+AB323</f>
        <v>10</v>
      </c>
      <c r="AE323" s="107">
        <f>G323+I323+K323+M323+O323+Q323+S323+U323+W323+Y323+AA323+AC323</f>
        <v>4400</v>
      </c>
    </row>
    <row r="324" spans="1:31">
      <c r="A324" s="100">
        <v>238</v>
      </c>
      <c r="B324" s="108">
        <v>4971710491852</v>
      </c>
      <c r="C324" s="109" t="s">
        <v>830</v>
      </c>
      <c r="D324" s="120" t="s">
        <v>924</v>
      </c>
      <c r="E324" s="101" t="s">
        <v>1071</v>
      </c>
      <c r="F324" s="110"/>
      <c r="G324" s="111"/>
      <c r="H324" s="104"/>
      <c r="I324" s="105"/>
      <c r="J324" s="102">
        <f>VLOOKUP(C324,[1]Sheet2!$A:$B,2,0 )</f>
        <v>10</v>
      </c>
      <c r="K324" s="103">
        <f>VLOOKUP(C324,[1]Sheet2!$A:$C,3,0)</f>
        <v>4400</v>
      </c>
      <c r="L324" s="102"/>
      <c r="M324" s="103"/>
      <c r="N324" s="102"/>
      <c r="O324" s="103"/>
      <c r="P324" s="102"/>
      <c r="Q324" s="106"/>
      <c r="R324" s="102"/>
      <c r="S324" s="106"/>
      <c r="T324" s="102"/>
      <c r="U324" s="106"/>
      <c r="V324" s="102"/>
      <c r="W324" s="106"/>
      <c r="X324" s="106"/>
      <c r="Y324" s="106"/>
      <c r="Z324" s="106"/>
      <c r="AA324" s="106"/>
      <c r="AB324" s="106"/>
      <c r="AC324" s="106"/>
      <c r="AD324" s="113">
        <f>F324+H324+J324+L324+N324+P324+R324+T324+V324+X324+Z324+AB324</f>
        <v>10</v>
      </c>
      <c r="AE324" s="107">
        <f>G324+I324+K324+M324+O324+Q324+S324+U324+W324+Y324+AA324+AC324</f>
        <v>4400</v>
      </c>
    </row>
    <row r="325" spans="1:31">
      <c r="A325" s="100">
        <v>229</v>
      </c>
      <c r="B325" s="108">
        <v>4971710584073</v>
      </c>
      <c r="C325" s="109" t="s">
        <v>705</v>
      </c>
      <c r="D325" s="120" t="s">
        <v>924</v>
      </c>
      <c r="E325" s="101" t="s">
        <v>706</v>
      </c>
      <c r="F325" s="110">
        <v>1</v>
      </c>
      <c r="G325" s="111">
        <v>715</v>
      </c>
      <c r="H325" s="104"/>
      <c r="I325" s="105"/>
      <c r="J325" s="102">
        <f>VLOOKUP(C325,[1]Sheet2!$A:$B,2,0 )</f>
        <v>9</v>
      </c>
      <c r="K325" s="103">
        <f>VLOOKUP(C325,[1]Sheet2!$A:$C,3,0)</f>
        <v>6435</v>
      </c>
      <c r="L325" s="102"/>
      <c r="M325" s="103"/>
      <c r="N325" s="102"/>
      <c r="O325" s="103"/>
      <c r="P325" s="102"/>
      <c r="Q325" s="106"/>
      <c r="R325" s="102"/>
      <c r="S325" s="106"/>
      <c r="T325" s="102"/>
      <c r="U325" s="106"/>
      <c r="V325" s="102"/>
      <c r="W325" s="106"/>
      <c r="X325" s="106"/>
      <c r="Y325" s="106"/>
      <c r="Z325" s="106"/>
      <c r="AA325" s="106"/>
      <c r="AB325" s="106"/>
      <c r="AC325" s="106"/>
      <c r="AD325" s="112">
        <f>F325+H325+J325+L325+N325+P325+R325+T325+V325+X325+Z325+AB325</f>
        <v>10</v>
      </c>
      <c r="AE325" s="107">
        <f>G325+I325+K325+M325+O325+Q325+S325+U325+W325+Y325+AA325+AC325</f>
        <v>7150</v>
      </c>
    </row>
    <row r="326" spans="1:31">
      <c r="A326" s="100">
        <v>221</v>
      </c>
      <c r="B326" s="108">
        <v>4971710579888</v>
      </c>
      <c r="C326" s="109" t="s">
        <v>663</v>
      </c>
      <c r="D326" s="120" t="s">
        <v>924</v>
      </c>
      <c r="E326" s="101" t="s">
        <v>664</v>
      </c>
      <c r="F326" s="110"/>
      <c r="G326" s="111"/>
      <c r="H326" s="104">
        <v>10</v>
      </c>
      <c r="I326" s="105">
        <v>8250</v>
      </c>
      <c r="J326" s="102"/>
      <c r="K326" s="103"/>
      <c r="L326" s="102"/>
      <c r="M326" s="103"/>
      <c r="N326" s="102"/>
      <c r="O326" s="103"/>
      <c r="P326" s="102"/>
      <c r="Q326" s="106"/>
      <c r="R326" s="102"/>
      <c r="S326" s="106"/>
      <c r="T326" s="102"/>
      <c r="U326" s="106"/>
      <c r="V326" s="102"/>
      <c r="W326" s="106"/>
      <c r="X326" s="106"/>
      <c r="Y326" s="106"/>
      <c r="Z326" s="106"/>
      <c r="AA326" s="106"/>
      <c r="AB326" s="106"/>
      <c r="AC326" s="106"/>
      <c r="AD326" s="112">
        <f>F326+H326+J326+L326+N326+P326+R326+T326+V326+X326+Z326+AB326</f>
        <v>10</v>
      </c>
      <c r="AE326" s="107">
        <f>G326+I326+K326+M326+O326+Q326+S326+U326+W326+Y326+AA326+AC326</f>
        <v>8250</v>
      </c>
    </row>
    <row r="327" spans="1:31">
      <c r="A327" s="100">
        <v>231</v>
      </c>
      <c r="B327" s="108">
        <v>4971710549782</v>
      </c>
      <c r="C327" s="109" t="s">
        <v>434</v>
      </c>
      <c r="D327" s="120" t="s">
        <v>1133</v>
      </c>
      <c r="E327" s="101" t="s">
        <v>1136</v>
      </c>
      <c r="F327" s="110"/>
      <c r="G327" s="111"/>
      <c r="H327" s="104"/>
      <c r="I327" s="105"/>
      <c r="J327" s="102">
        <f>VLOOKUP(C327,[1]Sheet2!$A:$B,2,0 )</f>
        <v>10</v>
      </c>
      <c r="K327" s="103">
        <f>VLOOKUP(C327,[1]Sheet2!$A:$C,3,0)</f>
        <v>29150</v>
      </c>
      <c r="L327" s="102"/>
      <c r="M327" s="103"/>
      <c r="N327" s="102"/>
      <c r="O327" s="103"/>
      <c r="P327" s="102"/>
      <c r="Q327" s="106"/>
      <c r="R327" s="102"/>
      <c r="S327" s="106"/>
      <c r="T327" s="102"/>
      <c r="U327" s="106"/>
      <c r="V327" s="102"/>
      <c r="W327" s="106"/>
      <c r="X327" s="106"/>
      <c r="Y327" s="106"/>
      <c r="Z327" s="106"/>
      <c r="AA327" s="106"/>
      <c r="AB327" s="106"/>
      <c r="AC327" s="106"/>
      <c r="AD327" s="112">
        <f>F327+H327+J327+L327+N327+P327+R327+T327+V327+X327+Z327+AB327</f>
        <v>10</v>
      </c>
      <c r="AE327" s="107">
        <f>G327+I327+K327+M327+O327+Q327+S327+U327+W327+Y327+AA327+AC327</f>
        <v>29150</v>
      </c>
    </row>
    <row r="328" spans="1:31">
      <c r="A328" s="100">
        <v>225</v>
      </c>
      <c r="B328" s="108">
        <v>4971710615807</v>
      </c>
      <c r="C328" s="109" t="s">
        <v>1101</v>
      </c>
      <c r="D328" s="120" t="s">
        <v>1129</v>
      </c>
      <c r="E328" s="101" t="s">
        <v>1102</v>
      </c>
      <c r="F328" s="110"/>
      <c r="G328" s="111"/>
      <c r="H328" s="104">
        <v>5</v>
      </c>
      <c r="I328" s="105">
        <v>14300</v>
      </c>
      <c r="J328" s="102">
        <f>VLOOKUP(C328,[1]Sheet2!$A:$B,2,0 )</f>
        <v>5</v>
      </c>
      <c r="K328" s="103">
        <f>VLOOKUP(C328,[1]Sheet2!$A:$C,3,0)</f>
        <v>14300</v>
      </c>
      <c r="L328" s="102"/>
      <c r="M328" s="103"/>
      <c r="N328" s="102"/>
      <c r="O328" s="103"/>
      <c r="P328" s="102"/>
      <c r="Q328" s="106"/>
      <c r="R328" s="102"/>
      <c r="S328" s="106"/>
      <c r="T328" s="102"/>
      <c r="U328" s="106"/>
      <c r="V328" s="102"/>
      <c r="W328" s="106"/>
      <c r="X328" s="106"/>
      <c r="Y328" s="106"/>
      <c r="Z328" s="106"/>
      <c r="AA328" s="106"/>
      <c r="AB328" s="106"/>
      <c r="AC328" s="106"/>
      <c r="AD328" s="113">
        <f>F328+H328+J328+L328+N328+P328+R328+T328+V328+X328+Z328+AB328</f>
        <v>10</v>
      </c>
      <c r="AE328" s="107">
        <f>G328+I328+K328+M328+O328+Q328+S328+U328+W328+Y328+AA328+AC328</f>
        <v>28600</v>
      </c>
    </row>
    <row r="329" spans="1:31">
      <c r="A329" s="100">
        <v>226</v>
      </c>
      <c r="B329" s="108">
        <v>4971710615791</v>
      </c>
      <c r="C329" s="109" t="s">
        <v>1103</v>
      </c>
      <c r="D329" s="120" t="s">
        <v>1129</v>
      </c>
      <c r="E329" s="101" t="s">
        <v>998</v>
      </c>
      <c r="F329" s="110"/>
      <c r="G329" s="111"/>
      <c r="H329" s="104">
        <v>5</v>
      </c>
      <c r="I329" s="105">
        <v>13200</v>
      </c>
      <c r="J329" s="102">
        <f>VLOOKUP(C329,[1]Sheet2!$A:$B,2,0 )</f>
        <v>5</v>
      </c>
      <c r="K329" s="103">
        <f>VLOOKUP(C329,[1]Sheet2!$A:$C,3,0)</f>
        <v>13200</v>
      </c>
      <c r="L329" s="102"/>
      <c r="M329" s="103"/>
      <c r="N329" s="102"/>
      <c r="O329" s="103"/>
      <c r="P329" s="102"/>
      <c r="Q329" s="106"/>
      <c r="R329" s="102"/>
      <c r="S329" s="106"/>
      <c r="T329" s="102"/>
      <c r="U329" s="106"/>
      <c r="V329" s="102"/>
      <c r="W329" s="106"/>
      <c r="X329" s="106"/>
      <c r="Y329" s="106"/>
      <c r="Z329" s="106"/>
      <c r="AA329" s="106"/>
      <c r="AB329" s="106"/>
      <c r="AC329" s="106"/>
      <c r="AD329" s="113">
        <f>F329+H329+J329+L329+N329+P329+R329+T329+V329+X329+Z329+AB329</f>
        <v>10</v>
      </c>
      <c r="AE329" s="107">
        <f>G329+I329+K329+M329+O329+Q329+S329+U329+W329+Y329+AA329+AC329</f>
        <v>26400</v>
      </c>
    </row>
    <row r="330" spans="1:31">
      <c r="A330" s="100">
        <v>222</v>
      </c>
      <c r="B330" s="108">
        <v>4971710294767</v>
      </c>
      <c r="C330" s="109" t="s">
        <v>1084</v>
      </c>
      <c r="D330" s="120" t="s">
        <v>1129</v>
      </c>
      <c r="E330" s="101" t="s">
        <v>1085</v>
      </c>
      <c r="F330" s="110"/>
      <c r="G330" s="111"/>
      <c r="H330" s="104">
        <v>10</v>
      </c>
      <c r="I330" s="105">
        <v>8250</v>
      </c>
      <c r="J330" s="102"/>
      <c r="K330" s="103"/>
      <c r="L330" s="102"/>
      <c r="M330" s="103"/>
      <c r="N330" s="102"/>
      <c r="O330" s="103"/>
      <c r="P330" s="102"/>
      <c r="Q330" s="106"/>
      <c r="R330" s="102"/>
      <c r="S330" s="106"/>
      <c r="T330" s="102"/>
      <c r="U330" s="106"/>
      <c r="V330" s="102"/>
      <c r="W330" s="106"/>
      <c r="X330" s="106"/>
      <c r="Y330" s="106"/>
      <c r="Z330" s="106"/>
      <c r="AA330" s="106"/>
      <c r="AB330" s="106"/>
      <c r="AC330" s="106"/>
      <c r="AD330" s="113">
        <f>F330+H330+J330+L330+N330+P330+R330+T330+V330+X330+Z330+AB330</f>
        <v>10</v>
      </c>
      <c r="AE330" s="107">
        <f>G330+I330+K330+M330+O330+Q330+S330+U330+W330+Y330+AA330+AC330</f>
        <v>8250</v>
      </c>
    </row>
    <row r="331" spans="1:31">
      <c r="A331" s="100">
        <v>223</v>
      </c>
      <c r="B331" s="108">
        <v>4971710294774</v>
      </c>
      <c r="C331" s="109" t="s">
        <v>1090</v>
      </c>
      <c r="D331" s="120" t="s">
        <v>1129</v>
      </c>
      <c r="E331" s="101" t="s">
        <v>1085</v>
      </c>
      <c r="F331" s="110"/>
      <c r="G331" s="111"/>
      <c r="H331" s="104">
        <v>10</v>
      </c>
      <c r="I331" s="105">
        <v>38500</v>
      </c>
      <c r="J331" s="102"/>
      <c r="K331" s="103"/>
      <c r="L331" s="102"/>
      <c r="M331" s="103"/>
      <c r="N331" s="102"/>
      <c r="O331" s="103"/>
      <c r="P331" s="102"/>
      <c r="Q331" s="106"/>
      <c r="R331" s="102"/>
      <c r="S331" s="106"/>
      <c r="T331" s="102"/>
      <c r="U331" s="106"/>
      <c r="V331" s="102"/>
      <c r="W331" s="106"/>
      <c r="X331" s="106"/>
      <c r="Y331" s="106"/>
      <c r="Z331" s="106"/>
      <c r="AA331" s="106"/>
      <c r="AB331" s="106"/>
      <c r="AC331" s="106"/>
      <c r="AD331" s="113">
        <f>F331+H331+J331+L331+N331+P331+R331+T331+V331+X331+Z331+AB331</f>
        <v>10</v>
      </c>
      <c r="AE331" s="107">
        <f>G331+I331+K331+M331+O331+Q331+S331+U331+W331+Y331+AA331+AC331</f>
        <v>38500</v>
      </c>
    </row>
    <row r="332" spans="1:31">
      <c r="A332" s="100">
        <v>224</v>
      </c>
      <c r="B332" s="108">
        <v>4971710615869</v>
      </c>
      <c r="C332" s="109" t="s">
        <v>1158</v>
      </c>
      <c r="D332" s="120" t="s">
        <v>1129</v>
      </c>
      <c r="E332" s="101" t="s">
        <v>1102</v>
      </c>
      <c r="F332" s="110"/>
      <c r="G332" s="111"/>
      <c r="H332" s="104">
        <v>10</v>
      </c>
      <c r="I332" s="105">
        <v>40700</v>
      </c>
      <c r="J332" s="102"/>
      <c r="K332" s="103"/>
      <c r="L332" s="102"/>
      <c r="M332" s="103"/>
      <c r="N332" s="102"/>
      <c r="O332" s="103"/>
      <c r="P332" s="102"/>
      <c r="Q332" s="106"/>
      <c r="R332" s="102"/>
      <c r="S332" s="106"/>
      <c r="T332" s="102"/>
      <c r="U332" s="106"/>
      <c r="V332" s="102"/>
      <c r="W332" s="106"/>
      <c r="X332" s="106"/>
      <c r="Y332" s="106"/>
      <c r="Z332" s="106"/>
      <c r="AA332" s="106"/>
      <c r="AB332" s="106"/>
      <c r="AC332" s="106"/>
      <c r="AD332" s="113">
        <f>F332+H332+J332+L332+N332+P332+R332+T332+V332+X332+Z332+AB332</f>
        <v>10</v>
      </c>
      <c r="AE332" s="107">
        <f>G332+I332+K332+M332+O332+Q332+S332+U332+W332+Y332+AA332+AC332</f>
        <v>40700</v>
      </c>
    </row>
    <row r="333" spans="1:31">
      <c r="A333" s="100">
        <v>389</v>
      </c>
      <c r="B333" s="108">
        <v>4971710507591</v>
      </c>
      <c r="C333" s="109" t="s">
        <v>180</v>
      </c>
      <c r="D333" s="120" t="s">
        <v>924</v>
      </c>
      <c r="E333" s="101" t="s">
        <v>181</v>
      </c>
      <c r="F333" s="110"/>
      <c r="G333" s="111"/>
      <c r="H333" s="104"/>
      <c r="I333" s="105"/>
      <c r="J333" s="102"/>
      <c r="K333" s="103"/>
      <c r="L333" s="102">
        <v>6</v>
      </c>
      <c r="M333" s="103">
        <v>3960</v>
      </c>
      <c r="N333" s="102"/>
      <c r="O333" s="103"/>
      <c r="P333" s="102"/>
      <c r="Q333" s="106"/>
      <c r="R333" s="102"/>
      <c r="S333" s="106"/>
      <c r="T333" s="102"/>
      <c r="U333" s="106"/>
      <c r="V333" s="102"/>
      <c r="W333" s="106"/>
      <c r="X333" s="106"/>
      <c r="Y333" s="106"/>
      <c r="Z333" s="106"/>
      <c r="AA333" s="106"/>
      <c r="AB333" s="106"/>
      <c r="AC333" s="106"/>
      <c r="AD333" s="112">
        <f>F333+H333+J333+L333+N333+P333+R333+T333+V333+X333+Z333+AB333</f>
        <v>6</v>
      </c>
      <c r="AE333" s="107">
        <f>G333+I333+K333+M333+O333+Q333+S333+U333+W333+Y333+AA333+AC333</f>
        <v>3960</v>
      </c>
    </row>
    <row r="334" spans="1:31">
      <c r="A334" s="100">
        <v>247</v>
      </c>
      <c r="B334" s="108">
        <v>4971710592986</v>
      </c>
      <c r="C334" s="109" t="s">
        <v>745</v>
      </c>
      <c r="D334" s="120" t="s">
        <v>924</v>
      </c>
      <c r="E334" s="101" t="s">
        <v>746</v>
      </c>
      <c r="F334" s="110"/>
      <c r="G334" s="111"/>
      <c r="H334" s="104"/>
      <c r="I334" s="105"/>
      <c r="J334" s="102">
        <f>VLOOKUP(C334,[1]Sheet2!$A:$B,2,0 )</f>
        <v>6</v>
      </c>
      <c r="K334" s="103">
        <f>VLOOKUP(C334,[1]Sheet2!$A:$C,3,0)</f>
        <v>3630</v>
      </c>
      <c r="L334" s="102"/>
      <c r="M334" s="103"/>
      <c r="N334" s="102"/>
      <c r="O334" s="103"/>
      <c r="P334" s="102"/>
      <c r="Q334" s="106"/>
      <c r="R334" s="102"/>
      <c r="S334" s="106"/>
      <c r="T334" s="102"/>
      <c r="U334" s="106"/>
      <c r="V334" s="102"/>
      <c r="W334" s="106"/>
      <c r="X334" s="106"/>
      <c r="Y334" s="106"/>
      <c r="Z334" s="106"/>
      <c r="AA334" s="106"/>
      <c r="AB334" s="106"/>
      <c r="AC334" s="106"/>
      <c r="AD334" s="112">
        <f>F334+H334+J334+L334+N334+P334+R334+T334+V334+X334+Z334+AB334</f>
        <v>6</v>
      </c>
      <c r="AE334" s="107">
        <f>G334+I334+K334+M334+O334+Q334+S334+U334+W334+Y334+AA334+AC334</f>
        <v>3630</v>
      </c>
    </row>
    <row r="335" spans="1:31">
      <c r="A335" s="100">
        <v>248</v>
      </c>
      <c r="B335" s="108">
        <v>4971710592979</v>
      </c>
      <c r="C335" s="109" t="s">
        <v>743</v>
      </c>
      <c r="D335" s="120" t="s">
        <v>924</v>
      </c>
      <c r="E335" s="101" t="s">
        <v>744</v>
      </c>
      <c r="F335" s="110"/>
      <c r="G335" s="111"/>
      <c r="H335" s="104"/>
      <c r="I335" s="105"/>
      <c r="J335" s="102">
        <f>VLOOKUP(C335,[1]Sheet2!$A:$B,2,0 )</f>
        <v>6</v>
      </c>
      <c r="K335" s="103">
        <f>VLOOKUP(C335,[1]Sheet2!$A:$C,3,0)</f>
        <v>3630</v>
      </c>
      <c r="L335" s="102"/>
      <c r="M335" s="103"/>
      <c r="N335" s="102"/>
      <c r="O335" s="103"/>
      <c r="P335" s="102"/>
      <c r="Q335" s="106"/>
      <c r="R335" s="102"/>
      <c r="S335" s="106"/>
      <c r="T335" s="102"/>
      <c r="U335" s="106"/>
      <c r="V335" s="102"/>
      <c r="W335" s="106"/>
      <c r="X335" s="106"/>
      <c r="Y335" s="106"/>
      <c r="Z335" s="106"/>
      <c r="AA335" s="106"/>
      <c r="AB335" s="106"/>
      <c r="AC335" s="106"/>
      <c r="AD335" s="112">
        <f>F335+H335+J335+L335+N335+P335+R335+T335+V335+X335+Z335+AB335</f>
        <v>6</v>
      </c>
      <c r="AE335" s="107">
        <f>G335+I335+K335+M335+O335+Q335+S335+U335+W335+Y335+AA335+AC335</f>
        <v>3630</v>
      </c>
    </row>
    <row r="336" spans="1:31">
      <c r="A336" s="100">
        <v>456</v>
      </c>
      <c r="B336" s="108">
        <v>4971710282283</v>
      </c>
      <c r="C336" s="109" t="s">
        <v>1086</v>
      </c>
      <c r="D336" s="120" t="s">
        <v>1129</v>
      </c>
      <c r="E336" s="101" t="s">
        <v>1087</v>
      </c>
      <c r="F336" s="110"/>
      <c r="G336" s="111"/>
      <c r="H336" s="104"/>
      <c r="I336" s="105"/>
      <c r="J336" s="102"/>
      <c r="K336" s="103"/>
      <c r="L336" s="102">
        <v>6</v>
      </c>
      <c r="M336" s="103">
        <v>9900</v>
      </c>
      <c r="N336" s="102"/>
      <c r="O336" s="103"/>
      <c r="P336" s="102"/>
      <c r="Q336" s="106"/>
      <c r="R336" s="102"/>
      <c r="S336" s="106"/>
      <c r="T336" s="102"/>
      <c r="U336" s="106"/>
      <c r="V336" s="102"/>
      <c r="W336" s="106"/>
      <c r="X336" s="106"/>
      <c r="Y336" s="106"/>
      <c r="Z336" s="106"/>
      <c r="AA336" s="106"/>
      <c r="AB336" s="106"/>
      <c r="AC336" s="106"/>
      <c r="AD336" s="113">
        <f>F336+H336+J336+L336+N336+P336+R336+T336+V336+X336+Z336+AB336</f>
        <v>6</v>
      </c>
      <c r="AE336" s="107">
        <f>G336+I336+K336+M336+O336+Q336+S336+U336+W336+Y336+AA336+AC336</f>
        <v>9900</v>
      </c>
    </row>
    <row r="337" spans="1:31">
      <c r="A337" s="100">
        <v>243</v>
      </c>
      <c r="B337" s="108">
        <v>4971710298680</v>
      </c>
      <c r="C337" s="109" t="s">
        <v>1160</v>
      </c>
      <c r="D337" s="120" t="s">
        <v>1129</v>
      </c>
      <c r="E337" s="101" t="s">
        <v>1188</v>
      </c>
      <c r="F337" s="110"/>
      <c r="G337" s="111"/>
      <c r="H337" s="104">
        <v>6</v>
      </c>
      <c r="I337" s="105">
        <v>35310</v>
      </c>
      <c r="J337" s="102"/>
      <c r="K337" s="103"/>
      <c r="L337" s="102"/>
      <c r="M337" s="103"/>
      <c r="N337" s="102"/>
      <c r="O337" s="103"/>
      <c r="P337" s="102"/>
      <c r="Q337" s="106"/>
      <c r="R337" s="102"/>
      <c r="S337" s="106"/>
      <c r="T337" s="102"/>
      <c r="U337" s="106"/>
      <c r="V337" s="102"/>
      <c r="W337" s="106"/>
      <c r="X337" s="106"/>
      <c r="Y337" s="106"/>
      <c r="Z337" s="106"/>
      <c r="AA337" s="106"/>
      <c r="AB337" s="106"/>
      <c r="AC337" s="106"/>
      <c r="AD337" s="113">
        <f>F337+H337+J337+L337+N337+P337+R337+T337+V337+X337+Z337+AB337</f>
        <v>6</v>
      </c>
      <c r="AE337" s="107">
        <f>G337+I337+K337+M337+O337+Q337+S337+U337+W337+Y337+AA337+AC337</f>
        <v>35310</v>
      </c>
    </row>
    <row r="338" spans="1:31">
      <c r="A338" s="100">
        <v>244</v>
      </c>
      <c r="B338" s="108">
        <v>4971710298697</v>
      </c>
      <c r="C338" s="109" t="s">
        <v>1161</v>
      </c>
      <c r="D338" s="120" t="s">
        <v>1129</v>
      </c>
      <c r="E338" s="101" t="s">
        <v>1188</v>
      </c>
      <c r="F338" s="110"/>
      <c r="G338" s="111"/>
      <c r="H338" s="104">
        <v>6</v>
      </c>
      <c r="I338" s="105">
        <v>36300</v>
      </c>
      <c r="J338" s="102"/>
      <c r="K338" s="103"/>
      <c r="L338" s="102"/>
      <c r="M338" s="103"/>
      <c r="N338" s="102"/>
      <c r="O338" s="103"/>
      <c r="P338" s="102"/>
      <c r="Q338" s="106"/>
      <c r="R338" s="102"/>
      <c r="S338" s="106"/>
      <c r="T338" s="102"/>
      <c r="U338" s="106"/>
      <c r="V338" s="102"/>
      <c r="W338" s="106"/>
      <c r="X338" s="106"/>
      <c r="Y338" s="106"/>
      <c r="Z338" s="106"/>
      <c r="AA338" s="106"/>
      <c r="AB338" s="106"/>
      <c r="AC338" s="106"/>
      <c r="AD338" s="113">
        <f>F338+H338+J338+L338+N338+P338+R338+T338+V338+X338+Z338+AB338</f>
        <v>6</v>
      </c>
      <c r="AE338" s="107">
        <f>G338+I338+K338+M338+O338+Q338+S338+U338+W338+Y338+AA338+AC338</f>
        <v>36300</v>
      </c>
    </row>
    <row r="339" spans="1:31">
      <c r="A339" s="100">
        <v>440</v>
      </c>
      <c r="B339" s="108">
        <v>4971710568691</v>
      </c>
      <c r="C339" s="109" t="s">
        <v>534</v>
      </c>
      <c r="D339" s="120" t="s">
        <v>924</v>
      </c>
      <c r="E339" s="101" t="s">
        <v>535</v>
      </c>
      <c r="F339" s="110"/>
      <c r="G339" s="111"/>
      <c r="H339" s="104"/>
      <c r="I339" s="105"/>
      <c r="J339" s="102"/>
      <c r="K339" s="103"/>
      <c r="L339" s="102">
        <v>5</v>
      </c>
      <c r="M339" s="103">
        <v>4125</v>
      </c>
      <c r="N339" s="102"/>
      <c r="O339" s="103"/>
      <c r="P339" s="102"/>
      <c r="Q339" s="106"/>
      <c r="R339" s="102"/>
      <c r="S339" s="106"/>
      <c r="T339" s="102"/>
      <c r="U339" s="106"/>
      <c r="V339" s="102"/>
      <c r="W339" s="106"/>
      <c r="X339" s="106"/>
      <c r="Y339" s="106"/>
      <c r="Z339" s="106"/>
      <c r="AA339" s="106"/>
      <c r="AB339" s="106"/>
      <c r="AC339" s="106"/>
      <c r="AD339" s="112">
        <f>F339+H339+J339+L339+N339+P339+R339+T339+V339+X339+Z339+AB339</f>
        <v>5</v>
      </c>
      <c r="AE339" s="107">
        <f>G339+I339+K339+M339+O339+Q339+S339+U339+W339+Y339+AA339+AC339</f>
        <v>4125</v>
      </c>
    </row>
    <row r="340" spans="1:31">
      <c r="A340" s="100">
        <v>264</v>
      </c>
      <c r="B340" s="108">
        <v>4971710475043</v>
      </c>
      <c r="C340" s="109" t="s">
        <v>1210</v>
      </c>
      <c r="D340" s="120" t="s">
        <v>924</v>
      </c>
      <c r="E340" s="101" t="s">
        <v>1222</v>
      </c>
      <c r="F340" s="110"/>
      <c r="G340" s="111"/>
      <c r="H340" s="104"/>
      <c r="I340" s="105"/>
      <c r="J340" s="102">
        <f>VLOOKUP(C340,[1]Sheet2!$A:$B,2,0 )</f>
        <v>5</v>
      </c>
      <c r="K340" s="103">
        <f>VLOOKUP(C340,[1]Sheet2!$A:$C,3,0)</f>
        <v>2200</v>
      </c>
      <c r="L340" s="102"/>
      <c r="M340" s="103"/>
      <c r="N340" s="102"/>
      <c r="O340" s="103"/>
      <c r="P340" s="102"/>
      <c r="Q340" s="106"/>
      <c r="R340" s="102"/>
      <c r="S340" s="106"/>
      <c r="T340" s="102"/>
      <c r="U340" s="106"/>
      <c r="V340" s="102"/>
      <c r="W340" s="106"/>
      <c r="X340" s="106"/>
      <c r="Y340" s="106"/>
      <c r="Z340" s="106"/>
      <c r="AA340" s="106"/>
      <c r="AB340" s="106"/>
      <c r="AC340" s="106"/>
      <c r="AD340" s="113">
        <f>F340+H340+J340+L340+N340+P340+R340+T340+V340+X340+Z340+AB340</f>
        <v>5</v>
      </c>
      <c r="AE340" s="107">
        <f>G340+I340+K340+M340+O340+Q340+S340+U340+W340+Y340+AA340+AC340</f>
        <v>2200</v>
      </c>
    </row>
    <row r="341" spans="1:31">
      <c r="A341" s="100">
        <v>265</v>
      </c>
      <c r="B341" s="108">
        <v>4971710517972</v>
      </c>
      <c r="C341" s="109" t="s">
        <v>1211</v>
      </c>
      <c r="D341" s="120" t="s">
        <v>924</v>
      </c>
      <c r="E341" s="101" t="s">
        <v>1223</v>
      </c>
      <c r="F341" s="110"/>
      <c r="G341" s="111"/>
      <c r="H341" s="104"/>
      <c r="I341" s="105"/>
      <c r="J341" s="102">
        <f>VLOOKUP(C341,[1]Sheet2!$A:$B,2,0 )</f>
        <v>5</v>
      </c>
      <c r="K341" s="103">
        <f>VLOOKUP(C341,[1]Sheet2!$A:$C,3,0)</f>
        <v>2200</v>
      </c>
      <c r="L341" s="102"/>
      <c r="M341" s="103"/>
      <c r="N341" s="102"/>
      <c r="O341" s="103"/>
      <c r="P341" s="102"/>
      <c r="Q341" s="106"/>
      <c r="R341" s="102"/>
      <c r="S341" s="106"/>
      <c r="T341" s="102"/>
      <c r="U341" s="106"/>
      <c r="V341" s="102"/>
      <c r="W341" s="106"/>
      <c r="X341" s="106"/>
      <c r="Y341" s="106"/>
      <c r="Z341" s="106"/>
      <c r="AA341" s="106"/>
      <c r="AB341" s="106"/>
      <c r="AC341" s="106"/>
      <c r="AD341" s="113">
        <f>F341+H341+J341+L341+N341+P341+R341+T341+V341+X341+Z341+AB341</f>
        <v>5</v>
      </c>
      <c r="AE341" s="107">
        <f>G341+I341+K341+M341+O341+Q341+S341+U341+W341+Y341+AA341+AC341</f>
        <v>2200</v>
      </c>
    </row>
    <row r="342" spans="1:31">
      <c r="A342" s="100">
        <v>251</v>
      </c>
      <c r="B342" s="108">
        <v>4971710561241</v>
      </c>
      <c r="C342" s="109" t="s">
        <v>470</v>
      </c>
      <c r="D342" s="120" t="s">
        <v>924</v>
      </c>
      <c r="E342" s="101" t="s">
        <v>471</v>
      </c>
      <c r="F342" s="110"/>
      <c r="G342" s="111"/>
      <c r="H342" s="104">
        <v>5</v>
      </c>
      <c r="I342" s="105">
        <v>3850</v>
      </c>
      <c r="J342" s="102"/>
      <c r="K342" s="103"/>
      <c r="L342" s="102"/>
      <c r="M342" s="103"/>
      <c r="N342" s="102"/>
      <c r="O342" s="103"/>
      <c r="P342" s="102"/>
      <c r="Q342" s="106"/>
      <c r="R342" s="102"/>
      <c r="S342" s="106"/>
      <c r="T342" s="102"/>
      <c r="U342" s="106"/>
      <c r="V342" s="102"/>
      <c r="W342" s="106"/>
      <c r="X342" s="106"/>
      <c r="Y342" s="106"/>
      <c r="Z342" s="106"/>
      <c r="AA342" s="106"/>
      <c r="AB342" s="106"/>
      <c r="AC342" s="106"/>
      <c r="AD342" s="112">
        <f>F342+H342+J342+L342+N342+P342+R342+T342+V342+X342+Z342+AB342</f>
        <v>5</v>
      </c>
      <c r="AE342" s="107">
        <f>G342+I342+K342+M342+O342+Q342+S342+U342+W342+Y342+AA342+AC342</f>
        <v>3850</v>
      </c>
    </row>
    <row r="343" spans="1:31">
      <c r="A343" s="100">
        <v>256</v>
      </c>
      <c r="B343" s="108">
        <v>4971710235432</v>
      </c>
      <c r="C343" s="109" t="s">
        <v>1191</v>
      </c>
      <c r="D343" s="120" t="s">
        <v>1129</v>
      </c>
      <c r="E343" s="101" t="s">
        <v>1232</v>
      </c>
      <c r="F343" s="110"/>
      <c r="G343" s="111"/>
      <c r="H343" s="104"/>
      <c r="I343" s="105"/>
      <c r="J343" s="102">
        <f>VLOOKUP(C343,[1]Sheet2!$A:$B,2,0 )</f>
        <v>5</v>
      </c>
      <c r="K343" s="103">
        <f>VLOOKUP(C343,[1]Sheet2!$A:$C,3,0)</f>
        <v>13200</v>
      </c>
      <c r="L343" s="102"/>
      <c r="M343" s="103"/>
      <c r="N343" s="102"/>
      <c r="O343" s="103"/>
      <c r="P343" s="102"/>
      <c r="Q343" s="106"/>
      <c r="R343" s="102"/>
      <c r="S343" s="106"/>
      <c r="T343" s="102"/>
      <c r="U343" s="106"/>
      <c r="V343" s="102"/>
      <c r="W343" s="106"/>
      <c r="X343" s="106"/>
      <c r="Y343" s="106"/>
      <c r="Z343" s="106"/>
      <c r="AA343" s="106"/>
      <c r="AB343" s="106"/>
      <c r="AC343" s="106"/>
      <c r="AD343" s="113">
        <f>F343+H343+J343+L343+N343+P343+R343+T343+V343+X343+Z343+AB343</f>
        <v>5</v>
      </c>
      <c r="AE343" s="107">
        <f>G343+I343+K343+M343+O343+Q343+S343+U343+W343+Y343+AA343+AC343</f>
        <v>13200</v>
      </c>
    </row>
    <row r="344" spans="1:31">
      <c r="A344" s="100">
        <v>257</v>
      </c>
      <c r="B344" s="108">
        <v>4971710229639</v>
      </c>
      <c r="C344" s="109" t="s">
        <v>1192</v>
      </c>
      <c r="D344" s="120" t="s">
        <v>1129</v>
      </c>
      <c r="E344" s="101" t="s">
        <v>1232</v>
      </c>
      <c r="F344" s="110"/>
      <c r="G344" s="111"/>
      <c r="H344" s="104"/>
      <c r="I344" s="105"/>
      <c r="J344" s="102">
        <f>VLOOKUP(C344,[1]Sheet2!$A:$B,2,0 )</f>
        <v>5</v>
      </c>
      <c r="K344" s="103">
        <f>VLOOKUP(C344,[1]Sheet2!$A:$C,3,0)</f>
        <v>13750</v>
      </c>
      <c r="L344" s="102"/>
      <c r="M344" s="103"/>
      <c r="N344" s="102"/>
      <c r="O344" s="103"/>
      <c r="P344" s="102"/>
      <c r="Q344" s="106"/>
      <c r="R344" s="102"/>
      <c r="S344" s="106"/>
      <c r="T344" s="102"/>
      <c r="U344" s="106"/>
      <c r="V344" s="102"/>
      <c r="W344" s="106"/>
      <c r="X344" s="106"/>
      <c r="Y344" s="106"/>
      <c r="Z344" s="106"/>
      <c r="AA344" s="106"/>
      <c r="AB344" s="106"/>
      <c r="AC344" s="106"/>
      <c r="AD344" s="113">
        <f>F344+H344+J344+L344+N344+P344+R344+T344+V344+X344+Z344+AB344</f>
        <v>5</v>
      </c>
      <c r="AE344" s="107">
        <f>G344+I344+K344+M344+O344+Q344+S344+U344+W344+Y344+AA344+AC344</f>
        <v>13750</v>
      </c>
    </row>
    <row r="345" spans="1:31">
      <c r="A345" s="100">
        <v>258</v>
      </c>
      <c r="B345" s="108">
        <v>4971710570175</v>
      </c>
      <c r="C345" s="109" t="s">
        <v>1193</v>
      </c>
      <c r="D345" s="120" t="s">
        <v>1129</v>
      </c>
      <c r="E345" s="101" t="s">
        <v>1233</v>
      </c>
      <c r="F345" s="110"/>
      <c r="G345" s="111"/>
      <c r="H345" s="104"/>
      <c r="I345" s="105"/>
      <c r="J345" s="102">
        <f>VLOOKUP(C345,[1]Sheet2!$A:$B,2,0 )</f>
        <v>5</v>
      </c>
      <c r="K345" s="103">
        <f>VLOOKUP(C345,[1]Sheet2!$A:$C,3,0)</f>
        <v>29700</v>
      </c>
      <c r="L345" s="102"/>
      <c r="M345" s="103"/>
      <c r="N345" s="102"/>
      <c r="O345" s="103"/>
      <c r="P345" s="102"/>
      <c r="Q345" s="106"/>
      <c r="R345" s="102"/>
      <c r="S345" s="106"/>
      <c r="T345" s="102"/>
      <c r="U345" s="106"/>
      <c r="V345" s="102"/>
      <c r="W345" s="106"/>
      <c r="X345" s="106"/>
      <c r="Y345" s="106"/>
      <c r="Z345" s="106"/>
      <c r="AA345" s="106"/>
      <c r="AB345" s="106"/>
      <c r="AC345" s="106"/>
      <c r="AD345" s="113">
        <f>F345+H345+J345+L345+N345+P345+R345+T345+V345+X345+Z345+AB345</f>
        <v>5</v>
      </c>
      <c r="AE345" s="107">
        <f>G345+I345+K345+M345+O345+Q345+S345+U345+W345+Y345+AA345+AC345</f>
        <v>29700</v>
      </c>
    </row>
    <row r="346" spans="1:31">
      <c r="A346" s="100">
        <v>260</v>
      </c>
      <c r="B346" s="108">
        <v>4971710229004</v>
      </c>
      <c r="C346" s="109" t="s">
        <v>1195</v>
      </c>
      <c r="D346" s="120" t="s">
        <v>1129</v>
      </c>
      <c r="E346" s="101" t="s">
        <v>1234</v>
      </c>
      <c r="F346" s="110"/>
      <c r="G346" s="111"/>
      <c r="H346" s="104"/>
      <c r="I346" s="105"/>
      <c r="J346" s="102">
        <f>VLOOKUP(C346,[1]Sheet2!$A:$B,2,0 )</f>
        <v>5</v>
      </c>
      <c r="K346" s="103">
        <f>VLOOKUP(C346,[1]Sheet2!$A:$C,3,0)</f>
        <v>16500</v>
      </c>
      <c r="L346" s="102"/>
      <c r="M346" s="103"/>
      <c r="N346" s="102"/>
      <c r="O346" s="103"/>
      <c r="P346" s="102"/>
      <c r="Q346" s="106"/>
      <c r="R346" s="102"/>
      <c r="S346" s="106"/>
      <c r="T346" s="102"/>
      <c r="U346" s="106"/>
      <c r="V346" s="102"/>
      <c r="W346" s="106"/>
      <c r="X346" s="106"/>
      <c r="Y346" s="106"/>
      <c r="Z346" s="106"/>
      <c r="AA346" s="106"/>
      <c r="AB346" s="106"/>
      <c r="AC346" s="106"/>
      <c r="AD346" s="113">
        <f>F346+H346+J346+L346+N346+P346+R346+T346+V346+X346+Z346+AB346</f>
        <v>5</v>
      </c>
      <c r="AE346" s="107">
        <f>G346+I346+K346+M346+O346+Q346+S346+U346+W346+Y346+AA346+AC346</f>
        <v>16500</v>
      </c>
    </row>
    <row r="347" spans="1:31">
      <c r="A347" s="100">
        <v>261</v>
      </c>
      <c r="B347" s="108">
        <v>4971710229011</v>
      </c>
      <c r="C347" s="109" t="s">
        <v>1196</v>
      </c>
      <c r="D347" s="120" t="s">
        <v>1129</v>
      </c>
      <c r="E347" s="101" t="s">
        <v>1234</v>
      </c>
      <c r="F347" s="110"/>
      <c r="G347" s="111"/>
      <c r="H347" s="104"/>
      <c r="I347" s="105"/>
      <c r="J347" s="102">
        <f>VLOOKUP(C347,[1]Sheet2!$A:$B,2,0 )</f>
        <v>5</v>
      </c>
      <c r="K347" s="103">
        <f>VLOOKUP(C347,[1]Sheet2!$A:$C,3,0)</f>
        <v>3300</v>
      </c>
      <c r="L347" s="102"/>
      <c r="M347" s="103"/>
      <c r="N347" s="102"/>
      <c r="O347" s="103"/>
      <c r="P347" s="102"/>
      <c r="Q347" s="106"/>
      <c r="R347" s="102"/>
      <c r="S347" s="106"/>
      <c r="T347" s="102"/>
      <c r="U347" s="106"/>
      <c r="V347" s="102"/>
      <c r="W347" s="106"/>
      <c r="X347" s="106"/>
      <c r="Y347" s="106"/>
      <c r="Z347" s="106"/>
      <c r="AA347" s="106"/>
      <c r="AB347" s="106"/>
      <c r="AC347" s="106"/>
      <c r="AD347" s="113">
        <f>F347+H347+J347+L347+N347+P347+R347+T347+V347+X347+Z347+AB347</f>
        <v>5</v>
      </c>
      <c r="AE347" s="107">
        <f>G347+I347+K347+M347+O347+Q347+S347+U347+W347+Y347+AA347+AC347</f>
        <v>3300</v>
      </c>
    </row>
    <row r="348" spans="1:31">
      <c r="A348" s="100">
        <v>373</v>
      </c>
      <c r="B348" s="108">
        <v>4971710513578</v>
      </c>
      <c r="C348" s="109" t="s">
        <v>867</v>
      </c>
      <c r="D348" s="120" t="s">
        <v>1131</v>
      </c>
      <c r="E348" s="101" t="s">
        <v>1060</v>
      </c>
      <c r="F348" s="110"/>
      <c r="G348" s="111"/>
      <c r="H348" s="104"/>
      <c r="I348" s="105"/>
      <c r="J348" s="102"/>
      <c r="K348" s="103"/>
      <c r="L348" s="102">
        <v>5</v>
      </c>
      <c r="M348" s="103">
        <v>3025</v>
      </c>
      <c r="N348" s="102"/>
      <c r="O348" s="103"/>
      <c r="P348" s="102"/>
      <c r="Q348" s="106"/>
      <c r="R348" s="102"/>
      <c r="S348" s="106"/>
      <c r="T348" s="102"/>
      <c r="U348" s="106"/>
      <c r="V348" s="102"/>
      <c r="W348" s="106"/>
      <c r="X348" s="106"/>
      <c r="Y348" s="106"/>
      <c r="Z348" s="106"/>
      <c r="AA348" s="106"/>
      <c r="AB348" s="106"/>
      <c r="AC348" s="106"/>
      <c r="AD348" s="113">
        <f>F348+H348+J348+L348+N348+P348+R348+T348+V348+X348+Z348+AB348</f>
        <v>5</v>
      </c>
      <c r="AE348" s="107">
        <f>G348+I348+K348+M348+O348+Q348+S348+U348+W348+Y348+AA348+AC348</f>
        <v>3025</v>
      </c>
    </row>
    <row r="349" spans="1:31">
      <c r="A349" s="100">
        <v>349</v>
      </c>
      <c r="B349" s="108">
        <v>4971710515794</v>
      </c>
      <c r="C349" s="109" t="s">
        <v>312</v>
      </c>
      <c r="D349" s="120" t="s">
        <v>924</v>
      </c>
      <c r="E349" s="101" t="s">
        <v>313</v>
      </c>
      <c r="F349" s="110"/>
      <c r="G349" s="111"/>
      <c r="H349" s="104"/>
      <c r="I349" s="105"/>
      <c r="J349" s="102"/>
      <c r="K349" s="103"/>
      <c r="L349" s="102">
        <v>4</v>
      </c>
      <c r="M349" s="103">
        <v>2090</v>
      </c>
      <c r="N349" s="102"/>
      <c r="O349" s="103"/>
      <c r="P349" s="102"/>
      <c r="Q349" s="106"/>
      <c r="R349" s="102"/>
      <c r="S349" s="106"/>
      <c r="T349" s="102"/>
      <c r="U349" s="106"/>
      <c r="V349" s="102"/>
      <c r="W349" s="106"/>
      <c r="X349" s="106"/>
      <c r="Y349" s="106"/>
      <c r="Z349" s="106"/>
      <c r="AA349" s="106"/>
      <c r="AB349" s="106"/>
      <c r="AC349" s="106"/>
      <c r="AD349" s="112">
        <f>F349+H349+J349+L349+N349+P349+R349+T349+V349+X349+Z349+AB349</f>
        <v>4</v>
      </c>
      <c r="AE349" s="107">
        <f>G349+I349+K349+M349+O349+Q349+S349+U349+W349+Y349+AA349+AC349</f>
        <v>2090</v>
      </c>
    </row>
    <row r="350" spans="1:31">
      <c r="A350" s="100">
        <v>463</v>
      </c>
      <c r="B350" s="108">
        <v>4971710515831</v>
      </c>
      <c r="C350" s="109" t="s">
        <v>868</v>
      </c>
      <c r="D350" s="120" t="s">
        <v>924</v>
      </c>
      <c r="E350" s="101" t="s">
        <v>1076</v>
      </c>
      <c r="F350" s="110"/>
      <c r="G350" s="111"/>
      <c r="H350" s="104"/>
      <c r="I350" s="105"/>
      <c r="J350" s="102"/>
      <c r="K350" s="103"/>
      <c r="L350" s="102">
        <v>4</v>
      </c>
      <c r="M350" s="103">
        <v>2090</v>
      </c>
      <c r="N350" s="102"/>
      <c r="O350" s="103"/>
      <c r="P350" s="102"/>
      <c r="Q350" s="106"/>
      <c r="R350" s="102"/>
      <c r="S350" s="106"/>
      <c r="T350" s="102"/>
      <c r="U350" s="106"/>
      <c r="V350" s="102"/>
      <c r="W350" s="106"/>
      <c r="X350" s="106"/>
      <c r="Y350" s="106"/>
      <c r="Z350" s="106"/>
      <c r="AA350" s="106"/>
      <c r="AB350" s="106"/>
      <c r="AC350" s="106"/>
      <c r="AD350" s="113">
        <f>F350+H350+J350+L350+N350+P350+R350+T350+V350+X350+Z350+AB350</f>
        <v>4</v>
      </c>
      <c r="AE350" s="107">
        <f>G350+I350+K350+M350+O350+Q350+S350+U350+W350+Y350+AA350+AC350</f>
        <v>2090</v>
      </c>
    </row>
    <row r="351" spans="1:31">
      <c r="A351" s="100">
        <v>324</v>
      </c>
      <c r="B351" s="108">
        <v>4971710599664</v>
      </c>
      <c r="C351" s="109" t="s">
        <v>1005</v>
      </c>
      <c r="D351" s="120" t="s">
        <v>924</v>
      </c>
      <c r="E351" s="101" t="s">
        <v>1006</v>
      </c>
      <c r="F351" s="110"/>
      <c r="G351" s="111"/>
      <c r="H351" s="104"/>
      <c r="I351" s="105"/>
      <c r="J351" s="102"/>
      <c r="K351" s="103"/>
      <c r="L351" s="102">
        <v>2</v>
      </c>
      <c r="M351" s="103">
        <v>1650</v>
      </c>
      <c r="N351" s="102"/>
      <c r="O351" s="103"/>
      <c r="P351" s="102"/>
      <c r="Q351" s="106"/>
      <c r="R351" s="102"/>
      <c r="S351" s="106"/>
      <c r="T351" s="102"/>
      <c r="U351" s="106"/>
      <c r="V351" s="102"/>
      <c r="W351" s="106"/>
      <c r="X351" s="106"/>
      <c r="Y351" s="106"/>
      <c r="Z351" s="106"/>
      <c r="AA351" s="106"/>
      <c r="AB351" s="106"/>
      <c r="AC351" s="106"/>
      <c r="AD351" s="113">
        <f>F351+H351+J351+L351+N351+P351+R351+T351+V351+X351+Z351+AB351</f>
        <v>2</v>
      </c>
      <c r="AE351" s="107">
        <f>G351+I351+K351+M351+O351+Q351+S351+U351+W351+Y351+AA351+AC351</f>
        <v>1650</v>
      </c>
    </row>
    <row r="352" spans="1:31">
      <c r="A352" s="100">
        <v>336</v>
      </c>
      <c r="B352" s="108">
        <v>4971710564808</v>
      </c>
      <c r="C352" s="109" t="s">
        <v>496</v>
      </c>
      <c r="D352" s="120" t="s">
        <v>924</v>
      </c>
      <c r="E352" s="101" t="s">
        <v>497</v>
      </c>
      <c r="F352" s="110"/>
      <c r="G352" s="111"/>
      <c r="H352" s="104"/>
      <c r="I352" s="105"/>
      <c r="J352" s="102"/>
      <c r="K352" s="103"/>
      <c r="L352" s="102">
        <v>2</v>
      </c>
      <c r="M352" s="103">
        <v>1430</v>
      </c>
      <c r="N352" s="102"/>
      <c r="O352" s="103"/>
      <c r="P352" s="102"/>
      <c r="Q352" s="106"/>
      <c r="R352" s="102"/>
      <c r="S352" s="106"/>
      <c r="T352" s="102"/>
      <c r="U352" s="106"/>
      <c r="V352" s="102"/>
      <c r="W352" s="106"/>
      <c r="X352" s="106"/>
      <c r="Y352" s="106"/>
      <c r="Z352" s="106"/>
      <c r="AA352" s="106"/>
      <c r="AB352" s="106"/>
      <c r="AC352" s="106"/>
      <c r="AD352" s="112">
        <f>F352+H352+J352+L352+N352+P352+R352+T352+V352+X352+Z352+AB352</f>
        <v>2</v>
      </c>
      <c r="AE352" s="107">
        <f>G352+I352+K352+M352+O352+Q352+S352+U352+W352+Y352+AA352+AC352</f>
        <v>1430</v>
      </c>
    </row>
    <row r="353" spans="1:31">
      <c r="A353" s="100">
        <v>421</v>
      </c>
      <c r="B353" s="108">
        <v>4971710592535</v>
      </c>
      <c r="C353" s="109" t="s">
        <v>870</v>
      </c>
      <c r="D353" s="120" t="s">
        <v>1131</v>
      </c>
      <c r="E353" s="101" t="s">
        <v>1077</v>
      </c>
      <c r="F353" s="110"/>
      <c r="G353" s="111"/>
      <c r="H353" s="104"/>
      <c r="I353" s="105"/>
      <c r="J353" s="102"/>
      <c r="K353" s="103"/>
      <c r="L353" s="102">
        <v>2</v>
      </c>
      <c r="M353" s="103">
        <v>1210</v>
      </c>
      <c r="N353" s="102"/>
      <c r="O353" s="103"/>
      <c r="P353" s="102"/>
      <c r="Q353" s="106"/>
      <c r="R353" s="102"/>
      <c r="S353" s="106"/>
      <c r="T353" s="102"/>
      <c r="U353" s="106"/>
      <c r="V353" s="102"/>
      <c r="W353" s="106"/>
      <c r="X353" s="106"/>
      <c r="Y353" s="106"/>
      <c r="Z353" s="106"/>
      <c r="AA353" s="106"/>
      <c r="AB353" s="106"/>
      <c r="AC353" s="106"/>
      <c r="AD353" s="113">
        <f>F353+H353+J353+L353+N353+P353+R353+T353+V353+X353+Z353+AB353</f>
        <v>2</v>
      </c>
      <c r="AE353" s="107">
        <f>G353+I353+K353+M353+O353+Q353+S353+U353+W353+Y353+AA353+AC353</f>
        <v>1210</v>
      </c>
    </row>
    <row r="354" spans="1:31">
      <c r="A354" s="100">
        <v>426</v>
      </c>
      <c r="B354" s="108">
        <v>4971710592528</v>
      </c>
      <c r="C354" s="109" t="s">
        <v>869</v>
      </c>
      <c r="D354" s="120" t="s">
        <v>1131</v>
      </c>
      <c r="E354" s="101" t="s">
        <v>1077</v>
      </c>
      <c r="F354" s="110"/>
      <c r="G354" s="111"/>
      <c r="H354" s="104"/>
      <c r="I354" s="105"/>
      <c r="J354" s="102"/>
      <c r="K354" s="103"/>
      <c r="L354" s="102">
        <v>2</v>
      </c>
      <c r="M354" s="103">
        <v>1210</v>
      </c>
      <c r="N354" s="102"/>
      <c r="O354" s="103"/>
      <c r="P354" s="102"/>
      <c r="Q354" s="106"/>
      <c r="R354" s="102"/>
      <c r="S354" s="106"/>
      <c r="T354" s="102"/>
      <c r="U354" s="106"/>
      <c r="V354" s="102"/>
      <c r="W354" s="106"/>
      <c r="X354" s="106"/>
      <c r="Y354" s="106"/>
      <c r="Z354" s="106"/>
      <c r="AA354" s="106"/>
      <c r="AB354" s="106"/>
      <c r="AC354" s="106"/>
      <c r="AD354" s="113">
        <f>F354+H354+J354+L354+N354+P354+R354+T354+V354+X354+Z354+AB354</f>
        <v>2</v>
      </c>
      <c r="AE354" s="107">
        <f>G354+I354+K354+M354+O354+Q354+S354+U354+W354+Y354+AA354+AC354</f>
        <v>1210</v>
      </c>
    </row>
    <row r="355" spans="1:31">
      <c r="A355" s="100">
        <v>434</v>
      </c>
      <c r="B355" s="108">
        <v>4971710563399</v>
      </c>
      <c r="C355" s="109" t="s">
        <v>482</v>
      </c>
      <c r="D355" s="120" t="s">
        <v>1131</v>
      </c>
      <c r="E355" s="101" t="s">
        <v>483</v>
      </c>
      <c r="F355" s="110"/>
      <c r="G355" s="111"/>
      <c r="H355" s="104"/>
      <c r="I355" s="105"/>
      <c r="J355" s="102"/>
      <c r="K355" s="103"/>
      <c r="L355" s="102">
        <v>2</v>
      </c>
      <c r="M355" s="103">
        <v>1430</v>
      </c>
      <c r="N355" s="102"/>
      <c r="O355" s="103"/>
      <c r="P355" s="102"/>
      <c r="Q355" s="106"/>
      <c r="R355" s="102"/>
      <c r="S355" s="106"/>
      <c r="T355" s="102"/>
      <c r="U355" s="106"/>
      <c r="V355" s="102"/>
      <c r="W355" s="106"/>
      <c r="X355" s="106"/>
      <c r="Y355" s="106"/>
      <c r="Z355" s="106"/>
      <c r="AA355" s="106"/>
      <c r="AB355" s="106"/>
      <c r="AC355" s="106"/>
      <c r="AD355" s="112">
        <f>F355+H355+J355+L355+N355+P355+R355+T355+V355+X355+Z355+AB355</f>
        <v>2</v>
      </c>
      <c r="AE355" s="107">
        <f>G355+I355+K355+M355+O355+Q355+S355+U355+W355+Y355+AA355+AC355</f>
        <v>1430</v>
      </c>
    </row>
    <row r="356" spans="1:31">
      <c r="A356" s="100">
        <v>445</v>
      </c>
      <c r="B356" s="108">
        <v>4971710584745</v>
      </c>
      <c r="C356" s="109" t="s">
        <v>713</v>
      </c>
      <c r="D356" s="120" t="s">
        <v>1131</v>
      </c>
      <c r="E356" s="101" t="s">
        <v>714</v>
      </c>
      <c r="F356" s="110"/>
      <c r="G356" s="111"/>
      <c r="H356" s="104"/>
      <c r="I356" s="105"/>
      <c r="J356" s="102"/>
      <c r="K356" s="103"/>
      <c r="L356" s="102">
        <v>2</v>
      </c>
      <c r="M356" s="103">
        <v>1100</v>
      </c>
      <c r="N356" s="102"/>
      <c r="O356" s="103"/>
      <c r="P356" s="102"/>
      <c r="Q356" s="106"/>
      <c r="R356" s="102"/>
      <c r="S356" s="106"/>
      <c r="T356" s="102"/>
      <c r="U356" s="106"/>
      <c r="V356" s="102"/>
      <c r="W356" s="106"/>
      <c r="X356" s="106"/>
      <c r="Y356" s="106"/>
      <c r="Z356" s="106"/>
      <c r="AA356" s="106"/>
      <c r="AB356" s="106"/>
      <c r="AC356" s="106"/>
      <c r="AD356" s="113">
        <f>F356+H356+J356+L356+N356+P356+R356+T356+V356+X356+Z356+AB356</f>
        <v>2</v>
      </c>
      <c r="AE356" s="107">
        <f>G356+I356+K356+M356+O356+Q356+S356+U356+W356+Y356+AA356+AC356</f>
        <v>1100</v>
      </c>
    </row>
    <row r="357" spans="1:31">
      <c r="A357" s="100">
        <v>462</v>
      </c>
      <c r="B357" s="108">
        <v>4971710584738</v>
      </c>
      <c r="C357" s="109" t="s">
        <v>812</v>
      </c>
      <c r="D357" s="120" t="s">
        <v>1131</v>
      </c>
      <c r="E357" s="101" t="s">
        <v>1075</v>
      </c>
      <c r="F357" s="110"/>
      <c r="G357" s="111"/>
      <c r="H357" s="104"/>
      <c r="I357" s="105"/>
      <c r="J357" s="102"/>
      <c r="K357" s="103"/>
      <c r="L357" s="102">
        <v>2</v>
      </c>
      <c r="M357" s="103">
        <v>1100</v>
      </c>
      <c r="N357" s="102"/>
      <c r="O357" s="103"/>
      <c r="P357" s="102"/>
      <c r="Q357" s="106"/>
      <c r="R357" s="102"/>
      <c r="S357" s="106"/>
      <c r="T357" s="102"/>
      <c r="U357" s="106"/>
      <c r="V357" s="102"/>
      <c r="W357" s="106"/>
      <c r="X357" s="106"/>
      <c r="Y357" s="106"/>
      <c r="Z357" s="106"/>
      <c r="AA357" s="106"/>
      <c r="AB357" s="106"/>
      <c r="AC357" s="106"/>
      <c r="AD357" s="113">
        <f>F357+H357+J357+L357+N357+P357+R357+T357+V357+X357+Z357+AB357</f>
        <v>2</v>
      </c>
      <c r="AE357" s="107">
        <f>G357+I357+K357+M357+O357+Q357+S357+U357+W357+Y357+AA357+AC357</f>
        <v>1100</v>
      </c>
    </row>
    <row r="358" spans="1:31">
      <c r="A358" s="100">
        <v>464</v>
      </c>
      <c r="B358" s="108">
        <v>4971710584721</v>
      </c>
      <c r="C358" s="109" t="s">
        <v>814</v>
      </c>
      <c r="D358" s="120" t="s">
        <v>1131</v>
      </c>
      <c r="E358" s="101" t="s">
        <v>1075</v>
      </c>
      <c r="F358" s="110"/>
      <c r="G358" s="111"/>
      <c r="H358" s="104"/>
      <c r="I358" s="105"/>
      <c r="J358" s="102"/>
      <c r="K358" s="103"/>
      <c r="L358" s="102">
        <v>2</v>
      </c>
      <c r="M358" s="103">
        <v>1100</v>
      </c>
      <c r="N358" s="102"/>
      <c r="O358" s="103"/>
      <c r="P358" s="102"/>
      <c r="Q358" s="106"/>
      <c r="R358" s="102"/>
      <c r="S358" s="106"/>
      <c r="T358" s="102"/>
      <c r="U358" s="106"/>
      <c r="V358" s="102"/>
      <c r="W358" s="106"/>
      <c r="X358" s="106"/>
      <c r="Y358" s="106"/>
      <c r="Z358" s="106"/>
      <c r="AA358" s="106"/>
      <c r="AB358" s="106"/>
      <c r="AC358" s="106"/>
      <c r="AD358" s="113">
        <f>F358+H358+J358+L358+N358+P358+R358+T358+V358+X358+Z358+AB358</f>
        <v>2</v>
      </c>
      <c r="AE358" s="107">
        <f>G358+I358+K358+M358+O358+Q358+S358+U358+W358+Y358+AA358+AC358</f>
        <v>1100</v>
      </c>
    </row>
    <row r="359" spans="1:31">
      <c r="A359" s="100">
        <v>275</v>
      </c>
      <c r="B359" s="108">
        <v>4971710539189</v>
      </c>
      <c r="C359" s="109" t="s">
        <v>408</v>
      </c>
      <c r="D359" s="120" t="s">
        <v>924</v>
      </c>
      <c r="E359" s="101" t="s">
        <v>409</v>
      </c>
      <c r="F359" s="110"/>
      <c r="G359" s="111"/>
      <c r="H359" s="104"/>
      <c r="I359" s="105"/>
      <c r="J359" s="102"/>
      <c r="K359" s="103"/>
      <c r="L359" s="102"/>
      <c r="M359" s="103"/>
      <c r="N359" s="102"/>
      <c r="O359" s="103"/>
      <c r="P359" s="102"/>
      <c r="Q359" s="106"/>
      <c r="R359" s="102"/>
      <c r="S359" s="106"/>
      <c r="T359" s="102"/>
      <c r="U359" s="106"/>
      <c r="V359" s="102"/>
      <c r="W359" s="106"/>
      <c r="X359" s="106"/>
      <c r="Y359" s="106"/>
      <c r="Z359" s="106"/>
      <c r="AA359" s="106"/>
      <c r="AB359" s="106"/>
      <c r="AC359" s="106"/>
      <c r="AD359" s="112">
        <f>F359+H359+J359+L359+N359+P359+R359+T359+V359+X359+Z359+AB359</f>
        <v>0</v>
      </c>
      <c r="AE359" s="107">
        <f>G359+I359+K359+M359+O359+Q359+S359+U359+W359+Y359+AA359+AC359</f>
        <v>0</v>
      </c>
    </row>
    <row r="360" spans="1:31">
      <c r="A360" s="100">
        <v>279</v>
      </c>
      <c r="B360" s="108">
        <v>4971710576627</v>
      </c>
      <c r="C360" s="109" t="s">
        <v>614</v>
      </c>
      <c r="D360" s="120" t="s">
        <v>924</v>
      </c>
      <c r="E360" s="101" t="s">
        <v>615</v>
      </c>
      <c r="F360" s="110"/>
      <c r="G360" s="111"/>
      <c r="H360" s="104"/>
      <c r="I360" s="105"/>
      <c r="J360" s="102"/>
      <c r="K360" s="103"/>
      <c r="L360" s="102"/>
      <c r="M360" s="103"/>
      <c r="N360" s="102"/>
      <c r="O360" s="103"/>
      <c r="P360" s="102"/>
      <c r="Q360" s="106"/>
      <c r="R360" s="102"/>
      <c r="S360" s="106"/>
      <c r="T360" s="102"/>
      <c r="U360" s="106"/>
      <c r="V360" s="102"/>
      <c r="W360" s="106"/>
      <c r="X360" s="106"/>
      <c r="Y360" s="106"/>
      <c r="Z360" s="106"/>
      <c r="AA360" s="106"/>
      <c r="AB360" s="106"/>
      <c r="AC360" s="106"/>
      <c r="AD360" s="112">
        <f>F360+H360+J360+L360+N360+P360+R360+T360+V360+X360+Z360+AB360</f>
        <v>0</v>
      </c>
      <c r="AE360" s="107">
        <f>G360+I360+K360+M360+O360+Q360+S360+U360+W360+Y360+AA360+AC360</f>
        <v>0</v>
      </c>
    </row>
    <row r="361" spans="1:31">
      <c r="A361" s="100">
        <v>280</v>
      </c>
      <c r="B361" s="108">
        <v>4971710561210</v>
      </c>
      <c r="C361" s="109" t="s">
        <v>464</v>
      </c>
      <c r="D361" s="120" t="s">
        <v>924</v>
      </c>
      <c r="E361" s="101" t="s">
        <v>465</v>
      </c>
      <c r="F361" s="110"/>
      <c r="G361" s="111"/>
      <c r="H361" s="104"/>
      <c r="I361" s="105"/>
      <c r="J361" s="102"/>
      <c r="K361" s="103"/>
      <c r="L361" s="102"/>
      <c r="M361" s="103"/>
      <c r="N361" s="102"/>
      <c r="O361" s="103"/>
      <c r="P361" s="102"/>
      <c r="Q361" s="106"/>
      <c r="R361" s="102"/>
      <c r="S361" s="106"/>
      <c r="T361" s="102"/>
      <c r="U361" s="106"/>
      <c r="V361" s="102"/>
      <c r="W361" s="106"/>
      <c r="X361" s="106"/>
      <c r="Y361" s="106"/>
      <c r="Z361" s="106"/>
      <c r="AA361" s="106"/>
      <c r="AB361" s="106"/>
      <c r="AC361" s="106"/>
      <c r="AD361" s="112">
        <f>F361+H361+J361+L361+N361+P361+R361+T361+V361+X361+Z361+AB361</f>
        <v>0</v>
      </c>
      <c r="AE361" s="107">
        <f>G361+I361+K361+M361+O361+Q361+S361+U361+W361+Y361+AA361+AC361</f>
        <v>0</v>
      </c>
    </row>
    <row r="362" spans="1:31">
      <c r="A362" s="100">
        <v>287</v>
      </c>
      <c r="B362" s="108">
        <v>4971710561258</v>
      </c>
      <c r="C362" s="109" t="s">
        <v>472</v>
      </c>
      <c r="D362" s="120" t="s">
        <v>924</v>
      </c>
      <c r="E362" s="101" t="s">
        <v>473</v>
      </c>
      <c r="F362" s="110"/>
      <c r="G362" s="111"/>
      <c r="H362" s="104"/>
      <c r="I362" s="105"/>
      <c r="J362" s="102"/>
      <c r="K362" s="103"/>
      <c r="L362" s="102"/>
      <c r="M362" s="103"/>
      <c r="N362" s="102"/>
      <c r="O362" s="103"/>
      <c r="P362" s="102"/>
      <c r="Q362" s="106"/>
      <c r="R362" s="102"/>
      <c r="S362" s="106"/>
      <c r="T362" s="102"/>
      <c r="U362" s="106"/>
      <c r="V362" s="102"/>
      <c r="W362" s="106"/>
      <c r="X362" s="106"/>
      <c r="Y362" s="106"/>
      <c r="Z362" s="106"/>
      <c r="AA362" s="106"/>
      <c r="AB362" s="106"/>
      <c r="AC362" s="106"/>
      <c r="AD362" s="112">
        <f>F362+H362+J362+L362+N362+P362+R362+T362+V362+X362+Z362+AB362</f>
        <v>0</v>
      </c>
      <c r="AE362" s="107">
        <f>G362+I362+K362+M362+O362+Q362+S362+U362+W362+Y362+AA362+AC362</f>
        <v>0</v>
      </c>
    </row>
    <row r="363" spans="1:31">
      <c r="A363" s="100">
        <v>289</v>
      </c>
      <c r="B363" s="108">
        <v>4971710571844</v>
      </c>
      <c r="C363" s="109" t="s">
        <v>566</v>
      </c>
      <c r="D363" s="120" t="s">
        <v>924</v>
      </c>
      <c r="E363" s="101" t="s">
        <v>567</v>
      </c>
      <c r="F363" s="110"/>
      <c r="G363" s="111"/>
      <c r="H363" s="104"/>
      <c r="I363" s="105"/>
      <c r="J363" s="102"/>
      <c r="K363" s="103"/>
      <c r="L363" s="102"/>
      <c r="M363" s="103"/>
      <c r="N363" s="102"/>
      <c r="O363" s="103"/>
      <c r="P363" s="102"/>
      <c r="Q363" s="106"/>
      <c r="R363" s="102"/>
      <c r="S363" s="106"/>
      <c r="T363" s="102"/>
      <c r="U363" s="106"/>
      <c r="V363" s="102"/>
      <c r="W363" s="106"/>
      <c r="X363" s="106"/>
      <c r="Y363" s="106"/>
      <c r="Z363" s="106"/>
      <c r="AA363" s="106"/>
      <c r="AB363" s="106"/>
      <c r="AC363" s="106"/>
      <c r="AD363" s="112">
        <f>F363+H363+J363+L363+N363+P363+R363+T363+V363+X363+Z363+AB363</f>
        <v>0</v>
      </c>
      <c r="AE363" s="107">
        <f>G363+I363+K363+M363+O363+Q363+S363+U363+W363+Y363+AA363+AC363</f>
        <v>0</v>
      </c>
    </row>
    <row r="364" spans="1:31">
      <c r="A364" s="100">
        <v>291</v>
      </c>
      <c r="B364" s="108">
        <v>4971710494853</v>
      </c>
      <c r="C364" s="109" t="s">
        <v>124</v>
      </c>
      <c r="D364" s="120" t="s">
        <v>924</v>
      </c>
      <c r="E364" s="101" t="s">
        <v>125</v>
      </c>
      <c r="F364" s="110"/>
      <c r="G364" s="111"/>
      <c r="H364" s="104"/>
      <c r="I364" s="105"/>
      <c r="J364" s="102"/>
      <c r="K364" s="103"/>
      <c r="L364" s="102"/>
      <c r="M364" s="103"/>
      <c r="N364" s="102"/>
      <c r="O364" s="103"/>
      <c r="P364" s="102"/>
      <c r="Q364" s="106"/>
      <c r="R364" s="102"/>
      <c r="S364" s="106"/>
      <c r="T364" s="102"/>
      <c r="U364" s="106"/>
      <c r="V364" s="102"/>
      <c r="W364" s="106"/>
      <c r="X364" s="106"/>
      <c r="Y364" s="106"/>
      <c r="Z364" s="106"/>
      <c r="AA364" s="106"/>
      <c r="AB364" s="106"/>
      <c r="AC364" s="106"/>
      <c r="AD364" s="112">
        <f>F364+H364+J364+L364+N364+P364+R364+T364+V364+X364+Z364+AB364</f>
        <v>0</v>
      </c>
      <c r="AE364" s="107">
        <f>G364+I364+K364+M364+O364+Q364+S364+U364+W364+Y364+AA364+AC364</f>
        <v>0</v>
      </c>
    </row>
    <row r="365" spans="1:31">
      <c r="A365" s="100">
        <v>292</v>
      </c>
      <c r="B365" s="108">
        <v>4971710591088</v>
      </c>
      <c r="C365" s="109" t="s">
        <v>735</v>
      </c>
      <c r="D365" s="120" t="s">
        <v>924</v>
      </c>
      <c r="E365" s="101" t="s">
        <v>736</v>
      </c>
      <c r="F365" s="110"/>
      <c r="G365" s="111"/>
      <c r="H365" s="104"/>
      <c r="I365" s="105"/>
      <c r="J365" s="102"/>
      <c r="K365" s="103"/>
      <c r="L365" s="102"/>
      <c r="M365" s="103"/>
      <c r="N365" s="102"/>
      <c r="O365" s="103"/>
      <c r="P365" s="102"/>
      <c r="Q365" s="106"/>
      <c r="R365" s="102"/>
      <c r="S365" s="106"/>
      <c r="T365" s="102"/>
      <c r="U365" s="106"/>
      <c r="V365" s="102"/>
      <c r="W365" s="106"/>
      <c r="X365" s="106"/>
      <c r="Y365" s="106"/>
      <c r="Z365" s="106"/>
      <c r="AA365" s="106"/>
      <c r="AB365" s="106"/>
      <c r="AC365" s="106"/>
      <c r="AD365" s="112">
        <f>F365+H365+J365+L365+N365+P365+R365+T365+V365+X365+Z365+AB365</f>
        <v>0</v>
      </c>
      <c r="AE365" s="107">
        <f>G365+I365+K365+M365+O365+Q365+S365+U365+W365+Y365+AA365+AC365</f>
        <v>0</v>
      </c>
    </row>
    <row r="366" spans="1:31">
      <c r="A366" s="100">
        <v>295</v>
      </c>
      <c r="B366" s="108">
        <v>4971710596953</v>
      </c>
      <c r="C366" s="109" t="s">
        <v>846</v>
      </c>
      <c r="D366" s="120" t="s">
        <v>924</v>
      </c>
      <c r="E366" s="101" t="s">
        <v>1040</v>
      </c>
      <c r="F366" s="110"/>
      <c r="G366" s="111"/>
      <c r="H366" s="104"/>
      <c r="I366" s="105"/>
      <c r="J366" s="102"/>
      <c r="K366" s="103"/>
      <c r="L366" s="102"/>
      <c r="M366" s="103"/>
      <c r="N366" s="102"/>
      <c r="O366" s="103"/>
      <c r="P366" s="102"/>
      <c r="Q366" s="106"/>
      <c r="R366" s="102"/>
      <c r="S366" s="106"/>
      <c r="T366" s="102"/>
      <c r="U366" s="106"/>
      <c r="V366" s="102"/>
      <c r="W366" s="106"/>
      <c r="X366" s="106"/>
      <c r="Y366" s="106"/>
      <c r="Z366" s="106"/>
      <c r="AA366" s="106"/>
      <c r="AB366" s="106"/>
      <c r="AC366" s="106"/>
      <c r="AD366" s="113">
        <f>F366+H366+J366+L366+N366+P366+R366+T366+V366+X366+Z366+AB366</f>
        <v>0</v>
      </c>
      <c r="AE366" s="107">
        <f>G366+I366+K366+M366+O366+Q366+S366+U366+W366+Y366+AA366+AC366</f>
        <v>0</v>
      </c>
    </row>
    <row r="367" spans="1:31">
      <c r="A367" s="100">
        <v>296</v>
      </c>
      <c r="B367" s="108">
        <v>4971710596946</v>
      </c>
      <c r="C367" s="109" t="s">
        <v>847</v>
      </c>
      <c r="D367" s="120" t="s">
        <v>924</v>
      </c>
      <c r="E367" s="101" t="s">
        <v>1041</v>
      </c>
      <c r="F367" s="110"/>
      <c r="G367" s="111"/>
      <c r="H367" s="104"/>
      <c r="I367" s="105"/>
      <c r="J367" s="102"/>
      <c r="K367" s="103"/>
      <c r="L367" s="102"/>
      <c r="M367" s="103"/>
      <c r="N367" s="102"/>
      <c r="O367" s="103"/>
      <c r="P367" s="102"/>
      <c r="Q367" s="106"/>
      <c r="R367" s="102"/>
      <c r="S367" s="106"/>
      <c r="T367" s="102"/>
      <c r="U367" s="106"/>
      <c r="V367" s="102"/>
      <c r="W367" s="106"/>
      <c r="X367" s="106"/>
      <c r="Y367" s="106"/>
      <c r="Z367" s="106"/>
      <c r="AA367" s="106"/>
      <c r="AB367" s="106"/>
      <c r="AC367" s="106"/>
      <c r="AD367" s="113">
        <f>F367+H367+J367+L367+N367+P367+R367+T367+V367+X367+Z367+AB367</f>
        <v>0</v>
      </c>
      <c r="AE367" s="107">
        <f>G367+I367+K367+M367+O367+Q367+S367+U367+W367+Y367+AA367+AC367</f>
        <v>0</v>
      </c>
    </row>
    <row r="368" spans="1:31">
      <c r="A368" s="100">
        <v>298</v>
      </c>
      <c r="B368" s="108">
        <v>4971710580754</v>
      </c>
      <c r="C368" s="109" t="s">
        <v>689</v>
      </c>
      <c r="D368" s="120" t="s">
        <v>924</v>
      </c>
      <c r="E368" s="101" t="s">
        <v>690</v>
      </c>
      <c r="F368" s="110"/>
      <c r="G368" s="111"/>
      <c r="H368" s="104"/>
      <c r="I368" s="105"/>
      <c r="J368" s="102"/>
      <c r="K368" s="103"/>
      <c r="L368" s="102"/>
      <c r="M368" s="103"/>
      <c r="N368" s="102"/>
      <c r="O368" s="103"/>
      <c r="P368" s="102"/>
      <c r="Q368" s="106"/>
      <c r="R368" s="102"/>
      <c r="S368" s="106"/>
      <c r="T368" s="102"/>
      <c r="U368" s="106"/>
      <c r="V368" s="102"/>
      <c r="W368" s="106"/>
      <c r="X368" s="106"/>
      <c r="Y368" s="106"/>
      <c r="Z368" s="106"/>
      <c r="AA368" s="106"/>
      <c r="AB368" s="106"/>
      <c r="AC368" s="106"/>
      <c r="AD368" s="112">
        <f>F368+H368+J368+L368+N368+P368+R368+T368+V368+X368+Z368+AB368</f>
        <v>0</v>
      </c>
      <c r="AE368" s="107">
        <f>G368+I368+K368+M368+O368+Q368+S368+U368+W368+Y368+AA368+AC368</f>
        <v>0</v>
      </c>
    </row>
    <row r="369" spans="1:31">
      <c r="A369" s="100">
        <v>303</v>
      </c>
      <c r="B369" s="108">
        <v>4971710490732</v>
      </c>
      <c r="C369" s="109" t="s">
        <v>92</v>
      </c>
      <c r="D369" s="120" t="s">
        <v>924</v>
      </c>
      <c r="E369" s="101" t="s">
        <v>93</v>
      </c>
      <c r="F369" s="110"/>
      <c r="G369" s="111"/>
      <c r="H369" s="104"/>
      <c r="I369" s="105"/>
      <c r="J369" s="102"/>
      <c r="K369" s="103"/>
      <c r="L369" s="102"/>
      <c r="M369" s="103"/>
      <c r="N369" s="102"/>
      <c r="O369" s="103"/>
      <c r="P369" s="102"/>
      <c r="Q369" s="106"/>
      <c r="R369" s="102"/>
      <c r="S369" s="106"/>
      <c r="T369" s="102"/>
      <c r="U369" s="106"/>
      <c r="V369" s="102"/>
      <c r="W369" s="106"/>
      <c r="X369" s="106"/>
      <c r="Y369" s="106"/>
      <c r="Z369" s="106"/>
      <c r="AA369" s="106"/>
      <c r="AB369" s="106"/>
      <c r="AC369" s="106"/>
      <c r="AD369" s="112">
        <f>F369+H369+J369+L369+N369+P369+R369+T369+V369+X369+Z369+AB369</f>
        <v>0</v>
      </c>
      <c r="AE369" s="107">
        <f>G369+I369+K369+M369+O369+Q369+S369+U369+W369+Y369+AA369+AC369</f>
        <v>0</v>
      </c>
    </row>
    <row r="370" spans="1:31">
      <c r="A370" s="100">
        <v>305</v>
      </c>
      <c r="B370" s="108">
        <v>4971710524277</v>
      </c>
      <c r="C370" s="109" t="s">
        <v>400</v>
      </c>
      <c r="D370" s="120" t="s">
        <v>924</v>
      </c>
      <c r="E370" s="101" t="s">
        <v>401</v>
      </c>
      <c r="F370" s="110"/>
      <c r="G370" s="111"/>
      <c r="H370" s="104"/>
      <c r="I370" s="105"/>
      <c r="J370" s="102"/>
      <c r="K370" s="103"/>
      <c r="L370" s="102"/>
      <c r="M370" s="103"/>
      <c r="N370" s="102"/>
      <c r="O370" s="103"/>
      <c r="P370" s="102"/>
      <c r="Q370" s="106"/>
      <c r="R370" s="102"/>
      <c r="S370" s="106"/>
      <c r="T370" s="102"/>
      <c r="U370" s="106"/>
      <c r="V370" s="102"/>
      <c r="W370" s="106"/>
      <c r="X370" s="106"/>
      <c r="Y370" s="106"/>
      <c r="Z370" s="106"/>
      <c r="AA370" s="106"/>
      <c r="AB370" s="106"/>
      <c r="AC370" s="106"/>
      <c r="AD370" s="112">
        <f>F370+H370+J370+L370+N370+P370+R370+T370+V370+X370+Z370+AB370</f>
        <v>0</v>
      </c>
      <c r="AE370" s="107">
        <f>G370+I370+K370+M370+O370+Q370+S370+U370+W370+Y370+AA370+AC370</f>
        <v>0</v>
      </c>
    </row>
    <row r="371" spans="1:31">
      <c r="A371" s="100">
        <v>308</v>
      </c>
      <c r="B371" s="108">
        <v>4971710512274</v>
      </c>
      <c r="C371" s="109" t="s">
        <v>250</v>
      </c>
      <c r="D371" s="120" t="s">
        <v>924</v>
      </c>
      <c r="E371" s="101" t="s">
        <v>251</v>
      </c>
      <c r="F371" s="110"/>
      <c r="G371" s="111"/>
      <c r="H371" s="104"/>
      <c r="I371" s="105"/>
      <c r="J371" s="102"/>
      <c r="K371" s="103"/>
      <c r="L371" s="102"/>
      <c r="M371" s="103"/>
      <c r="N371" s="102"/>
      <c r="O371" s="103"/>
      <c r="P371" s="102"/>
      <c r="Q371" s="106"/>
      <c r="R371" s="102"/>
      <c r="S371" s="106"/>
      <c r="T371" s="102"/>
      <c r="U371" s="106"/>
      <c r="V371" s="102"/>
      <c r="W371" s="106"/>
      <c r="X371" s="106"/>
      <c r="Y371" s="106"/>
      <c r="Z371" s="106"/>
      <c r="AA371" s="106"/>
      <c r="AB371" s="106"/>
      <c r="AC371" s="106"/>
      <c r="AD371" s="112">
        <f>F371+H371+J371+L371+N371+P371+R371+T371+V371+X371+Z371+AB371</f>
        <v>0</v>
      </c>
      <c r="AE371" s="107">
        <f>G371+I371+K371+M371+O371+Q371+S371+U371+W371+Y371+AA371+AC371</f>
        <v>0</v>
      </c>
    </row>
    <row r="372" spans="1:31">
      <c r="A372" s="100">
        <v>311</v>
      </c>
      <c r="B372" s="108">
        <v>4971710489156</v>
      </c>
      <c r="C372" s="109" t="s">
        <v>84</v>
      </c>
      <c r="D372" s="120" t="s">
        <v>924</v>
      </c>
      <c r="E372" s="101" t="s">
        <v>85</v>
      </c>
      <c r="F372" s="110"/>
      <c r="G372" s="111"/>
      <c r="H372" s="104"/>
      <c r="I372" s="105"/>
      <c r="J372" s="102"/>
      <c r="K372" s="103"/>
      <c r="L372" s="102"/>
      <c r="M372" s="103"/>
      <c r="N372" s="102"/>
      <c r="O372" s="103"/>
      <c r="P372" s="102"/>
      <c r="Q372" s="106"/>
      <c r="R372" s="102"/>
      <c r="S372" s="106"/>
      <c r="T372" s="102"/>
      <c r="U372" s="106"/>
      <c r="V372" s="102"/>
      <c r="W372" s="106"/>
      <c r="X372" s="106"/>
      <c r="Y372" s="106"/>
      <c r="Z372" s="106"/>
      <c r="AA372" s="106"/>
      <c r="AB372" s="106"/>
      <c r="AC372" s="106"/>
      <c r="AD372" s="112">
        <f>F372+H372+J372+L372+N372+P372+R372+T372+V372+X372+Z372+AB372</f>
        <v>0</v>
      </c>
      <c r="AE372" s="107">
        <f>G372+I372+K372+M372+O372+Q372+S372+U372+W372+Y372+AA372+AC372</f>
        <v>0</v>
      </c>
    </row>
    <row r="373" spans="1:31">
      <c r="A373" s="100">
        <v>317</v>
      </c>
      <c r="B373" s="108">
        <v>4971710496475</v>
      </c>
      <c r="C373" s="109" t="s">
        <v>172</v>
      </c>
      <c r="D373" s="120" t="s">
        <v>924</v>
      </c>
      <c r="E373" s="101" t="s">
        <v>173</v>
      </c>
      <c r="F373" s="110"/>
      <c r="G373" s="111"/>
      <c r="H373" s="104"/>
      <c r="I373" s="105"/>
      <c r="J373" s="102"/>
      <c r="K373" s="103"/>
      <c r="L373" s="102"/>
      <c r="M373" s="103"/>
      <c r="N373" s="102"/>
      <c r="O373" s="103"/>
      <c r="P373" s="102"/>
      <c r="Q373" s="106"/>
      <c r="R373" s="102"/>
      <c r="S373" s="106"/>
      <c r="T373" s="102"/>
      <c r="U373" s="106"/>
      <c r="V373" s="102"/>
      <c r="W373" s="106"/>
      <c r="X373" s="106"/>
      <c r="Y373" s="106"/>
      <c r="Z373" s="106"/>
      <c r="AA373" s="106"/>
      <c r="AB373" s="106"/>
      <c r="AC373" s="106"/>
      <c r="AD373" s="112">
        <f>F373+H373+J373+L373+N373+P373+R373+T373+V373+X373+Z373+AB373</f>
        <v>0</v>
      </c>
      <c r="AE373" s="107">
        <f>G373+I373+K373+M373+O373+Q373+S373+U373+W373+Y373+AA373+AC373</f>
        <v>0</v>
      </c>
    </row>
    <row r="374" spans="1:31">
      <c r="A374" s="100">
        <v>318</v>
      </c>
      <c r="B374" s="108">
        <v>4971710581911</v>
      </c>
      <c r="C374" s="109" t="s">
        <v>691</v>
      </c>
      <c r="D374" s="120" t="s">
        <v>924</v>
      </c>
      <c r="E374" s="101" t="s">
        <v>692</v>
      </c>
      <c r="F374" s="110"/>
      <c r="G374" s="111"/>
      <c r="H374" s="104"/>
      <c r="I374" s="105"/>
      <c r="J374" s="102"/>
      <c r="K374" s="103"/>
      <c r="L374" s="102"/>
      <c r="M374" s="103"/>
      <c r="N374" s="102"/>
      <c r="O374" s="103"/>
      <c r="P374" s="102"/>
      <c r="Q374" s="106"/>
      <c r="R374" s="102"/>
      <c r="S374" s="106"/>
      <c r="T374" s="102"/>
      <c r="U374" s="106"/>
      <c r="V374" s="102"/>
      <c r="W374" s="106"/>
      <c r="X374" s="106"/>
      <c r="Y374" s="106"/>
      <c r="Z374" s="106"/>
      <c r="AA374" s="106"/>
      <c r="AB374" s="106"/>
      <c r="AC374" s="106"/>
      <c r="AD374" s="112">
        <f>F374+H374+J374+L374+N374+P374+R374+T374+V374+X374+Z374+AB374</f>
        <v>0</v>
      </c>
      <c r="AE374" s="107">
        <f>G374+I374+K374+M374+O374+Q374+S374+U374+W374+Y374+AA374+AC374</f>
        <v>0</v>
      </c>
    </row>
    <row r="375" spans="1:31">
      <c r="A375" s="100">
        <v>320</v>
      </c>
      <c r="B375" s="108">
        <v>4971710515824</v>
      </c>
      <c r="C375" s="109" t="s">
        <v>318</v>
      </c>
      <c r="D375" s="120" t="s">
        <v>924</v>
      </c>
      <c r="E375" s="101" t="s">
        <v>319</v>
      </c>
      <c r="F375" s="110"/>
      <c r="G375" s="111"/>
      <c r="H375" s="104"/>
      <c r="I375" s="105"/>
      <c r="J375" s="102"/>
      <c r="K375" s="103"/>
      <c r="L375" s="102"/>
      <c r="M375" s="103"/>
      <c r="N375" s="102"/>
      <c r="O375" s="103"/>
      <c r="P375" s="102"/>
      <c r="Q375" s="106"/>
      <c r="R375" s="102"/>
      <c r="S375" s="106"/>
      <c r="T375" s="102"/>
      <c r="U375" s="106"/>
      <c r="V375" s="102"/>
      <c r="W375" s="106"/>
      <c r="X375" s="106"/>
      <c r="Y375" s="106"/>
      <c r="Z375" s="106"/>
      <c r="AA375" s="106"/>
      <c r="AB375" s="106"/>
      <c r="AC375" s="106"/>
      <c r="AD375" s="112">
        <f>F375+H375+J375+L375+N375+P375+R375+T375+V375+X375+Z375+AB375</f>
        <v>0</v>
      </c>
      <c r="AE375" s="107">
        <f>G375+I375+K375+M375+O375+Q375+S375+U375+W375+Y375+AA375+AC375</f>
        <v>0</v>
      </c>
    </row>
    <row r="376" spans="1:31">
      <c r="A376" s="100">
        <v>323</v>
      </c>
      <c r="B376" s="108">
        <v>4971710496451</v>
      </c>
      <c r="C376" s="109" t="s">
        <v>168</v>
      </c>
      <c r="D376" s="120" t="s">
        <v>924</v>
      </c>
      <c r="E376" s="101" t="s">
        <v>169</v>
      </c>
      <c r="F376" s="110"/>
      <c r="G376" s="111"/>
      <c r="H376" s="104"/>
      <c r="I376" s="105"/>
      <c r="J376" s="102"/>
      <c r="K376" s="103"/>
      <c r="L376" s="102"/>
      <c r="M376" s="103"/>
      <c r="N376" s="102"/>
      <c r="O376" s="103"/>
      <c r="P376" s="102"/>
      <c r="Q376" s="106"/>
      <c r="R376" s="102"/>
      <c r="S376" s="106"/>
      <c r="T376" s="102"/>
      <c r="U376" s="106"/>
      <c r="V376" s="102"/>
      <c r="W376" s="106"/>
      <c r="X376" s="106"/>
      <c r="Y376" s="106"/>
      <c r="Z376" s="106"/>
      <c r="AA376" s="106"/>
      <c r="AB376" s="106"/>
      <c r="AC376" s="106"/>
      <c r="AD376" s="112">
        <f>F376+H376+J376+L376+N376+P376+R376+T376+V376+X376+Z376+AB376</f>
        <v>0</v>
      </c>
      <c r="AE376" s="107">
        <f>G376+I376+K376+M376+O376+Q376+S376+U376+W376+Y376+AA376+AC376</f>
        <v>0</v>
      </c>
    </row>
    <row r="377" spans="1:31">
      <c r="A377" s="100">
        <v>332</v>
      </c>
      <c r="B377" s="108">
        <v>4971710512243</v>
      </c>
      <c r="C377" s="109" t="s">
        <v>244</v>
      </c>
      <c r="D377" s="120" t="s">
        <v>924</v>
      </c>
      <c r="E377" s="101" t="s">
        <v>245</v>
      </c>
      <c r="F377" s="110"/>
      <c r="G377" s="111"/>
      <c r="H377" s="104"/>
      <c r="I377" s="105"/>
      <c r="J377" s="102"/>
      <c r="K377" s="103"/>
      <c r="L377" s="102"/>
      <c r="M377" s="103"/>
      <c r="N377" s="102"/>
      <c r="O377" s="103"/>
      <c r="P377" s="102"/>
      <c r="Q377" s="106"/>
      <c r="R377" s="102"/>
      <c r="S377" s="106"/>
      <c r="T377" s="102"/>
      <c r="U377" s="106"/>
      <c r="V377" s="102"/>
      <c r="W377" s="106"/>
      <c r="X377" s="106"/>
      <c r="Y377" s="106"/>
      <c r="Z377" s="106"/>
      <c r="AA377" s="106"/>
      <c r="AB377" s="106"/>
      <c r="AC377" s="106"/>
      <c r="AD377" s="112">
        <f>F377+H377+J377+L377+N377+P377+R377+T377+V377+X377+Z377+AB377</f>
        <v>0</v>
      </c>
      <c r="AE377" s="107">
        <f>G377+I377+K377+M377+O377+Q377+S377+U377+W377+Y377+AA377+AC377</f>
        <v>0</v>
      </c>
    </row>
    <row r="378" spans="1:31">
      <c r="A378" s="100">
        <v>333</v>
      </c>
      <c r="B378" s="108">
        <v>4971710589597</v>
      </c>
      <c r="C378" s="109" t="s">
        <v>725</v>
      </c>
      <c r="D378" s="120" t="s">
        <v>924</v>
      </c>
      <c r="E378" s="101" t="s">
        <v>726</v>
      </c>
      <c r="F378" s="110"/>
      <c r="G378" s="111"/>
      <c r="H378" s="104"/>
      <c r="I378" s="105"/>
      <c r="J378" s="102"/>
      <c r="K378" s="103"/>
      <c r="L378" s="102"/>
      <c r="M378" s="103"/>
      <c r="N378" s="102"/>
      <c r="O378" s="103"/>
      <c r="P378" s="102"/>
      <c r="Q378" s="106"/>
      <c r="R378" s="102"/>
      <c r="S378" s="106"/>
      <c r="T378" s="102"/>
      <c r="U378" s="106"/>
      <c r="V378" s="102"/>
      <c r="W378" s="106"/>
      <c r="X378" s="106"/>
      <c r="Y378" s="106"/>
      <c r="Z378" s="106"/>
      <c r="AA378" s="106"/>
      <c r="AB378" s="106"/>
      <c r="AC378" s="106"/>
      <c r="AD378" s="112">
        <f>F378+H378+J378+L378+N378+P378+R378+T378+V378+X378+Z378+AB378</f>
        <v>0</v>
      </c>
      <c r="AE378" s="107">
        <f>G378+I378+K378+M378+O378+Q378+S378+U378+W378+Y378+AA378+AC378</f>
        <v>0</v>
      </c>
    </row>
    <row r="379" spans="1:31">
      <c r="A379" s="100">
        <v>338</v>
      </c>
      <c r="B379" s="108">
        <v>4971710589580</v>
      </c>
      <c r="C379" s="109" t="s">
        <v>723</v>
      </c>
      <c r="D379" s="120" t="s">
        <v>924</v>
      </c>
      <c r="E379" s="101" t="s">
        <v>724</v>
      </c>
      <c r="F379" s="110"/>
      <c r="G379" s="111"/>
      <c r="H379" s="104"/>
      <c r="I379" s="105"/>
      <c r="J379" s="102"/>
      <c r="K379" s="103"/>
      <c r="L379" s="102"/>
      <c r="M379" s="103"/>
      <c r="N379" s="102"/>
      <c r="O379" s="103"/>
      <c r="P379" s="102"/>
      <c r="Q379" s="106"/>
      <c r="R379" s="102"/>
      <c r="S379" s="106"/>
      <c r="T379" s="102"/>
      <c r="U379" s="106"/>
      <c r="V379" s="102"/>
      <c r="W379" s="106"/>
      <c r="X379" s="106"/>
      <c r="Y379" s="106"/>
      <c r="Z379" s="106"/>
      <c r="AA379" s="106"/>
      <c r="AB379" s="106"/>
      <c r="AC379" s="106"/>
      <c r="AD379" s="112">
        <f>F379+H379+J379+L379+N379+P379+R379+T379+V379+X379+Z379+AB379</f>
        <v>0</v>
      </c>
      <c r="AE379" s="107">
        <f>G379+I379+K379+M379+O379+Q379+S379+U379+W379+Y379+AA379+AC379</f>
        <v>0</v>
      </c>
    </row>
    <row r="380" spans="1:31">
      <c r="A380" s="100">
        <v>339</v>
      </c>
      <c r="B380" s="108">
        <v>4971710511765</v>
      </c>
      <c r="C380" s="109" t="s">
        <v>214</v>
      </c>
      <c r="D380" s="120" t="s">
        <v>924</v>
      </c>
      <c r="E380" s="101" t="s">
        <v>215</v>
      </c>
      <c r="F380" s="110"/>
      <c r="G380" s="111"/>
      <c r="H380" s="104"/>
      <c r="I380" s="105"/>
      <c r="J380" s="102"/>
      <c r="K380" s="103"/>
      <c r="L380" s="102"/>
      <c r="M380" s="103"/>
      <c r="N380" s="102"/>
      <c r="O380" s="103"/>
      <c r="P380" s="102"/>
      <c r="Q380" s="106"/>
      <c r="R380" s="102"/>
      <c r="S380" s="106"/>
      <c r="T380" s="102"/>
      <c r="U380" s="106"/>
      <c r="V380" s="102"/>
      <c r="W380" s="106"/>
      <c r="X380" s="106"/>
      <c r="Y380" s="106"/>
      <c r="Z380" s="106"/>
      <c r="AA380" s="106"/>
      <c r="AB380" s="106"/>
      <c r="AC380" s="106"/>
      <c r="AD380" s="112">
        <f>F380+H380+J380+L380+N380+P380+R380+T380+V380+X380+Z380+AB380</f>
        <v>0</v>
      </c>
      <c r="AE380" s="107">
        <f>G380+I380+K380+M380+O380+Q380+S380+U380+W380+Y380+AA380+AC380</f>
        <v>0</v>
      </c>
    </row>
    <row r="381" spans="1:31">
      <c r="A381" s="100">
        <v>342</v>
      </c>
      <c r="B381" s="108">
        <v>4971710579307</v>
      </c>
      <c r="C381" s="109" t="s">
        <v>651</v>
      </c>
      <c r="D381" s="120" t="s">
        <v>924</v>
      </c>
      <c r="E381" s="101" t="s">
        <v>652</v>
      </c>
      <c r="F381" s="110"/>
      <c r="G381" s="111"/>
      <c r="H381" s="104"/>
      <c r="I381" s="105"/>
      <c r="J381" s="102"/>
      <c r="K381" s="103"/>
      <c r="L381" s="102"/>
      <c r="M381" s="103"/>
      <c r="N381" s="102"/>
      <c r="O381" s="103"/>
      <c r="P381" s="102"/>
      <c r="Q381" s="106"/>
      <c r="R381" s="102"/>
      <c r="S381" s="106"/>
      <c r="T381" s="102"/>
      <c r="U381" s="106"/>
      <c r="V381" s="102"/>
      <c r="W381" s="106"/>
      <c r="X381" s="106"/>
      <c r="Y381" s="106"/>
      <c r="Z381" s="106"/>
      <c r="AA381" s="106"/>
      <c r="AB381" s="106"/>
      <c r="AC381" s="106"/>
      <c r="AD381" s="112">
        <f>F381+H381+J381+L381+N381+P381+R381+T381+V381+X381+Z381+AB381</f>
        <v>0</v>
      </c>
      <c r="AE381" s="107">
        <f>G381+I381+K381+M381+O381+Q381+S381+U381+W381+Y381+AA381+AC381</f>
        <v>0</v>
      </c>
    </row>
    <row r="382" spans="1:31">
      <c r="A382" s="100">
        <v>343</v>
      </c>
      <c r="B382" s="108">
        <v>4971710589573</v>
      </c>
      <c r="C382" s="109" t="s">
        <v>721</v>
      </c>
      <c r="D382" s="120" t="s">
        <v>924</v>
      </c>
      <c r="E382" s="101" t="s">
        <v>722</v>
      </c>
      <c r="F382" s="110"/>
      <c r="G382" s="111"/>
      <c r="H382" s="104"/>
      <c r="I382" s="105"/>
      <c r="J382" s="102"/>
      <c r="K382" s="103"/>
      <c r="L382" s="102"/>
      <c r="M382" s="103"/>
      <c r="N382" s="102"/>
      <c r="O382" s="103"/>
      <c r="P382" s="102"/>
      <c r="Q382" s="106"/>
      <c r="R382" s="102"/>
      <c r="S382" s="106"/>
      <c r="T382" s="102"/>
      <c r="U382" s="106"/>
      <c r="V382" s="102"/>
      <c r="W382" s="106"/>
      <c r="X382" s="106"/>
      <c r="Y382" s="106"/>
      <c r="Z382" s="106"/>
      <c r="AA382" s="106"/>
      <c r="AB382" s="106"/>
      <c r="AC382" s="106"/>
      <c r="AD382" s="112">
        <f>F382+H382+J382+L382+N382+P382+R382+T382+V382+X382+Z382+AB382</f>
        <v>0</v>
      </c>
      <c r="AE382" s="107">
        <f>G382+I382+K382+M382+O382+Q382+S382+U382+W382+Y382+AA382+AC382</f>
        <v>0</v>
      </c>
    </row>
    <row r="383" spans="1:31">
      <c r="A383" s="100">
        <v>345</v>
      </c>
      <c r="B383" s="108">
        <v>4971710496437</v>
      </c>
      <c r="C383" s="109" t="s">
        <v>166</v>
      </c>
      <c r="D383" s="120" t="s">
        <v>924</v>
      </c>
      <c r="E383" s="101" t="s">
        <v>167</v>
      </c>
      <c r="F383" s="110"/>
      <c r="G383" s="111"/>
      <c r="H383" s="104"/>
      <c r="I383" s="105"/>
      <c r="J383" s="102"/>
      <c r="K383" s="103"/>
      <c r="L383" s="102"/>
      <c r="M383" s="103"/>
      <c r="N383" s="102"/>
      <c r="O383" s="103"/>
      <c r="P383" s="102"/>
      <c r="Q383" s="106"/>
      <c r="R383" s="102"/>
      <c r="S383" s="106"/>
      <c r="T383" s="102"/>
      <c r="U383" s="106"/>
      <c r="V383" s="102"/>
      <c r="W383" s="106"/>
      <c r="X383" s="106"/>
      <c r="Y383" s="106"/>
      <c r="Z383" s="106"/>
      <c r="AA383" s="106"/>
      <c r="AB383" s="106"/>
      <c r="AC383" s="106"/>
      <c r="AD383" s="112">
        <f>F383+H383+J383+L383+N383+P383+R383+T383+V383+X383+Z383+AB383</f>
        <v>0</v>
      </c>
      <c r="AE383" s="107">
        <f>G383+I383+K383+M383+O383+Q383+S383+U383+W383+Y383+AA383+AC383</f>
        <v>0</v>
      </c>
    </row>
    <row r="384" spans="1:31">
      <c r="A384" s="100">
        <v>346</v>
      </c>
      <c r="B384" s="108">
        <v>4971710512250</v>
      </c>
      <c r="C384" s="109" t="s">
        <v>246</v>
      </c>
      <c r="D384" s="120" t="s">
        <v>924</v>
      </c>
      <c r="E384" s="101" t="s">
        <v>247</v>
      </c>
      <c r="F384" s="110"/>
      <c r="G384" s="111"/>
      <c r="H384" s="104"/>
      <c r="I384" s="105"/>
      <c r="J384" s="102"/>
      <c r="K384" s="103"/>
      <c r="L384" s="102"/>
      <c r="M384" s="103"/>
      <c r="N384" s="102"/>
      <c r="O384" s="103"/>
      <c r="P384" s="102"/>
      <c r="Q384" s="106"/>
      <c r="R384" s="102"/>
      <c r="S384" s="106"/>
      <c r="T384" s="102"/>
      <c r="U384" s="106"/>
      <c r="V384" s="102"/>
      <c r="W384" s="106"/>
      <c r="X384" s="106"/>
      <c r="Y384" s="106"/>
      <c r="Z384" s="106"/>
      <c r="AA384" s="106"/>
      <c r="AB384" s="106"/>
      <c r="AC384" s="106"/>
      <c r="AD384" s="112">
        <f>F384+H384+J384+L384+N384+P384+R384+T384+V384+X384+Z384+AB384</f>
        <v>0</v>
      </c>
      <c r="AE384" s="107">
        <f>G384+I384+K384+M384+O384+Q384+S384+U384+W384+Y384+AA384+AC384</f>
        <v>0</v>
      </c>
    </row>
    <row r="385" spans="1:31">
      <c r="A385" s="100">
        <v>347</v>
      </c>
      <c r="B385" s="108">
        <v>4971710521528</v>
      </c>
      <c r="C385" s="109" t="s">
        <v>368</v>
      </c>
      <c r="D385" s="120" t="s">
        <v>924</v>
      </c>
      <c r="E385" s="101" t="s">
        <v>369</v>
      </c>
      <c r="F385" s="110"/>
      <c r="G385" s="111"/>
      <c r="H385" s="104"/>
      <c r="I385" s="105"/>
      <c r="J385" s="102"/>
      <c r="K385" s="103"/>
      <c r="L385" s="102"/>
      <c r="M385" s="103"/>
      <c r="N385" s="102"/>
      <c r="O385" s="103"/>
      <c r="P385" s="102"/>
      <c r="Q385" s="106"/>
      <c r="R385" s="102"/>
      <c r="S385" s="106"/>
      <c r="T385" s="102"/>
      <c r="U385" s="106"/>
      <c r="V385" s="102"/>
      <c r="W385" s="106"/>
      <c r="X385" s="106"/>
      <c r="Y385" s="106"/>
      <c r="Z385" s="106"/>
      <c r="AA385" s="106"/>
      <c r="AB385" s="106"/>
      <c r="AC385" s="106"/>
      <c r="AD385" s="112">
        <f>F385+H385+J385+L385+N385+P385+R385+T385+V385+X385+Z385+AB385</f>
        <v>0</v>
      </c>
      <c r="AE385" s="107">
        <f>G385+I385+K385+M385+O385+Q385+S385+U385+W385+Y385+AA385+AC385</f>
        <v>0</v>
      </c>
    </row>
    <row r="386" spans="1:31">
      <c r="A386" s="100">
        <v>348</v>
      </c>
      <c r="B386" s="108">
        <v>4971710512236</v>
      </c>
      <c r="C386" s="109" t="s">
        <v>242</v>
      </c>
      <c r="D386" s="120" t="s">
        <v>924</v>
      </c>
      <c r="E386" s="101" t="s">
        <v>243</v>
      </c>
      <c r="F386" s="110"/>
      <c r="G386" s="111"/>
      <c r="H386" s="104"/>
      <c r="I386" s="105"/>
      <c r="J386" s="102"/>
      <c r="K386" s="103"/>
      <c r="L386" s="102"/>
      <c r="M386" s="103"/>
      <c r="N386" s="102"/>
      <c r="O386" s="103"/>
      <c r="P386" s="102"/>
      <c r="Q386" s="106"/>
      <c r="R386" s="102"/>
      <c r="S386" s="106"/>
      <c r="T386" s="102"/>
      <c r="U386" s="106"/>
      <c r="V386" s="102"/>
      <c r="W386" s="106"/>
      <c r="X386" s="106"/>
      <c r="Y386" s="106"/>
      <c r="Z386" s="106"/>
      <c r="AA386" s="106"/>
      <c r="AB386" s="106"/>
      <c r="AC386" s="106"/>
      <c r="AD386" s="112">
        <f>F386+H386+J386+L386+N386+P386+R386+T386+V386+X386+Z386+AB386</f>
        <v>0</v>
      </c>
      <c r="AE386" s="107">
        <f>G386+I386+K386+M386+O386+Q386+S386+U386+W386+Y386+AA386+AC386</f>
        <v>0</v>
      </c>
    </row>
    <row r="387" spans="1:31">
      <c r="A387" s="100">
        <v>350</v>
      </c>
      <c r="B387" s="108">
        <v>4971710494877</v>
      </c>
      <c r="C387" s="109" t="s">
        <v>128</v>
      </c>
      <c r="D387" s="120" t="s">
        <v>924</v>
      </c>
      <c r="E387" s="101" t="s">
        <v>129</v>
      </c>
      <c r="F387" s="110"/>
      <c r="G387" s="111"/>
      <c r="H387" s="104"/>
      <c r="I387" s="105"/>
      <c r="J387" s="102"/>
      <c r="K387" s="103"/>
      <c r="L387" s="102"/>
      <c r="M387" s="103"/>
      <c r="N387" s="102"/>
      <c r="O387" s="103"/>
      <c r="P387" s="102"/>
      <c r="Q387" s="106"/>
      <c r="R387" s="102"/>
      <c r="S387" s="106"/>
      <c r="T387" s="102"/>
      <c r="U387" s="106"/>
      <c r="V387" s="102"/>
      <c r="W387" s="106"/>
      <c r="X387" s="106"/>
      <c r="Y387" s="106"/>
      <c r="Z387" s="106"/>
      <c r="AA387" s="106"/>
      <c r="AB387" s="106"/>
      <c r="AC387" s="106"/>
      <c r="AD387" s="112">
        <f>F387+H387+J387+L387+N387+P387+R387+T387+V387+X387+Z387+AB387</f>
        <v>0</v>
      </c>
      <c r="AE387" s="107">
        <f>G387+I387+K387+M387+O387+Q387+S387+U387+W387+Y387+AA387+AC387</f>
        <v>0</v>
      </c>
    </row>
    <row r="388" spans="1:31">
      <c r="A388" s="100">
        <v>352</v>
      </c>
      <c r="B388" s="108">
        <v>4971710512267</v>
      </c>
      <c r="C388" s="109" t="s">
        <v>248</v>
      </c>
      <c r="D388" s="120" t="s">
        <v>924</v>
      </c>
      <c r="E388" s="101" t="s">
        <v>249</v>
      </c>
      <c r="F388" s="110"/>
      <c r="G388" s="111"/>
      <c r="H388" s="104"/>
      <c r="I388" s="105"/>
      <c r="J388" s="102"/>
      <c r="K388" s="103"/>
      <c r="L388" s="102"/>
      <c r="M388" s="103"/>
      <c r="N388" s="102"/>
      <c r="O388" s="103"/>
      <c r="P388" s="102"/>
      <c r="Q388" s="106"/>
      <c r="R388" s="102"/>
      <c r="S388" s="106"/>
      <c r="T388" s="102"/>
      <c r="U388" s="106"/>
      <c r="V388" s="102"/>
      <c r="W388" s="106"/>
      <c r="X388" s="106"/>
      <c r="Y388" s="106"/>
      <c r="Z388" s="106"/>
      <c r="AA388" s="106"/>
      <c r="AB388" s="106"/>
      <c r="AC388" s="106"/>
      <c r="AD388" s="112">
        <f>F388+H388+J388+L388+N388+P388+R388+T388+V388+X388+Z388+AB388</f>
        <v>0</v>
      </c>
      <c r="AE388" s="107">
        <f>G388+I388+K388+M388+O388+Q388+S388+U388+W388+Y388+AA388+AC388</f>
        <v>0</v>
      </c>
    </row>
    <row r="389" spans="1:31">
      <c r="A389" s="100">
        <v>355</v>
      </c>
      <c r="B389" s="108">
        <v>4971710507614</v>
      </c>
      <c r="C389" s="109" t="s">
        <v>184</v>
      </c>
      <c r="D389" s="120" t="s">
        <v>924</v>
      </c>
      <c r="E389" s="101" t="s">
        <v>185</v>
      </c>
      <c r="F389" s="110"/>
      <c r="G389" s="111"/>
      <c r="H389" s="104"/>
      <c r="I389" s="105"/>
      <c r="J389" s="102"/>
      <c r="K389" s="103"/>
      <c r="L389" s="102"/>
      <c r="M389" s="103"/>
      <c r="N389" s="102"/>
      <c r="O389" s="103"/>
      <c r="P389" s="102"/>
      <c r="Q389" s="106"/>
      <c r="R389" s="102"/>
      <c r="S389" s="106"/>
      <c r="T389" s="102"/>
      <c r="U389" s="106"/>
      <c r="V389" s="102"/>
      <c r="W389" s="106"/>
      <c r="X389" s="106"/>
      <c r="Y389" s="106"/>
      <c r="Z389" s="106"/>
      <c r="AA389" s="106"/>
      <c r="AB389" s="106"/>
      <c r="AC389" s="106"/>
      <c r="AD389" s="112">
        <f>F389+H389+J389+L389+N389+P389+R389+T389+V389+X389+Z389+AB389</f>
        <v>0</v>
      </c>
      <c r="AE389" s="107">
        <f>G389+I389+K389+M389+O389+Q389+S389+U389+W389+Y389+AA389+AC389</f>
        <v>0</v>
      </c>
    </row>
    <row r="390" spans="1:31">
      <c r="A390" s="100">
        <v>357</v>
      </c>
      <c r="B390" s="108">
        <v>4971710521511</v>
      </c>
      <c r="C390" s="109" t="s">
        <v>366</v>
      </c>
      <c r="D390" s="120" t="s">
        <v>924</v>
      </c>
      <c r="E390" s="101" t="s">
        <v>367</v>
      </c>
      <c r="F390" s="110"/>
      <c r="G390" s="111"/>
      <c r="H390" s="104"/>
      <c r="I390" s="105"/>
      <c r="J390" s="102"/>
      <c r="K390" s="103"/>
      <c r="L390" s="102"/>
      <c r="M390" s="103"/>
      <c r="N390" s="102"/>
      <c r="O390" s="103"/>
      <c r="P390" s="102"/>
      <c r="Q390" s="106"/>
      <c r="R390" s="102"/>
      <c r="S390" s="106"/>
      <c r="T390" s="102"/>
      <c r="U390" s="106"/>
      <c r="V390" s="102"/>
      <c r="W390" s="106"/>
      <c r="X390" s="106"/>
      <c r="Y390" s="106"/>
      <c r="Z390" s="106"/>
      <c r="AA390" s="106"/>
      <c r="AB390" s="106"/>
      <c r="AC390" s="106"/>
      <c r="AD390" s="112">
        <f>F390+H390+J390+L390+N390+P390+R390+T390+V390+X390+Z390+AB390</f>
        <v>0</v>
      </c>
      <c r="AE390" s="107">
        <f>G390+I390+K390+M390+O390+Q390+S390+U390+W390+Y390+AA390+AC390</f>
        <v>0</v>
      </c>
    </row>
    <row r="391" spans="1:31">
      <c r="A391" s="100">
        <v>358</v>
      </c>
      <c r="B391" s="108">
        <v>4971710496468</v>
      </c>
      <c r="C391" s="109" t="s">
        <v>170</v>
      </c>
      <c r="D391" s="120" t="s">
        <v>924</v>
      </c>
      <c r="E391" s="101" t="s">
        <v>171</v>
      </c>
      <c r="F391" s="110"/>
      <c r="G391" s="111"/>
      <c r="H391" s="104"/>
      <c r="I391" s="105"/>
      <c r="J391" s="102"/>
      <c r="K391" s="103"/>
      <c r="L391" s="102"/>
      <c r="M391" s="103"/>
      <c r="N391" s="102"/>
      <c r="O391" s="103"/>
      <c r="P391" s="102"/>
      <c r="Q391" s="106"/>
      <c r="R391" s="102"/>
      <c r="S391" s="106"/>
      <c r="T391" s="102"/>
      <c r="U391" s="106"/>
      <c r="V391" s="102"/>
      <c r="W391" s="106"/>
      <c r="X391" s="106"/>
      <c r="Y391" s="106"/>
      <c r="Z391" s="106"/>
      <c r="AA391" s="106"/>
      <c r="AB391" s="106"/>
      <c r="AC391" s="106"/>
      <c r="AD391" s="112">
        <f>F391+H391+J391+L391+N391+P391+R391+T391+V391+X391+Z391+AB391</f>
        <v>0</v>
      </c>
      <c r="AE391" s="107">
        <f>G391+I391+K391+M391+O391+Q391+S391+U391+W391+Y391+AA391+AC391</f>
        <v>0</v>
      </c>
    </row>
    <row r="392" spans="1:31">
      <c r="A392" s="100">
        <v>359</v>
      </c>
      <c r="B392" s="108">
        <v>4971710494921</v>
      </c>
      <c r="C392" s="109" t="s">
        <v>134</v>
      </c>
      <c r="D392" s="120" t="s">
        <v>924</v>
      </c>
      <c r="E392" s="101" t="s">
        <v>135</v>
      </c>
      <c r="F392" s="110"/>
      <c r="G392" s="111"/>
      <c r="H392" s="104"/>
      <c r="I392" s="105"/>
      <c r="J392" s="102"/>
      <c r="K392" s="103"/>
      <c r="L392" s="102"/>
      <c r="M392" s="103"/>
      <c r="N392" s="102"/>
      <c r="O392" s="103"/>
      <c r="P392" s="102"/>
      <c r="Q392" s="106"/>
      <c r="R392" s="102"/>
      <c r="S392" s="106"/>
      <c r="T392" s="102"/>
      <c r="U392" s="106"/>
      <c r="V392" s="102"/>
      <c r="W392" s="106"/>
      <c r="X392" s="106"/>
      <c r="Y392" s="106"/>
      <c r="Z392" s="106"/>
      <c r="AA392" s="106"/>
      <c r="AB392" s="106"/>
      <c r="AC392" s="106"/>
      <c r="AD392" s="112">
        <f>F392+H392+J392+L392+N392+P392+R392+T392+V392+X392+Z392+AB392</f>
        <v>0</v>
      </c>
      <c r="AE392" s="107">
        <f>G392+I392+K392+M392+O392+Q392+S392+U392+W392+Y392+AA392+AC392</f>
        <v>0</v>
      </c>
    </row>
    <row r="393" spans="1:31">
      <c r="A393" s="100">
        <v>364</v>
      </c>
      <c r="B393" s="108">
        <v>4971710507652</v>
      </c>
      <c r="C393" s="109" t="s">
        <v>186</v>
      </c>
      <c r="D393" s="120" t="s">
        <v>924</v>
      </c>
      <c r="E393" s="101" t="s">
        <v>187</v>
      </c>
      <c r="F393" s="110"/>
      <c r="G393" s="111"/>
      <c r="H393" s="104"/>
      <c r="I393" s="105"/>
      <c r="J393" s="102"/>
      <c r="K393" s="103"/>
      <c r="L393" s="102"/>
      <c r="M393" s="103"/>
      <c r="N393" s="102"/>
      <c r="O393" s="103"/>
      <c r="P393" s="102"/>
      <c r="Q393" s="106"/>
      <c r="R393" s="102"/>
      <c r="S393" s="106"/>
      <c r="T393" s="102"/>
      <c r="U393" s="106"/>
      <c r="V393" s="102"/>
      <c r="W393" s="106"/>
      <c r="X393" s="106"/>
      <c r="Y393" s="106"/>
      <c r="Z393" s="106"/>
      <c r="AA393" s="106"/>
      <c r="AB393" s="106"/>
      <c r="AC393" s="106"/>
      <c r="AD393" s="112">
        <f>F393+H393+J393+L393+N393+P393+R393+T393+V393+X393+Z393+AB393</f>
        <v>0</v>
      </c>
      <c r="AE393" s="107">
        <f>G393+I393+K393+M393+O393+Q393+S393+U393+W393+Y393+AA393+AC393</f>
        <v>0</v>
      </c>
    </row>
    <row r="394" spans="1:31">
      <c r="A394" s="100">
        <v>367</v>
      </c>
      <c r="B394" s="108">
        <v>4971710509038</v>
      </c>
      <c r="C394" s="109" t="s">
        <v>206</v>
      </c>
      <c r="D394" s="120" t="s">
        <v>924</v>
      </c>
      <c r="E394" s="101" t="s">
        <v>207</v>
      </c>
      <c r="F394" s="110"/>
      <c r="G394" s="111"/>
      <c r="H394" s="104"/>
      <c r="I394" s="105"/>
      <c r="J394" s="102"/>
      <c r="K394" s="103"/>
      <c r="L394" s="102"/>
      <c r="M394" s="103"/>
      <c r="N394" s="102"/>
      <c r="O394" s="103"/>
      <c r="P394" s="102"/>
      <c r="Q394" s="106"/>
      <c r="R394" s="102"/>
      <c r="S394" s="106"/>
      <c r="T394" s="102"/>
      <c r="U394" s="106"/>
      <c r="V394" s="102"/>
      <c r="W394" s="106"/>
      <c r="X394" s="106"/>
      <c r="Y394" s="106"/>
      <c r="Z394" s="106"/>
      <c r="AA394" s="106"/>
      <c r="AB394" s="106"/>
      <c r="AC394" s="106"/>
      <c r="AD394" s="112">
        <f>F394+H394+J394+L394+N394+P394+R394+T394+V394+X394+Z394+AB394</f>
        <v>0</v>
      </c>
      <c r="AE394" s="107">
        <f>G394+I394+K394+M394+O394+Q394+S394+U394+W394+Y394+AA394+AC394</f>
        <v>0</v>
      </c>
    </row>
    <row r="395" spans="1:31">
      <c r="A395" s="100">
        <v>369</v>
      </c>
      <c r="B395" s="108">
        <v>4971710494860</v>
      </c>
      <c r="C395" s="109" t="s">
        <v>126</v>
      </c>
      <c r="D395" s="120" t="s">
        <v>924</v>
      </c>
      <c r="E395" s="101" t="s">
        <v>127</v>
      </c>
      <c r="F395" s="110"/>
      <c r="G395" s="111"/>
      <c r="H395" s="104"/>
      <c r="I395" s="105"/>
      <c r="J395" s="102"/>
      <c r="K395" s="103"/>
      <c r="L395" s="102"/>
      <c r="M395" s="103"/>
      <c r="N395" s="102"/>
      <c r="O395" s="103"/>
      <c r="P395" s="102"/>
      <c r="Q395" s="106"/>
      <c r="R395" s="102"/>
      <c r="S395" s="106"/>
      <c r="T395" s="102"/>
      <c r="U395" s="106"/>
      <c r="V395" s="102"/>
      <c r="W395" s="106"/>
      <c r="X395" s="106"/>
      <c r="Y395" s="106"/>
      <c r="Z395" s="106"/>
      <c r="AA395" s="106"/>
      <c r="AB395" s="106"/>
      <c r="AC395" s="106"/>
      <c r="AD395" s="112">
        <f>F395+H395+J395+L395+N395+P395+R395+T395+V395+X395+Z395+AB395</f>
        <v>0</v>
      </c>
      <c r="AE395" s="107">
        <f>G395+I395+K395+M395+O395+Q395+S395+U395+W395+Y395+AA395+AC395</f>
        <v>0</v>
      </c>
    </row>
    <row r="396" spans="1:31">
      <c r="A396" s="100">
        <v>374</v>
      </c>
      <c r="B396" s="108">
        <v>4971710489170</v>
      </c>
      <c r="C396" s="109" t="s">
        <v>86</v>
      </c>
      <c r="D396" s="120" t="s">
        <v>924</v>
      </c>
      <c r="E396" s="101" t="s">
        <v>87</v>
      </c>
      <c r="F396" s="110"/>
      <c r="G396" s="111"/>
      <c r="H396" s="104"/>
      <c r="I396" s="105"/>
      <c r="J396" s="102"/>
      <c r="K396" s="103"/>
      <c r="L396" s="102"/>
      <c r="M396" s="103"/>
      <c r="N396" s="102"/>
      <c r="O396" s="103"/>
      <c r="P396" s="102"/>
      <c r="Q396" s="106"/>
      <c r="R396" s="102"/>
      <c r="S396" s="106"/>
      <c r="T396" s="102"/>
      <c r="U396" s="106"/>
      <c r="V396" s="102"/>
      <c r="W396" s="106"/>
      <c r="X396" s="106"/>
      <c r="Y396" s="106"/>
      <c r="Z396" s="106"/>
      <c r="AA396" s="106"/>
      <c r="AB396" s="106"/>
      <c r="AC396" s="106"/>
      <c r="AD396" s="112">
        <f>F396+H396+J396+L396+N396+P396+R396+T396+V396+X396+Z396+AB396</f>
        <v>0</v>
      </c>
      <c r="AE396" s="107">
        <f>G396+I396+K396+M396+O396+Q396+S396+U396+W396+Y396+AA396+AC396</f>
        <v>0</v>
      </c>
    </row>
    <row r="397" spans="1:31">
      <c r="A397" s="100">
        <v>378</v>
      </c>
      <c r="B397" s="108">
        <v>4971710494938</v>
      </c>
      <c r="C397" s="109" t="s">
        <v>136</v>
      </c>
      <c r="D397" s="120" t="s">
        <v>924</v>
      </c>
      <c r="E397" s="101" t="s">
        <v>137</v>
      </c>
      <c r="F397" s="110"/>
      <c r="G397" s="111"/>
      <c r="H397" s="104"/>
      <c r="I397" s="105"/>
      <c r="J397" s="102"/>
      <c r="K397" s="103"/>
      <c r="L397" s="102"/>
      <c r="M397" s="103"/>
      <c r="N397" s="102"/>
      <c r="O397" s="103"/>
      <c r="P397" s="102"/>
      <c r="Q397" s="106"/>
      <c r="R397" s="102"/>
      <c r="S397" s="106"/>
      <c r="T397" s="102"/>
      <c r="U397" s="106"/>
      <c r="V397" s="102"/>
      <c r="W397" s="106"/>
      <c r="X397" s="106"/>
      <c r="Y397" s="106"/>
      <c r="Z397" s="106"/>
      <c r="AA397" s="106"/>
      <c r="AB397" s="106"/>
      <c r="AC397" s="106"/>
      <c r="AD397" s="112">
        <f>F397+H397+J397+L397+N397+P397+R397+T397+V397+X397+Z397+AB397</f>
        <v>0</v>
      </c>
      <c r="AE397" s="107">
        <f>G397+I397+K397+M397+O397+Q397+S397+U397+W397+Y397+AA397+AC397</f>
        <v>0</v>
      </c>
    </row>
    <row r="398" spans="1:31">
      <c r="A398" s="100">
        <v>379</v>
      </c>
      <c r="B398" s="108">
        <v>4971710579925</v>
      </c>
      <c r="C398" s="109" t="s">
        <v>671</v>
      </c>
      <c r="D398" s="120" t="s">
        <v>924</v>
      </c>
      <c r="E398" s="101" t="s">
        <v>672</v>
      </c>
      <c r="F398" s="110"/>
      <c r="G398" s="111"/>
      <c r="H398" s="104"/>
      <c r="I398" s="105"/>
      <c r="J398" s="102"/>
      <c r="K398" s="103"/>
      <c r="L398" s="102"/>
      <c r="M398" s="103"/>
      <c r="N398" s="102"/>
      <c r="O398" s="103"/>
      <c r="P398" s="102"/>
      <c r="Q398" s="106"/>
      <c r="R398" s="102"/>
      <c r="S398" s="106"/>
      <c r="T398" s="102"/>
      <c r="U398" s="106"/>
      <c r="V398" s="102"/>
      <c r="W398" s="106"/>
      <c r="X398" s="106"/>
      <c r="Y398" s="106"/>
      <c r="Z398" s="106"/>
      <c r="AA398" s="106"/>
      <c r="AB398" s="106"/>
      <c r="AC398" s="106"/>
      <c r="AD398" s="112">
        <f>F398+H398+J398+L398+N398+P398+R398+T398+V398+X398+Z398+AB398</f>
        <v>0</v>
      </c>
      <c r="AE398" s="107">
        <f>G398+I398+K398+M398+O398+Q398+S398+U398+W398+Y398+AA398+AC398</f>
        <v>0</v>
      </c>
    </row>
    <row r="399" spans="1:31">
      <c r="A399" s="100">
        <v>380</v>
      </c>
      <c r="B399" s="108">
        <v>4971710519440</v>
      </c>
      <c r="C399" s="109" t="s">
        <v>354</v>
      </c>
      <c r="D399" s="120" t="s">
        <v>924</v>
      </c>
      <c r="E399" s="101" t="s">
        <v>355</v>
      </c>
      <c r="F399" s="110"/>
      <c r="G399" s="111"/>
      <c r="H399" s="104"/>
      <c r="I399" s="105"/>
      <c r="J399" s="102"/>
      <c r="K399" s="103"/>
      <c r="L399" s="102"/>
      <c r="M399" s="103"/>
      <c r="N399" s="102"/>
      <c r="O399" s="103"/>
      <c r="P399" s="102"/>
      <c r="Q399" s="106"/>
      <c r="R399" s="102"/>
      <c r="S399" s="106"/>
      <c r="T399" s="102"/>
      <c r="U399" s="106"/>
      <c r="V399" s="102"/>
      <c r="W399" s="106"/>
      <c r="X399" s="106"/>
      <c r="Y399" s="106"/>
      <c r="Z399" s="106"/>
      <c r="AA399" s="106"/>
      <c r="AB399" s="106"/>
      <c r="AC399" s="106"/>
      <c r="AD399" s="112">
        <f>F399+H399+J399+L399+N399+P399+R399+T399+V399+X399+Z399+AB399</f>
        <v>0</v>
      </c>
      <c r="AE399" s="107">
        <f>G399+I399+K399+M399+O399+Q399+S399+U399+W399+Y399+AA399+AC399</f>
        <v>0</v>
      </c>
    </row>
    <row r="400" spans="1:31">
      <c r="A400" s="100">
        <v>381</v>
      </c>
      <c r="B400" s="108">
        <v>4971710519464</v>
      </c>
      <c r="C400" s="109" t="s">
        <v>358</v>
      </c>
      <c r="D400" s="120" t="s">
        <v>924</v>
      </c>
      <c r="E400" s="101" t="s">
        <v>359</v>
      </c>
      <c r="F400" s="110"/>
      <c r="G400" s="111"/>
      <c r="H400" s="104"/>
      <c r="I400" s="105"/>
      <c r="J400" s="102"/>
      <c r="K400" s="103"/>
      <c r="L400" s="102"/>
      <c r="M400" s="103"/>
      <c r="N400" s="102"/>
      <c r="O400" s="103"/>
      <c r="P400" s="102"/>
      <c r="Q400" s="106"/>
      <c r="R400" s="102"/>
      <c r="S400" s="106"/>
      <c r="T400" s="102"/>
      <c r="U400" s="106"/>
      <c r="V400" s="102"/>
      <c r="W400" s="106"/>
      <c r="X400" s="106"/>
      <c r="Y400" s="106"/>
      <c r="Z400" s="106"/>
      <c r="AA400" s="106"/>
      <c r="AB400" s="106"/>
      <c r="AC400" s="106"/>
      <c r="AD400" s="112">
        <f>F400+H400+J400+L400+N400+P400+R400+T400+V400+X400+Z400+AB400</f>
        <v>0</v>
      </c>
      <c r="AE400" s="107">
        <f>G400+I400+K400+M400+O400+Q400+S400+U400+W400+Y400+AA400+AC400</f>
        <v>0</v>
      </c>
    </row>
    <row r="401" spans="1:31">
      <c r="A401" s="100">
        <v>384</v>
      </c>
      <c r="B401" s="108">
        <v>4971710579819</v>
      </c>
      <c r="C401" s="109" t="s">
        <v>659</v>
      </c>
      <c r="D401" s="120" t="s">
        <v>924</v>
      </c>
      <c r="E401" s="101" t="s">
        <v>660</v>
      </c>
      <c r="F401" s="110"/>
      <c r="G401" s="111"/>
      <c r="H401" s="104"/>
      <c r="I401" s="105"/>
      <c r="J401" s="102"/>
      <c r="K401" s="103"/>
      <c r="L401" s="102"/>
      <c r="M401" s="103"/>
      <c r="N401" s="102"/>
      <c r="O401" s="103"/>
      <c r="P401" s="102"/>
      <c r="Q401" s="106"/>
      <c r="R401" s="102"/>
      <c r="S401" s="106"/>
      <c r="T401" s="102"/>
      <c r="U401" s="106"/>
      <c r="V401" s="102"/>
      <c r="W401" s="106"/>
      <c r="X401" s="106"/>
      <c r="Y401" s="106"/>
      <c r="Z401" s="106"/>
      <c r="AA401" s="106"/>
      <c r="AB401" s="106"/>
      <c r="AC401" s="106"/>
      <c r="AD401" s="112">
        <f>F401+H401+J401+L401+N401+P401+R401+T401+V401+X401+Z401+AB401</f>
        <v>0</v>
      </c>
      <c r="AE401" s="107">
        <f>G401+I401+K401+M401+O401+Q401+S401+U401+W401+Y401+AA401+AC401</f>
        <v>0</v>
      </c>
    </row>
    <row r="402" spans="1:31">
      <c r="A402" s="100">
        <v>385</v>
      </c>
      <c r="B402" s="108">
        <v>4971710494952</v>
      </c>
      <c r="C402" s="109" t="s">
        <v>140</v>
      </c>
      <c r="D402" s="120" t="s">
        <v>924</v>
      </c>
      <c r="E402" s="101" t="s">
        <v>141</v>
      </c>
      <c r="F402" s="110"/>
      <c r="G402" s="111"/>
      <c r="H402" s="104"/>
      <c r="I402" s="105"/>
      <c r="J402" s="102"/>
      <c r="K402" s="103"/>
      <c r="L402" s="102"/>
      <c r="M402" s="103"/>
      <c r="N402" s="102"/>
      <c r="O402" s="103"/>
      <c r="P402" s="102"/>
      <c r="Q402" s="106"/>
      <c r="R402" s="102"/>
      <c r="S402" s="106"/>
      <c r="T402" s="102"/>
      <c r="U402" s="106"/>
      <c r="V402" s="102"/>
      <c r="W402" s="106"/>
      <c r="X402" s="106"/>
      <c r="Y402" s="106"/>
      <c r="Z402" s="106"/>
      <c r="AA402" s="106"/>
      <c r="AB402" s="106"/>
      <c r="AC402" s="106"/>
      <c r="AD402" s="112">
        <f>F402+H402+J402+L402+N402+P402+R402+T402+V402+X402+Z402+AB402</f>
        <v>0</v>
      </c>
      <c r="AE402" s="107">
        <f>G402+I402+K402+M402+O402+Q402+S402+U402+W402+Y402+AA402+AC402</f>
        <v>0</v>
      </c>
    </row>
    <row r="403" spans="1:31">
      <c r="A403" s="100">
        <v>386</v>
      </c>
      <c r="B403" s="108">
        <v>4971710506730</v>
      </c>
      <c r="C403" s="109" t="s">
        <v>782</v>
      </c>
      <c r="D403" s="120" t="s">
        <v>924</v>
      </c>
      <c r="E403" s="101" t="s">
        <v>783</v>
      </c>
      <c r="F403" s="110"/>
      <c r="G403" s="111"/>
      <c r="H403" s="104"/>
      <c r="I403" s="105"/>
      <c r="J403" s="102"/>
      <c r="K403" s="103"/>
      <c r="L403" s="102"/>
      <c r="M403" s="103"/>
      <c r="N403" s="102"/>
      <c r="O403" s="103"/>
      <c r="P403" s="102"/>
      <c r="Q403" s="106"/>
      <c r="R403" s="102"/>
      <c r="S403" s="106"/>
      <c r="T403" s="102"/>
      <c r="U403" s="106"/>
      <c r="V403" s="102"/>
      <c r="W403" s="106"/>
      <c r="X403" s="106"/>
      <c r="Y403" s="106"/>
      <c r="Z403" s="106"/>
      <c r="AA403" s="106"/>
      <c r="AB403" s="106"/>
      <c r="AC403" s="106"/>
      <c r="AD403" s="112">
        <f>F403+H403+J403+L403+N403+P403+R403+T403+V403+X403+Z403+AB403</f>
        <v>0</v>
      </c>
      <c r="AE403" s="107">
        <f>G403+I403+K403+M403+O403+Q403+S403+U403+W403+Y403+AA403+AC403</f>
        <v>0</v>
      </c>
    </row>
    <row r="404" spans="1:31">
      <c r="A404" s="100">
        <v>392</v>
      </c>
      <c r="B404" s="108">
        <v>4971710611847</v>
      </c>
      <c r="C404" s="109" t="s">
        <v>1015</v>
      </c>
      <c r="D404" s="120" t="s">
        <v>924</v>
      </c>
      <c r="E404" s="101" t="s">
        <v>1016</v>
      </c>
      <c r="F404" s="114"/>
      <c r="G404" s="115"/>
      <c r="H404" s="104"/>
      <c r="I404" s="105"/>
      <c r="J404" s="102"/>
      <c r="K404" s="103"/>
      <c r="L404" s="102"/>
      <c r="M404" s="103"/>
      <c r="N404" s="102"/>
      <c r="O404" s="103"/>
      <c r="P404" s="102"/>
      <c r="Q404" s="106"/>
      <c r="R404" s="102"/>
      <c r="S404" s="106"/>
      <c r="T404" s="102"/>
      <c r="U404" s="106"/>
      <c r="V404" s="102"/>
      <c r="W404" s="106"/>
      <c r="X404" s="106"/>
      <c r="Y404" s="106"/>
      <c r="Z404" s="106"/>
      <c r="AA404" s="106"/>
      <c r="AB404" s="106"/>
      <c r="AC404" s="106"/>
      <c r="AD404" s="113">
        <f>F404+H404+J404+L404+N404+P404+R404+T404+V404+X404+Z404+AB404</f>
        <v>0</v>
      </c>
      <c r="AE404" s="107">
        <f>G404+I404+K404+M404+O404+Q404+S404+U404+W404+Y404+AA404+AC404</f>
        <v>0</v>
      </c>
    </row>
    <row r="405" spans="1:31">
      <c r="A405" s="100">
        <v>396</v>
      </c>
      <c r="B405" s="108">
        <v>4971710517965</v>
      </c>
      <c r="C405" s="109" t="s">
        <v>955</v>
      </c>
      <c r="D405" s="120" t="s">
        <v>924</v>
      </c>
      <c r="E405" s="101" t="s">
        <v>961</v>
      </c>
      <c r="F405" s="114"/>
      <c r="G405" s="115"/>
      <c r="H405" s="104"/>
      <c r="I405" s="105"/>
      <c r="J405" s="102"/>
      <c r="K405" s="103"/>
      <c r="L405" s="102"/>
      <c r="M405" s="103"/>
      <c r="N405" s="102"/>
      <c r="O405" s="103"/>
      <c r="P405" s="102"/>
      <c r="Q405" s="106"/>
      <c r="R405" s="102"/>
      <c r="S405" s="106"/>
      <c r="T405" s="102"/>
      <c r="U405" s="106"/>
      <c r="V405" s="102"/>
      <c r="W405" s="106"/>
      <c r="X405" s="106"/>
      <c r="Y405" s="106"/>
      <c r="Z405" s="106"/>
      <c r="AA405" s="106"/>
      <c r="AB405" s="106"/>
      <c r="AC405" s="106"/>
      <c r="AD405" s="113">
        <f>F405+H405+J405+L405+N405+P405+R405+T405+V405+X405+Z405+AB405</f>
        <v>0</v>
      </c>
      <c r="AE405" s="107">
        <f>G405+I405+K405+M405+O405+Q405+S405+U405+W405+Y405+AA405+AC405</f>
        <v>0</v>
      </c>
    </row>
    <row r="406" spans="1:31">
      <c r="A406" s="100">
        <v>397</v>
      </c>
      <c r="B406" s="108">
        <v>4971710580747</v>
      </c>
      <c r="C406" s="109" t="s">
        <v>687</v>
      </c>
      <c r="D406" s="120" t="s">
        <v>924</v>
      </c>
      <c r="E406" s="101" t="s">
        <v>688</v>
      </c>
      <c r="F406" s="114"/>
      <c r="G406" s="115"/>
      <c r="H406" s="104"/>
      <c r="I406" s="105"/>
      <c r="J406" s="102"/>
      <c r="K406" s="103"/>
      <c r="L406" s="102"/>
      <c r="M406" s="103"/>
      <c r="N406" s="102"/>
      <c r="O406" s="103"/>
      <c r="P406" s="102"/>
      <c r="Q406" s="106"/>
      <c r="R406" s="102"/>
      <c r="S406" s="106"/>
      <c r="T406" s="102"/>
      <c r="U406" s="106"/>
      <c r="V406" s="102"/>
      <c r="W406" s="106"/>
      <c r="X406" s="106"/>
      <c r="Y406" s="106"/>
      <c r="Z406" s="106"/>
      <c r="AA406" s="106"/>
      <c r="AB406" s="106"/>
      <c r="AC406" s="106"/>
      <c r="AD406" s="112">
        <f>F406+H406+J406+L406+N406+P406+R406+T406+V406+X406+Z406+AB406</f>
        <v>0</v>
      </c>
      <c r="AE406" s="107">
        <f>G406+I406+K406+M406+O406+Q406+S406+U406+W406+Y406+AA406+AC406</f>
        <v>0</v>
      </c>
    </row>
    <row r="407" spans="1:31">
      <c r="A407" s="100">
        <v>400</v>
      </c>
      <c r="B407" s="108">
        <v>4971710589566</v>
      </c>
      <c r="C407" s="109" t="s">
        <v>799</v>
      </c>
      <c r="D407" s="120" t="s">
        <v>924</v>
      </c>
      <c r="E407" s="101" t="s">
        <v>1067</v>
      </c>
      <c r="F407" s="114"/>
      <c r="G407" s="115"/>
      <c r="H407" s="104"/>
      <c r="I407" s="105"/>
      <c r="J407" s="102"/>
      <c r="K407" s="103"/>
      <c r="L407" s="102"/>
      <c r="M407" s="103"/>
      <c r="N407" s="102"/>
      <c r="O407" s="103"/>
      <c r="P407" s="102"/>
      <c r="Q407" s="106"/>
      <c r="R407" s="102"/>
      <c r="S407" s="106"/>
      <c r="T407" s="102"/>
      <c r="U407" s="106"/>
      <c r="V407" s="102"/>
      <c r="W407" s="106"/>
      <c r="X407" s="106"/>
      <c r="Y407" s="106"/>
      <c r="Z407" s="106"/>
      <c r="AA407" s="106"/>
      <c r="AB407" s="106"/>
      <c r="AC407" s="106"/>
      <c r="AD407" s="112">
        <f>F407+H407+J407+L407+N407+P407+R407+T407+V407+X407+Z407+AB407</f>
        <v>0</v>
      </c>
      <c r="AE407" s="107">
        <f>G407+I407+K407+M407+O407+Q407+S407+U407+W407+Y407+AA407+AC407</f>
        <v>0</v>
      </c>
    </row>
    <row r="408" spans="1:31">
      <c r="A408" s="100">
        <v>401</v>
      </c>
      <c r="B408" s="108">
        <v>4971710560961</v>
      </c>
      <c r="C408" s="109" t="s">
        <v>820</v>
      </c>
      <c r="D408" s="120" t="s">
        <v>924</v>
      </c>
      <c r="E408" s="101" t="s">
        <v>1068</v>
      </c>
      <c r="F408" s="114"/>
      <c r="G408" s="115"/>
      <c r="H408" s="104"/>
      <c r="I408" s="105"/>
      <c r="J408" s="102"/>
      <c r="K408" s="103"/>
      <c r="L408" s="102"/>
      <c r="M408" s="103"/>
      <c r="N408" s="102"/>
      <c r="O408" s="103"/>
      <c r="P408" s="102"/>
      <c r="Q408" s="106"/>
      <c r="R408" s="102"/>
      <c r="S408" s="106"/>
      <c r="T408" s="102"/>
      <c r="U408" s="106"/>
      <c r="V408" s="102"/>
      <c r="W408" s="106"/>
      <c r="X408" s="106"/>
      <c r="Y408" s="106"/>
      <c r="Z408" s="106"/>
      <c r="AA408" s="106"/>
      <c r="AB408" s="106"/>
      <c r="AC408" s="106"/>
      <c r="AD408" s="112">
        <f>F408+H408+J408+L408+N408+P408+R408+T408+V408+X408+Z408+AB408</f>
        <v>0</v>
      </c>
      <c r="AE408" s="107">
        <f>G408+I408+K408+M408+O408+Q408+S408+U408+W408+Y408+AA408+AC408</f>
        <v>0</v>
      </c>
    </row>
    <row r="409" spans="1:31">
      <c r="A409" s="100">
        <v>402</v>
      </c>
      <c r="B409" s="108">
        <v>4971710507584</v>
      </c>
      <c r="C409" s="109" t="s">
        <v>178</v>
      </c>
      <c r="D409" s="120" t="s">
        <v>924</v>
      </c>
      <c r="E409" s="101" t="s">
        <v>179</v>
      </c>
      <c r="F409" s="114"/>
      <c r="G409" s="115"/>
      <c r="H409" s="104"/>
      <c r="I409" s="105"/>
      <c r="J409" s="102"/>
      <c r="K409" s="103"/>
      <c r="L409" s="102"/>
      <c r="M409" s="103"/>
      <c r="N409" s="102"/>
      <c r="O409" s="103"/>
      <c r="P409" s="102"/>
      <c r="Q409" s="106"/>
      <c r="R409" s="102"/>
      <c r="S409" s="106"/>
      <c r="T409" s="102"/>
      <c r="U409" s="106"/>
      <c r="V409" s="102"/>
      <c r="W409" s="106"/>
      <c r="X409" s="106"/>
      <c r="Y409" s="106"/>
      <c r="Z409" s="106"/>
      <c r="AA409" s="106"/>
      <c r="AB409" s="106"/>
      <c r="AC409" s="106"/>
      <c r="AD409" s="112">
        <f>F409+H409+J409+L409+N409+P409+R409+T409+V409+X409+Z409+AB409</f>
        <v>0</v>
      </c>
      <c r="AE409" s="107">
        <f>G409+I409+K409+M409+O409+Q409+S409+U409+W409+Y409+AA409+AC409</f>
        <v>0</v>
      </c>
    </row>
    <row r="410" spans="1:31">
      <c r="A410" s="100">
        <v>403</v>
      </c>
      <c r="B410" s="108">
        <v>4971710611854</v>
      </c>
      <c r="C410" s="109" t="s">
        <v>1017</v>
      </c>
      <c r="D410" s="120" t="s">
        <v>924</v>
      </c>
      <c r="E410" s="101" t="s">
        <v>1018</v>
      </c>
      <c r="F410" s="114"/>
      <c r="G410" s="115"/>
      <c r="H410" s="104"/>
      <c r="I410" s="105"/>
      <c r="J410" s="102"/>
      <c r="K410" s="103"/>
      <c r="L410" s="102"/>
      <c r="M410" s="103"/>
      <c r="N410" s="102"/>
      <c r="O410" s="103"/>
      <c r="P410" s="102"/>
      <c r="Q410" s="106"/>
      <c r="R410" s="102"/>
      <c r="S410" s="106"/>
      <c r="T410" s="102"/>
      <c r="U410" s="106"/>
      <c r="V410" s="102"/>
      <c r="W410" s="106"/>
      <c r="X410" s="106"/>
      <c r="Y410" s="106"/>
      <c r="Z410" s="106"/>
      <c r="AA410" s="106"/>
      <c r="AB410" s="106"/>
      <c r="AC410" s="106"/>
      <c r="AD410" s="113">
        <f>F410+H410+J410+L410+N410+P410+R410+T410+V410+X410+Z410+AB410</f>
        <v>0</v>
      </c>
      <c r="AE410" s="107">
        <f>G410+I410+K410+M410+O410+Q410+S410+U410+W410+Y410+AA410+AC410</f>
        <v>0</v>
      </c>
    </row>
    <row r="411" spans="1:31">
      <c r="A411" s="100">
        <v>404</v>
      </c>
      <c r="B411" s="108">
        <v>4971710568677</v>
      </c>
      <c r="C411" s="109" t="s">
        <v>530</v>
      </c>
      <c r="D411" s="120" t="s">
        <v>924</v>
      </c>
      <c r="E411" s="101" t="s">
        <v>531</v>
      </c>
      <c r="F411" s="114"/>
      <c r="G411" s="115"/>
      <c r="H411" s="104"/>
      <c r="I411" s="105"/>
      <c r="J411" s="102"/>
      <c r="K411" s="103"/>
      <c r="L411" s="102"/>
      <c r="M411" s="103"/>
      <c r="N411" s="102"/>
      <c r="O411" s="103"/>
      <c r="P411" s="102"/>
      <c r="Q411" s="106"/>
      <c r="R411" s="102"/>
      <c r="S411" s="106"/>
      <c r="T411" s="102"/>
      <c r="U411" s="106"/>
      <c r="V411" s="102"/>
      <c r="W411" s="106"/>
      <c r="X411" s="106"/>
      <c r="Y411" s="106"/>
      <c r="Z411" s="106"/>
      <c r="AA411" s="106"/>
      <c r="AB411" s="106"/>
      <c r="AC411" s="106"/>
      <c r="AD411" s="112">
        <f>F411+H411+J411+L411+N411+P411+R411+T411+V411+X411+Z411+AB411</f>
        <v>0</v>
      </c>
      <c r="AE411" s="107">
        <f>G411+I411+K411+M411+O411+Q411+S411+U411+W411+Y411+AA411+AC411</f>
        <v>0</v>
      </c>
    </row>
    <row r="412" spans="1:31">
      <c r="A412" s="100">
        <v>407</v>
      </c>
      <c r="B412" s="108">
        <v>4971710575910</v>
      </c>
      <c r="C412" s="109" t="s">
        <v>599</v>
      </c>
      <c r="D412" s="120" t="s">
        <v>924</v>
      </c>
      <c r="E412" s="101" t="s">
        <v>600</v>
      </c>
      <c r="F412" s="114"/>
      <c r="G412" s="115"/>
      <c r="H412" s="104"/>
      <c r="I412" s="105"/>
      <c r="J412" s="102"/>
      <c r="K412" s="103"/>
      <c r="L412" s="102"/>
      <c r="M412" s="103"/>
      <c r="N412" s="102"/>
      <c r="O412" s="103"/>
      <c r="P412" s="102"/>
      <c r="Q412" s="106"/>
      <c r="R412" s="102"/>
      <c r="S412" s="106"/>
      <c r="T412" s="102"/>
      <c r="U412" s="106"/>
      <c r="V412" s="102"/>
      <c r="W412" s="106"/>
      <c r="X412" s="106"/>
      <c r="Y412" s="106"/>
      <c r="Z412" s="106"/>
      <c r="AA412" s="106"/>
      <c r="AB412" s="106"/>
      <c r="AC412" s="106"/>
      <c r="AD412" s="112">
        <f>F412+H412+J412+L412+N412+P412+R412+T412+V412+X412+Z412+AB412</f>
        <v>0</v>
      </c>
      <c r="AE412" s="107">
        <f>G412+I412+K412+M412+O412+Q412+S412+U412+W412+Y412+AA412+AC412</f>
        <v>0</v>
      </c>
    </row>
    <row r="413" spans="1:31">
      <c r="A413" s="100">
        <v>408</v>
      </c>
      <c r="B413" s="108">
        <v>4971710511833</v>
      </c>
      <c r="C413" s="109" t="s">
        <v>222</v>
      </c>
      <c r="D413" s="120" t="s">
        <v>924</v>
      </c>
      <c r="E413" s="101" t="s">
        <v>223</v>
      </c>
      <c r="F413" s="114"/>
      <c r="G413" s="115"/>
      <c r="H413" s="104"/>
      <c r="I413" s="105"/>
      <c r="J413" s="102"/>
      <c r="K413" s="103"/>
      <c r="L413" s="102"/>
      <c r="M413" s="103"/>
      <c r="N413" s="102"/>
      <c r="O413" s="103"/>
      <c r="P413" s="102"/>
      <c r="Q413" s="106"/>
      <c r="R413" s="102"/>
      <c r="S413" s="106"/>
      <c r="T413" s="102"/>
      <c r="U413" s="106"/>
      <c r="V413" s="102"/>
      <c r="W413" s="106"/>
      <c r="X413" s="106"/>
      <c r="Y413" s="106"/>
      <c r="Z413" s="106"/>
      <c r="AA413" s="106"/>
      <c r="AB413" s="106"/>
      <c r="AC413" s="106"/>
      <c r="AD413" s="112">
        <f>F413+H413+J413+L413+N413+P413+R413+T413+V413+X413+Z413+AB413</f>
        <v>0</v>
      </c>
      <c r="AE413" s="107">
        <f>G413+I413+K413+M413+O413+Q413+S413+U413+W413+Y413+AA413+AC413</f>
        <v>0</v>
      </c>
    </row>
    <row r="414" spans="1:31">
      <c r="A414" s="100">
        <v>409</v>
      </c>
      <c r="B414" s="108">
        <v>4971710519433</v>
      </c>
      <c r="C414" s="109" t="s">
        <v>352</v>
      </c>
      <c r="D414" s="120" t="s">
        <v>924</v>
      </c>
      <c r="E414" s="101" t="s">
        <v>353</v>
      </c>
      <c r="F414" s="114"/>
      <c r="G414" s="115"/>
      <c r="H414" s="104"/>
      <c r="I414" s="105"/>
      <c r="J414" s="102"/>
      <c r="K414" s="103"/>
      <c r="L414" s="102"/>
      <c r="M414" s="103"/>
      <c r="N414" s="102"/>
      <c r="O414" s="103"/>
      <c r="P414" s="102"/>
      <c r="Q414" s="106"/>
      <c r="R414" s="102"/>
      <c r="S414" s="106"/>
      <c r="T414" s="102"/>
      <c r="U414" s="106"/>
      <c r="V414" s="102"/>
      <c r="W414" s="106"/>
      <c r="X414" s="106"/>
      <c r="Y414" s="106"/>
      <c r="Z414" s="106"/>
      <c r="AA414" s="106"/>
      <c r="AB414" s="106"/>
      <c r="AC414" s="106"/>
      <c r="AD414" s="112">
        <f>F414+H414+J414+L414+N414+P414+R414+T414+V414+X414+Z414+AB414</f>
        <v>0</v>
      </c>
      <c r="AE414" s="107">
        <f>G414+I414+K414+M414+O414+Q414+S414+U414+W414+Y414+AA414+AC414</f>
        <v>0</v>
      </c>
    </row>
    <row r="415" spans="1:31">
      <c r="A415" s="100">
        <v>411</v>
      </c>
      <c r="B415" s="108">
        <v>4971710575743</v>
      </c>
      <c r="C415" s="109" t="s">
        <v>585</v>
      </c>
      <c r="D415" s="120" t="s">
        <v>924</v>
      </c>
      <c r="E415" s="101" t="s">
        <v>586</v>
      </c>
      <c r="F415" s="114"/>
      <c r="G415" s="115"/>
      <c r="H415" s="104"/>
      <c r="I415" s="105"/>
      <c r="J415" s="102"/>
      <c r="K415" s="103"/>
      <c r="L415" s="102"/>
      <c r="M415" s="103"/>
      <c r="N415" s="102"/>
      <c r="O415" s="103"/>
      <c r="P415" s="102"/>
      <c r="Q415" s="106"/>
      <c r="R415" s="102"/>
      <c r="S415" s="106"/>
      <c r="T415" s="102"/>
      <c r="U415" s="106"/>
      <c r="V415" s="102"/>
      <c r="W415" s="106"/>
      <c r="X415" s="106"/>
      <c r="Y415" s="106"/>
      <c r="Z415" s="106"/>
      <c r="AA415" s="106"/>
      <c r="AB415" s="106"/>
      <c r="AC415" s="106"/>
      <c r="AD415" s="112">
        <f>F415+H415+J415+L415+N415+P415+R415+T415+V415+X415+Z415+AB415</f>
        <v>0</v>
      </c>
      <c r="AE415" s="107">
        <f>G415+I415+K415+M415+O415+Q415+S415+U415+W415+Y415+AA415+AC415</f>
        <v>0</v>
      </c>
    </row>
    <row r="416" spans="1:31">
      <c r="A416" s="100">
        <v>412</v>
      </c>
      <c r="B416" s="108">
        <v>4971710575835</v>
      </c>
      <c r="C416" s="109" t="s">
        <v>593</v>
      </c>
      <c r="D416" s="120" t="s">
        <v>924</v>
      </c>
      <c r="E416" s="101" t="s">
        <v>594</v>
      </c>
      <c r="F416" s="114"/>
      <c r="G416" s="115"/>
      <c r="H416" s="104"/>
      <c r="I416" s="105"/>
      <c r="J416" s="102"/>
      <c r="K416" s="103"/>
      <c r="L416" s="102"/>
      <c r="M416" s="103"/>
      <c r="N416" s="102"/>
      <c r="O416" s="103"/>
      <c r="P416" s="102"/>
      <c r="Q416" s="106"/>
      <c r="R416" s="102"/>
      <c r="S416" s="106"/>
      <c r="T416" s="102"/>
      <c r="U416" s="106"/>
      <c r="V416" s="102"/>
      <c r="W416" s="106"/>
      <c r="X416" s="106"/>
      <c r="Y416" s="106"/>
      <c r="Z416" s="106"/>
      <c r="AA416" s="106"/>
      <c r="AB416" s="106"/>
      <c r="AC416" s="106"/>
      <c r="AD416" s="112">
        <f>F416+H416+J416+L416+N416+P416+R416+T416+V416+X416+Z416+AB416</f>
        <v>0</v>
      </c>
      <c r="AE416" s="107">
        <f>G416+I416+K416+M416+O416+Q416+S416+U416+W416+Y416+AA416+AC416</f>
        <v>0</v>
      </c>
    </row>
    <row r="417" spans="1:31">
      <c r="A417" s="100">
        <v>418</v>
      </c>
      <c r="B417" s="108">
        <v>4971710521504</v>
      </c>
      <c r="C417" s="109" t="s">
        <v>364</v>
      </c>
      <c r="D417" s="120" t="s">
        <v>924</v>
      </c>
      <c r="E417" s="101" t="s">
        <v>365</v>
      </c>
      <c r="F417" s="114"/>
      <c r="G417" s="115"/>
      <c r="H417" s="104"/>
      <c r="I417" s="105"/>
      <c r="J417" s="102"/>
      <c r="K417" s="103"/>
      <c r="L417" s="102"/>
      <c r="M417" s="103"/>
      <c r="N417" s="102"/>
      <c r="O417" s="103"/>
      <c r="P417" s="102"/>
      <c r="Q417" s="106"/>
      <c r="R417" s="102"/>
      <c r="S417" s="106"/>
      <c r="T417" s="102"/>
      <c r="U417" s="106"/>
      <c r="V417" s="102"/>
      <c r="W417" s="106"/>
      <c r="X417" s="106"/>
      <c r="Y417" s="106"/>
      <c r="Z417" s="106"/>
      <c r="AA417" s="106"/>
      <c r="AB417" s="106"/>
      <c r="AC417" s="106"/>
      <c r="AD417" s="112">
        <f>F417+H417+J417+L417+N417+P417+R417+T417+V417+X417+Z417+AB417</f>
        <v>0</v>
      </c>
      <c r="AE417" s="107">
        <f>G417+I417+K417+M417+O417+Q417+S417+U417+W417+Y417+AA417+AC417</f>
        <v>0</v>
      </c>
    </row>
    <row r="418" spans="1:31">
      <c r="A418" s="100">
        <v>420</v>
      </c>
      <c r="B418" s="108">
        <v>4971710590050</v>
      </c>
      <c r="C418" s="109" t="s">
        <v>731</v>
      </c>
      <c r="D418" s="120" t="s">
        <v>924</v>
      </c>
      <c r="E418" s="101" t="s">
        <v>732</v>
      </c>
      <c r="F418" s="114"/>
      <c r="G418" s="115"/>
      <c r="H418" s="104"/>
      <c r="I418" s="105"/>
      <c r="J418" s="102"/>
      <c r="K418" s="103"/>
      <c r="L418" s="102"/>
      <c r="M418" s="103"/>
      <c r="N418" s="102"/>
      <c r="O418" s="103"/>
      <c r="P418" s="102"/>
      <c r="Q418" s="106"/>
      <c r="R418" s="102"/>
      <c r="S418" s="106"/>
      <c r="T418" s="102"/>
      <c r="U418" s="106"/>
      <c r="V418" s="102"/>
      <c r="W418" s="106"/>
      <c r="X418" s="106"/>
      <c r="Y418" s="106"/>
      <c r="Z418" s="106"/>
      <c r="AA418" s="106"/>
      <c r="AB418" s="106"/>
      <c r="AC418" s="106"/>
      <c r="AD418" s="112">
        <f>F418+H418+J418+L418+N418+P418+R418+T418+V418+X418+Z418+AB418</f>
        <v>0</v>
      </c>
      <c r="AE418" s="107">
        <f>G418+I418+K418+M418+O418+Q418+S418+U418+W418+Y418+AA418+AC418</f>
        <v>0</v>
      </c>
    </row>
    <row r="419" spans="1:31">
      <c r="A419" s="100">
        <v>422</v>
      </c>
      <c r="B419" s="108">
        <v>4971710575767</v>
      </c>
      <c r="C419" s="109" t="s">
        <v>587</v>
      </c>
      <c r="D419" s="120" t="s">
        <v>924</v>
      </c>
      <c r="E419" s="101" t="s">
        <v>588</v>
      </c>
      <c r="F419" s="114"/>
      <c r="G419" s="115"/>
      <c r="H419" s="104"/>
      <c r="I419" s="105"/>
      <c r="J419" s="102"/>
      <c r="K419" s="103"/>
      <c r="L419" s="102"/>
      <c r="M419" s="103"/>
      <c r="N419" s="102"/>
      <c r="O419" s="103"/>
      <c r="P419" s="102"/>
      <c r="Q419" s="106"/>
      <c r="R419" s="102"/>
      <c r="S419" s="106"/>
      <c r="T419" s="102"/>
      <c r="U419" s="106"/>
      <c r="V419" s="102"/>
      <c r="W419" s="106"/>
      <c r="X419" s="106"/>
      <c r="Y419" s="106"/>
      <c r="Z419" s="106"/>
      <c r="AA419" s="106"/>
      <c r="AB419" s="106"/>
      <c r="AC419" s="106"/>
      <c r="AD419" s="112">
        <f>F419+H419+J419+L419+N419+P419+R419+T419+V419+X419+Z419+AB419</f>
        <v>0</v>
      </c>
      <c r="AE419" s="107">
        <f>G419+I419+K419+M419+O419+Q419+S419+U419+W419+Y419+AA419+AC419</f>
        <v>0</v>
      </c>
    </row>
    <row r="420" spans="1:31">
      <c r="A420" s="100">
        <v>423</v>
      </c>
      <c r="B420" s="108">
        <v>4971710578782</v>
      </c>
      <c r="C420" s="109" t="s">
        <v>643</v>
      </c>
      <c r="D420" s="120" t="s">
        <v>924</v>
      </c>
      <c r="E420" s="101" t="s">
        <v>644</v>
      </c>
      <c r="F420" s="114"/>
      <c r="G420" s="115"/>
      <c r="H420" s="104"/>
      <c r="I420" s="105"/>
      <c r="J420" s="102"/>
      <c r="K420" s="103"/>
      <c r="L420" s="102"/>
      <c r="M420" s="103"/>
      <c r="N420" s="102"/>
      <c r="O420" s="103"/>
      <c r="P420" s="102"/>
      <c r="Q420" s="106"/>
      <c r="R420" s="102"/>
      <c r="S420" s="106"/>
      <c r="T420" s="102"/>
      <c r="U420" s="106"/>
      <c r="V420" s="102"/>
      <c r="W420" s="106"/>
      <c r="X420" s="106"/>
      <c r="Y420" s="106"/>
      <c r="Z420" s="106"/>
      <c r="AA420" s="106"/>
      <c r="AB420" s="106"/>
      <c r="AC420" s="106"/>
      <c r="AD420" s="112">
        <f>F420+H420+J420+L420+N420+P420+R420+T420+V420+X420+Z420+AB420</f>
        <v>0</v>
      </c>
      <c r="AE420" s="107">
        <f>G420+I420+K420+M420+O420+Q420+S420+U420+W420+Y420+AA420+AC420</f>
        <v>0</v>
      </c>
    </row>
    <row r="421" spans="1:31">
      <c r="A421" s="100">
        <v>425</v>
      </c>
      <c r="B421" s="108">
        <v>4971710519457</v>
      </c>
      <c r="C421" s="109" t="s">
        <v>356</v>
      </c>
      <c r="D421" s="120" t="s">
        <v>924</v>
      </c>
      <c r="E421" s="101" t="s">
        <v>357</v>
      </c>
      <c r="F421" s="114"/>
      <c r="G421" s="115"/>
      <c r="H421" s="104"/>
      <c r="I421" s="105"/>
      <c r="J421" s="102"/>
      <c r="K421" s="103"/>
      <c r="L421" s="102"/>
      <c r="M421" s="103"/>
      <c r="N421" s="102"/>
      <c r="O421" s="103"/>
      <c r="P421" s="102"/>
      <c r="Q421" s="106"/>
      <c r="R421" s="102"/>
      <c r="S421" s="106"/>
      <c r="T421" s="102"/>
      <c r="U421" s="106"/>
      <c r="V421" s="102"/>
      <c r="W421" s="106"/>
      <c r="X421" s="106"/>
      <c r="Y421" s="106"/>
      <c r="Z421" s="106"/>
      <c r="AA421" s="106"/>
      <c r="AB421" s="106"/>
      <c r="AC421" s="106"/>
      <c r="AD421" s="112">
        <f>F421+H421+J421+L421+N421+P421+R421+T421+V421+X421+Z421+AB421</f>
        <v>0</v>
      </c>
      <c r="AE421" s="107">
        <f>G421+I421+K421+M421+O421+Q421+S421+U421+W421+Y421+AA421+AC421</f>
        <v>0</v>
      </c>
    </row>
    <row r="422" spans="1:31">
      <c r="A422" s="100">
        <v>427</v>
      </c>
      <c r="B422" s="108">
        <v>4971710579314</v>
      </c>
      <c r="C422" s="109" t="s">
        <v>653</v>
      </c>
      <c r="D422" s="120" t="s">
        <v>924</v>
      </c>
      <c r="E422" s="101" t="s">
        <v>654</v>
      </c>
      <c r="F422" s="114"/>
      <c r="G422" s="115"/>
      <c r="H422" s="104"/>
      <c r="I422" s="105"/>
      <c r="J422" s="102"/>
      <c r="K422" s="103"/>
      <c r="L422" s="102"/>
      <c r="M422" s="103"/>
      <c r="N422" s="102"/>
      <c r="O422" s="103"/>
      <c r="P422" s="102"/>
      <c r="Q422" s="106"/>
      <c r="R422" s="102"/>
      <c r="S422" s="106"/>
      <c r="T422" s="102"/>
      <c r="U422" s="106"/>
      <c r="V422" s="102"/>
      <c r="W422" s="106"/>
      <c r="X422" s="106"/>
      <c r="Y422" s="106"/>
      <c r="Z422" s="106"/>
      <c r="AA422" s="106"/>
      <c r="AB422" s="106"/>
      <c r="AC422" s="106"/>
      <c r="AD422" s="112">
        <f>F422+H422+J422+L422+N422+P422+R422+T422+V422+X422+Z422+AB422</f>
        <v>0</v>
      </c>
      <c r="AE422" s="107">
        <f>G422+I422+K422+M422+O422+Q422+S422+U422+W422+Y422+AA422+AC422</f>
        <v>0</v>
      </c>
    </row>
    <row r="423" spans="1:31">
      <c r="A423" s="100">
        <v>428</v>
      </c>
      <c r="B423" s="108">
        <v>4971710590043</v>
      </c>
      <c r="C423" s="109" t="s">
        <v>729</v>
      </c>
      <c r="D423" s="120" t="s">
        <v>924</v>
      </c>
      <c r="E423" s="101" t="s">
        <v>730</v>
      </c>
      <c r="F423" s="114"/>
      <c r="G423" s="115"/>
      <c r="H423" s="104"/>
      <c r="I423" s="105"/>
      <c r="J423" s="102"/>
      <c r="K423" s="103"/>
      <c r="L423" s="102"/>
      <c r="M423" s="103"/>
      <c r="N423" s="102"/>
      <c r="O423" s="103"/>
      <c r="P423" s="102"/>
      <c r="Q423" s="106"/>
      <c r="R423" s="102"/>
      <c r="S423" s="106"/>
      <c r="T423" s="102"/>
      <c r="U423" s="106"/>
      <c r="V423" s="102"/>
      <c r="W423" s="106"/>
      <c r="X423" s="106"/>
      <c r="Y423" s="106"/>
      <c r="Z423" s="106"/>
      <c r="AA423" s="106"/>
      <c r="AB423" s="106"/>
      <c r="AC423" s="106"/>
      <c r="AD423" s="112">
        <f>F423+H423+J423+L423+N423+P423+R423+T423+V423+X423+Z423+AB423</f>
        <v>0</v>
      </c>
      <c r="AE423" s="107">
        <f>G423+I423+K423+M423+O423+Q423+S423+U423+W423+Y423+AA423+AC423</f>
        <v>0</v>
      </c>
    </row>
    <row r="424" spans="1:31">
      <c r="A424" s="100">
        <v>429</v>
      </c>
      <c r="B424" s="108">
        <v>4971710575828</v>
      </c>
      <c r="C424" s="109" t="s">
        <v>591</v>
      </c>
      <c r="D424" s="120" t="s">
        <v>924</v>
      </c>
      <c r="E424" s="101" t="s">
        <v>592</v>
      </c>
      <c r="F424" s="114"/>
      <c r="G424" s="115"/>
      <c r="H424" s="104"/>
      <c r="I424" s="105"/>
      <c r="J424" s="102"/>
      <c r="K424" s="103"/>
      <c r="L424" s="102"/>
      <c r="M424" s="103"/>
      <c r="N424" s="102"/>
      <c r="O424" s="103"/>
      <c r="P424" s="102"/>
      <c r="Q424" s="106"/>
      <c r="R424" s="102"/>
      <c r="S424" s="106"/>
      <c r="T424" s="102"/>
      <c r="U424" s="106"/>
      <c r="V424" s="102"/>
      <c r="W424" s="106"/>
      <c r="X424" s="106"/>
      <c r="Y424" s="106"/>
      <c r="Z424" s="106"/>
      <c r="AA424" s="106"/>
      <c r="AB424" s="106"/>
      <c r="AC424" s="106"/>
      <c r="AD424" s="112">
        <f>F424+H424+J424+L424+N424+P424+R424+T424+V424+X424+Z424+AB424</f>
        <v>0</v>
      </c>
      <c r="AE424" s="107">
        <f>G424+I424+K424+M424+O424+Q424+S424+U424+W424+Y424+AA424+AC424</f>
        <v>0</v>
      </c>
    </row>
    <row r="425" spans="1:31">
      <c r="A425" s="100">
        <v>430</v>
      </c>
      <c r="B425" s="108">
        <v>4971710575781</v>
      </c>
      <c r="C425" s="109" t="s">
        <v>589</v>
      </c>
      <c r="D425" s="120" t="s">
        <v>924</v>
      </c>
      <c r="E425" s="101" t="s">
        <v>590</v>
      </c>
      <c r="F425" s="114"/>
      <c r="G425" s="115"/>
      <c r="H425" s="104"/>
      <c r="I425" s="105"/>
      <c r="J425" s="102"/>
      <c r="K425" s="103"/>
      <c r="L425" s="102"/>
      <c r="M425" s="103"/>
      <c r="N425" s="102"/>
      <c r="O425" s="103"/>
      <c r="P425" s="102"/>
      <c r="Q425" s="106"/>
      <c r="R425" s="102"/>
      <c r="S425" s="106"/>
      <c r="T425" s="102"/>
      <c r="U425" s="106"/>
      <c r="V425" s="102"/>
      <c r="W425" s="106"/>
      <c r="X425" s="106"/>
      <c r="Y425" s="106"/>
      <c r="Z425" s="106"/>
      <c r="AA425" s="106"/>
      <c r="AB425" s="106"/>
      <c r="AC425" s="106"/>
      <c r="AD425" s="112">
        <f>F425+H425+J425+L425+N425+P425+R425+T425+V425+X425+Z425+AB425</f>
        <v>0</v>
      </c>
      <c r="AE425" s="107">
        <f>G425+I425+K425+M425+O425+Q425+S425+U425+W425+Y425+AA425+AC425</f>
        <v>0</v>
      </c>
    </row>
    <row r="426" spans="1:31">
      <c r="A426" s="100">
        <v>431</v>
      </c>
      <c r="B426" s="108">
        <v>4971710575866</v>
      </c>
      <c r="C426" s="109" t="s">
        <v>595</v>
      </c>
      <c r="D426" s="120" t="s">
        <v>924</v>
      </c>
      <c r="E426" s="101" t="s">
        <v>596</v>
      </c>
      <c r="F426" s="114"/>
      <c r="G426" s="115"/>
      <c r="H426" s="104"/>
      <c r="I426" s="105"/>
      <c r="J426" s="102"/>
      <c r="K426" s="103"/>
      <c r="L426" s="102"/>
      <c r="M426" s="103"/>
      <c r="N426" s="102"/>
      <c r="O426" s="103"/>
      <c r="P426" s="102"/>
      <c r="Q426" s="106"/>
      <c r="R426" s="102"/>
      <c r="S426" s="106"/>
      <c r="T426" s="102"/>
      <c r="U426" s="106"/>
      <c r="V426" s="102"/>
      <c r="W426" s="106"/>
      <c r="X426" s="106"/>
      <c r="Y426" s="106"/>
      <c r="Z426" s="106"/>
      <c r="AA426" s="106"/>
      <c r="AB426" s="106"/>
      <c r="AC426" s="106"/>
      <c r="AD426" s="112">
        <f>F426+H426+J426+L426+N426+P426+R426+T426+V426+X426+Z426+AB426</f>
        <v>0</v>
      </c>
      <c r="AE426" s="107">
        <f>G426+I426+K426+M426+O426+Q426+S426+U426+W426+Y426+AA426+AC426</f>
        <v>0</v>
      </c>
    </row>
    <row r="427" spans="1:31">
      <c r="A427" s="100">
        <v>432</v>
      </c>
      <c r="B427" s="108">
        <v>4971710578812</v>
      </c>
      <c r="C427" s="109" t="s">
        <v>649</v>
      </c>
      <c r="D427" s="120" t="s">
        <v>924</v>
      </c>
      <c r="E427" s="101" t="s">
        <v>650</v>
      </c>
      <c r="F427" s="114"/>
      <c r="G427" s="115"/>
      <c r="H427" s="104"/>
      <c r="I427" s="105"/>
      <c r="J427" s="102"/>
      <c r="K427" s="103"/>
      <c r="L427" s="102"/>
      <c r="M427" s="103"/>
      <c r="N427" s="102"/>
      <c r="O427" s="103"/>
      <c r="P427" s="102"/>
      <c r="Q427" s="106"/>
      <c r="R427" s="102"/>
      <c r="S427" s="106"/>
      <c r="T427" s="102"/>
      <c r="U427" s="106"/>
      <c r="V427" s="102"/>
      <c r="W427" s="106"/>
      <c r="X427" s="106"/>
      <c r="Y427" s="106"/>
      <c r="Z427" s="106"/>
      <c r="AA427" s="106"/>
      <c r="AB427" s="106"/>
      <c r="AC427" s="106"/>
      <c r="AD427" s="112">
        <f>F427+H427+J427+L427+N427+P427+R427+T427+V427+X427+Z427+AB427</f>
        <v>0</v>
      </c>
      <c r="AE427" s="107">
        <f>G427+I427+K427+M427+O427+Q427+S427+U427+W427+Y427+AA427+AC427</f>
        <v>0</v>
      </c>
    </row>
    <row r="428" spans="1:31">
      <c r="A428" s="100">
        <v>433</v>
      </c>
      <c r="B428" s="108">
        <v>4971710475029</v>
      </c>
      <c r="C428" s="109" t="s">
        <v>1021</v>
      </c>
      <c r="D428" s="120" t="s">
        <v>924</v>
      </c>
      <c r="E428" s="101" t="s">
        <v>1022</v>
      </c>
      <c r="F428" s="114"/>
      <c r="G428" s="115"/>
      <c r="H428" s="104"/>
      <c r="I428" s="105"/>
      <c r="J428" s="102"/>
      <c r="K428" s="103"/>
      <c r="L428" s="102"/>
      <c r="M428" s="103"/>
      <c r="N428" s="102"/>
      <c r="O428" s="103"/>
      <c r="P428" s="102"/>
      <c r="Q428" s="106"/>
      <c r="R428" s="102"/>
      <c r="S428" s="106"/>
      <c r="T428" s="102"/>
      <c r="U428" s="106"/>
      <c r="V428" s="102"/>
      <c r="W428" s="106"/>
      <c r="X428" s="106"/>
      <c r="Y428" s="106"/>
      <c r="Z428" s="106"/>
      <c r="AA428" s="106"/>
      <c r="AB428" s="106"/>
      <c r="AC428" s="106"/>
      <c r="AD428" s="113">
        <f>F428+H428+J428+L428+N428+P428+R428+T428+V428+X428+Z428+AB428</f>
        <v>0</v>
      </c>
      <c r="AE428" s="107">
        <f>G428+I428+K428+M428+O428+Q428+S428+U428+W428+Y428+AA428+AC428</f>
        <v>0</v>
      </c>
    </row>
    <row r="429" spans="1:31">
      <c r="A429" s="100">
        <v>436</v>
      </c>
      <c r="B429" s="108">
        <v>4971710487725</v>
      </c>
      <c r="C429" s="109" t="s">
        <v>56</v>
      </c>
      <c r="D429" s="120" t="s">
        <v>924</v>
      </c>
      <c r="E429" s="101" t="s">
        <v>57</v>
      </c>
      <c r="F429" s="114"/>
      <c r="G429" s="115"/>
      <c r="H429" s="104"/>
      <c r="I429" s="105"/>
      <c r="J429" s="102"/>
      <c r="K429" s="103"/>
      <c r="L429" s="102"/>
      <c r="M429" s="103"/>
      <c r="N429" s="102"/>
      <c r="O429" s="103"/>
      <c r="P429" s="102"/>
      <c r="Q429" s="106"/>
      <c r="R429" s="102"/>
      <c r="S429" s="106"/>
      <c r="T429" s="102"/>
      <c r="U429" s="106"/>
      <c r="V429" s="102"/>
      <c r="W429" s="106"/>
      <c r="X429" s="106"/>
      <c r="Y429" s="106"/>
      <c r="Z429" s="106"/>
      <c r="AA429" s="106"/>
      <c r="AB429" s="106"/>
      <c r="AC429" s="106"/>
      <c r="AD429" s="112">
        <f>F429+H429+J429+L429+N429+P429+R429+T429+V429+X429+Z429+AB429</f>
        <v>0</v>
      </c>
      <c r="AE429" s="107">
        <f>G429+I429+K429+M429+O429+Q429+S429+U429+W429+Y429+AA429+AC429</f>
        <v>0</v>
      </c>
    </row>
    <row r="430" spans="1:31">
      <c r="A430" s="100">
        <v>437</v>
      </c>
      <c r="B430" s="108">
        <v>4971710517835</v>
      </c>
      <c r="C430" s="109" t="s">
        <v>334</v>
      </c>
      <c r="D430" s="120" t="s">
        <v>924</v>
      </c>
      <c r="E430" s="101" t="s">
        <v>335</v>
      </c>
      <c r="F430" s="114"/>
      <c r="G430" s="115"/>
      <c r="H430" s="104"/>
      <c r="I430" s="105"/>
      <c r="J430" s="102"/>
      <c r="K430" s="103"/>
      <c r="L430" s="102"/>
      <c r="M430" s="103"/>
      <c r="N430" s="102"/>
      <c r="O430" s="103"/>
      <c r="P430" s="102"/>
      <c r="Q430" s="106"/>
      <c r="R430" s="102"/>
      <c r="S430" s="106"/>
      <c r="T430" s="102"/>
      <c r="U430" s="106"/>
      <c r="V430" s="102"/>
      <c r="W430" s="106"/>
      <c r="X430" s="106"/>
      <c r="Y430" s="106"/>
      <c r="Z430" s="106"/>
      <c r="AA430" s="106"/>
      <c r="AB430" s="106"/>
      <c r="AC430" s="106"/>
      <c r="AD430" s="112">
        <f>F430+H430+J430+L430+N430+P430+R430+T430+V430+X430+Z430+AB430</f>
        <v>0</v>
      </c>
      <c r="AE430" s="107">
        <f>G430+I430+K430+M430+O430+Q430+S430+U430+W430+Y430+AA430+AC430</f>
        <v>0</v>
      </c>
    </row>
    <row r="431" spans="1:31">
      <c r="A431" s="100">
        <v>438</v>
      </c>
      <c r="B431" s="108">
        <v>4971710487732</v>
      </c>
      <c r="C431" s="109" t="s">
        <v>58</v>
      </c>
      <c r="D431" s="120" t="s">
        <v>924</v>
      </c>
      <c r="E431" s="101" t="s">
        <v>59</v>
      </c>
      <c r="F431" s="114"/>
      <c r="G431" s="115"/>
      <c r="H431" s="104"/>
      <c r="I431" s="105"/>
      <c r="J431" s="102"/>
      <c r="K431" s="103"/>
      <c r="L431" s="102"/>
      <c r="M431" s="103"/>
      <c r="N431" s="102"/>
      <c r="O431" s="103"/>
      <c r="P431" s="102"/>
      <c r="Q431" s="106"/>
      <c r="R431" s="102"/>
      <c r="S431" s="106"/>
      <c r="T431" s="102"/>
      <c r="U431" s="106"/>
      <c r="V431" s="102"/>
      <c r="W431" s="106"/>
      <c r="X431" s="106"/>
      <c r="Y431" s="106"/>
      <c r="Z431" s="106"/>
      <c r="AA431" s="106"/>
      <c r="AB431" s="106"/>
      <c r="AC431" s="106"/>
      <c r="AD431" s="112">
        <f>F431+H431+J431+L431+N431+P431+R431+T431+V431+X431+Z431+AB431</f>
        <v>0</v>
      </c>
      <c r="AE431" s="107">
        <f>G431+I431+K431+M431+O431+Q431+S431+U431+W431+Y431+AA431+AC431</f>
        <v>0</v>
      </c>
    </row>
    <row r="432" spans="1:31">
      <c r="A432" s="100">
        <v>439</v>
      </c>
      <c r="B432" s="108">
        <v>4971710494907</v>
      </c>
      <c r="C432" s="109" t="s">
        <v>130</v>
      </c>
      <c r="D432" s="120" t="s">
        <v>924</v>
      </c>
      <c r="E432" s="101" t="s">
        <v>131</v>
      </c>
      <c r="F432" s="114"/>
      <c r="G432" s="115"/>
      <c r="H432" s="104"/>
      <c r="I432" s="105"/>
      <c r="J432" s="102"/>
      <c r="K432" s="103"/>
      <c r="L432" s="102"/>
      <c r="M432" s="103"/>
      <c r="N432" s="102"/>
      <c r="O432" s="103"/>
      <c r="P432" s="102"/>
      <c r="Q432" s="106"/>
      <c r="R432" s="102"/>
      <c r="S432" s="106"/>
      <c r="T432" s="102"/>
      <c r="U432" s="106"/>
      <c r="V432" s="102"/>
      <c r="W432" s="106"/>
      <c r="X432" s="106"/>
      <c r="Y432" s="106"/>
      <c r="Z432" s="106"/>
      <c r="AA432" s="106"/>
      <c r="AB432" s="106"/>
      <c r="AC432" s="106"/>
      <c r="AD432" s="112">
        <f>F432+H432+J432+L432+N432+P432+R432+T432+V432+X432+Z432+AB432</f>
        <v>0</v>
      </c>
      <c r="AE432" s="107">
        <f>G432+I432+K432+M432+O432+Q432+S432+U432+W432+Y432+AA432+AC432</f>
        <v>0</v>
      </c>
    </row>
    <row r="433" spans="1:31">
      <c r="A433" s="100">
        <v>441</v>
      </c>
      <c r="B433" s="108">
        <v>4971710495027</v>
      </c>
      <c r="C433" s="109" t="s">
        <v>154</v>
      </c>
      <c r="D433" s="120" t="s">
        <v>924</v>
      </c>
      <c r="E433" s="101" t="s">
        <v>155</v>
      </c>
      <c r="F433" s="114"/>
      <c r="G433" s="115"/>
      <c r="H433" s="104"/>
      <c r="I433" s="105"/>
      <c r="J433" s="102"/>
      <c r="K433" s="103"/>
      <c r="L433" s="102"/>
      <c r="M433" s="103"/>
      <c r="N433" s="102"/>
      <c r="O433" s="103"/>
      <c r="P433" s="102"/>
      <c r="Q433" s="106"/>
      <c r="R433" s="102"/>
      <c r="S433" s="106"/>
      <c r="T433" s="102"/>
      <c r="U433" s="106"/>
      <c r="V433" s="102"/>
      <c r="W433" s="106"/>
      <c r="X433" s="106"/>
      <c r="Y433" s="106"/>
      <c r="Z433" s="106"/>
      <c r="AA433" s="106"/>
      <c r="AB433" s="106"/>
      <c r="AC433" s="106"/>
      <c r="AD433" s="112">
        <f>F433+H433+J433+L433+N433+P433+R433+T433+V433+X433+Z433+AB433</f>
        <v>0</v>
      </c>
      <c r="AE433" s="107">
        <f>G433+I433+K433+M433+O433+Q433+S433+U433+W433+Y433+AA433+AC433</f>
        <v>0</v>
      </c>
    </row>
    <row r="434" spans="1:31">
      <c r="A434" s="100">
        <v>442</v>
      </c>
      <c r="B434" s="108">
        <v>4971710494990</v>
      </c>
      <c r="C434" s="109" t="s">
        <v>148</v>
      </c>
      <c r="D434" s="120" t="s">
        <v>924</v>
      </c>
      <c r="E434" s="101" t="s">
        <v>149</v>
      </c>
      <c r="F434" s="114"/>
      <c r="G434" s="115"/>
      <c r="H434" s="104"/>
      <c r="I434" s="105"/>
      <c r="J434" s="102"/>
      <c r="K434" s="103"/>
      <c r="L434" s="102"/>
      <c r="M434" s="103"/>
      <c r="N434" s="102"/>
      <c r="O434" s="103"/>
      <c r="P434" s="102"/>
      <c r="Q434" s="106"/>
      <c r="R434" s="102"/>
      <c r="S434" s="106"/>
      <c r="T434" s="102"/>
      <c r="U434" s="106"/>
      <c r="V434" s="102"/>
      <c r="W434" s="106"/>
      <c r="X434" s="106"/>
      <c r="Y434" s="106"/>
      <c r="Z434" s="106"/>
      <c r="AA434" s="106"/>
      <c r="AB434" s="106"/>
      <c r="AC434" s="106"/>
      <c r="AD434" s="112">
        <f>F434+H434+J434+L434+N434+P434+R434+T434+V434+X434+Z434+AB434</f>
        <v>0</v>
      </c>
      <c r="AE434" s="107">
        <f>G434+I434+K434+M434+O434+Q434+S434+U434+W434+Y434+AA434+AC434</f>
        <v>0</v>
      </c>
    </row>
    <row r="435" spans="1:31">
      <c r="A435" s="100">
        <v>444</v>
      </c>
      <c r="B435" s="108">
        <v>4971710463637</v>
      </c>
      <c r="C435" s="109" t="s">
        <v>1019</v>
      </c>
      <c r="D435" s="120" t="s">
        <v>924</v>
      </c>
      <c r="E435" s="101" t="s">
        <v>1020</v>
      </c>
      <c r="F435" s="114"/>
      <c r="G435" s="115"/>
      <c r="H435" s="104"/>
      <c r="I435" s="105"/>
      <c r="J435" s="102"/>
      <c r="K435" s="103"/>
      <c r="L435" s="102"/>
      <c r="M435" s="103"/>
      <c r="N435" s="102"/>
      <c r="O435" s="103"/>
      <c r="P435" s="102"/>
      <c r="Q435" s="106"/>
      <c r="R435" s="102"/>
      <c r="S435" s="106"/>
      <c r="T435" s="102"/>
      <c r="U435" s="106"/>
      <c r="V435" s="102"/>
      <c r="W435" s="106"/>
      <c r="X435" s="106"/>
      <c r="Y435" s="106"/>
      <c r="Z435" s="106"/>
      <c r="AA435" s="106"/>
      <c r="AB435" s="106"/>
      <c r="AC435" s="106"/>
      <c r="AD435" s="113">
        <f>F435+H435+J435+L435+N435+P435+R435+T435+V435+X435+Z435+AB435</f>
        <v>0</v>
      </c>
      <c r="AE435" s="107">
        <f>G435+I435+K435+M435+O435+Q435+S435+U435+W435+Y435+AA435+AC435</f>
        <v>0</v>
      </c>
    </row>
    <row r="436" spans="1:31">
      <c r="A436" s="100">
        <v>446</v>
      </c>
      <c r="B436" s="108">
        <v>4971710573947</v>
      </c>
      <c r="C436" s="109" t="s">
        <v>576</v>
      </c>
      <c r="D436" s="120" t="s">
        <v>924</v>
      </c>
      <c r="E436" s="101" t="s">
        <v>577</v>
      </c>
      <c r="F436" s="114"/>
      <c r="G436" s="115"/>
      <c r="H436" s="104"/>
      <c r="I436" s="105"/>
      <c r="J436" s="102"/>
      <c r="K436" s="103"/>
      <c r="L436" s="102"/>
      <c r="M436" s="103"/>
      <c r="N436" s="102"/>
      <c r="O436" s="103"/>
      <c r="P436" s="102"/>
      <c r="Q436" s="106"/>
      <c r="R436" s="102"/>
      <c r="S436" s="106"/>
      <c r="T436" s="102"/>
      <c r="U436" s="106"/>
      <c r="V436" s="102"/>
      <c r="W436" s="106"/>
      <c r="X436" s="106"/>
      <c r="Y436" s="106"/>
      <c r="Z436" s="106"/>
      <c r="AA436" s="106"/>
      <c r="AB436" s="106"/>
      <c r="AC436" s="106"/>
      <c r="AD436" s="112">
        <f>F436+H436+J436+L436+N436+P436+R436+T436+V436+X436+Z436+AB436</f>
        <v>0</v>
      </c>
      <c r="AE436" s="107">
        <f>G436+I436+K436+M436+O436+Q436+S436+U436+W436+Y436+AA436+AC436</f>
        <v>0</v>
      </c>
    </row>
    <row r="437" spans="1:31">
      <c r="A437" s="100">
        <v>447</v>
      </c>
      <c r="B437" s="108">
        <v>4971710507751</v>
      </c>
      <c r="C437" s="109" t="s">
        <v>198</v>
      </c>
      <c r="D437" s="120" t="s">
        <v>924</v>
      </c>
      <c r="E437" s="101" t="s">
        <v>199</v>
      </c>
      <c r="F437" s="114"/>
      <c r="G437" s="115"/>
      <c r="H437" s="104"/>
      <c r="I437" s="105"/>
      <c r="J437" s="102"/>
      <c r="K437" s="103"/>
      <c r="L437" s="102"/>
      <c r="M437" s="103"/>
      <c r="N437" s="102"/>
      <c r="O437" s="103"/>
      <c r="P437" s="102"/>
      <c r="Q437" s="106"/>
      <c r="R437" s="102"/>
      <c r="S437" s="106"/>
      <c r="T437" s="102"/>
      <c r="U437" s="106"/>
      <c r="V437" s="102"/>
      <c r="W437" s="106"/>
      <c r="X437" s="106"/>
      <c r="Y437" s="106"/>
      <c r="Z437" s="106"/>
      <c r="AA437" s="106"/>
      <c r="AB437" s="106"/>
      <c r="AC437" s="106"/>
      <c r="AD437" s="112">
        <f>F437+H437+J437+L437+N437+P437+R437+T437+V437+X437+Z437+AB437</f>
        <v>0</v>
      </c>
      <c r="AE437" s="107">
        <f>G437+I437+K437+M437+O437+Q437+S437+U437+W437+Y437+AA437+AC437</f>
        <v>0</v>
      </c>
    </row>
    <row r="438" spans="1:31">
      <c r="A438" s="100">
        <v>457</v>
      </c>
      <c r="B438" s="108">
        <v>4971710568684</v>
      </c>
      <c r="C438" s="109" t="s">
        <v>532</v>
      </c>
      <c r="D438" s="120" t="s">
        <v>924</v>
      </c>
      <c r="E438" s="101" t="s">
        <v>533</v>
      </c>
      <c r="F438" s="114"/>
      <c r="G438" s="115"/>
      <c r="H438" s="104"/>
      <c r="I438" s="105"/>
      <c r="J438" s="102"/>
      <c r="K438" s="103"/>
      <c r="L438" s="102"/>
      <c r="M438" s="103"/>
      <c r="N438" s="102"/>
      <c r="O438" s="103"/>
      <c r="P438" s="102"/>
      <c r="Q438" s="106"/>
      <c r="R438" s="102"/>
      <c r="S438" s="106"/>
      <c r="T438" s="102"/>
      <c r="U438" s="106"/>
      <c r="V438" s="102"/>
      <c r="W438" s="106"/>
      <c r="X438" s="106"/>
      <c r="Y438" s="106"/>
      <c r="Z438" s="106"/>
      <c r="AA438" s="106"/>
      <c r="AB438" s="106"/>
      <c r="AC438" s="106"/>
      <c r="AD438" s="112">
        <f>F438+H438+J438+L438+N438+P438+R438+T438+V438+X438+Z438+AB438</f>
        <v>0</v>
      </c>
      <c r="AE438" s="107">
        <f>G438+I438+K438+M438+O438+Q438+S438+U438+W438+Y438+AA438+AC438</f>
        <v>0</v>
      </c>
    </row>
    <row r="439" spans="1:31">
      <c r="A439" s="100">
        <v>458</v>
      </c>
      <c r="B439" s="108">
        <v>4971710494945</v>
      </c>
      <c r="C439" s="109" t="s">
        <v>138</v>
      </c>
      <c r="D439" s="120" t="s">
        <v>924</v>
      </c>
      <c r="E439" s="101" t="s">
        <v>139</v>
      </c>
      <c r="F439" s="114"/>
      <c r="G439" s="115"/>
      <c r="H439" s="104"/>
      <c r="I439" s="105"/>
      <c r="J439" s="102"/>
      <c r="K439" s="103"/>
      <c r="L439" s="102"/>
      <c r="M439" s="103"/>
      <c r="N439" s="102"/>
      <c r="O439" s="103"/>
      <c r="P439" s="102"/>
      <c r="Q439" s="106"/>
      <c r="R439" s="102"/>
      <c r="S439" s="106"/>
      <c r="T439" s="102"/>
      <c r="U439" s="106"/>
      <c r="V439" s="102"/>
      <c r="W439" s="106"/>
      <c r="X439" s="106"/>
      <c r="Y439" s="106"/>
      <c r="Z439" s="106"/>
      <c r="AA439" s="106"/>
      <c r="AB439" s="106"/>
      <c r="AC439" s="106"/>
      <c r="AD439" s="112">
        <f>F439+H439+J439+L439+N439+P439+R439+T439+V439+X439+Z439+AB439</f>
        <v>0</v>
      </c>
      <c r="AE439" s="107">
        <f>G439+I439+K439+M439+O439+Q439+S439+U439+W439+Y439+AA439+AC439</f>
        <v>0</v>
      </c>
    </row>
    <row r="440" spans="1:31">
      <c r="A440" s="100">
        <v>459</v>
      </c>
      <c r="B440" s="108">
        <v>4971710540048</v>
      </c>
      <c r="C440" s="109" t="s">
        <v>418</v>
      </c>
      <c r="D440" s="120" t="s">
        <v>924</v>
      </c>
      <c r="E440" s="101" t="s">
        <v>419</v>
      </c>
      <c r="F440" s="114"/>
      <c r="G440" s="115"/>
      <c r="H440" s="104"/>
      <c r="I440" s="105"/>
      <c r="J440" s="102"/>
      <c r="K440" s="103"/>
      <c r="L440" s="102"/>
      <c r="M440" s="103"/>
      <c r="N440" s="102"/>
      <c r="O440" s="103"/>
      <c r="P440" s="102"/>
      <c r="Q440" s="106"/>
      <c r="R440" s="102"/>
      <c r="S440" s="106"/>
      <c r="T440" s="102"/>
      <c r="U440" s="106"/>
      <c r="V440" s="102"/>
      <c r="W440" s="106"/>
      <c r="X440" s="106"/>
      <c r="Y440" s="106"/>
      <c r="Z440" s="106"/>
      <c r="AA440" s="106"/>
      <c r="AB440" s="106"/>
      <c r="AC440" s="106"/>
      <c r="AD440" s="112">
        <f>F440+H440+J440+L440+N440+P440+R440+T440+V440+X440+Z440+AB440</f>
        <v>0</v>
      </c>
      <c r="AE440" s="107">
        <f>G440+I440+K440+M440+O440+Q440+S440+U440+W440+Y440+AA440+AC440</f>
        <v>0</v>
      </c>
    </row>
    <row r="441" spans="1:31">
      <c r="A441" s="100">
        <v>460</v>
      </c>
      <c r="B441" s="108">
        <v>4971710578805</v>
      </c>
      <c r="C441" s="109" t="s">
        <v>647</v>
      </c>
      <c r="D441" s="120" t="s">
        <v>924</v>
      </c>
      <c r="E441" s="101" t="s">
        <v>648</v>
      </c>
      <c r="F441" s="114"/>
      <c r="G441" s="115"/>
      <c r="H441" s="104"/>
      <c r="I441" s="105"/>
      <c r="J441" s="102"/>
      <c r="K441" s="103"/>
      <c r="L441" s="102"/>
      <c r="M441" s="103"/>
      <c r="N441" s="102"/>
      <c r="O441" s="103"/>
      <c r="P441" s="102"/>
      <c r="Q441" s="106"/>
      <c r="R441" s="102"/>
      <c r="S441" s="106"/>
      <c r="T441" s="102"/>
      <c r="U441" s="106"/>
      <c r="V441" s="102"/>
      <c r="W441" s="106"/>
      <c r="X441" s="106"/>
      <c r="Y441" s="106"/>
      <c r="Z441" s="106"/>
      <c r="AA441" s="106"/>
      <c r="AB441" s="106"/>
      <c r="AC441" s="106"/>
      <c r="AD441" s="112">
        <f>F441+H441+J441+L441+N441+P441+R441+T441+V441+X441+Z441+AB441</f>
        <v>0</v>
      </c>
      <c r="AE441" s="107">
        <f>G441+I441+K441+M441+O441+Q441+S441+U441+W441+Y441+AA441+AC441</f>
        <v>0</v>
      </c>
    </row>
    <row r="442" spans="1:31">
      <c r="A442" s="100">
        <v>461</v>
      </c>
      <c r="B442" s="108">
        <v>4971710578799</v>
      </c>
      <c r="C442" s="109" t="s">
        <v>645</v>
      </c>
      <c r="D442" s="120" t="s">
        <v>924</v>
      </c>
      <c r="E442" s="101" t="s">
        <v>646</v>
      </c>
      <c r="F442" s="114"/>
      <c r="G442" s="115"/>
      <c r="H442" s="104"/>
      <c r="I442" s="105"/>
      <c r="J442" s="102"/>
      <c r="K442" s="103"/>
      <c r="L442" s="102"/>
      <c r="M442" s="103"/>
      <c r="N442" s="102"/>
      <c r="O442" s="103"/>
      <c r="P442" s="102"/>
      <c r="Q442" s="106"/>
      <c r="R442" s="102"/>
      <c r="S442" s="106"/>
      <c r="T442" s="102"/>
      <c r="U442" s="106"/>
      <c r="V442" s="102"/>
      <c r="W442" s="106"/>
      <c r="X442" s="106"/>
      <c r="Y442" s="106"/>
      <c r="Z442" s="106"/>
      <c r="AA442" s="106"/>
      <c r="AB442" s="106"/>
      <c r="AC442" s="106"/>
      <c r="AD442" s="112">
        <f>F442+H442+J442+L442+N442+P442+R442+T442+V442+X442+Z442+AB442</f>
        <v>0</v>
      </c>
      <c r="AE442" s="107">
        <f>G442+I442+K442+M442+O442+Q442+S442+U442+W442+Y442+AA442+AC442</f>
        <v>0</v>
      </c>
    </row>
    <row r="443" spans="1:31">
      <c r="A443" s="100">
        <v>465</v>
      </c>
      <c r="B443" s="108">
        <v>4971710519471</v>
      </c>
      <c r="C443" s="109" t="s">
        <v>360</v>
      </c>
      <c r="D443" s="120" t="s">
        <v>924</v>
      </c>
      <c r="E443" s="101" t="s">
        <v>361</v>
      </c>
      <c r="F443" s="114"/>
      <c r="G443" s="115"/>
      <c r="H443" s="104"/>
      <c r="I443" s="105"/>
      <c r="J443" s="102"/>
      <c r="K443" s="103"/>
      <c r="L443" s="102"/>
      <c r="M443" s="103"/>
      <c r="N443" s="102"/>
      <c r="O443" s="103"/>
      <c r="P443" s="102"/>
      <c r="Q443" s="106"/>
      <c r="R443" s="102"/>
      <c r="S443" s="106"/>
      <c r="T443" s="102"/>
      <c r="U443" s="106"/>
      <c r="V443" s="102"/>
      <c r="W443" s="106"/>
      <c r="X443" s="106"/>
      <c r="Y443" s="106"/>
      <c r="Z443" s="106"/>
      <c r="AA443" s="106"/>
      <c r="AB443" s="106"/>
      <c r="AC443" s="106"/>
      <c r="AD443" s="112">
        <f>F443+H443+J443+L443+N443+P443+R443+T443+V443+X443+Z443+AB443</f>
        <v>0</v>
      </c>
      <c r="AE443" s="107">
        <f>G443+I443+K443+M443+O443+Q443+S443+U443+W443+Y443+AA443+AC443</f>
        <v>0</v>
      </c>
    </row>
    <row r="444" spans="1:31">
      <c r="A444" s="100">
        <v>466</v>
      </c>
      <c r="B444" s="108">
        <v>4971710494983</v>
      </c>
      <c r="C444" s="109" t="s">
        <v>146</v>
      </c>
      <c r="D444" s="120" t="s">
        <v>924</v>
      </c>
      <c r="E444" s="101" t="s">
        <v>147</v>
      </c>
      <c r="F444" s="114"/>
      <c r="G444" s="115"/>
      <c r="H444" s="104"/>
      <c r="I444" s="105"/>
      <c r="J444" s="102"/>
      <c r="K444" s="103"/>
      <c r="L444" s="102"/>
      <c r="M444" s="103"/>
      <c r="N444" s="102"/>
      <c r="O444" s="103"/>
      <c r="P444" s="102"/>
      <c r="Q444" s="106"/>
      <c r="R444" s="102"/>
      <c r="S444" s="106"/>
      <c r="T444" s="102"/>
      <c r="U444" s="106"/>
      <c r="V444" s="102"/>
      <c r="W444" s="106"/>
      <c r="X444" s="106"/>
      <c r="Y444" s="106"/>
      <c r="Z444" s="106"/>
      <c r="AA444" s="106"/>
      <c r="AB444" s="106"/>
      <c r="AC444" s="106"/>
      <c r="AD444" s="112">
        <f>F444+H444+J444+L444+N444+P444+R444+T444+V444+X444+Z444+AB444</f>
        <v>0</v>
      </c>
      <c r="AE444" s="107">
        <f>G444+I444+K444+M444+O444+Q444+S444+U444+W444+Y444+AA444+AC444</f>
        <v>0</v>
      </c>
    </row>
    <row r="445" spans="1:31">
      <c r="A445" s="100">
        <v>467</v>
      </c>
      <c r="B445" s="108">
        <v>4971710495034</v>
      </c>
      <c r="C445" s="109" t="s">
        <v>156</v>
      </c>
      <c r="D445" s="120" t="s">
        <v>924</v>
      </c>
      <c r="E445" s="101" t="s">
        <v>157</v>
      </c>
      <c r="F445" s="114"/>
      <c r="G445" s="115"/>
      <c r="H445" s="104"/>
      <c r="I445" s="105"/>
      <c r="J445" s="102"/>
      <c r="K445" s="103"/>
      <c r="L445" s="102"/>
      <c r="M445" s="103"/>
      <c r="N445" s="102"/>
      <c r="O445" s="103"/>
      <c r="P445" s="102"/>
      <c r="Q445" s="106"/>
      <c r="R445" s="102"/>
      <c r="S445" s="106"/>
      <c r="T445" s="102"/>
      <c r="U445" s="106"/>
      <c r="V445" s="102"/>
      <c r="W445" s="106"/>
      <c r="X445" s="106"/>
      <c r="Y445" s="106"/>
      <c r="Z445" s="106"/>
      <c r="AA445" s="106"/>
      <c r="AB445" s="106"/>
      <c r="AC445" s="106"/>
      <c r="AD445" s="112">
        <f>F445+H445+J445+L445+N445+P445+R445+T445+V445+X445+Z445+AB445</f>
        <v>0</v>
      </c>
      <c r="AE445" s="107">
        <f>G445+I445+K445+M445+O445+Q445+S445+U445+W445+Y445+AA445+AC445</f>
        <v>0</v>
      </c>
    </row>
    <row r="446" spans="1:31">
      <c r="A446" s="100">
        <v>468</v>
      </c>
      <c r="B446" s="108">
        <v>4971710495010</v>
      </c>
      <c r="C446" s="109" t="s">
        <v>152</v>
      </c>
      <c r="D446" s="120" t="s">
        <v>924</v>
      </c>
      <c r="E446" s="101" t="s">
        <v>153</v>
      </c>
      <c r="F446" s="114"/>
      <c r="G446" s="115"/>
      <c r="H446" s="104"/>
      <c r="I446" s="105"/>
      <c r="J446" s="102"/>
      <c r="K446" s="103"/>
      <c r="L446" s="102"/>
      <c r="M446" s="103"/>
      <c r="N446" s="102"/>
      <c r="O446" s="103"/>
      <c r="P446" s="102"/>
      <c r="Q446" s="106"/>
      <c r="R446" s="102"/>
      <c r="S446" s="106"/>
      <c r="T446" s="102"/>
      <c r="U446" s="106"/>
      <c r="V446" s="102"/>
      <c r="W446" s="106"/>
      <c r="X446" s="106"/>
      <c r="Y446" s="106"/>
      <c r="Z446" s="106"/>
      <c r="AA446" s="106"/>
      <c r="AB446" s="106"/>
      <c r="AC446" s="106"/>
      <c r="AD446" s="112">
        <f>F446+H446+J446+L446+N446+P446+R446+T446+V446+X446+Z446+AB446</f>
        <v>0</v>
      </c>
      <c r="AE446" s="107">
        <f>G446+I446+K446+M446+O446+Q446+S446+U446+W446+Y446+AA446+AC446</f>
        <v>0</v>
      </c>
    </row>
    <row r="447" spans="1:31">
      <c r="A447" s="100">
        <v>469</v>
      </c>
      <c r="B447" s="108">
        <v>4971710495003</v>
      </c>
      <c r="C447" s="109" t="s">
        <v>150</v>
      </c>
      <c r="D447" s="120" t="s">
        <v>924</v>
      </c>
      <c r="E447" s="101" t="s">
        <v>151</v>
      </c>
      <c r="F447" s="114"/>
      <c r="G447" s="115"/>
      <c r="H447" s="104"/>
      <c r="I447" s="105"/>
      <c r="J447" s="102"/>
      <c r="K447" s="103"/>
      <c r="L447" s="102"/>
      <c r="M447" s="103"/>
      <c r="N447" s="102"/>
      <c r="O447" s="103"/>
      <c r="P447" s="102"/>
      <c r="Q447" s="106"/>
      <c r="R447" s="102"/>
      <c r="S447" s="106"/>
      <c r="T447" s="102"/>
      <c r="U447" s="106"/>
      <c r="V447" s="102"/>
      <c r="W447" s="106"/>
      <c r="X447" s="106"/>
      <c r="Y447" s="106"/>
      <c r="Z447" s="106"/>
      <c r="AA447" s="106"/>
      <c r="AB447" s="106"/>
      <c r="AC447" s="106"/>
      <c r="AD447" s="112">
        <f>F447+H447+J447+L447+N447+P447+R447+T447+V447+X447+Z447+AB447</f>
        <v>0</v>
      </c>
      <c r="AE447" s="107">
        <f>G447+I447+K447+M447+O447+Q447+S447+U447+W447+Y447+AA447+AC447</f>
        <v>0</v>
      </c>
    </row>
    <row r="448" spans="1:31">
      <c r="A448" s="100">
        <v>277</v>
      </c>
      <c r="B448" s="108">
        <v>4971710568103</v>
      </c>
      <c r="C448" s="109" t="s">
        <v>1064</v>
      </c>
      <c r="D448" s="120" t="s">
        <v>1133</v>
      </c>
      <c r="E448" s="101" t="s">
        <v>903</v>
      </c>
      <c r="F448" s="114"/>
      <c r="G448" s="115"/>
      <c r="H448" s="104"/>
      <c r="I448" s="105"/>
      <c r="J448" s="102"/>
      <c r="K448" s="103"/>
      <c r="L448" s="102"/>
      <c r="M448" s="103"/>
      <c r="N448" s="102"/>
      <c r="O448" s="103"/>
      <c r="P448" s="102"/>
      <c r="Q448" s="106"/>
      <c r="R448" s="102"/>
      <c r="S448" s="106"/>
      <c r="T448" s="102"/>
      <c r="U448" s="106"/>
      <c r="V448" s="102"/>
      <c r="W448" s="106"/>
      <c r="X448" s="106"/>
      <c r="Y448" s="106"/>
      <c r="Z448" s="106"/>
      <c r="AA448" s="106"/>
      <c r="AB448" s="106"/>
      <c r="AC448" s="106"/>
      <c r="AD448" s="112">
        <f>F448+H448+J448+L448+N448+P448+R448+T448+V448+X448+Z448+AB448</f>
        <v>0</v>
      </c>
      <c r="AE448" s="107">
        <f>G448+I448+K448+M448+O448+Q448+S448+U448+W448+Y448+AA448+AC448</f>
        <v>0</v>
      </c>
    </row>
    <row r="449" spans="1:31">
      <c r="A449" s="100">
        <v>278</v>
      </c>
      <c r="B449" s="108">
        <v>4971710295818</v>
      </c>
      <c r="C449" s="109" t="s">
        <v>1037</v>
      </c>
      <c r="D449" s="120" t="s">
        <v>1133</v>
      </c>
      <c r="E449" s="101" t="s">
        <v>13</v>
      </c>
      <c r="F449" s="114"/>
      <c r="G449" s="115"/>
      <c r="H449" s="104"/>
      <c r="I449" s="105"/>
      <c r="J449" s="102"/>
      <c r="K449" s="103"/>
      <c r="L449" s="102"/>
      <c r="M449" s="103"/>
      <c r="N449" s="102"/>
      <c r="O449" s="103"/>
      <c r="P449" s="102"/>
      <c r="Q449" s="106"/>
      <c r="R449" s="102"/>
      <c r="S449" s="106"/>
      <c r="T449" s="102"/>
      <c r="U449" s="106"/>
      <c r="V449" s="102"/>
      <c r="W449" s="106"/>
      <c r="X449" s="106"/>
      <c r="Y449" s="106"/>
      <c r="Z449" s="106"/>
      <c r="AA449" s="106"/>
      <c r="AB449" s="106"/>
      <c r="AC449" s="106"/>
      <c r="AD449" s="112">
        <f>F449+H449+J449+L449+N449+P449+R449+T449+V449+X449+Z449+AB449</f>
        <v>0</v>
      </c>
      <c r="AE449" s="107">
        <f>G449+I449+K449+M449+O449+Q449+S449+U449+W449+Y449+AA449+AC449</f>
        <v>0</v>
      </c>
    </row>
    <row r="450" spans="1:31">
      <c r="A450" s="100">
        <v>282</v>
      </c>
      <c r="B450" s="108">
        <v>4971710299212</v>
      </c>
      <c r="C450" s="109" t="s">
        <v>14</v>
      </c>
      <c r="D450" s="120" t="s">
        <v>1133</v>
      </c>
      <c r="E450" s="101" t="s">
        <v>15</v>
      </c>
      <c r="F450" s="114"/>
      <c r="G450" s="115"/>
      <c r="H450" s="104"/>
      <c r="I450" s="105"/>
      <c r="J450" s="102"/>
      <c r="K450" s="103"/>
      <c r="L450" s="102"/>
      <c r="M450" s="103"/>
      <c r="N450" s="102"/>
      <c r="O450" s="103"/>
      <c r="P450" s="102"/>
      <c r="Q450" s="106"/>
      <c r="R450" s="102"/>
      <c r="S450" s="106"/>
      <c r="T450" s="102"/>
      <c r="U450" s="106"/>
      <c r="V450" s="102"/>
      <c r="W450" s="106"/>
      <c r="X450" s="106"/>
      <c r="Y450" s="106"/>
      <c r="Z450" s="106"/>
      <c r="AA450" s="106"/>
      <c r="AB450" s="106"/>
      <c r="AC450" s="106"/>
      <c r="AD450" s="112">
        <f>F450+H450+J450+L450+N450+P450+R450+T450+V450+X450+Z450+AB450</f>
        <v>0</v>
      </c>
      <c r="AE450" s="107">
        <f>G450+I450+K450+M450+O450+Q450+S450+U450+W450+Y450+AA450+AC450</f>
        <v>0</v>
      </c>
    </row>
    <row r="451" spans="1:31">
      <c r="A451" s="100">
        <v>285</v>
      </c>
      <c r="B451" s="108">
        <v>4971710295252</v>
      </c>
      <c r="C451" s="109" t="s">
        <v>1038</v>
      </c>
      <c r="D451" s="120" t="s">
        <v>1133</v>
      </c>
      <c r="E451" s="101" t="s">
        <v>895</v>
      </c>
      <c r="F451" s="114"/>
      <c r="G451" s="115"/>
      <c r="H451" s="104"/>
      <c r="I451" s="105"/>
      <c r="J451" s="102"/>
      <c r="K451" s="103"/>
      <c r="L451" s="102"/>
      <c r="M451" s="103"/>
      <c r="N451" s="102"/>
      <c r="O451" s="103"/>
      <c r="P451" s="102"/>
      <c r="Q451" s="106"/>
      <c r="R451" s="102"/>
      <c r="S451" s="106"/>
      <c r="T451" s="102"/>
      <c r="U451" s="106"/>
      <c r="V451" s="102"/>
      <c r="W451" s="106"/>
      <c r="X451" s="106"/>
      <c r="Y451" s="106"/>
      <c r="Z451" s="106"/>
      <c r="AA451" s="106"/>
      <c r="AB451" s="106"/>
      <c r="AC451" s="106"/>
      <c r="AD451" s="112">
        <f>F451+H451+J451+L451+N451+P451+R451+T451+V451+X451+Z451+AB451</f>
        <v>0</v>
      </c>
      <c r="AE451" s="107">
        <f>G451+I451+K451+M451+O451+Q451+S451+U451+W451+Y451+AA451+AC451</f>
        <v>0</v>
      </c>
    </row>
    <row r="452" spans="1:31">
      <c r="A452" s="100">
        <v>290</v>
      </c>
      <c r="B452" s="108">
        <v>4971710295245</v>
      </c>
      <c r="C452" s="109" t="s">
        <v>10</v>
      </c>
      <c r="D452" s="120" t="s">
        <v>1133</v>
      </c>
      <c r="E452" s="101" t="s">
        <v>11</v>
      </c>
      <c r="F452" s="114"/>
      <c r="G452" s="115"/>
      <c r="H452" s="104"/>
      <c r="I452" s="105"/>
      <c r="J452" s="102"/>
      <c r="K452" s="103"/>
      <c r="L452" s="102"/>
      <c r="M452" s="103"/>
      <c r="N452" s="102"/>
      <c r="O452" s="103"/>
      <c r="P452" s="102"/>
      <c r="Q452" s="106"/>
      <c r="R452" s="102"/>
      <c r="S452" s="106"/>
      <c r="T452" s="102"/>
      <c r="U452" s="106"/>
      <c r="V452" s="102"/>
      <c r="W452" s="106"/>
      <c r="X452" s="106"/>
      <c r="Y452" s="106"/>
      <c r="Z452" s="106"/>
      <c r="AA452" s="106"/>
      <c r="AB452" s="106"/>
      <c r="AC452" s="106"/>
      <c r="AD452" s="112">
        <f>F452+H452+J452+L452+N452+P452+R452+T452+V452+X452+Z452+AB452</f>
        <v>0</v>
      </c>
      <c r="AE452" s="107">
        <f>G452+I452+K452+M452+O452+Q452+S452+U452+W452+Y452+AA452+AC452</f>
        <v>0</v>
      </c>
    </row>
    <row r="453" spans="1:31">
      <c r="A453" s="100">
        <v>313</v>
      </c>
      <c r="B453" s="108">
        <v>4971710295634</v>
      </c>
      <c r="C453" s="109" t="s">
        <v>12</v>
      </c>
      <c r="D453" s="120" t="s">
        <v>1133</v>
      </c>
      <c r="E453" s="101" t="s">
        <v>13</v>
      </c>
      <c r="F453" s="114"/>
      <c r="G453" s="115"/>
      <c r="H453" s="104"/>
      <c r="I453" s="105"/>
      <c r="J453" s="102"/>
      <c r="K453" s="103"/>
      <c r="L453" s="102"/>
      <c r="M453" s="103"/>
      <c r="N453" s="102"/>
      <c r="O453" s="103"/>
      <c r="P453" s="102"/>
      <c r="Q453" s="106"/>
      <c r="R453" s="102"/>
      <c r="S453" s="106"/>
      <c r="T453" s="102"/>
      <c r="U453" s="106"/>
      <c r="V453" s="102"/>
      <c r="W453" s="106"/>
      <c r="X453" s="106"/>
      <c r="Y453" s="106"/>
      <c r="Z453" s="106"/>
      <c r="AA453" s="106"/>
      <c r="AB453" s="106"/>
      <c r="AC453" s="106"/>
      <c r="AD453" s="112">
        <f>F453+H453+J453+L453+N453+P453+R453+T453+V453+X453+Z453+AB453</f>
        <v>0</v>
      </c>
      <c r="AE453" s="107">
        <f>G453+I453+K453+M453+O453+Q453+S453+U453+W453+Y453+AA453+AC453</f>
        <v>0</v>
      </c>
    </row>
    <row r="454" spans="1:31">
      <c r="A454" s="100">
        <v>353</v>
      </c>
      <c r="B454" s="108">
        <v>4971710288612</v>
      </c>
      <c r="C454" s="109" t="s">
        <v>9</v>
      </c>
      <c r="D454" s="120" t="s">
        <v>1133</v>
      </c>
      <c r="E454" s="101" t="s">
        <v>8</v>
      </c>
      <c r="F454" s="114"/>
      <c r="G454" s="115"/>
      <c r="H454" s="104"/>
      <c r="I454" s="105"/>
      <c r="J454" s="102"/>
      <c r="K454" s="103"/>
      <c r="L454" s="102"/>
      <c r="M454" s="103"/>
      <c r="N454" s="102"/>
      <c r="O454" s="103"/>
      <c r="P454" s="102"/>
      <c r="Q454" s="106"/>
      <c r="R454" s="102"/>
      <c r="S454" s="106"/>
      <c r="T454" s="102"/>
      <c r="U454" s="106"/>
      <c r="V454" s="102"/>
      <c r="W454" s="106"/>
      <c r="X454" s="106"/>
      <c r="Y454" s="106"/>
      <c r="Z454" s="106"/>
      <c r="AA454" s="106"/>
      <c r="AB454" s="106"/>
      <c r="AC454" s="106"/>
      <c r="AD454" s="112">
        <f>F454+H454+J454+L454+N454+P454+R454+T454+V454+X454+Z454+AB454</f>
        <v>0</v>
      </c>
      <c r="AE454" s="107">
        <f>G454+I454+K454+M454+O454+Q454+S454+U454+W454+Y454+AA454+AC454</f>
        <v>0</v>
      </c>
    </row>
    <row r="455" spans="1:31">
      <c r="A455" s="100">
        <v>366</v>
      </c>
      <c r="B455" s="108">
        <v>4971710288629</v>
      </c>
      <c r="C455" s="109" t="s">
        <v>771</v>
      </c>
      <c r="D455" s="120" t="s">
        <v>1133</v>
      </c>
      <c r="E455" s="101" t="s">
        <v>772</v>
      </c>
      <c r="F455" s="114"/>
      <c r="G455" s="115"/>
      <c r="H455" s="104"/>
      <c r="I455" s="105"/>
      <c r="J455" s="102"/>
      <c r="K455" s="103"/>
      <c r="L455" s="102"/>
      <c r="M455" s="103"/>
      <c r="N455" s="102"/>
      <c r="O455" s="103"/>
      <c r="P455" s="102"/>
      <c r="Q455" s="106"/>
      <c r="R455" s="102"/>
      <c r="S455" s="106"/>
      <c r="T455" s="102"/>
      <c r="U455" s="106"/>
      <c r="V455" s="102"/>
      <c r="W455" s="106"/>
      <c r="X455" s="106"/>
      <c r="Y455" s="106"/>
      <c r="Z455" s="106"/>
      <c r="AA455" s="106"/>
      <c r="AB455" s="106"/>
      <c r="AC455" s="106"/>
      <c r="AD455" s="112">
        <f>F455+H455+J455+L455+N455+P455+R455+T455+V455+X455+Z455+AB455</f>
        <v>0</v>
      </c>
      <c r="AE455" s="107">
        <f>G455+I455+K455+M455+O455+Q455+S455+U455+W455+Y455+AA455+AC455</f>
        <v>0</v>
      </c>
    </row>
    <row r="456" spans="1:31">
      <c r="A456" s="100">
        <v>399</v>
      </c>
      <c r="B456" s="108">
        <v>4971710288605</v>
      </c>
      <c r="C456" s="109" t="s">
        <v>7</v>
      </c>
      <c r="D456" s="120" t="s">
        <v>1133</v>
      </c>
      <c r="E456" s="101" t="s">
        <v>8</v>
      </c>
      <c r="F456" s="114"/>
      <c r="G456" s="115"/>
      <c r="H456" s="104"/>
      <c r="I456" s="105"/>
      <c r="J456" s="102"/>
      <c r="K456" s="103"/>
      <c r="L456" s="102"/>
      <c r="M456" s="103"/>
      <c r="N456" s="102"/>
      <c r="O456" s="103"/>
      <c r="P456" s="102"/>
      <c r="Q456" s="106"/>
      <c r="R456" s="102"/>
      <c r="S456" s="106"/>
      <c r="T456" s="102"/>
      <c r="U456" s="106"/>
      <c r="V456" s="102"/>
      <c r="W456" s="106"/>
      <c r="X456" s="106"/>
      <c r="Y456" s="106"/>
      <c r="Z456" s="106"/>
      <c r="AA456" s="106"/>
      <c r="AB456" s="106"/>
      <c r="AC456" s="106"/>
      <c r="AD456" s="112">
        <f>F456+H456+J456+L456+N456+P456+R456+T456+V456+X456+Z456+AB456</f>
        <v>0</v>
      </c>
      <c r="AE456" s="107">
        <f>G456+I456+K456+M456+O456+Q456+S456+U456+W456+Y456+AA456+AC456</f>
        <v>0</v>
      </c>
    </row>
    <row r="457" spans="1:31">
      <c r="A457" s="100">
        <v>416</v>
      </c>
      <c r="B457" s="108">
        <v>4971710572520</v>
      </c>
      <c r="C457" s="109" t="s">
        <v>815</v>
      </c>
      <c r="D457" s="120" t="s">
        <v>1133</v>
      </c>
      <c r="E457" s="101" t="s">
        <v>1070</v>
      </c>
      <c r="F457" s="114"/>
      <c r="G457" s="115"/>
      <c r="H457" s="104"/>
      <c r="I457" s="105"/>
      <c r="J457" s="102"/>
      <c r="K457" s="103"/>
      <c r="L457" s="102"/>
      <c r="M457" s="103"/>
      <c r="N457" s="102"/>
      <c r="O457" s="103"/>
      <c r="P457" s="102"/>
      <c r="Q457" s="106"/>
      <c r="R457" s="102"/>
      <c r="S457" s="106"/>
      <c r="T457" s="102"/>
      <c r="U457" s="106"/>
      <c r="V457" s="102"/>
      <c r="W457" s="106"/>
      <c r="X457" s="106"/>
      <c r="Y457" s="106"/>
      <c r="Z457" s="106"/>
      <c r="AA457" s="106"/>
      <c r="AB457" s="106"/>
      <c r="AC457" s="106"/>
      <c r="AD457" s="112">
        <f>F457+H457+J457+L457+N457+P457+R457+T457+V457+X457+Z457+AB457</f>
        <v>0</v>
      </c>
      <c r="AE457" s="107">
        <f>G457+I457+K457+M457+O457+Q457+S457+U457+W457+Y457+AA457+AC457</f>
        <v>0</v>
      </c>
    </row>
    <row r="458" spans="1:31">
      <c r="A458" s="100">
        <v>271</v>
      </c>
      <c r="B458" s="108">
        <v>4971710580044</v>
      </c>
      <c r="C458" s="109" t="s">
        <v>675</v>
      </c>
      <c r="D458" s="120" t="s">
        <v>1141</v>
      </c>
      <c r="E458" s="101" t="s">
        <v>676</v>
      </c>
      <c r="F458" s="114"/>
      <c r="G458" s="115"/>
      <c r="H458" s="104"/>
      <c r="I458" s="105"/>
      <c r="J458" s="102"/>
      <c r="K458" s="103"/>
      <c r="L458" s="102"/>
      <c r="M458" s="103"/>
      <c r="N458" s="102"/>
      <c r="O458" s="103"/>
      <c r="P458" s="102"/>
      <c r="Q458" s="106"/>
      <c r="R458" s="102"/>
      <c r="S458" s="106"/>
      <c r="T458" s="102"/>
      <c r="U458" s="106"/>
      <c r="V458" s="102"/>
      <c r="W458" s="106"/>
      <c r="X458" s="106"/>
      <c r="Y458" s="106"/>
      <c r="Z458" s="106"/>
      <c r="AA458" s="106"/>
      <c r="AB458" s="106"/>
      <c r="AC458" s="106"/>
      <c r="AD458" s="112">
        <f>F458+H458+J458+L458+N458+P458+R458+T458+V458+X458+Z458+AB458</f>
        <v>0</v>
      </c>
      <c r="AE458" s="107">
        <f>G458+I458+K458+M458+O458+Q458+S458+U458+W458+Y458+AA458+AC458</f>
        <v>0</v>
      </c>
    </row>
    <row r="459" spans="1:31">
      <c r="A459" s="100">
        <v>272</v>
      </c>
      <c r="B459" s="108">
        <v>4971710590500</v>
      </c>
      <c r="C459" s="109" t="s">
        <v>788</v>
      </c>
      <c r="D459" s="120" t="s">
        <v>1141</v>
      </c>
      <c r="E459" s="101" t="s">
        <v>934</v>
      </c>
      <c r="F459" s="114"/>
      <c r="G459" s="115"/>
      <c r="H459" s="104"/>
      <c r="I459" s="105"/>
      <c r="J459" s="102"/>
      <c r="K459" s="103"/>
      <c r="L459" s="102"/>
      <c r="M459" s="103"/>
      <c r="N459" s="102"/>
      <c r="O459" s="103"/>
      <c r="P459" s="102"/>
      <c r="Q459" s="106"/>
      <c r="R459" s="102"/>
      <c r="S459" s="106"/>
      <c r="T459" s="102"/>
      <c r="U459" s="106"/>
      <c r="V459" s="102"/>
      <c r="W459" s="106"/>
      <c r="X459" s="106"/>
      <c r="Y459" s="106"/>
      <c r="Z459" s="106"/>
      <c r="AA459" s="106"/>
      <c r="AB459" s="106"/>
      <c r="AC459" s="106"/>
      <c r="AD459" s="112">
        <f>F459+H459+J459+L459+N459+P459+R459+T459+V459+X459+Z459+AB459</f>
        <v>0</v>
      </c>
      <c r="AE459" s="107">
        <f>G459+I459+K459+M459+O459+Q459+S459+U459+W459+Y459+AA459+AC459</f>
        <v>0</v>
      </c>
    </row>
    <row r="460" spans="1:31">
      <c r="A460" s="100">
        <v>273</v>
      </c>
      <c r="B460" s="108">
        <v>4971710579291</v>
      </c>
      <c r="C460" s="109" t="s">
        <v>821</v>
      </c>
      <c r="D460" s="120" t="s">
        <v>1141</v>
      </c>
      <c r="E460" s="101" t="s">
        <v>936</v>
      </c>
      <c r="F460" s="114"/>
      <c r="G460" s="115"/>
      <c r="H460" s="104"/>
      <c r="I460" s="105"/>
      <c r="J460" s="102"/>
      <c r="K460" s="103"/>
      <c r="L460" s="102"/>
      <c r="M460" s="103"/>
      <c r="N460" s="102"/>
      <c r="O460" s="103"/>
      <c r="P460" s="102"/>
      <c r="Q460" s="106"/>
      <c r="R460" s="102"/>
      <c r="S460" s="106"/>
      <c r="T460" s="102"/>
      <c r="U460" s="106"/>
      <c r="V460" s="102"/>
      <c r="W460" s="106"/>
      <c r="X460" s="106"/>
      <c r="Y460" s="106"/>
      <c r="Z460" s="106"/>
      <c r="AA460" s="106"/>
      <c r="AB460" s="106"/>
      <c r="AC460" s="106"/>
      <c r="AD460" s="112">
        <f>F460+H460+J460+L460+N460+P460+R460+T460+V460+X460+Z460+AB460</f>
        <v>0</v>
      </c>
      <c r="AE460" s="107">
        <f>G460+I460+K460+M460+O460+Q460+S460+U460+W460+Y460+AA460+AC460</f>
        <v>0</v>
      </c>
    </row>
    <row r="461" spans="1:31">
      <c r="A461" s="100">
        <v>274</v>
      </c>
      <c r="B461" s="108">
        <v>4971710590524</v>
      </c>
      <c r="C461" s="109" t="s">
        <v>790</v>
      </c>
      <c r="D461" s="120" t="s">
        <v>1141</v>
      </c>
      <c r="E461" s="101" t="s">
        <v>937</v>
      </c>
      <c r="F461" s="114"/>
      <c r="G461" s="115"/>
      <c r="H461" s="104"/>
      <c r="I461" s="105"/>
      <c r="J461" s="102"/>
      <c r="K461" s="103"/>
      <c r="L461" s="102"/>
      <c r="M461" s="103"/>
      <c r="N461" s="102"/>
      <c r="O461" s="103"/>
      <c r="P461" s="102"/>
      <c r="Q461" s="106"/>
      <c r="R461" s="102"/>
      <c r="S461" s="106"/>
      <c r="T461" s="102"/>
      <c r="U461" s="106"/>
      <c r="V461" s="102"/>
      <c r="W461" s="106"/>
      <c r="X461" s="106"/>
      <c r="Y461" s="106"/>
      <c r="Z461" s="106"/>
      <c r="AA461" s="106"/>
      <c r="AB461" s="106"/>
      <c r="AC461" s="106"/>
      <c r="AD461" s="112">
        <f>F461+H461+J461+L461+N461+P461+R461+T461+V461+X461+Z461+AB461</f>
        <v>0</v>
      </c>
      <c r="AE461" s="107">
        <f>G461+I461+K461+M461+O461+Q461+S461+U461+W461+Y461+AA461+AC461</f>
        <v>0</v>
      </c>
    </row>
    <row r="462" spans="1:31">
      <c r="A462" s="100">
        <v>281</v>
      </c>
      <c r="B462" s="108">
        <v>4971710556766</v>
      </c>
      <c r="C462" s="109" t="s">
        <v>444</v>
      </c>
      <c r="D462" s="120" t="s">
        <v>1141</v>
      </c>
      <c r="E462" s="101" t="s">
        <v>445</v>
      </c>
      <c r="F462" s="114"/>
      <c r="G462" s="115"/>
      <c r="H462" s="104"/>
      <c r="I462" s="105"/>
      <c r="J462" s="102"/>
      <c r="K462" s="103"/>
      <c r="L462" s="102"/>
      <c r="M462" s="103"/>
      <c r="N462" s="102"/>
      <c r="O462" s="103"/>
      <c r="P462" s="102"/>
      <c r="Q462" s="106"/>
      <c r="R462" s="102"/>
      <c r="S462" s="106"/>
      <c r="T462" s="102"/>
      <c r="U462" s="106"/>
      <c r="V462" s="102"/>
      <c r="W462" s="106"/>
      <c r="X462" s="106"/>
      <c r="Y462" s="106"/>
      <c r="Z462" s="106"/>
      <c r="AA462" s="106"/>
      <c r="AB462" s="106"/>
      <c r="AC462" s="106"/>
      <c r="AD462" s="112">
        <f>F462+H462+J462+L462+N462+P462+R462+T462+V462+X462+Z462+AB462</f>
        <v>0</v>
      </c>
      <c r="AE462" s="107">
        <f>G462+I462+K462+M462+O462+Q462+S462+U462+W462+Y462+AA462+AC462</f>
        <v>0</v>
      </c>
    </row>
    <row r="463" spans="1:31">
      <c r="A463" s="100">
        <v>368</v>
      </c>
      <c r="B463" s="108">
        <v>4971710585063</v>
      </c>
      <c r="C463" s="109" t="s">
        <v>822</v>
      </c>
      <c r="D463" s="120" t="s">
        <v>1141</v>
      </c>
      <c r="E463" s="101" t="s">
        <v>1057</v>
      </c>
      <c r="F463" s="114"/>
      <c r="G463" s="115"/>
      <c r="H463" s="104"/>
      <c r="I463" s="105"/>
      <c r="J463" s="102"/>
      <c r="K463" s="103"/>
      <c r="L463" s="102"/>
      <c r="M463" s="103"/>
      <c r="N463" s="102"/>
      <c r="O463" s="103"/>
      <c r="P463" s="102"/>
      <c r="Q463" s="106"/>
      <c r="R463" s="102"/>
      <c r="S463" s="106"/>
      <c r="T463" s="102"/>
      <c r="U463" s="106"/>
      <c r="V463" s="102"/>
      <c r="W463" s="106"/>
      <c r="X463" s="106"/>
      <c r="Y463" s="106"/>
      <c r="Z463" s="106"/>
      <c r="AA463" s="106"/>
      <c r="AB463" s="106"/>
      <c r="AC463" s="106"/>
      <c r="AD463" s="112">
        <f>F463+H463+J463+L463+N463+P463+R463+T463+V463+X463+Z463+AB463</f>
        <v>0</v>
      </c>
      <c r="AE463" s="107">
        <f>G463+I463+K463+M463+O463+Q463+S463+U463+W463+Y463+AA463+AC463</f>
        <v>0</v>
      </c>
    </row>
    <row r="464" spans="1:31">
      <c r="A464" s="100">
        <v>383</v>
      </c>
      <c r="B464" s="108">
        <v>4971710573145</v>
      </c>
      <c r="C464" s="109" t="s">
        <v>1080</v>
      </c>
      <c r="D464" s="120" t="s">
        <v>1129</v>
      </c>
      <c r="E464" s="101" t="s">
        <v>985</v>
      </c>
      <c r="F464" s="114"/>
      <c r="G464" s="115"/>
      <c r="H464" s="104"/>
      <c r="I464" s="105"/>
      <c r="J464" s="102"/>
      <c r="K464" s="103"/>
      <c r="L464" s="102"/>
      <c r="M464" s="103"/>
      <c r="N464" s="102"/>
      <c r="O464" s="103"/>
      <c r="P464" s="102"/>
      <c r="Q464" s="106"/>
      <c r="R464" s="102"/>
      <c r="S464" s="106"/>
      <c r="T464" s="102"/>
      <c r="U464" s="106"/>
      <c r="V464" s="102"/>
      <c r="W464" s="106"/>
      <c r="X464" s="106"/>
      <c r="Y464" s="106"/>
      <c r="Z464" s="106"/>
      <c r="AA464" s="106"/>
      <c r="AB464" s="106"/>
      <c r="AC464" s="106"/>
      <c r="AD464" s="113">
        <f>F464+H464+J464+L464+N464+P464+R464+T464+V464+X464+Z464+AB464</f>
        <v>0</v>
      </c>
      <c r="AE464" s="107">
        <f>G464+I464+K464+M464+O464+Q464+S464+U464+W464+Y464+AA464+AC464</f>
        <v>0</v>
      </c>
    </row>
    <row r="465" spans="1:31">
      <c r="A465" s="100">
        <v>410</v>
      </c>
      <c r="B465" s="108">
        <v>4971710293531</v>
      </c>
      <c r="C465" s="109" t="s">
        <v>1099</v>
      </c>
      <c r="D465" s="120" t="s">
        <v>1129</v>
      </c>
      <c r="E465" s="101" t="s">
        <v>1100</v>
      </c>
      <c r="F465" s="114"/>
      <c r="G465" s="115"/>
      <c r="H465" s="104"/>
      <c r="I465" s="105"/>
      <c r="J465" s="102"/>
      <c r="K465" s="103"/>
      <c r="L465" s="102"/>
      <c r="M465" s="103"/>
      <c r="N465" s="102"/>
      <c r="O465" s="103"/>
      <c r="P465" s="102"/>
      <c r="Q465" s="106"/>
      <c r="R465" s="102"/>
      <c r="S465" s="106"/>
      <c r="T465" s="102"/>
      <c r="U465" s="106"/>
      <c r="V465" s="102"/>
      <c r="W465" s="106"/>
      <c r="X465" s="106"/>
      <c r="Y465" s="106"/>
      <c r="Z465" s="106"/>
      <c r="AA465" s="106"/>
      <c r="AB465" s="106"/>
      <c r="AC465" s="106"/>
      <c r="AD465" s="113">
        <f>F465+H465+J465+L465+N465+P465+R465+T465+V465+X465+Z465+AB465</f>
        <v>0</v>
      </c>
      <c r="AE465" s="107">
        <f>G465+I465+K465+M465+O465+Q465+S465+U465+W465+Y465+AA465+AC465</f>
        <v>0</v>
      </c>
    </row>
    <row r="466" spans="1:31">
      <c r="A466" s="100">
        <v>307</v>
      </c>
      <c r="B466" s="108">
        <v>4971710516692</v>
      </c>
      <c r="C466" s="109" t="s">
        <v>320</v>
      </c>
      <c r="D466" s="120" t="s">
        <v>1131</v>
      </c>
      <c r="E466" s="101" t="s">
        <v>321</v>
      </c>
      <c r="F466" s="114"/>
      <c r="G466" s="115"/>
      <c r="H466" s="104"/>
      <c r="I466" s="105"/>
      <c r="J466" s="102"/>
      <c r="K466" s="103"/>
      <c r="L466" s="102"/>
      <c r="M466" s="103"/>
      <c r="N466" s="102"/>
      <c r="O466" s="103"/>
      <c r="P466" s="102"/>
      <c r="Q466" s="106"/>
      <c r="R466" s="102"/>
      <c r="S466" s="106"/>
      <c r="T466" s="102"/>
      <c r="U466" s="106"/>
      <c r="V466" s="102"/>
      <c r="W466" s="106"/>
      <c r="X466" s="106"/>
      <c r="Y466" s="106"/>
      <c r="Z466" s="106"/>
      <c r="AA466" s="106"/>
      <c r="AB466" s="106"/>
      <c r="AC466" s="106"/>
      <c r="AD466" s="112">
        <f>F466+H466+J466+L466+N466+P466+R466+T466+V466+X466+Z466+AB466</f>
        <v>0</v>
      </c>
      <c r="AE466" s="107">
        <f>G466+I466+K466+M466+O466+Q466+S466+U466+W466+Y466+AA466+AC466</f>
        <v>0</v>
      </c>
    </row>
    <row r="467" spans="1:31">
      <c r="A467" s="100">
        <v>329</v>
      </c>
      <c r="B467" s="108">
        <v>4971710513394</v>
      </c>
      <c r="C467" s="109" t="s">
        <v>252</v>
      </c>
      <c r="D467" s="120" t="s">
        <v>1131</v>
      </c>
      <c r="E467" s="101" t="s">
        <v>253</v>
      </c>
      <c r="F467" s="114"/>
      <c r="G467" s="115"/>
      <c r="H467" s="104"/>
      <c r="I467" s="105"/>
      <c r="J467" s="102"/>
      <c r="K467" s="103"/>
      <c r="L467" s="102"/>
      <c r="M467" s="103"/>
      <c r="N467" s="102"/>
      <c r="O467" s="103"/>
      <c r="P467" s="102"/>
      <c r="Q467" s="106"/>
      <c r="R467" s="102"/>
      <c r="S467" s="106"/>
      <c r="T467" s="102"/>
      <c r="U467" s="106"/>
      <c r="V467" s="102"/>
      <c r="W467" s="106"/>
      <c r="X467" s="106"/>
      <c r="Y467" s="106"/>
      <c r="Z467" s="106"/>
      <c r="AA467" s="106"/>
      <c r="AB467" s="106"/>
      <c r="AC467" s="106"/>
      <c r="AD467" s="112">
        <f>F467+H467+J467+L467+N467+P467+R467+T467+V467+X467+Z467+AB467</f>
        <v>0</v>
      </c>
      <c r="AE467" s="107">
        <f>G467+I467+K467+M467+O467+Q467+S467+U467+W467+Y467+AA467+AC467</f>
        <v>0</v>
      </c>
    </row>
    <row r="468" spans="1:31">
      <c r="A468" s="100">
        <v>330</v>
      </c>
      <c r="B468" s="108">
        <v>4971710513585</v>
      </c>
      <c r="C468" s="109" t="s">
        <v>254</v>
      </c>
      <c r="D468" s="120" t="s">
        <v>1131</v>
      </c>
      <c r="E468" s="101" t="s">
        <v>255</v>
      </c>
      <c r="F468" s="114"/>
      <c r="G468" s="115"/>
      <c r="H468" s="104"/>
      <c r="I468" s="105"/>
      <c r="J468" s="102"/>
      <c r="K468" s="103"/>
      <c r="L468" s="102"/>
      <c r="M468" s="103"/>
      <c r="N468" s="102"/>
      <c r="O468" s="103"/>
      <c r="P468" s="102"/>
      <c r="Q468" s="106"/>
      <c r="R468" s="102"/>
      <c r="S468" s="106"/>
      <c r="T468" s="102"/>
      <c r="U468" s="106"/>
      <c r="V468" s="102"/>
      <c r="W468" s="106"/>
      <c r="X468" s="106"/>
      <c r="Y468" s="106"/>
      <c r="Z468" s="106"/>
      <c r="AA468" s="106"/>
      <c r="AB468" s="106"/>
      <c r="AC468" s="106"/>
      <c r="AD468" s="112">
        <f>F468+H468+J468+L468+N468+P468+R468+T468+V468+X468+Z468+AB468</f>
        <v>0</v>
      </c>
      <c r="AE468" s="107">
        <f>G468+I468+K468+M468+O468+Q468+S468+U468+W468+Y468+AA468+AC468</f>
        <v>0</v>
      </c>
    </row>
    <row r="469" spans="1:31">
      <c r="A469" s="100">
        <v>331</v>
      </c>
      <c r="B469" s="108">
        <v>4971710513592</v>
      </c>
      <c r="C469" s="109" t="s">
        <v>256</v>
      </c>
      <c r="D469" s="120" t="s">
        <v>1131</v>
      </c>
      <c r="E469" s="101" t="s">
        <v>257</v>
      </c>
      <c r="F469" s="114"/>
      <c r="G469" s="115"/>
      <c r="H469" s="104"/>
      <c r="I469" s="105"/>
      <c r="J469" s="102"/>
      <c r="K469" s="103"/>
      <c r="L469" s="102"/>
      <c r="M469" s="103"/>
      <c r="N469" s="102"/>
      <c r="O469" s="103"/>
      <c r="P469" s="102"/>
      <c r="Q469" s="106"/>
      <c r="R469" s="102"/>
      <c r="S469" s="106"/>
      <c r="T469" s="102"/>
      <c r="U469" s="106"/>
      <c r="V469" s="102"/>
      <c r="W469" s="106"/>
      <c r="X469" s="106"/>
      <c r="Y469" s="106"/>
      <c r="Z469" s="106"/>
      <c r="AA469" s="106"/>
      <c r="AB469" s="106"/>
      <c r="AC469" s="106"/>
      <c r="AD469" s="112">
        <f>F469+H469+J469+L469+N469+P469+R469+T469+V469+X469+Z469+AB469</f>
        <v>0</v>
      </c>
      <c r="AE469" s="107">
        <f>G469+I469+K469+M469+O469+Q469+S469+U469+W469+Y469+AA469+AC469</f>
        <v>0</v>
      </c>
    </row>
    <row r="470" spans="1:31">
      <c r="A470" s="100">
        <v>341</v>
      </c>
      <c r="B470" s="108">
        <v>4971710513844</v>
      </c>
      <c r="C470" s="109" t="s">
        <v>288</v>
      </c>
      <c r="D470" s="120" t="s">
        <v>1131</v>
      </c>
      <c r="E470" s="101" t="s">
        <v>289</v>
      </c>
      <c r="F470" s="114"/>
      <c r="G470" s="115"/>
      <c r="H470" s="104"/>
      <c r="I470" s="105"/>
      <c r="J470" s="102"/>
      <c r="K470" s="103"/>
      <c r="L470" s="102"/>
      <c r="M470" s="103"/>
      <c r="N470" s="102"/>
      <c r="O470" s="103"/>
      <c r="P470" s="102"/>
      <c r="Q470" s="106"/>
      <c r="R470" s="102"/>
      <c r="S470" s="106"/>
      <c r="T470" s="102"/>
      <c r="U470" s="106"/>
      <c r="V470" s="102"/>
      <c r="W470" s="106"/>
      <c r="X470" s="106"/>
      <c r="Y470" s="106"/>
      <c r="Z470" s="106"/>
      <c r="AA470" s="106"/>
      <c r="AB470" s="106"/>
      <c r="AC470" s="106"/>
      <c r="AD470" s="112">
        <f>F470+H470+J470+L470+N470+P470+R470+T470+V470+X470+Z470+AB470</f>
        <v>0</v>
      </c>
      <c r="AE470" s="107">
        <f>G470+I470+K470+M470+O470+Q470+S470+U470+W470+Y470+AA470+AC470</f>
        <v>0</v>
      </c>
    </row>
    <row r="471" spans="1:31">
      <c r="A471" s="100">
        <v>344</v>
      </c>
      <c r="B471" s="108">
        <v>4971710513820</v>
      </c>
      <c r="C471" s="109" t="s">
        <v>284</v>
      </c>
      <c r="D471" s="120" t="s">
        <v>1131</v>
      </c>
      <c r="E471" s="101" t="s">
        <v>285</v>
      </c>
      <c r="F471" s="114"/>
      <c r="G471" s="115"/>
      <c r="H471" s="104"/>
      <c r="I471" s="105"/>
      <c r="J471" s="102"/>
      <c r="K471" s="103"/>
      <c r="L471" s="102"/>
      <c r="M471" s="103"/>
      <c r="N471" s="102"/>
      <c r="O471" s="103"/>
      <c r="P471" s="102"/>
      <c r="Q471" s="106"/>
      <c r="R471" s="102"/>
      <c r="S471" s="106"/>
      <c r="T471" s="102"/>
      <c r="U471" s="106"/>
      <c r="V471" s="102"/>
      <c r="W471" s="106"/>
      <c r="X471" s="106"/>
      <c r="Y471" s="106"/>
      <c r="Z471" s="106"/>
      <c r="AA471" s="106"/>
      <c r="AB471" s="106"/>
      <c r="AC471" s="106"/>
      <c r="AD471" s="112">
        <f>F471+H471+J471+L471+N471+P471+R471+T471+V471+X471+Z471+AB471</f>
        <v>0</v>
      </c>
      <c r="AE471" s="107">
        <f>G471+I471+K471+M471+O471+Q471+S471+U471+W471+Y471+AA471+AC471</f>
        <v>0</v>
      </c>
    </row>
    <row r="472" spans="1:31">
      <c r="A472" s="100">
        <v>354</v>
      </c>
      <c r="B472" s="108">
        <v>4971710591545</v>
      </c>
      <c r="C472" s="109" t="s">
        <v>818</v>
      </c>
      <c r="D472" s="120" t="s">
        <v>1131</v>
      </c>
      <c r="E472" s="101" t="s">
        <v>1052</v>
      </c>
      <c r="F472" s="114"/>
      <c r="G472" s="115"/>
      <c r="H472" s="104"/>
      <c r="I472" s="105"/>
      <c r="J472" s="102"/>
      <c r="K472" s="103"/>
      <c r="L472" s="102"/>
      <c r="M472" s="103"/>
      <c r="N472" s="102"/>
      <c r="O472" s="103"/>
      <c r="P472" s="102"/>
      <c r="Q472" s="106"/>
      <c r="R472" s="102"/>
      <c r="S472" s="106"/>
      <c r="T472" s="102"/>
      <c r="U472" s="106"/>
      <c r="V472" s="102"/>
      <c r="W472" s="106"/>
      <c r="X472" s="106"/>
      <c r="Y472" s="106"/>
      <c r="Z472" s="106"/>
      <c r="AA472" s="106"/>
      <c r="AB472" s="106"/>
      <c r="AC472" s="106"/>
      <c r="AD472" s="112">
        <f>F472+H472+J472+L472+N472+P472+R472+T472+V472+X472+Z472+AB472</f>
        <v>0</v>
      </c>
      <c r="AE472" s="107">
        <f>G472+I472+K472+M472+O472+Q472+S472+U472+W472+Y472+AA472+AC472</f>
        <v>0</v>
      </c>
    </row>
    <row r="473" spans="1:31">
      <c r="A473" s="100">
        <v>363</v>
      </c>
      <c r="B473" s="108">
        <v>4971710513653</v>
      </c>
      <c r="C473" s="109" t="s">
        <v>266</v>
      </c>
      <c r="D473" s="120" t="s">
        <v>1131</v>
      </c>
      <c r="E473" s="101" t="s">
        <v>267</v>
      </c>
      <c r="F473" s="114"/>
      <c r="G473" s="115"/>
      <c r="H473" s="104"/>
      <c r="I473" s="105"/>
      <c r="J473" s="102"/>
      <c r="K473" s="115"/>
      <c r="L473" s="102"/>
      <c r="M473" s="103"/>
      <c r="N473" s="102"/>
      <c r="O473" s="103"/>
      <c r="P473" s="102"/>
      <c r="Q473" s="106"/>
      <c r="R473" s="102"/>
      <c r="S473" s="106"/>
      <c r="T473" s="102"/>
      <c r="U473" s="106"/>
      <c r="V473" s="102"/>
      <c r="W473" s="106"/>
      <c r="X473" s="106"/>
      <c r="Y473" s="106"/>
      <c r="Z473" s="106"/>
      <c r="AA473" s="106"/>
      <c r="AB473" s="106"/>
      <c r="AC473" s="106"/>
      <c r="AD473" s="112">
        <f>F473+H473+J473+L473+N473+P473+R473+T473+V473+X473+Z473+AB473</f>
        <v>0</v>
      </c>
      <c r="AE473" s="107">
        <f>G473+I473+K473+M473+O473+Q473+S473+U473+W473+Y473+AA473+AC473</f>
        <v>0</v>
      </c>
    </row>
    <row r="474" spans="1:31">
      <c r="A474" s="100">
        <v>375</v>
      </c>
      <c r="B474" s="108">
        <v>4971710513837</v>
      </c>
      <c r="C474" s="109" t="s">
        <v>286</v>
      </c>
      <c r="D474" s="120" t="s">
        <v>1131</v>
      </c>
      <c r="E474" s="101" t="s">
        <v>287</v>
      </c>
      <c r="F474" s="114"/>
      <c r="G474" s="115"/>
      <c r="H474" s="104"/>
      <c r="I474" s="105"/>
      <c r="J474" s="102"/>
      <c r="K474" s="115"/>
      <c r="L474" s="102"/>
      <c r="M474" s="103"/>
      <c r="N474" s="102"/>
      <c r="O474" s="103"/>
      <c r="P474" s="102"/>
      <c r="Q474" s="106"/>
      <c r="R474" s="102"/>
      <c r="S474" s="106"/>
      <c r="T474" s="102"/>
      <c r="U474" s="106"/>
      <c r="V474" s="102"/>
      <c r="W474" s="106"/>
      <c r="X474" s="106"/>
      <c r="Y474" s="106"/>
      <c r="Z474" s="106"/>
      <c r="AA474" s="106"/>
      <c r="AB474" s="106"/>
      <c r="AC474" s="106"/>
      <c r="AD474" s="112">
        <f>F474+H474+J474+L474+N474+P474+R474+T474+V474+X474+Z474+AB474</f>
        <v>0</v>
      </c>
      <c r="AE474" s="107">
        <f>G474+I474+K474+M474+O474+Q474+S474+U474+W474+Y474+AA474+AC474</f>
        <v>0</v>
      </c>
    </row>
    <row r="475" spans="1:31">
      <c r="A475" s="100">
        <v>376</v>
      </c>
      <c r="B475" s="108">
        <v>4971710513851</v>
      </c>
      <c r="C475" s="109" t="s">
        <v>290</v>
      </c>
      <c r="D475" s="120" t="s">
        <v>1131</v>
      </c>
      <c r="E475" s="101" t="s">
        <v>291</v>
      </c>
      <c r="F475" s="114"/>
      <c r="G475" s="115"/>
      <c r="H475" s="104"/>
      <c r="I475" s="105"/>
      <c r="J475" s="102"/>
      <c r="K475" s="115"/>
      <c r="L475" s="102"/>
      <c r="M475" s="103"/>
      <c r="N475" s="102"/>
      <c r="O475" s="103"/>
      <c r="P475" s="102"/>
      <c r="Q475" s="106"/>
      <c r="R475" s="102"/>
      <c r="S475" s="106"/>
      <c r="T475" s="102"/>
      <c r="U475" s="106"/>
      <c r="V475" s="102"/>
      <c r="W475" s="106"/>
      <c r="X475" s="106"/>
      <c r="Y475" s="106"/>
      <c r="Z475" s="106"/>
      <c r="AA475" s="106"/>
      <c r="AB475" s="106"/>
      <c r="AC475" s="106"/>
      <c r="AD475" s="112">
        <f>F475+H475+J475+L475+N475+P475+R475+T475+V475+X475+Z475+AB475</f>
        <v>0</v>
      </c>
      <c r="AE475" s="107">
        <f>G475+I475+K475+M475+O475+Q475+S475+U475+W475+Y475+AA475+AC475</f>
        <v>0</v>
      </c>
    </row>
    <row r="476" spans="1:31">
      <c r="A476" s="100">
        <v>377</v>
      </c>
      <c r="B476" s="108">
        <v>4971710516845</v>
      </c>
      <c r="C476" s="109" t="s">
        <v>328</v>
      </c>
      <c r="D476" s="120" t="s">
        <v>1131</v>
      </c>
      <c r="E476" s="101" t="s">
        <v>329</v>
      </c>
      <c r="F476" s="114"/>
      <c r="G476" s="115"/>
      <c r="H476" s="104"/>
      <c r="I476" s="105"/>
      <c r="J476" s="102"/>
      <c r="K476" s="115"/>
      <c r="L476" s="102"/>
      <c r="M476" s="103"/>
      <c r="N476" s="102"/>
      <c r="O476" s="103"/>
      <c r="P476" s="102"/>
      <c r="Q476" s="106"/>
      <c r="R476" s="102"/>
      <c r="S476" s="106"/>
      <c r="T476" s="102"/>
      <c r="U476" s="106"/>
      <c r="V476" s="102"/>
      <c r="W476" s="106"/>
      <c r="X476" s="106"/>
      <c r="Y476" s="106"/>
      <c r="Z476" s="106"/>
      <c r="AA476" s="106"/>
      <c r="AB476" s="106"/>
      <c r="AC476" s="106"/>
      <c r="AD476" s="112">
        <f>F476+H476+J476+L476+N476+P476+R476+T476+V476+X476+Z476+AB476</f>
        <v>0</v>
      </c>
      <c r="AE476" s="107">
        <f>G476+I476+K476+M476+O476+Q476+S476+U476+W476+Y476+AA476+AC476</f>
        <v>0</v>
      </c>
    </row>
    <row r="477" spans="1:31">
      <c r="A477" s="100">
        <v>382</v>
      </c>
      <c r="B477" s="108">
        <v>4971710522396</v>
      </c>
      <c r="C477" s="109" t="s">
        <v>378</v>
      </c>
      <c r="D477" s="120" t="s">
        <v>1131</v>
      </c>
      <c r="E477" s="101" t="s">
        <v>379</v>
      </c>
      <c r="F477" s="114"/>
      <c r="G477" s="115"/>
      <c r="H477" s="104"/>
      <c r="I477" s="105"/>
      <c r="J477" s="102"/>
      <c r="K477" s="115"/>
      <c r="L477" s="102"/>
      <c r="M477" s="103"/>
      <c r="N477" s="102"/>
      <c r="O477" s="103"/>
      <c r="P477" s="102"/>
      <c r="Q477" s="106"/>
      <c r="R477" s="102"/>
      <c r="S477" s="106"/>
      <c r="T477" s="102"/>
      <c r="U477" s="106"/>
      <c r="V477" s="102"/>
      <c r="W477" s="106"/>
      <c r="X477" s="106"/>
      <c r="Y477" s="106"/>
      <c r="Z477" s="106"/>
      <c r="AA477" s="106"/>
      <c r="AB477" s="106"/>
      <c r="AC477" s="106"/>
      <c r="AD477" s="112">
        <f>F477+H477+J477+L477+N477+P477+R477+T477+V477+X477+Z477+AB477</f>
        <v>0</v>
      </c>
      <c r="AE477" s="107">
        <f>G477+I477+K477+M477+O477+Q477+S477+U477+W477+Y477+AA477+AC477</f>
        <v>0</v>
      </c>
    </row>
    <row r="478" spans="1:31">
      <c r="A478" s="100">
        <v>387</v>
      </c>
      <c r="B478" s="108">
        <v>4971710573244</v>
      </c>
      <c r="C478" s="109" t="s">
        <v>574</v>
      </c>
      <c r="D478" s="120" t="s">
        <v>1131</v>
      </c>
      <c r="E478" s="101" t="s">
        <v>575</v>
      </c>
      <c r="F478" s="114"/>
      <c r="G478" s="115"/>
      <c r="H478" s="104"/>
      <c r="I478" s="105"/>
      <c r="J478" s="102"/>
      <c r="K478" s="115"/>
      <c r="L478" s="102"/>
      <c r="M478" s="103"/>
      <c r="N478" s="102"/>
      <c r="O478" s="103"/>
      <c r="P478" s="102"/>
      <c r="Q478" s="106"/>
      <c r="R478" s="102"/>
      <c r="S478" s="106"/>
      <c r="T478" s="102"/>
      <c r="U478" s="106"/>
      <c r="V478" s="102"/>
      <c r="W478" s="106"/>
      <c r="X478" s="106"/>
      <c r="Y478" s="106"/>
      <c r="Z478" s="106"/>
      <c r="AA478" s="106"/>
      <c r="AB478" s="106"/>
      <c r="AC478" s="106"/>
      <c r="AD478" s="112">
        <f>F478+H478+J478+L478+N478+P478+R478+T478+V478+X478+Z478+AB478</f>
        <v>0</v>
      </c>
      <c r="AE478" s="107">
        <f>G478+I478+K478+M478+O478+Q478+S478+U478+W478+Y478+AA478+AC478</f>
        <v>0</v>
      </c>
    </row>
    <row r="479" spans="1:31">
      <c r="A479" s="100">
        <v>388</v>
      </c>
      <c r="B479" s="108">
        <v>4971710513929</v>
      </c>
      <c r="C479" s="109" t="s">
        <v>292</v>
      </c>
      <c r="D479" s="120" t="s">
        <v>1131</v>
      </c>
      <c r="E479" s="101" t="s">
        <v>293</v>
      </c>
      <c r="F479" s="114"/>
      <c r="G479" s="115"/>
      <c r="H479" s="104"/>
      <c r="I479" s="105"/>
      <c r="J479" s="102"/>
      <c r="K479" s="115"/>
      <c r="L479" s="102"/>
      <c r="M479" s="103"/>
      <c r="N479" s="102"/>
      <c r="O479" s="103"/>
      <c r="P479" s="102"/>
      <c r="Q479" s="106"/>
      <c r="R479" s="102"/>
      <c r="S479" s="106"/>
      <c r="T479" s="102"/>
      <c r="U479" s="106"/>
      <c r="V479" s="102"/>
      <c r="W479" s="106"/>
      <c r="X479" s="106"/>
      <c r="Y479" s="106"/>
      <c r="Z479" s="106"/>
      <c r="AA479" s="106"/>
      <c r="AB479" s="106"/>
      <c r="AC479" s="106"/>
      <c r="AD479" s="112">
        <f>F479+H479+J479+L479+N479+P479+R479+T479+V479+X479+Z479+AB479</f>
        <v>0</v>
      </c>
      <c r="AE479" s="107">
        <f>G479+I479+K479+M479+O479+Q479+S479+U479+W479+Y479+AA479+AC479</f>
        <v>0</v>
      </c>
    </row>
    <row r="480" spans="1:31">
      <c r="A480" s="100">
        <v>391</v>
      </c>
      <c r="B480" s="108">
        <v>4971710522372</v>
      </c>
      <c r="C480" s="109" t="s">
        <v>374</v>
      </c>
      <c r="D480" s="120" t="s">
        <v>1131</v>
      </c>
      <c r="E480" s="101" t="s">
        <v>375</v>
      </c>
      <c r="F480" s="114"/>
      <c r="G480" s="115"/>
      <c r="H480" s="104"/>
      <c r="I480" s="105"/>
      <c r="J480" s="102"/>
      <c r="K480" s="115"/>
      <c r="L480" s="102"/>
      <c r="M480" s="103"/>
      <c r="N480" s="102"/>
      <c r="O480" s="103"/>
      <c r="P480" s="102"/>
      <c r="Q480" s="106"/>
      <c r="R480" s="102"/>
      <c r="S480" s="106"/>
      <c r="T480" s="102"/>
      <c r="U480" s="106"/>
      <c r="V480" s="102"/>
      <c r="W480" s="106"/>
      <c r="X480" s="106"/>
      <c r="Y480" s="106"/>
      <c r="Z480" s="106"/>
      <c r="AA480" s="106"/>
      <c r="AB480" s="106"/>
      <c r="AC480" s="106"/>
      <c r="AD480" s="112">
        <f>F480+H480+J480+L480+N480+P480+R480+T480+V480+X480+Z480+AB480</f>
        <v>0</v>
      </c>
      <c r="AE480" s="107">
        <f>G480+I480+K480+M480+O480+Q480+S480+U480+W480+Y480+AA480+AC480</f>
        <v>0</v>
      </c>
    </row>
    <row r="481" spans="1:31">
      <c r="A481" s="100">
        <v>405</v>
      </c>
      <c r="B481" s="108">
        <v>4971710522389</v>
      </c>
      <c r="C481" s="109" t="s">
        <v>376</v>
      </c>
      <c r="D481" s="120" t="s">
        <v>1131</v>
      </c>
      <c r="E481" s="101" t="s">
        <v>377</v>
      </c>
      <c r="F481" s="114"/>
      <c r="G481" s="115"/>
      <c r="H481" s="104"/>
      <c r="I481" s="105"/>
      <c r="J481" s="102"/>
      <c r="K481" s="115"/>
      <c r="L481" s="102"/>
      <c r="M481" s="103"/>
      <c r="N481" s="102"/>
      <c r="O481" s="103"/>
      <c r="P481" s="102"/>
      <c r="Q481" s="106"/>
      <c r="R481" s="102"/>
      <c r="S481" s="106"/>
      <c r="T481" s="102"/>
      <c r="U481" s="106"/>
      <c r="V481" s="102"/>
      <c r="W481" s="106"/>
      <c r="X481" s="106"/>
      <c r="Y481" s="106"/>
      <c r="Z481" s="106"/>
      <c r="AA481" s="106"/>
      <c r="AB481" s="106"/>
      <c r="AC481" s="106"/>
      <c r="AD481" s="112">
        <f>F481+H481+J481+L481+N481+P481+R481+T481+V481+X481+Z481+AB481</f>
        <v>0</v>
      </c>
      <c r="AE481" s="107">
        <f>G481+I481+K481+M481+O481+Q481+S481+U481+W481+Y481+AA481+AC481</f>
        <v>0</v>
      </c>
    </row>
    <row r="482" spans="1:31">
      <c r="A482" s="100">
        <v>406</v>
      </c>
      <c r="B482" s="108">
        <v>4971710514179</v>
      </c>
      <c r="C482" s="109" t="s">
        <v>1105</v>
      </c>
      <c r="D482" s="120" t="s">
        <v>1131</v>
      </c>
      <c r="E482" s="101" t="s">
        <v>1106</v>
      </c>
      <c r="F482" s="114"/>
      <c r="G482" s="115"/>
      <c r="H482" s="104"/>
      <c r="I482" s="105"/>
      <c r="J482" s="102"/>
      <c r="K482" s="115"/>
      <c r="L482" s="102"/>
      <c r="M482" s="103"/>
      <c r="N482" s="102"/>
      <c r="O482" s="103"/>
      <c r="P482" s="102"/>
      <c r="Q482" s="106"/>
      <c r="R482" s="102"/>
      <c r="S482" s="106"/>
      <c r="T482" s="102"/>
      <c r="U482" s="106"/>
      <c r="V482" s="102"/>
      <c r="W482" s="106"/>
      <c r="X482" s="106"/>
      <c r="Y482" s="106"/>
      <c r="Z482" s="106"/>
      <c r="AA482" s="106"/>
      <c r="AB482" s="106"/>
      <c r="AC482" s="106"/>
      <c r="AD482" s="113">
        <f>F482+H482+J482+L482+N482+P482+R482+T482+V482+X482+Z482+AB482</f>
        <v>0</v>
      </c>
      <c r="AE482" s="107">
        <f>G482+I482+K482+M482+O482+Q482+S482+U482+W482+Y482+AA482+AC482</f>
        <v>0</v>
      </c>
    </row>
    <row r="483" spans="1:31">
      <c r="A483" s="100">
        <v>414</v>
      </c>
      <c r="B483" s="108">
        <v>4971710522402</v>
      </c>
      <c r="C483" s="109" t="s">
        <v>380</v>
      </c>
      <c r="D483" s="120" t="s">
        <v>1131</v>
      </c>
      <c r="E483" s="101" t="s">
        <v>381</v>
      </c>
      <c r="F483" s="114"/>
      <c r="G483" s="115"/>
      <c r="H483" s="104"/>
      <c r="I483" s="105"/>
      <c r="J483" s="102"/>
      <c r="K483" s="115"/>
      <c r="L483" s="102"/>
      <c r="M483" s="103"/>
      <c r="N483" s="102"/>
      <c r="O483" s="103"/>
      <c r="P483" s="102"/>
      <c r="Q483" s="106"/>
      <c r="R483" s="102"/>
      <c r="S483" s="106"/>
      <c r="T483" s="102"/>
      <c r="U483" s="106"/>
      <c r="V483" s="102"/>
      <c r="W483" s="106"/>
      <c r="X483" s="106"/>
      <c r="Y483" s="106"/>
      <c r="Z483" s="106"/>
      <c r="AA483" s="106"/>
      <c r="AB483" s="106"/>
      <c r="AC483" s="106"/>
      <c r="AD483" s="112">
        <f>F483+H483+J483+L483+N483+P483+R483+T483+V483+X483+Z483+AB483</f>
        <v>0</v>
      </c>
      <c r="AE483" s="107">
        <f>G483+I483+K483+M483+O483+Q483+S483+U483+W483+Y483+AA483+AC483</f>
        <v>0</v>
      </c>
    </row>
    <row r="484" spans="1:31">
      <c r="A484" s="100">
        <v>415</v>
      </c>
      <c r="B484" s="108">
        <v>4971710522419</v>
      </c>
      <c r="C484" s="109" t="s">
        <v>382</v>
      </c>
      <c r="D484" s="120" t="s">
        <v>1131</v>
      </c>
      <c r="E484" s="101" t="s">
        <v>383</v>
      </c>
      <c r="F484" s="114"/>
      <c r="G484" s="115"/>
      <c r="H484" s="104"/>
      <c r="I484" s="105"/>
      <c r="J484" s="102"/>
      <c r="K484" s="115"/>
      <c r="L484" s="102"/>
      <c r="M484" s="103"/>
      <c r="N484" s="102"/>
      <c r="O484" s="103"/>
      <c r="P484" s="102"/>
      <c r="Q484" s="106"/>
      <c r="R484" s="102"/>
      <c r="S484" s="106"/>
      <c r="T484" s="102"/>
      <c r="U484" s="106"/>
      <c r="V484" s="102"/>
      <c r="W484" s="106"/>
      <c r="X484" s="106"/>
      <c r="Y484" s="106"/>
      <c r="Z484" s="106"/>
      <c r="AA484" s="106"/>
      <c r="AB484" s="106"/>
      <c r="AC484" s="106"/>
      <c r="AD484" s="112">
        <f>F484+H484+J484+L484+N484+P484+R484+T484+V484+X484+Z484+AB484</f>
        <v>0</v>
      </c>
      <c r="AE484" s="107">
        <f>G484+I484+K484+M484+O484+Q484+S484+U484+W484+Y484+AA484+AC484</f>
        <v>0</v>
      </c>
    </row>
    <row r="485" spans="1:31">
      <c r="A485" s="100">
        <v>419</v>
      </c>
      <c r="B485" s="108">
        <v>4971710513707</v>
      </c>
      <c r="C485" s="109" t="s">
        <v>276</v>
      </c>
      <c r="D485" s="120" t="s">
        <v>1131</v>
      </c>
      <c r="E485" s="101" t="s">
        <v>277</v>
      </c>
      <c r="F485" s="114"/>
      <c r="G485" s="115"/>
      <c r="H485" s="104"/>
      <c r="I485" s="105"/>
      <c r="J485" s="102"/>
      <c r="K485" s="115"/>
      <c r="L485" s="102"/>
      <c r="M485" s="103"/>
      <c r="N485" s="102"/>
      <c r="O485" s="103"/>
      <c r="P485" s="102"/>
      <c r="Q485" s="106"/>
      <c r="R485" s="102"/>
      <c r="S485" s="106"/>
      <c r="T485" s="102"/>
      <c r="U485" s="106"/>
      <c r="V485" s="102"/>
      <c r="W485" s="106"/>
      <c r="X485" s="106"/>
      <c r="Y485" s="106"/>
      <c r="Z485" s="106"/>
      <c r="AA485" s="106"/>
      <c r="AB485" s="106"/>
      <c r="AC485" s="106"/>
      <c r="AD485" s="112">
        <f>F485+H485+J485+L485+N485+P485+R485+T485+V485+X485+Z485+AB485</f>
        <v>0</v>
      </c>
      <c r="AE485" s="107">
        <f>G485+I485+K485+M485+O485+Q485+S485+U485+W485+Y485+AA485+AC485</f>
        <v>0</v>
      </c>
    </row>
    <row r="486" spans="1:31">
      <c r="A486" s="100">
        <v>435</v>
      </c>
      <c r="B486" s="108">
        <v>4971710573237</v>
      </c>
      <c r="C486" s="109" t="s">
        <v>572</v>
      </c>
      <c r="D486" s="120" t="s">
        <v>1131</v>
      </c>
      <c r="E486" s="101" t="s">
        <v>573</v>
      </c>
      <c r="F486" s="114"/>
      <c r="G486" s="115"/>
      <c r="H486" s="104"/>
      <c r="I486" s="105"/>
      <c r="J486" s="102"/>
      <c r="K486" s="115"/>
      <c r="L486" s="102"/>
      <c r="M486" s="103"/>
      <c r="N486" s="102"/>
      <c r="O486" s="103"/>
      <c r="P486" s="102"/>
      <c r="Q486" s="106"/>
      <c r="R486" s="102"/>
      <c r="S486" s="106"/>
      <c r="T486" s="102"/>
      <c r="U486" s="106"/>
      <c r="V486" s="102"/>
      <c r="W486" s="106"/>
      <c r="X486" s="106"/>
      <c r="Y486" s="106"/>
      <c r="Z486" s="106"/>
      <c r="AA486" s="106"/>
      <c r="AB486" s="106"/>
      <c r="AC486" s="106"/>
      <c r="AD486" s="112">
        <f>F486+H486+J486+L486+N486+P486+R486+T486+V486+X486+Z486+AB486</f>
        <v>0</v>
      </c>
      <c r="AE486" s="107">
        <f>G486+I486+K486+M486+O486+Q486+S486+U486+W486+Y486+AA486+AC486</f>
        <v>0</v>
      </c>
    </row>
    <row r="487" spans="1:31">
      <c r="A487" s="100">
        <v>448</v>
      </c>
      <c r="B487" s="108">
        <v>4971710513998</v>
      </c>
      <c r="C487" s="109" t="s">
        <v>804</v>
      </c>
      <c r="D487" s="120" t="s">
        <v>1131</v>
      </c>
      <c r="E487" s="101" t="s">
        <v>805</v>
      </c>
      <c r="F487" s="114"/>
      <c r="G487" s="115"/>
      <c r="H487" s="104"/>
      <c r="I487" s="105"/>
      <c r="J487" s="102"/>
      <c r="K487" s="115"/>
      <c r="L487" s="102"/>
      <c r="M487" s="103"/>
      <c r="N487" s="102"/>
      <c r="O487" s="103"/>
      <c r="P487" s="102"/>
      <c r="Q487" s="106"/>
      <c r="R487" s="102"/>
      <c r="S487" s="106"/>
      <c r="T487" s="102"/>
      <c r="U487" s="106"/>
      <c r="V487" s="102"/>
      <c r="W487" s="106"/>
      <c r="X487" s="106"/>
      <c r="Y487" s="106"/>
      <c r="Z487" s="106"/>
      <c r="AA487" s="106"/>
      <c r="AB487" s="106"/>
      <c r="AC487" s="106"/>
      <c r="AD487" s="112">
        <f>F487+H487+J487+L487+N487+P487+R487+T487+V487+X487+Z487+AB487</f>
        <v>0</v>
      </c>
      <c r="AE487" s="107">
        <f>G487+I487+K487+M487+O487+Q487+S487+U487+W487+Y487+AA487+AC487</f>
        <v>0</v>
      </c>
    </row>
    <row r="488" spans="1:31">
      <c r="A488" s="100">
        <v>449</v>
      </c>
      <c r="B488" s="108">
        <v>4971710518962</v>
      </c>
      <c r="C488" s="109" t="s">
        <v>806</v>
      </c>
      <c r="D488" s="120" t="s">
        <v>1131</v>
      </c>
      <c r="E488" s="101" t="s">
        <v>805</v>
      </c>
      <c r="F488" s="114"/>
      <c r="G488" s="115"/>
      <c r="H488" s="104"/>
      <c r="I488" s="105"/>
      <c r="J488" s="102"/>
      <c r="K488" s="115"/>
      <c r="L488" s="102"/>
      <c r="M488" s="103"/>
      <c r="N488" s="102"/>
      <c r="O488" s="103"/>
      <c r="P488" s="102"/>
      <c r="Q488" s="106"/>
      <c r="R488" s="102"/>
      <c r="S488" s="106"/>
      <c r="T488" s="102"/>
      <c r="U488" s="106"/>
      <c r="V488" s="102"/>
      <c r="W488" s="106"/>
      <c r="X488" s="106"/>
      <c r="Y488" s="106"/>
      <c r="Z488" s="106"/>
      <c r="AA488" s="106"/>
      <c r="AB488" s="106"/>
      <c r="AC488" s="106"/>
      <c r="AD488" s="112">
        <f>F488+H488+J488+L488+N488+P488+R488+T488+V488+X488+Z488+AB488</f>
        <v>0</v>
      </c>
      <c r="AE488" s="107">
        <f>G488+I488+K488+M488+O488+Q488+S488+U488+W488+Y488+AA488+AC488</f>
        <v>0</v>
      </c>
    </row>
    <row r="489" spans="1:31">
      <c r="A489" s="100">
        <v>450</v>
      </c>
      <c r="B489" s="108">
        <v>4971710514261</v>
      </c>
      <c r="C489" s="109" t="s">
        <v>807</v>
      </c>
      <c r="D489" s="120" t="s">
        <v>1131</v>
      </c>
      <c r="E489" s="101" t="s">
        <v>805</v>
      </c>
      <c r="F489" s="114"/>
      <c r="G489" s="115"/>
      <c r="H489" s="104"/>
      <c r="I489" s="105"/>
      <c r="J489" s="102"/>
      <c r="K489" s="115"/>
      <c r="L489" s="102"/>
      <c r="M489" s="103"/>
      <c r="N489" s="102"/>
      <c r="O489" s="103"/>
      <c r="P489" s="102"/>
      <c r="Q489" s="106"/>
      <c r="R489" s="102"/>
      <c r="S489" s="106"/>
      <c r="T489" s="102"/>
      <c r="U489" s="106"/>
      <c r="V489" s="102"/>
      <c r="W489" s="106"/>
      <c r="X489" s="106"/>
      <c r="Y489" s="106"/>
      <c r="Z489" s="106"/>
      <c r="AA489" s="106"/>
      <c r="AB489" s="106"/>
      <c r="AC489" s="106"/>
      <c r="AD489" s="112">
        <f>F489+H489+J489+L489+N489+P489+R489+T489+V489+X489+Z489+AB489</f>
        <v>0</v>
      </c>
      <c r="AE489" s="107">
        <f>G489+I489+K489+M489+O489+Q489+S489+U489+W489+Y489+AA489+AC489</f>
        <v>0</v>
      </c>
    </row>
    <row r="490" spans="1:31">
      <c r="A490" s="100">
        <v>451</v>
      </c>
      <c r="B490" s="108">
        <v>4971710514209</v>
      </c>
      <c r="C490" s="109" t="s">
        <v>808</v>
      </c>
      <c r="D490" s="120" t="s">
        <v>1131</v>
      </c>
      <c r="E490" s="101" t="s">
        <v>805</v>
      </c>
      <c r="F490" s="114"/>
      <c r="G490" s="115"/>
      <c r="H490" s="104"/>
      <c r="I490" s="105"/>
      <c r="J490" s="102"/>
      <c r="K490" s="115"/>
      <c r="L490" s="102"/>
      <c r="M490" s="103"/>
      <c r="N490" s="102"/>
      <c r="O490" s="103"/>
      <c r="P490" s="102"/>
      <c r="Q490" s="106"/>
      <c r="R490" s="102"/>
      <c r="S490" s="106"/>
      <c r="T490" s="102"/>
      <c r="U490" s="106"/>
      <c r="V490" s="102"/>
      <c r="W490" s="106"/>
      <c r="X490" s="106"/>
      <c r="Y490" s="106"/>
      <c r="Z490" s="106"/>
      <c r="AA490" s="106"/>
      <c r="AB490" s="106"/>
      <c r="AC490" s="106"/>
      <c r="AD490" s="112">
        <f>F490+H490+J490+L490+N490+P490+R490+T490+V490+X490+Z490+AB490</f>
        <v>0</v>
      </c>
      <c r="AE490" s="107">
        <f>G490+I490+K490+M490+O490+Q490+S490+U490+W490+Y490+AA490+AC490</f>
        <v>0</v>
      </c>
    </row>
    <row r="491" spans="1:31">
      <c r="A491" s="100">
        <v>452</v>
      </c>
      <c r="B491" s="108">
        <v>4971710514193</v>
      </c>
      <c r="C491" s="109" t="s">
        <v>809</v>
      </c>
      <c r="D491" s="120" t="s">
        <v>1131</v>
      </c>
      <c r="E491" s="101" t="s">
        <v>805</v>
      </c>
      <c r="F491" s="114"/>
      <c r="G491" s="115"/>
      <c r="H491" s="104"/>
      <c r="I491" s="105"/>
      <c r="J491" s="102"/>
      <c r="K491" s="115"/>
      <c r="L491" s="102"/>
      <c r="M491" s="103"/>
      <c r="N491" s="102"/>
      <c r="O491" s="103"/>
      <c r="P491" s="102"/>
      <c r="Q491" s="106"/>
      <c r="R491" s="102"/>
      <c r="S491" s="106"/>
      <c r="T491" s="102"/>
      <c r="U491" s="106"/>
      <c r="V491" s="102"/>
      <c r="W491" s="106"/>
      <c r="X491" s="106"/>
      <c r="Y491" s="106"/>
      <c r="Z491" s="106"/>
      <c r="AA491" s="106"/>
      <c r="AB491" s="106"/>
      <c r="AC491" s="106"/>
      <c r="AD491" s="112">
        <f>F491+H491+J491+L491+N491+P491+R491+T491+V491+X491+Z491+AB491</f>
        <v>0</v>
      </c>
      <c r="AE491" s="107">
        <f>G491+I491+K491+M491+O491+Q491+S491+U491+W491+Y491+AA491+AC491</f>
        <v>0</v>
      </c>
    </row>
    <row r="492" spans="1:31">
      <c r="A492" s="100">
        <v>453</v>
      </c>
      <c r="B492" s="108">
        <v>4971710514186</v>
      </c>
      <c r="C492" s="109" t="s">
        <v>810</v>
      </c>
      <c r="D492" s="120" t="s">
        <v>1131</v>
      </c>
      <c r="E492" s="101" t="s">
        <v>805</v>
      </c>
      <c r="F492" s="114"/>
      <c r="G492" s="115"/>
      <c r="H492" s="104"/>
      <c r="I492" s="105"/>
      <c r="J492" s="102"/>
      <c r="K492" s="115"/>
      <c r="L492" s="102"/>
      <c r="M492" s="103"/>
      <c r="N492" s="102"/>
      <c r="O492" s="103"/>
      <c r="P492" s="102"/>
      <c r="Q492" s="106"/>
      <c r="R492" s="102"/>
      <c r="S492" s="106"/>
      <c r="T492" s="102"/>
      <c r="U492" s="106"/>
      <c r="V492" s="102"/>
      <c r="W492" s="106"/>
      <c r="X492" s="106"/>
      <c r="Y492" s="106"/>
      <c r="Z492" s="106"/>
      <c r="AA492" s="106"/>
      <c r="AB492" s="106"/>
      <c r="AC492" s="106"/>
      <c r="AD492" s="112">
        <f>F492+H492+J492+L492+N492+P492+R492+T492+V492+X492+Z492+AB492</f>
        <v>0</v>
      </c>
      <c r="AE492" s="107">
        <f>G492+I492+K492+M492+O492+Q492+S492+U492+W492+Y492+AA492+AC492</f>
        <v>0</v>
      </c>
    </row>
    <row r="493" spans="1:31">
      <c r="A493" s="100">
        <v>454</v>
      </c>
      <c r="B493" s="108">
        <v>4971710514148</v>
      </c>
      <c r="C493" s="109" t="s">
        <v>811</v>
      </c>
      <c r="D493" s="120" t="s">
        <v>1131</v>
      </c>
      <c r="E493" s="101" t="s">
        <v>805</v>
      </c>
      <c r="F493" s="114"/>
      <c r="G493" s="115"/>
      <c r="H493" s="104"/>
      <c r="I493" s="105"/>
      <c r="J493" s="102"/>
      <c r="K493" s="115"/>
      <c r="L493" s="102"/>
      <c r="M493" s="103"/>
      <c r="N493" s="102"/>
      <c r="O493" s="103"/>
      <c r="P493" s="102"/>
      <c r="Q493" s="106"/>
      <c r="R493" s="102"/>
      <c r="S493" s="106"/>
      <c r="T493" s="102"/>
      <c r="U493" s="106"/>
      <c r="V493" s="102"/>
      <c r="W493" s="106"/>
      <c r="X493" s="106"/>
      <c r="Y493" s="106"/>
      <c r="Z493" s="106"/>
      <c r="AA493" s="106"/>
      <c r="AB493" s="106"/>
      <c r="AC493" s="106"/>
      <c r="AD493" s="112">
        <f>F493+H493+J493+L493+N493+P493+R493+T493+V493+X493+Z493+AB493</f>
        <v>0</v>
      </c>
      <c r="AE493" s="107">
        <f>G493+I493+K493+M493+O493+Q493+S493+U493+W493+Y493+AA493+AC493</f>
        <v>0</v>
      </c>
    </row>
    <row r="494" spans="1:31">
      <c r="A494" s="100">
        <v>335</v>
      </c>
      <c r="B494" s="108">
        <v>4971710514667</v>
      </c>
      <c r="C494" s="109" t="s">
        <v>304</v>
      </c>
      <c r="D494" s="120" t="s">
        <v>1135</v>
      </c>
      <c r="E494" s="101" t="s">
        <v>305</v>
      </c>
      <c r="F494" s="114"/>
      <c r="G494" s="115"/>
      <c r="H494" s="104"/>
      <c r="I494" s="105"/>
      <c r="J494" s="102"/>
      <c r="K494" s="115"/>
      <c r="L494" s="102"/>
      <c r="M494" s="103"/>
      <c r="N494" s="102"/>
      <c r="O494" s="103"/>
      <c r="P494" s="102"/>
      <c r="Q494" s="106"/>
      <c r="R494" s="102"/>
      <c r="S494" s="106"/>
      <c r="T494" s="102"/>
      <c r="U494" s="106"/>
      <c r="V494" s="102"/>
      <c r="W494" s="106"/>
      <c r="X494" s="106"/>
      <c r="Y494" s="106"/>
      <c r="Z494" s="106"/>
      <c r="AA494" s="106"/>
      <c r="AB494" s="106"/>
      <c r="AC494" s="106"/>
      <c r="AD494" s="112">
        <f>F494+H494+J494+L494+N494+P494+R494+T494+V494+X494+Z494+AB494</f>
        <v>0</v>
      </c>
      <c r="AE494" s="107">
        <f>G494+I494+K494+M494+O494+Q494+S494+U494+W494+Y494+AA494+AC494</f>
        <v>0</v>
      </c>
    </row>
    <row r="495" spans="1:31">
      <c r="A495" s="100">
        <v>492</v>
      </c>
      <c r="B495" s="108"/>
      <c r="C495" s="109"/>
      <c r="D495" s="120"/>
      <c r="E495" s="101"/>
      <c r="F495" s="114"/>
      <c r="G495" s="115"/>
      <c r="H495" s="104"/>
      <c r="I495" s="105"/>
      <c r="J495" s="102"/>
      <c r="K495" s="115"/>
      <c r="L495" s="102"/>
      <c r="M495" s="103"/>
      <c r="N495" s="102"/>
      <c r="O495" s="103"/>
      <c r="P495" s="102"/>
      <c r="Q495" s="106"/>
      <c r="R495" s="102"/>
      <c r="S495" s="106"/>
      <c r="T495" s="102"/>
      <c r="U495" s="106"/>
      <c r="V495" s="102"/>
      <c r="W495" s="106"/>
      <c r="X495" s="106"/>
      <c r="Y495" s="106"/>
      <c r="Z495" s="106"/>
      <c r="AA495" s="106"/>
      <c r="AB495" s="106"/>
      <c r="AC495" s="106"/>
      <c r="AD495" s="112">
        <f>F495+H495+J495+L495+N495+P495+R495+T495+V495+X495+Z495+AB495</f>
        <v>0</v>
      </c>
      <c r="AE495" s="107">
        <f>G495+I495+K495+M495+O495+Q495+S495+U495+W495+Y495+AA495+AC495</f>
        <v>0</v>
      </c>
    </row>
    <row r="496" spans="1:31">
      <c r="A496" s="100">
        <v>493</v>
      </c>
      <c r="B496" s="108"/>
      <c r="C496" s="109"/>
      <c r="D496" s="120"/>
      <c r="E496" s="101"/>
      <c r="F496" s="114"/>
      <c r="G496" s="115"/>
      <c r="H496" s="104"/>
      <c r="I496" s="105"/>
      <c r="J496" s="102"/>
      <c r="K496" s="115"/>
      <c r="L496" s="102"/>
      <c r="M496" s="103"/>
      <c r="N496" s="102"/>
      <c r="O496" s="103"/>
      <c r="P496" s="102"/>
      <c r="Q496" s="106"/>
      <c r="R496" s="102"/>
      <c r="S496" s="106"/>
      <c r="T496" s="102"/>
      <c r="U496" s="106"/>
      <c r="V496" s="102"/>
      <c r="W496" s="106"/>
      <c r="X496" s="106"/>
      <c r="Y496" s="106"/>
      <c r="Z496" s="106"/>
      <c r="AA496" s="106"/>
      <c r="AB496" s="106"/>
      <c r="AC496" s="106"/>
      <c r="AD496" s="112">
        <f>F496+H496+J496+L496+N496+P496+R496+T496+V496+X496+Z496+AB496</f>
        <v>0</v>
      </c>
      <c r="AE496" s="107">
        <f>G496+I496+K496+M496+O496+Q496+S496+U496+W496+Y496+AA496+AC496</f>
        <v>0</v>
      </c>
    </row>
    <row r="497" spans="1:31">
      <c r="A497" s="100">
        <v>494</v>
      </c>
      <c r="B497" s="108"/>
      <c r="C497" s="109"/>
      <c r="D497" s="120"/>
      <c r="E497" s="101"/>
      <c r="F497" s="114"/>
      <c r="G497" s="115"/>
      <c r="H497" s="104"/>
      <c r="I497" s="105"/>
      <c r="J497" s="102"/>
      <c r="K497" s="115"/>
      <c r="L497" s="102"/>
      <c r="M497" s="103"/>
      <c r="N497" s="102"/>
      <c r="O497" s="103"/>
      <c r="P497" s="102"/>
      <c r="Q497" s="106"/>
      <c r="R497" s="102"/>
      <c r="S497" s="106"/>
      <c r="T497" s="102"/>
      <c r="U497" s="106"/>
      <c r="V497" s="102"/>
      <c r="W497" s="106"/>
      <c r="X497" s="106"/>
      <c r="Y497" s="106"/>
      <c r="Z497" s="106"/>
      <c r="AA497" s="106"/>
      <c r="AB497" s="106"/>
      <c r="AC497" s="106"/>
      <c r="AD497" s="112">
        <f>F497+H497+J497+L497+N497+P497+R497+T497+V497+X497+Z497+AB497</f>
        <v>0</v>
      </c>
      <c r="AE497" s="107">
        <f>G497+I497+K497+M497+O497+Q497+S497+U497+W497+Y497+AA497+AC497</f>
        <v>0</v>
      </c>
    </row>
    <row r="498" spans="1:31">
      <c r="A498" s="100">
        <v>495</v>
      </c>
      <c r="B498" s="108"/>
      <c r="C498" s="109"/>
      <c r="D498" s="120"/>
      <c r="E498" s="101"/>
      <c r="F498" s="114"/>
      <c r="G498" s="115"/>
      <c r="H498" s="104"/>
      <c r="I498" s="105"/>
      <c r="J498" s="102"/>
      <c r="K498" s="115"/>
      <c r="L498" s="102"/>
      <c r="M498" s="103"/>
      <c r="N498" s="102"/>
      <c r="O498" s="103"/>
      <c r="P498" s="102"/>
      <c r="Q498" s="106"/>
      <c r="R498" s="102"/>
      <c r="S498" s="106"/>
      <c r="T498" s="102"/>
      <c r="U498" s="106"/>
      <c r="V498" s="102"/>
      <c r="W498" s="106"/>
      <c r="X498" s="106"/>
      <c r="Y498" s="106"/>
      <c r="Z498" s="106"/>
      <c r="AA498" s="106"/>
      <c r="AB498" s="106"/>
      <c r="AC498" s="106"/>
      <c r="AD498" s="112">
        <f>F498+H498+J498+L498+N498+P498+R498+T498+V498+X498+Z498+AB498</f>
        <v>0</v>
      </c>
      <c r="AE498" s="107">
        <f>G498+I498+K498+M498+O498+Q498+S498+U498+W498+Y498+AA498+AC498</f>
        <v>0</v>
      </c>
    </row>
    <row r="499" spans="1:31">
      <c r="A499" s="100">
        <v>496</v>
      </c>
      <c r="B499" s="108"/>
      <c r="C499" s="109"/>
      <c r="D499" s="120"/>
      <c r="E499" s="101"/>
      <c r="F499" s="114"/>
      <c r="G499" s="115"/>
      <c r="H499" s="104"/>
      <c r="I499" s="105"/>
      <c r="J499" s="102"/>
      <c r="K499" s="115"/>
      <c r="L499" s="102"/>
      <c r="M499" s="103"/>
      <c r="N499" s="102"/>
      <c r="O499" s="103"/>
      <c r="P499" s="102"/>
      <c r="Q499" s="106"/>
      <c r="R499" s="102"/>
      <c r="S499" s="106"/>
      <c r="T499" s="102"/>
      <c r="U499" s="106"/>
      <c r="V499" s="102"/>
      <c r="W499" s="106"/>
      <c r="X499" s="106"/>
      <c r="Y499" s="106"/>
      <c r="Z499" s="106"/>
      <c r="AA499" s="106"/>
      <c r="AB499" s="106"/>
      <c r="AC499" s="106"/>
      <c r="AD499" s="112">
        <f>F499+H499+J499+L499+N499+P499+R499+T499+V499+X499+Z499+AB499</f>
        <v>0</v>
      </c>
      <c r="AE499" s="107">
        <f>G499+I499+K499+M499+O499+Q499+S499+U499+W499+Y499+AA499+AC499</f>
        <v>0</v>
      </c>
    </row>
    <row r="500" spans="1:31">
      <c r="A500" s="100">
        <v>497</v>
      </c>
      <c r="B500" s="108"/>
      <c r="C500" s="109"/>
      <c r="D500" s="120"/>
      <c r="E500" s="101"/>
      <c r="F500" s="114"/>
      <c r="G500" s="115"/>
      <c r="H500" s="104"/>
      <c r="I500" s="105"/>
      <c r="J500" s="102"/>
      <c r="K500" s="115"/>
      <c r="L500" s="102"/>
      <c r="M500" s="103"/>
      <c r="N500" s="102"/>
      <c r="O500" s="103"/>
      <c r="P500" s="102"/>
      <c r="Q500" s="106"/>
      <c r="R500" s="102"/>
      <c r="S500" s="106"/>
      <c r="T500" s="102"/>
      <c r="U500" s="106"/>
      <c r="V500" s="102"/>
      <c r="W500" s="106"/>
      <c r="X500" s="106"/>
      <c r="Y500" s="106"/>
      <c r="Z500" s="106"/>
      <c r="AA500" s="106"/>
      <c r="AB500" s="106"/>
      <c r="AC500" s="106"/>
      <c r="AD500" s="112">
        <f>F500+H500+J500+L500+N500+P500+R500+T500+V500+X500+Z500+AB500</f>
        <v>0</v>
      </c>
      <c r="AE500" s="107">
        <f>G500+I500+K500+M500+O500+Q500+S500+U500+W500+Y500+AA500+AC500</f>
        <v>0</v>
      </c>
    </row>
    <row r="501" spans="1:31">
      <c r="A501" s="100">
        <v>498</v>
      </c>
      <c r="B501" s="108"/>
      <c r="C501" s="109"/>
      <c r="D501" s="120"/>
      <c r="E501" s="101"/>
      <c r="F501" s="114"/>
      <c r="G501" s="115"/>
      <c r="H501" s="104"/>
      <c r="I501" s="105"/>
      <c r="J501" s="102"/>
      <c r="K501" s="115"/>
      <c r="L501" s="102"/>
      <c r="M501" s="103"/>
      <c r="N501" s="102"/>
      <c r="O501" s="103"/>
      <c r="P501" s="102"/>
      <c r="Q501" s="106"/>
      <c r="R501" s="102"/>
      <c r="S501" s="106"/>
      <c r="T501" s="102"/>
      <c r="U501" s="106"/>
      <c r="V501" s="102"/>
      <c r="W501" s="106"/>
      <c r="X501" s="106"/>
      <c r="Y501" s="106"/>
      <c r="Z501" s="106"/>
      <c r="AA501" s="106"/>
      <c r="AB501" s="106"/>
      <c r="AC501" s="106"/>
      <c r="AD501" s="112">
        <f>F501+H501+J501+L501+N501+P501+R501+T501+V501+X501+Z501+AB501</f>
        <v>0</v>
      </c>
      <c r="AE501" s="107">
        <f>G501+I501+K501+M501+O501+Q501+S501+U501+W501+Y501+AA501+AC501</f>
        <v>0</v>
      </c>
    </row>
    <row r="502" spans="1:31">
      <c r="A502" s="100">
        <v>499</v>
      </c>
      <c r="B502" s="108"/>
      <c r="C502" s="109"/>
      <c r="D502" s="120"/>
      <c r="E502" s="101"/>
      <c r="F502" s="114"/>
      <c r="G502" s="115"/>
      <c r="H502" s="104"/>
      <c r="I502" s="105"/>
      <c r="J502" s="102"/>
      <c r="K502" s="115"/>
      <c r="L502" s="102"/>
      <c r="M502" s="103"/>
      <c r="N502" s="102"/>
      <c r="O502" s="103"/>
      <c r="P502" s="102"/>
      <c r="Q502" s="106"/>
      <c r="R502" s="102"/>
      <c r="S502" s="106"/>
      <c r="T502" s="102"/>
      <c r="U502" s="106"/>
      <c r="V502" s="102"/>
      <c r="W502" s="106"/>
      <c r="X502" s="106"/>
      <c r="Y502" s="106"/>
      <c r="Z502" s="106"/>
      <c r="AA502" s="106"/>
      <c r="AB502" s="106"/>
      <c r="AC502" s="106"/>
      <c r="AD502" s="112">
        <f>F502+H502+J502+L502+N502+P502+R502+T502+V502+X502+Z502+AB502</f>
        <v>0</v>
      </c>
      <c r="AE502" s="107">
        <f>G502+I502+K502+M502+O502+Q502+S502+U502+W502+Y502+AA502+AC502</f>
        <v>0</v>
      </c>
    </row>
    <row r="503" spans="1:31">
      <c r="A503" s="100">
        <v>500</v>
      </c>
      <c r="B503" s="108"/>
      <c r="C503" s="109"/>
      <c r="D503" s="120"/>
      <c r="E503" s="101"/>
      <c r="F503" s="114"/>
      <c r="G503" s="115"/>
      <c r="H503" s="104"/>
      <c r="I503" s="105"/>
      <c r="J503" s="102"/>
      <c r="K503" s="115"/>
      <c r="L503" s="102"/>
      <c r="M503" s="103"/>
      <c r="N503" s="102"/>
      <c r="O503" s="103"/>
      <c r="P503" s="102"/>
      <c r="Q503" s="106"/>
      <c r="R503" s="102"/>
      <c r="S503" s="106"/>
      <c r="T503" s="102"/>
      <c r="U503" s="106"/>
      <c r="V503" s="102"/>
      <c r="W503" s="106"/>
      <c r="X503" s="106"/>
      <c r="Y503" s="106"/>
      <c r="Z503" s="106"/>
      <c r="AA503" s="106"/>
      <c r="AB503" s="106"/>
      <c r="AC503" s="106"/>
      <c r="AD503" s="112">
        <f>F503+H503+J503+L503+N503+P503+R503+T503+V503+X503+Z503+AB503</f>
        <v>0</v>
      </c>
      <c r="AE503" s="107">
        <f>G503+I503+K503+M503+O503+Q503+S503+U503+W503+Y503+AA503+AC503</f>
        <v>0</v>
      </c>
    </row>
    <row r="504" spans="1:31">
      <c r="A504" s="100">
        <v>501</v>
      </c>
      <c r="B504" s="108"/>
      <c r="C504" s="109"/>
      <c r="D504" s="120"/>
      <c r="E504" s="101"/>
      <c r="F504" s="114"/>
      <c r="G504" s="115"/>
      <c r="H504" s="104"/>
      <c r="I504" s="105"/>
      <c r="J504" s="102"/>
      <c r="K504" s="115"/>
      <c r="L504" s="102"/>
      <c r="M504" s="103"/>
      <c r="N504" s="102"/>
      <c r="O504" s="103"/>
      <c r="P504" s="102"/>
      <c r="Q504" s="106"/>
      <c r="R504" s="102"/>
      <c r="S504" s="106"/>
      <c r="T504" s="102"/>
      <c r="U504" s="106"/>
      <c r="V504" s="102"/>
      <c r="W504" s="106"/>
      <c r="X504" s="106"/>
      <c r="Y504" s="106"/>
      <c r="Z504" s="106"/>
      <c r="AA504" s="106"/>
      <c r="AB504" s="106"/>
      <c r="AC504" s="106"/>
      <c r="AD504" s="112">
        <f>F504+H504+J504+L504+N504+P504+R504+T504+V504+X504+Z504+AB504</f>
        <v>0</v>
      </c>
      <c r="AE504" s="107">
        <f>G504+I504+K504+M504+O504+Q504+S504+U504+W504+Y504+AA504+AC504</f>
        <v>0</v>
      </c>
    </row>
    <row r="505" spans="1:31">
      <c r="A505" s="100">
        <v>502</v>
      </c>
      <c r="B505" s="108"/>
      <c r="C505" s="109"/>
      <c r="D505" s="120"/>
      <c r="E505" s="101"/>
      <c r="F505" s="114"/>
      <c r="G505" s="115"/>
      <c r="H505" s="104"/>
      <c r="I505" s="105"/>
      <c r="J505" s="102"/>
      <c r="K505" s="115"/>
      <c r="L505" s="102"/>
      <c r="M505" s="103"/>
      <c r="N505" s="102"/>
      <c r="O505" s="103"/>
      <c r="P505" s="102"/>
      <c r="Q505" s="106"/>
      <c r="R505" s="102"/>
      <c r="S505" s="106"/>
      <c r="T505" s="102"/>
      <c r="U505" s="106"/>
      <c r="V505" s="102"/>
      <c r="W505" s="106"/>
      <c r="X505" s="106"/>
      <c r="Y505" s="106"/>
      <c r="Z505" s="106"/>
      <c r="AA505" s="106"/>
      <c r="AB505" s="106"/>
      <c r="AC505" s="106"/>
      <c r="AD505" s="112">
        <f>F505+H505+J505+L505+N505+P505+R505+T505+V505+X505+Z505+AB505</f>
        <v>0</v>
      </c>
      <c r="AE505" s="107">
        <f>G505+I505+K505+M505+O505+Q505+S505+U505+W505+Y505+AA505+AC505</f>
        <v>0</v>
      </c>
    </row>
    <row r="506" spans="1:31">
      <c r="A506" s="100">
        <v>503</v>
      </c>
      <c r="B506" s="108"/>
      <c r="C506" s="109"/>
      <c r="D506" s="120"/>
      <c r="E506" s="101"/>
      <c r="F506" s="114"/>
      <c r="G506" s="115"/>
      <c r="H506" s="104"/>
      <c r="I506" s="105"/>
      <c r="J506" s="102"/>
      <c r="K506" s="115"/>
      <c r="L506" s="102"/>
      <c r="M506" s="103"/>
      <c r="N506" s="102"/>
      <c r="O506" s="103"/>
      <c r="P506" s="102"/>
      <c r="Q506" s="106"/>
      <c r="R506" s="102"/>
      <c r="S506" s="106"/>
      <c r="T506" s="102"/>
      <c r="U506" s="106"/>
      <c r="V506" s="102"/>
      <c r="W506" s="106"/>
      <c r="X506" s="106"/>
      <c r="Y506" s="106"/>
      <c r="Z506" s="106"/>
      <c r="AA506" s="106"/>
      <c r="AB506" s="106"/>
      <c r="AC506" s="106"/>
      <c r="AD506" s="112">
        <f>F506+H506+J506+L506+N506+P506+R506+T506+V506+X506+Z506+AB506</f>
        <v>0</v>
      </c>
      <c r="AE506" s="107">
        <f>G506+I506+K506+M506+O506+Q506+S506+U506+W506+Y506+AA506+AC506</f>
        <v>0</v>
      </c>
    </row>
    <row r="507" spans="1:31">
      <c r="A507" s="100">
        <v>504</v>
      </c>
      <c r="B507" s="108"/>
      <c r="C507" s="109"/>
      <c r="D507" s="120"/>
      <c r="E507" s="101"/>
      <c r="F507" s="114"/>
      <c r="G507" s="115"/>
      <c r="H507" s="104"/>
      <c r="I507" s="105"/>
      <c r="J507" s="102"/>
      <c r="K507" s="115"/>
      <c r="L507" s="102"/>
      <c r="M507" s="103"/>
      <c r="N507" s="102"/>
      <c r="O507" s="103"/>
      <c r="P507" s="102"/>
      <c r="Q507" s="106"/>
      <c r="R507" s="102"/>
      <c r="S507" s="106"/>
      <c r="T507" s="102"/>
      <c r="U507" s="106"/>
      <c r="V507" s="102"/>
      <c r="W507" s="106"/>
      <c r="X507" s="106"/>
      <c r="Y507" s="106"/>
      <c r="Z507" s="106"/>
      <c r="AA507" s="106"/>
      <c r="AB507" s="106"/>
      <c r="AC507" s="106"/>
      <c r="AD507" s="112">
        <f>F507+H507+J507+L507+N507+P507+R507+T507+V507+X507+Z507+AB507</f>
        <v>0</v>
      </c>
      <c r="AE507" s="107">
        <f>G507+I507+K507+M507+O507+Q507+S507+U507+W507+Y507+AA507+AC507</f>
        <v>0</v>
      </c>
    </row>
    <row r="508" spans="1:31">
      <c r="A508" s="100">
        <v>505</v>
      </c>
      <c r="B508" s="108"/>
      <c r="C508" s="109"/>
      <c r="D508" s="120"/>
      <c r="E508" s="101"/>
      <c r="F508" s="114"/>
      <c r="G508" s="115"/>
      <c r="H508" s="104"/>
      <c r="I508" s="105"/>
      <c r="J508" s="102"/>
      <c r="K508" s="115"/>
      <c r="L508" s="102"/>
      <c r="M508" s="103"/>
      <c r="N508" s="102"/>
      <c r="O508" s="103"/>
      <c r="P508" s="102"/>
      <c r="Q508" s="106"/>
      <c r="R508" s="102"/>
      <c r="S508" s="106"/>
      <c r="T508" s="102"/>
      <c r="U508" s="106"/>
      <c r="V508" s="102"/>
      <c r="W508" s="106"/>
      <c r="X508" s="106"/>
      <c r="Y508" s="106"/>
      <c r="Z508" s="106"/>
      <c r="AA508" s="106"/>
      <c r="AB508" s="106"/>
      <c r="AC508" s="106"/>
      <c r="AD508" s="112">
        <f>F508+H508+J508+L508+N508+P508+R508+T508+V508+X508+Z508+AB508</f>
        <v>0</v>
      </c>
      <c r="AE508" s="107">
        <f>G508+I508+K508+M508+O508+Q508+S508+U508+W508+Y508+AA508+AC508</f>
        <v>0</v>
      </c>
    </row>
    <row r="509" spans="1:31">
      <c r="A509" s="100">
        <v>506</v>
      </c>
      <c r="B509" s="108"/>
      <c r="C509" s="109"/>
      <c r="D509" s="120"/>
      <c r="E509" s="101"/>
      <c r="F509" s="114"/>
      <c r="G509" s="115"/>
      <c r="H509" s="104"/>
      <c r="I509" s="105"/>
      <c r="J509" s="102"/>
      <c r="K509" s="115"/>
      <c r="L509" s="102"/>
      <c r="M509" s="103"/>
      <c r="N509" s="102"/>
      <c r="O509" s="103"/>
      <c r="P509" s="102"/>
      <c r="Q509" s="106"/>
      <c r="R509" s="102"/>
      <c r="S509" s="106"/>
      <c r="T509" s="102"/>
      <c r="U509" s="106"/>
      <c r="V509" s="102"/>
      <c r="W509" s="106"/>
      <c r="X509" s="106"/>
      <c r="Y509" s="106"/>
      <c r="Z509" s="106"/>
      <c r="AA509" s="106"/>
      <c r="AB509" s="106"/>
      <c r="AC509" s="106"/>
      <c r="AD509" s="112">
        <f>F509+H509+J509+L509+N509+P509+R509+T509+V509+X509+Z509+AB509</f>
        <v>0</v>
      </c>
      <c r="AE509" s="107">
        <f>G509+I509+K509+M509+O509+Q509+S509+U509+W509+Y509+AA509+AC509</f>
        <v>0</v>
      </c>
    </row>
    <row r="510" spans="1:31">
      <c r="A510" s="100">
        <v>507</v>
      </c>
      <c r="B510" s="108"/>
      <c r="C510" s="109"/>
      <c r="D510" s="120"/>
      <c r="E510" s="101"/>
      <c r="F510" s="114"/>
      <c r="G510" s="115"/>
      <c r="H510" s="104"/>
      <c r="I510" s="105"/>
      <c r="J510" s="102"/>
      <c r="K510" s="115"/>
      <c r="L510" s="102"/>
      <c r="M510" s="103"/>
      <c r="N510" s="102"/>
      <c r="O510" s="103"/>
      <c r="P510" s="102"/>
      <c r="Q510" s="106"/>
      <c r="R510" s="102"/>
      <c r="S510" s="106"/>
      <c r="T510" s="102"/>
      <c r="U510" s="106"/>
      <c r="V510" s="102"/>
      <c r="W510" s="106"/>
      <c r="X510" s="106"/>
      <c r="Y510" s="106"/>
      <c r="Z510" s="106"/>
      <c r="AA510" s="106"/>
      <c r="AB510" s="106"/>
      <c r="AC510" s="106"/>
      <c r="AD510" s="112">
        <f>F510+H510+J510+L510+N510+P510+R510+T510+V510+X510+Z510+AB510</f>
        <v>0</v>
      </c>
      <c r="AE510" s="107">
        <f>G510+I510+K510+M510+O510+Q510+S510+U510+W510+Y510+AA510+AC510</f>
        <v>0</v>
      </c>
    </row>
    <row r="511" spans="1:31">
      <c r="A511" s="100">
        <v>508</v>
      </c>
      <c r="B511" s="108"/>
      <c r="C511" s="109"/>
      <c r="D511" s="120"/>
      <c r="E511" s="101"/>
      <c r="F511" s="114"/>
      <c r="G511" s="115"/>
      <c r="H511" s="104"/>
      <c r="I511" s="105"/>
      <c r="J511" s="102"/>
      <c r="K511" s="115"/>
      <c r="L511" s="102"/>
      <c r="M511" s="103"/>
      <c r="N511" s="102"/>
      <c r="O511" s="103"/>
      <c r="P511" s="102"/>
      <c r="Q511" s="106"/>
      <c r="R511" s="102"/>
      <c r="S511" s="106"/>
      <c r="T511" s="102"/>
      <c r="U511" s="106"/>
      <c r="V511" s="102"/>
      <c r="W511" s="106"/>
      <c r="X511" s="106"/>
      <c r="Y511" s="106"/>
      <c r="Z511" s="106"/>
      <c r="AA511" s="106"/>
      <c r="AB511" s="106"/>
      <c r="AC511" s="106"/>
      <c r="AD511" s="112">
        <f>F511+H511+J511+L511+N511+P511+R511+T511+V511+X511+Z511+AB511</f>
        <v>0</v>
      </c>
      <c r="AE511" s="107">
        <f>G511+I511+K511+M511+O511+Q511+S511+U511+W511+Y511+AA511+AC511</f>
        <v>0</v>
      </c>
    </row>
    <row r="512" spans="1:31">
      <c r="A512" s="100">
        <v>509</v>
      </c>
      <c r="B512" s="108"/>
      <c r="C512" s="109"/>
      <c r="D512" s="120"/>
      <c r="E512" s="101"/>
      <c r="F512" s="114"/>
      <c r="G512" s="115"/>
      <c r="H512" s="104"/>
      <c r="I512" s="105"/>
      <c r="J512" s="102"/>
      <c r="K512" s="115"/>
      <c r="L512" s="102"/>
      <c r="M512" s="103"/>
      <c r="N512" s="102"/>
      <c r="O512" s="103"/>
      <c r="P512" s="102"/>
      <c r="Q512" s="106"/>
      <c r="R512" s="102"/>
      <c r="S512" s="106"/>
      <c r="T512" s="102"/>
      <c r="U512" s="106"/>
      <c r="V512" s="102"/>
      <c r="W512" s="106"/>
      <c r="X512" s="106"/>
      <c r="Y512" s="106"/>
      <c r="Z512" s="106"/>
      <c r="AA512" s="106"/>
      <c r="AB512" s="106"/>
      <c r="AC512" s="106"/>
      <c r="AD512" s="112">
        <f>F512+H512+J512+L512+N512+P512+R512+T512+V512+X512+Z512+AB512</f>
        <v>0</v>
      </c>
      <c r="AE512" s="107">
        <f>G512+I512+K512+M512+O512+Q512+S512+U512+W512+Y512+AA512+AC512</f>
        <v>0</v>
      </c>
    </row>
    <row r="513" spans="1:31">
      <c r="A513" s="100">
        <v>510</v>
      </c>
      <c r="B513" s="108"/>
      <c r="C513" s="109"/>
      <c r="D513" s="120"/>
      <c r="E513" s="101"/>
      <c r="F513" s="114"/>
      <c r="G513" s="115"/>
      <c r="H513" s="104"/>
      <c r="I513" s="105"/>
      <c r="J513" s="102"/>
      <c r="K513" s="115"/>
      <c r="L513" s="102"/>
      <c r="M513" s="103"/>
      <c r="N513" s="102"/>
      <c r="O513" s="103"/>
      <c r="P513" s="102"/>
      <c r="Q513" s="106"/>
      <c r="R513" s="102"/>
      <c r="S513" s="106"/>
      <c r="T513" s="102"/>
      <c r="U513" s="106"/>
      <c r="V513" s="102"/>
      <c r="W513" s="106"/>
      <c r="X513" s="106"/>
      <c r="Y513" s="106"/>
      <c r="Z513" s="106"/>
      <c r="AA513" s="106"/>
      <c r="AB513" s="106"/>
      <c r="AC513" s="106"/>
      <c r="AD513" s="112">
        <f>F513+H513+J513+L513+N513+P513+R513+T513+V513+X513+Z513+AB513</f>
        <v>0</v>
      </c>
      <c r="AE513" s="107">
        <f>G513+I513+K513+M513+O513+Q513+S513+U513+W513+Y513+AA513+AC513</f>
        <v>0</v>
      </c>
    </row>
    <row r="514" spans="1:31">
      <c r="A514" s="100">
        <v>511</v>
      </c>
      <c r="B514" s="108"/>
      <c r="C514" s="109"/>
      <c r="D514" s="120"/>
      <c r="E514" s="101"/>
      <c r="F514" s="114"/>
      <c r="G514" s="115"/>
      <c r="H514" s="104"/>
      <c r="I514" s="105"/>
      <c r="J514" s="102"/>
      <c r="K514" s="115"/>
      <c r="L514" s="102"/>
      <c r="M514" s="103"/>
      <c r="N514" s="102"/>
      <c r="O514" s="103"/>
      <c r="P514" s="102"/>
      <c r="Q514" s="106"/>
      <c r="R514" s="102"/>
      <c r="S514" s="106"/>
      <c r="T514" s="102"/>
      <c r="U514" s="106"/>
      <c r="V514" s="102"/>
      <c r="W514" s="106"/>
      <c r="X514" s="106"/>
      <c r="Y514" s="106"/>
      <c r="Z514" s="106"/>
      <c r="AA514" s="106"/>
      <c r="AB514" s="106"/>
      <c r="AC514" s="106"/>
      <c r="AD514" s="112">
        <f>F514+H514+J514+L514+N514+P514+R514+T514+V514+X514+Z514+AB514</f>
        <v>0</v>
      </c>
      <c r="AE514" s="107">
        <f>G514+I514+K514+M514+O514+Q514+S514+U514+W514+Y514+AA514+AC514</f>
        <v>0</v>
      </c>
    </row>
    <row r="515" spans="1:31">
      <c r="A515" s="100">
        <v>512</v>
      </c>
      <c r="B515" s="108"/>
      <c r="C515" s="109"/>
      <c r="D515" s="120"/>
      <c r="E515" s="101"/>
      <c r="F515" s="114"/>
      <c r="G515" s="115"/>
      <c r="H515" s="104"/>
      <c r="I515" s="105"/>
      <c r="J515" s="102"/>
      <c r="K515" s="115"/>
      <c r="L515" s="102"/>
      <c r="M515" s="103"/>
      <c r="N515" s="102"/>
      <c r="O515" s="103"/>
      <c r="P515" s="102"/>
      <c r="Q515" s="106"/>
      <c r="R515" s="102"/>
      <c r="S515" s="106"/>
      <c r="T515" s="102"/>
      <c r="U515" s="106"/>
      <c r="V515" s="102"/>
      <c r="W515" s="106"/>
      <c r="X515" s="106"/>
      <c r="Y515" s="106"/>
      <c r="Z515" s="106"/>
      <c r="AA515" s="106"/>
      <c r="AB515" s="106"/>
      <c r="AC515" s="106"/>
      <c r="AD515" s="112">
        <f>F515+H515+J515+L515+N515+P515+R515+T515+V515+X515+Z515+AB515</f>
        <v>0</v>
      </c>
      <c r="AE515" s="107">
        <f>G515+I515+K515+M515+O515+Q515+S515+U515+W515+Y515+AA515+AC515</f>
        <v>0</v>
      </c>
    </row>
    <row r="516" spans="1:31">
      <c r="A516" s="100">
        <v>513</v>
      </c>
      <c r="B516" s="108"/>
      <c r="C516" s="109"/>
      <c r="D516" s="120"/>
      <c r="E516" s="101"/>
      <c r="F516" s="114"/>
      <c r="G516" s="115"/>
      <c r="H516" s="104"/>
      <c r="I516" s="105"/>
      <c r="J516" s="102"/>
      <c r="K516" s="115"/>
      <c r="L516" s="102"/>
      <c r="M516" s="103"/>
      <c r="N516" s="102"/>
      <c r="O516" s="103"/>
      <c r="P516" s="102"/>
      <c r="Q516" s="106"/>
      <c r="R516" s="102"/>
      <c r="S516" s="106"/>
      <c r="T516" s="102"/>
      <c r="U516" s="106"/>
      <c r="V516" s="102"/>
      <c r="W516" s="106"/>
      <c r="X516" s="106"/>
      <c r="Y516" s="106"/>
      <c r="Z516" s="106"/>
      <c r="AA516" s="106"/>
      <c r="AB516" s="106"/>
      <c r="AC516" s="106"/>
      <c r="AD516" s="112">
        <f>F516+H516+J516+L516+N516+P516+R516+T516+V516+X516+Z516+AB516</f>
        <v>0</v>
      </c>
      <c r="AE516" s="107">
        <f>G516+I516+K516+M516+O516+Q516+S516+U516+W516+Y516+AA516+AC516</f>
        <v>0</v>
      </c>
    </row>
    <row r="517" spans="1:31">
      <c r="A517" s="100">
        <v>514</v>
      </c>
      <c r="B517" s="108"/>
      <c r="C517" s="109"/>
      <c r="D517" s="120"/>
      <c r="E517" s="101"/>
      <c r="F517" s="114"/>
      <c r="G517" s="115"/>
      <c r="H517" s="104"/>
      <c r="I517" s="105"/>
      <c r="J517" s="102"/>
      <c r="K517" s="115"/>
      <c r="L517" s="102"/>
      <c r="M517" s="103"/>
      <c r="N517" s="102"/>
      <c r="O517" s="103"/>
      <c r="P517" s="102"/>
      <c r="Q517" s="106"/>
      <c r="R517" s="102"/>
      <c r="S517" s="106"/>
      <c r="T517" s="102"/>
      <c r="U517" s="106"/>
      <c r="V517" s="102"/>
      <c r="W517" s="106"/>
      <c r="X517" s="106"/>
      <c r="Y517" s="106"/>
      <c r="Z517" s="106"/>
      <c r="AA517" s="106"/>
      <c r="AB517" s="106"/>
      <c r="AC517" s="106"/>
      <c r="AD517" s="112">
        <f>F517+H517+J517+L517+N517+P517+R517+T517+V517+X517+Z517+AB517</f>
        <v>0</v>
      </c>
      <c r="AE517" s="107">
        <f>G517+I517+K517+M517+O517+Q517+S517+U517+W517+Y517+AA517+AC517</f>
        <v>0</v>
      </c>
    </row>
    <row r="518" spans="1:31">
      <c r="A518" s="100">
        <v>515</v>
      </c>
      <c r="B518" s="108"/>
      <c r="C518" s="109"/>
      <c r="D518" s="120"/>
      <c r="E518" s="101"/>
      <c r="F518" s="114"/>
      <c r="G518" s="115"/>
      <c r="H518" s="104"/>
      <c r="I518" s="105"/>
      <c r="J518" s="102"/>
      <c r="K518" s="115"/>
      <c r="L518" s="102"/>
      <c r="M518" s="103"/>
      <c r="N518" s="102"/>
      <c r="O518" s="103"/>
      <c r="P518" s="102"/>
      <c r="Q518" s="106"/>
      <c r="R518" s="102"/>
      <c r="S518" s="106"/>
      <c r="T518" s="102"/>
      <c r="U518" s="106"/>
      <c r="V518" s="102"/>
      <c r="W518" s="106"/>
      <c r="X518" s="106"/>
      <c r="Y518" s="106"/>
      <c r="Z518" s="106"/>
      <c r="AA518" s="106"/>
      <c r="AB518" s="106"/>
      <c r="AC518" s="106"/>
      <c r="AD518" s="112">
        <f>F518+H518+J518+L518+N518+P518+R518+T518+V518+X518+Z518+AB518</f>
        <v>0</v>
      </c>
      <c r="AE518" s="107">
        <f>G518+I518+K518+M518+O518+Q518+S518+U518+W518+Y518+AA518+AC518</f>
        <v>0</v>
      </c>
    </row>
    <row r="519" spans="1:31">
      <c r="A519" s="100">
        <v>516</v>
      </c>
      <c r="B519" s="108"/>
      <c r="C519" s="109"/>
      <c r="D519" s="120"/>
      <c r="E519" s="101"/>
      <c r="F519" s="114"/>
      <c r="G519" s="115"/>
      <c r="H519" s="104"/>
      <c r="I519" s="105"/>
      <c r="J519" s="102"/>
      <c r="K519" s="115"/>
      <c r="L519" s="102"/>
      <c r="M519" s="103"/>
      <c r="N519" s="102"/>
      <c r="O519" s="103"/>
      <c r="P519" s="102"/>
      <c r="Q519" s="106"/>
      <c r="R519" s="102"/>
      <c r="S519" s="106"/>
      <c r="T519" s="102"/>
      <c r="U519" s="106"/>
      <c r="V519" s="102"/>
      <c r="W519" s="106"/>
      <c r="X519" s="106"/>
      <c r="Y519" s="106"/>
      <c r="Z519" s="106"/>
      <c r="AA519" s="106"/>
      <c r="AB519" s="106"/>
      <c r="AC519" s="106"/>
      <c r="AD519" s="112">
        <f>F519+H519+J519+L519+N519+P519+R519+T519+V519+X519+Z519+AB519</f>
        <v>0</v>
      </c>
      <c r="AE519" s="107">
        <f>G519+I519+K519+M519+O519+Q519+S519+U519+W519+Y519+AA519+AC519</f>
        <v>0</v>
      </c>
    </row>
    <row r="520" spans="1:31">
      <c r="A520" s="100">
        <v>517</v>
      </c>
      <c r="B520" s="108"/>
      <c r="C520" s="109"/>
      <c r="D520" s="120"/>
      <c r="E520" s="101"/>
      <c r="F520" s="114"/>
      <c r="G520" s="115"/>
      <c r="H520" s="104"/>
      <c r="I520" s="105"/>
      <c r="J520" s="102"/>
      <c r="K520" s="115"/>
      <c r="L520" s="102"/>
      <c r="M520" s="103"/>
      <c r="N520" s="102"/>
      <c r="O520" s="103"/>
      <c r="P520" s="102"/>
      <c r="Q520" s="106"/>
      <c r="R520" s="102"/>
      <c r="S520" s="106"/>
      <c r="T520" s="102"/>
      <c r="U520" s="106"/>
      <c r="V520" s="102"/>
      <c r="W520" s="106"/>
      <c r="X520" s="106"/>
      <c r="Y520" s="106"/>
      <c r="Z520" s="106"/>
      <c r="AA520" s="106"/>
      <c r="AB520" s="106"/>
      <c r="AC520" s="106"/>
      <c r="AD520" s="112">
        <f>F520+H520+J520+L520+N520+P520+R520+T520+V520+X520+Z520+AB520</f>
        <v>0</v>
      </c>
      <c r="AE520" s="107">
        <f>G520+I520+K520+M520+O520+Q520+S520+U520+W520+Y520+AA520+AC520</f>
        <v>0</v>
      </c>
    </row>
    <row r="521" spans="1:31">
      <c r="A521" s="100">
        <v>518</v>
      </c>
      <c r="B521" s="108"/>
      <c r="C521" s="109"/>
      <c r="D521" s="120"/>
      <c r="E521" s="101"/>
      <c r="F521" s="114"/>
      <c r="G521" s="115"/>
      <c r="H521" s="104"/>
      <c r="I521" s="105"/>
      <c r="J521" s="102"/>
      <c r="K521" s="115"/>
      <c r="L521" s="102"/>
      <c r="M521" s="103"/>
      <c r="N521" s="102"/>
      <c r="O521" s="103"/>
      <c r="P521" s="102"/>
      <c r="Q521" s="106"/>
      <c r="R521" s="102"/>
      <c r="S521" s="106"/>
      <c r="T521" s="102"/>
      <c r="U521" s="106"/>
      <c r="V521" s="102"/>
      <c r="W521" s="106"/>
      <c r="X521" s="106"/>
      <c r="Y521" s="106"/>
      <c r="Z521" s="106"/>
      <c r="AA521" s="106"/>
      <c r="AB521" s="106"/>
      <c r="AC521" s="106"/>
      <c r="AD521" s="112">
        <f>F521+H521+J521+L521+N521+P521+R521+T521+V521+X521+Z521+AB521</f>
        <v>0</v>
      </c>
      <c r="AE521" s="107">
        <f>G521+I521+K521+M521+O521+Q521+S521+U521+W521+Y521+AA521+AC521</f>
        <v>0</v>
      </c>
    </row>
    <row r="522" spans="1:31">
      <c r="A522" s="100">
        <v>519</v>
      </c>
      <c r="B522" s="108"/>
      <c r="C522" s="109"/>
      <c r="D522" s="120"/>
      <c r="E522" s="101"/>
      <c r="F522" s="114"/>
      <c r="G522" s="115"/>
      <c r="H522" s="104"/>
      <c r="I522" s="105"/>
      <c r="J522" s="102"/>
      <c r="K522" s="115"/>
      <c r="L522" s="102"/>
      <c r="M522" s="103"/>
      <c r="N522" s="102"/>
      <c r="O522" s="103"/>
      <c r="P522" s="102"/>
      <c r="Q522" s="106"/>
      <c r="R522" s="102"/>
      <c r="S522" s="106"/>
      <c r="T522" s="102"/>
      <c r="U522" s="106"/>
      <c r="V522" s="102"/>
      <c r="W522" s="106"/>
      <c r="X522" s="106"/>
      <c r="Y522" s="106"/>
      <c r="Z522" s="106"/>
      <c r="AA522" s="106"/>
      <c r="AB522" s="106"/>
      <c r="AC522" s="106"/>
      <c r="AD522" s="112">
        <f>F522+H522+J522+L522+N522+P522+R522+T522+V522+X522+Z522+AB522</f>
        <v>0</v>
      </c>
      <c r="AE522" s="107">
        <f>G522+I522+K522+M522+O522+Q522+S522+U522+W522+Y522+AA522+AC522</f>
        <v>0</v>
      </c>
    </row>
    <row r="523" spans="1:31" s="117" customFormat="1">
      <c r="A523" s="149" t="s">
        <v>1140</v>
      </c>
      <c r="B523" s="150"/>
      <c r="C523" s="150"/>
      <c r="D523" s="150"/>
      <c r="E523" s="151"/>
      <c r="F523" s="116">
        <f>SUBTOTAL(9,F3:F522)</f>
        <v>77178</v>
      </c>
      <c r="G523" s="116">
        <f>SUBTOTAL(9,G3:G522)</f>
        <v>66370145</v>
      </c>
      <c r="H523" s="116">
        <f>SUBTOTAL(9,H3:H522)</f>
        <v>47132</v>
      </c>
      <c r="I523" s="116">
        <f>SUBTOTAL(9,I3:I522)</f>
        <v>63636252</v>
      </c>
      <c r="J523" s="116">
        <f>SUBTOTAL(9,J3:J522)</f>
        <v>47349</v>
      </c>
      <c r="K523" s="116">
        <f>SUBTOTAL(9,K3:K522)</f>
        <v>61622036</v>
      </c>
      <c r="L523" s="116">
        <f>SUBTOTAL(9,L3:L522)</f>
        <v>65006</v>
      </c>
      <c r="M523" s="116">
        <f>SUBTOTAL(9,M3:M522)</f>
        <v>67286516</v>
      </c>
      <c r="N523" s="116">
        <f>SUBTOTAL(9,N3:N522)</f>
        <v>107797</v>
      </c>
      <c r="O523" s="116">
        <f>SUBTOTAL(9,O3:O522)</f>
        <v>89855315</v>
      </c>
      <c r="P523" s="116">
        <f>SUBTOTAL(9,P3:P522)</f>
        <v>0</v>
      </c>
      <c r="Q523" s="116">
        <f>SUBTOTAL(9,Q3:Q522)</f>
        <v>0</v>
      </c>
      <c r="R523" s="116">
        <f>SUBTOTAL(9,R3:R522)</f>
        <v>0</v>
      </c>
      <c r="S523" s="116">
        <f>SUBTOTAL(9,S3:S522)</f>
        <v>0</v>
      </c>
      <c r="T523" s="116">
        <f>SUBTOTAL(9,T3:T522)</f>
        <v>0</v>
      </c>
      <c r="U523" s="116">
        <f>SUBTOTAL(9,U3:U522)</f>
        <v>0</v>
      </c>
      <c r="V523" s="116">
        <f>SUBTOTAL(9,V3:V522)</f>
        <v>0</v>
      </c>
      <c r="W523" s="116">
        <f>SUBTOTAL(9,W3:W522)</f>
        <v>0</v>
      </c>
      <c r="X523" s="116">
        <f>SUBTOTAL(9,X3:X522)</f>
        <v>0</v>
      </c>
      <c r="Y523" s="116">
        <f>SUBTOTAL(9,Y3:Y522)</f>
        <v>0</v>
      </c>
      <c r="Z523" s="116">
        <f>SUBTOTAL(9,Z3:Z522)</f>
        <v>0</v>
      </c>
      <c r="AA523" s="116">
        <f>SUBTOTAL(9,AA3:AA522)</f>
        <v>0</v>
      </c>
      <c r="AB523" s="116">
        <f>SUBTOTAL(9,AB3:AB522)</f>
        <v>0</v>
      </c>
      <c r="AC523" s="116">
        <f>SUBTOTAL(9,AC3:AC522)</f>
        <v>0</v>
      </c>
      <c r="AD523" s="116">
        <f>SUBTOTAL(9,AD3:AD522)</f>
        <v>344462</v>
      </c>
      <c r="AE523" s="116">
        <f>SUBTOTAL(9,AE3:AE522)</f>
        <v>348770264</v>
      </c>
    </row>
    <row r="527" spans="1:31">
      <c r="AE527" s="119">
        <f>AE523-AE6</f>
        <v>346196264</v>
      </c>
    </row>
  </sheetData>
  <autoFilter ref="A1:AE522" xr:uid="{8731029E-982E-4859-8AAE-2604A96A0927}">
    <filterColumn colId="5" showButton="0"/>
    <filterColumn colId="7" showButton="0"/>
    <filterColumn colId="9" showButton="0"/>
    <filterColumn colId="11" showButton="0"/>
    <filterColumn colId="13" showButton="0"/>
    <filterColumn colId="15" showButton="0"/>
    <filterColumn colId="17" showButton="0"/>
    <filterColumn colId="19" showButton="0"/>
    <filterColumn colId="21" showButton="0"/>
    <filterColumn colId="23" showButton="0"/>
    <filterColumn colId="25" showButton="0"/>
    <filterColumn colId="27" showButton="0"/>
    <filterColumn colId="29" showButton="0"/>
  </autoFilter>
  <sortState ref="A3:AE522">
    <sortCondition descending="1" ref="N3:N522"/>
  </sortState>
  <mergeCells count="18">
    <mergeCell ref="L1:M1"/>
    <mergeCell ref="N1:O1"/>
    <mergeCell ref="P1:Q1"/>
    <mergeCell ref="AD1:AE1"/>
    <mergeCell ref="R1:S1"/>
    <mergeCell ref="T1:U1"/>
    <mergeCell ref="AB1:AC1"/>
    <mergeCell ref="Z1:AA1"/>
    <mergeCell ref="X1:Y1"/>
    <mergeCell ref="V1:W1"/>
    <mergeCell ref="F1:G1"/>
    <mergeCell ref="H1:I1"/>
    <mergeCell ref="J1:K1"/>
    <mergeCell ref="A1:A2"/>
    <mergeCell ref="B1:B2"/>
    <mergeCell ref="C1:C2"/>
    <mergeCell ref="E1:E2"/>
    <mergeCell ref="D1:D2"/>
  </mergeCells>
  <phoneticPr fontId="3"/>
  <conditionalFormatting sqref="F405:F421">
    <cfRule type="top10" dxfId="391" priority="909" rank="10"/>
  </conditionalFormatting>
  <conditionalFormatting sqref="F3:F404">
    <cfRule type="top10" dxfId="390" priority="903" rank="10"/>
  </conditionalFormatting>
  <conditionalFormatting sqref="H3:H432 H450:H459 H468:H473 H520:H522">
    <cfRule type="top10" dxfId="389" priority="902" rank="10"/>
  </conditionalFormatting>
  <conditionalFormatting sqref="J3:J473 J520:J522">
    <cfRule type="top10" dxfId="388" priority="901" rank="10"/>
  </conditionalFormatting>
  <conditionalFormatting sqref="L3:L473 L520:L522">
    <cfRule type="top10" dxfId="387" priority="900" rank="10"/>
  </conditionalFormatting>
  <conditionalFormatting sqref="F422">
    <cfRule type="top10" dxfId="386" priority="897" rank="10"/>
  </conditionalFormatting>
  <conditionalFormatting sqref="F423">
    <cfRule type="top10" dxfId="385" priority="895" rank="10"/>
  </conditionalFormatting>
  <conditionalFormatting sqref="F424">
    <cfRule type="top10" dxfId="384" priority="893" rank="10"/>
  </conditionalFormatting>
  <conditionalFormatting sqref="F425">
    <cfRule type="top10" dxfId="383" priority="891" rank="10"/>
  </conditionalFormatting>
  <conditionalFormatting sqref="F426:F432 F450:F459 F468:F473 F520:F522">
    <cfRule type="top10" dxfId="382" priority="889" rank="10"/>
  </conditionalFormatting>
  <conditionalFormatting sqref="B524:B1048576 B1 B3:B433 B437:B473 B520:B522">
    <cfRule type="duplicateValues" dxfId="381" priority="924"/>
  </conditionalFormatting>
  <conditionalFormatting sqref="B524:B1048576">
    <cfRule type="duplicateValues" dxfId="380" priority="933"/>
  </conditionalFormatting>
  <conditionalFormatting sqref="B524:B1048576">
    <cfRule type="duplicateValues" dxfId="379" priority="950"/>
  </conditionalFormatting>
  <conditionalFormatting sqref="B524:B1048576">
    <cfRule type="duplicateValues" dxfId="378" priority="964"/>
  </conditionalFormatting>
  <conditionalFormatting sqref="N3:N473 N520:N522">
    <cfRule type="top10" dxfId="377" priority="997" rank="10"/>
  </conditionalFormatting>
  <conditionalFormatting sqref="AD3:AD432 AD448:AD473 AD520:AD522">
    <cfRule type="top10" dxfId="376" priority="998" rank="10"/>
  </conditionalFormatting>
  <conditionalFormatting sqref="P3:P432 P450:P459 P468:P473 P520:P522">
    <cfRule type="top10" dxfId="375" priority="999" rank="10"/>
  </conditionalFormatting>
  <conditionalFormatting sqref="R3:R432 R450:R459 R468:R473 R520:R522">
    <cfRule type="top10" dxfId="374" priority="1000" rank="10"/>
  </conditionalFormatting>
  <conditionalFormatting sqref="T3:T432 T450:T459 T468:T473 T520:T522">
    <cfRule type="top10" dxfId="373" priority="1001" rank="10"/>
  </conditionalFormatting>
  <conditionalFormatting sqref="V3:V432 V450:V459 V468:V473 V520:V522">
    <cfRule type="top10" dxfId="372" priority="1002" rank="10"/>
  </conditionalFormatting>
  <conditionalFormatting sqref="AB3:AB432 AB450:AB459 AB468:AB473 AB520:AB522">
    <cfRule type="top10" dxfId="371" priority="417" rank="10"/>
  </conditionalFormatting>
  <conditionalFormatting sqref="H448:H449">
    <cfRule type="top10" dxfId="370" priority="399" rank="10"/>
  </conditionalFormatting>
  <conditionalFormatting sqref="F448:F449">
    <cfRule type="top10" dxfId="369" priority="398" rank="10"/>
  </conditionalFormatting>
  <conditionalFormatting sqref="P448:P449">
    <cfRule type="top10" dxfId="368" priority="403" rank="10"/>
  </conditionalFormatting>
  <conditionalFormatting sqref="R448:R449">
    <cfRule type="top10" dxfId="367" priority="404" rank="10"/>
  </conditionalFormatting>
  <conditionalFormatting sqref="T448:T449">
    <cfRule type="top10" dxfId="366" priority="405" rank="10"/>
  </conditionalFormatting>
  <conditionalFormatting sqref="V448:V449">
    <cfRule type="top10" dxfId="365" priority="406" rank="10"/>
  </conditionalFormatting>
  <conditionalFormatting sqref="AB448:AB449">
    <cfRule type="top10" dxfId="364" priority="396" rank="10"/>
  </conditionalFormatting>
  <conditionalFormatting sqref="H446:H447">
    <cfRule type="top10" dxfId="363" priority="388" rank="10"/>
  </conditionalFormatting>
  <conditionalFormatting sqref="F446:F447">
    <cfRule type="top10" dxfId="362" priority="387" rank="10"/>
  </conditionalFormatting>
  <conditionalFormatting sqref="AD444:AD447">
    <cfRule type="top10" dxfId="361" priority="391" rank="10"/>
  </conditionalFormatting>
  <conditionalFormatting sqref="P446:P447">
    <cfRule type="top10" dxfId="360" priority="392" rank="10"/>
  </conditionalFormatting>
  <conditionalFormatting sqref="R446:R447">
    <cfRule type="top10" dxfId="359" priority="393" rank="10"/>
  </conditionalFormatting>
  <conditionalFormatting sqref="T446:T447">
    <cfRule type="top10" dxfId="358" priority="394" rank="10"/>
  </conditionalFormatting>
  <conditionalFormatting sqref="V446:V447">
    <cfRule type="top10" dxfId="357" priority="395" rank="10"/>
  </conditionalFormatting>
  <conditionalFormatting sqref="AB446:AB447">
    <cfRule type="top10" dxfId="356" priority="385" rank="10"/>
  </conditionalFormatting>
  <conditionalFormatting sqref="H444:H445">
    <cfRule type="top10" dxfId="355" priority="378" rank="10"/>
  </conditionalFormatting>
  <conditionalFormatting sqref="F444:F445">
    <cfRule type="top10" dxfId="354" priority="377" rank="10"/>
  </conditionalFormatting>
  <conditionalFormatting sqref="P444:P445">
    <cfRule type="top10" dxfId="353" priority="381" rank="10"/>
  </conditionalFormatting>
  <conditionalFormatting sqref="R444:R445">
    <cfRule type="top10" dxfId="352" priority="382" rank="10"/>
  </conditionalFormatting>
  <conditionalFormatting sqref="T444:T445">
    <cfRule type="top10" dxfId="351" priority="383" rank="10"/>
  </conditionalFormatting>
  <conditionalFormatting sqref="V444:V445">
    <cfRule type="top10" dxfId="350" priority="384" rank="10"/>
  </conditionalFormatting>
  <conditionalFormatting sqref="AB444:AB445">
    <cfRule type="top10" dxfId="349" priority="375" rank="10"/>
  </conditionalFormatting>
  <conditionalFormatting sqref="H442:H443">
    <cfRule type="top10" dxfId="348" priority="367" rank="10"/>
  </conditionalFormatting>
  <conditionalFormatting sqref="F442:F443">
    <cfRule type="top10" dxfId="347" priority="366" rank="10"/>
  </conditionalFormatting>
  <conditionalFormatting sqref="AD440:AD443">
    <cfRule type="top10" dxfId="346" priority="370" rank="10"/>
  </conditionalFormatting>
  <conditionalFormatting sqref="P442:P443">
    <cfRule type="top10" dxfId="345" priority="371" rank="10"/>
  </conditionalFormatting>
  <conditionalFormatting sqref="R442:R443">
    <cfRule type="top10" dxfId="344" priority="372" rank="10"/>
  </conditionalFormatting>
  <conditionalFormatting sqref="T442:T443">
    <cfRule type="top10" dxfId="343" priority="373" rank="10"/>
  </conditionalFormatting>
  <conditionalFormatting sqref="V442:V443">
    <cfRule type="top10" dxfId="342" priority="374" rank="10"/>
  </conditionalFormatting>
  <conditionalFormatting sqref="AB442:AB443">
    <cfRule type="top10" dxfId="341" priority="364" rank="10"/>
  </conditionalFormatting>
  <conditionalFormatting sqref="H440:H441">
    <cfRule type="top10" dxfId="340" priority="357" rank="10"/>
  </conditionalFormatting>
  <conditionalFormatting sqref="F440:F441">
    <cfRule type="top10" dxfId="339" priority="356" rank="10"/>
  </conditionalFormatting>
  <conditionalFormatting sqref="P440:P441">
    <cfRule type="top10" dxfId="338" priority="360" rank="10"/>
  </conditionalFormatting>
  <conditionalFormatting sqref="R440:R441">
    <cfRule type="top10" dxfId="337" priority="361" rank="10"/>
  </conditionalFormatting>
  <conditionalFormatting sqref="T440:T441">
    <cfRule type="top10" dxfId="336" priority="362" rank="10"/>
  </conditionalFormatting>
  <conditionalFormatting sqref="V440:V441">
    <cfRule type="top10" dxfId="335" priority="363" rank="10"/>
  </conditionalFormatting>
  <conditionalFormatting sqref="AB440:AB441">
    <cfRule type="top10" dxfId="334" priority="354" rank="10"/>
  </conditionalFormatting>
  <conditionalFormatting sqref="H438:H439">
    <cfRule type="top10" dxfId="333" priority="346" rank="10"/>
  </conditionalFormatting>
  <conditionalFormatting sqref="F438:F439">
    <cfRule type="top10" dxfId="332" priority="345" rank="10"/>
  </conditionalFormatting>
  <conditionalFormatting sqref="AD433 AD437:AD439">
    <cfRule type="top10" dxfId="331" priority="349" rank="10"/>
  </conditionalFormatting>
  <conditionalFormatting sqref="P438:P439">
    <cfRule type="top10" dxfId="330" priority="350" rank="10"/>
  </conditionalFormatting>
  <conditionalFormatting sqref="R438:R439">
    <cfRule type="top10" dxfId="329" priority="351" rank="10"/>
  </conditionalFormatting>
  <conditionalFormatting sqref="T438:T439">
    <cfRule type="top10" dxfId="328" priority="352" rank="10"/>
  </conditionalFormatting>
  <conditionalFormatting sqref="V438:V439">
    <cfRule type="top10" dxfId="327" priority="353" rank="10"/>
  </conditionalFormatting>
  <conditionalFormatting sqref="AB438:AB439">
    <cfRule type="top10" dxfId="326" priority="343" rank="10"/>
  </conditionalFormatting>
  <conditionalFormatting sqref="H433 H437">
    <cfRule type="top10" dxfId="325" priority="336" rank="10"/>
  </conditionalFormatting>
  <conditionalFormatting sqref="F433 F437">
    <cfRule type="top10" dxfId="324" priority="335" rank="10"/>
  </conditionalFormatting>
  <conditionalFormatting sqref="P433 P437">
    <cfRule type="top10" dxfId="323" priority="339" rank="10"/>
  </conditionalFormatting>
  <conditionalFormatting sqref="R433 R437">
    <cfRule type="top10" dxfId="322" priority="340" rank="10"/>
  </conditionalFormatting>
  <conditionalFormatting sqref="T433 T437">
    <cfRule type="top10" dxfId="321" priority="341" rank="10"/>
  </conditionalFormatting>
  <conditionalFormatting sqref="V433 V437">
    <cfRule type="top10" dxfId="320" priority="342" rank="10"/>
  </conditionalFormatting>
  <conditionalFormatting sqref="AB433 AB437">
    <cfRule type="top10" dxfId="319" priority="333" rank="10"/>
  </conditionalFormatting>
  <conditionalFormatting sqref="B434:B436">
    <cfRule type="duplicateValues" dxfId="318" priority="332"/>
  </conditionalFormatting>
  <conditionalFormatting sqref="H435:H436">
    <cfRule type="top10" dxfId="317" priority="325" rank="10"/>
  </conditionalFormatting>
  <conditionalFormatting sqref="F435:F436">
    <cfRule type="top10" dxfId="316" priority="324" rank="10"/>
  </conditionalFormatting>
  <conditionalFormatting sqref="AD434:AD436">
    <cfRule type="top10" dxfId="315" priority="327" rank="10"/>
  </conditionalFormatting>
  <conditionalFormatting sqref="P435:P436">
    <cfRule type="top10" dxfId="314" priority="328" rank="10"/>
  </conditionalFormatting>
  <conditionalFormatting sqref="R435:R436">
    <cfRule type="top10" dxfId="313" priority="329" rank="10"/>
  </conditionalFormatting>
  <conditionalFormatting sqref="T435:T436">
    <cfRule type="top10" dxfId="312" priority="330" rank="10"/>
  </conditionalFormatting>
  <conditionalFormatting sqref="V435:V436">
    <cfRule type="top10" dxfId="311" priority="331" rank="10"/>
  </conditionalFormatting>
  <conditionalFormatting sqref="AB435:AB436">
    <cfRule type="top10" dxfId="310" priority="322" rank="10"/>
  </conditionalFormatting>
  <conditionalFormatting sqref="H434">
    <cfRule type="top10" dxfId="309" priority="316" rank="10"/>
  </conditionalFormatting>
  <conditionalFormatting sqref="F434">
    <cfRule type="top10" dxfId="308" priority="315" rank="10"/>
  </conditionalFormatting>
  <conditionalFormatting sqref="P434">
    <cfRule type="top10" dxfId="307" priority="318" rank="10"/>
  </conditionalFormatting>
  <conditionalFormatting sqref="R434">
    <cfRule type="top10" dxfId="306" priority="319" rank="10"/>
  </conditionalFormatting>
  <conditionalFormatting sqref="T434">
    <cfRule type="top10" dxfId="305" priority="320" rank="10"/>
  </conditionalFormatting>
  <conditionalFormatting sqref="V434">
    <cfRule type="top10" dxfId="304" priority="321" rank="10"/>
  </conditionalFormatting>
  <conditionalFormatting sqref="AB434">
    <cfRule type="top10" dxfId="303" priority="313" rank="10"/>
  </conditionalFormatting>
  <conditionalFormatting sqref="H460:H467">
    <cfRule type="top10" dxfId="302" priority="293" rank="10"/>
  </conditionalFormatting>
  <conditionalFormatting sqref="F460:F467">
    <cfRule type="top10" dxfId="301" priority="291" rank="10"/>
  </conditionalFormatting>
  <conditionalFormatting sqref="P460:P467">
    <cfRule type="top10" dxfId="300" priority="297" rank="10"/>
  </conditionalFormatting>
  <conditionalFormatting sqref="R460:R467">
    <cfRule type="top10" dxfId="299" priority="298" rank="10"/>
  </conditionalFormatting>
  <conditionalFormatting sqref="T460:T467">
    <cfRule type="top10" dxfId="298" priority="299" rank="10"/>
  </conditionalFormatting>
  <conditionalFormatting sqref="V460:V467">
    <cfRule type="top10" dxfId="297" priority="300" rank="10"/>
  </conditionalFormatting>
  <conditionalFormatting sqref="AB460:AB467">
    <cfRule type="top10" dxfId="296" priority="289" rank="10"/>
  </conditionalFormatting>
  <conditionalFormatting sqref="H518:H519">
    <cfRule type="top10" dxfId="295" priority="281" rank="10"/>
  </conditionalFormatting>
  <conditionalFormatting sqref="J518:J519">
    <cfRule type="top10" dxfId="294" priority="280" rank="10"/>
  </conditionalFormatting>
  <conditionalFormatting sqref="L518:L519">
    <cfRule type="top10" dxfId="293" priority="279" rank="10"/>
  </conditionalFormatting>
  <conditionalFormatting sqref="F518:F519">
    <cfRule type="top10" dxfId="292" priority="278" rank="10"/>
  </conditionalFormatting>
  <conditionalFormatting sqref="B518:B519">
    <cfRule type="duplicateValues" dxfId="291" priority="282"/>
  </conditionalFormatting>
  <conditionalFormatting sqref="N518:N519">
    <cfRule type="top10" dxfId="290" priority="283" rank="10"/>
  </conditionalFormatting>
  <conditionalFormatting sqref="AD518:AD519">
    <cfRule type="top10" dxfId="289" priority="284" rank="10"/>
  </conditionalFormatting>
  <conditionalFormatting sqref="P518:P519">
    <cfRule type="top10" dxfId="288" priority="285" rank="10"/>
  </conditionalFormatting>
  <conditionalFormatting sqref="R518:R519">
    <cfRule type="top10" dxfId="287" priority="286" rank="10"/>
  </conditionalFormatting>
  <conditionalFormatting sqref="T518:T519">
    <cfRule type="top10" dxfId="286" priority="287" rank="10"/>
  </conditionalFormatting>
  <conditionalFormatting sqref="V518:V519">
    <cfRule type="top10" dxfId="285" priority="288" rank="10"/>
  </conditionalFormatting>
  <conditionalFormatting sqref="AB518:AB519">
    <cfRule type="top10" dxfId="284" priority="277" rank="10"/>
  </conditionalFormatting>
  <conditionalFormatting sqref="H516:H517">
    <cfRule type="top10" dxfId="283" priority="269" rank="10"/>
  </conditionalFormatting>
  <conditionalFormatting sqref="J516:J517">
    <cfRule type="top10" dxfId="282" priority="268" rank="10"/>
  </conditionalFormatting>
  <conditionalFormatting sqref="L516:L517">
    <cfRule type="top10" dxfId="281" priority="267" rank="10"/>
  </conditionalFormatting>
  <conditionalFormatting sqref="F516:F517">
    <cfRule type="top10" dxfId="280" priority="266" rank="10"/>
  </conditionalFormatting>
  <conditionalFormatting sqref="B516:B517">
    <cfRule type="duplicateValues" dxfId="279" priority="270"/>
  </conditionalFormatting>
  <conditionalFormatting sqref="N516:N517">
    <cfRule type="top10" dxfId="278" priority="271" rank="10"/>
  </conditionalFormatting>
  <conditionalFormatting sqref="AD516:AD517">
    <cfRule type="top10" dxfId="277" priority="272" rank="10"/>
  </conditionalFormatting>
  <conditionalFormatting sqref="P516:P517">
    <cfRule type="top10" dxfId="276" priority="273" rank="10"/>
  </conditionalFormatting>
  <conditionalFormatting sqref="R516:R517">
    <cfRule type="top10" dxfId="275" priority="274" rank="10"/>
  </conditionalFormatting>
  <conditionalFormatting sqref="T516:T517">
    <cfRule type="top10" dxfId="274" priority="275" rank="10"/>
  </conditionalFormatting>
  <conditionalFormatting sqref="V516:V517">
    <cfRule type="top10" dxfId="273" priority="276" rank="10"/>
  </conditionalFormatting>
  <conditionalFormatting sqref="AB516:AB517">
    <cfRule type="top10" dxfId="272" priority="265" rank="10"/>
  </conditionalFormatting>
  <conditionalFormatting sqref="H514:H515">
    <cfRule type="top10" dxfId="271" priority="257" rank="10"/>
  </conditionalFormatting>
  <conditionalFormatting sqref="J514:J515">
    <cfRule type="top10" dxfId="270" priority="256" rank="10"/>
  </conditionalFormatting>
  <conditionalFormatting sqref="L514:L515">
    <cfRule type="top10" dxfId="269" priority="255" rank="10"/>
  </conditionalFormatting>
  <conditionalFormatting sqref="F514:F515">
    <cfRule type="top10" dxfId="268" priority="254" rank="10"/>
  </conditionalFormatting>
  <conditionalFormatting sqref="B514:B515">
    <cfRule type="duplicateValues" dxfId="267" priority="258"/>
  </conditionalFormatting>
  <conditionalFormatting sqref="N514:N515">
    <cfRule type="top10" dxfId="266" priority="259" rank="10"/>
  </conditionalFormatting>
  <conditionalFormatting sqref="AD514:AD515">
    <cfRule type="top10" dxfId="265" priority="260" rank="10"/>
  </conditionalFormatting>
  <conditionalFormatting sqref="P514:P515">
    <cfRule type="top10" dxfId="264" priority="261" rank="10"/>
  </conditionalFormatting>
  <conditionalFormatting sqref="R514:R515">
    <cfRule type="top10" dxfId="263" priority="262" rank="10"/>
  </conditionalFormatting>
  <conditionalFormatting sqref="T514:T515">
    <cfRule type="top10" dxfId="262" priority="263" rank="10"/>
  </conditionalFormatting>
  <conditionalFormatting sqref="V514:V515">
    <cfRule type="top10" dxfId="261" priority="264" rank="10"/>
  </conditionalFormatting>
  <conditionalFormatting sqref="AB514:AB515">
    <cfRule type="top10" dxfId="260" priority="253" rank="10"/>
  </conditionalFormatting>
  <conditionalFormatting sqref="H512:H513">
    <cfRule type="top10" dxfId="259" priority="245" rank="10"/>
  </conditionalFormatting>
  <conditionalFormatting sqref="J512:J513">
    <cfRule type="top10" dxfId="258" priority="244" rank="10"/>
  </conditionalFormatting>
  <conditionalFormatting sqref="L512:L513">
    <cfRule type="top10" dxfId="257" priority="243" rank="10"/>
  </conditionalFormatting>
  <conditionalFormatting sqref="F512:F513">
    <cfRule type="top10" dxfId="256" priority="242" rank="10"/>
  </conditionalFormatting>
  <conditionalFormatting sqref="B512:B513">
    <cfRule type="duplicateValues" dxfId="255" priority="246"/>
  </conditionalFormatting>
  <conditionalFormatting sqref="N512:N513">
    <cfRule type="top10" dxfId="254" priority="247" rank="10"/>
  </conditionalFormatting>
  <conditionalFormatting sqref="AD512:AD513">
    <cfRule type="top10" dxfId="253" priority="248" rank="10"/>
  </conditionalFormatting>
  <conditionalFormatting sqref="P512:P513">
    <cfRule type="top10" dxfId="252" priority="249" rank="10"/>
  </conditionalFormatting>
  <conditionalFormatting sqref="R512:R513">
    <cfRule type="top10" dxfId="251" priority="250" rank="10"/>
  </conditionalFormatting>
  <conditionalFormatting sqref="T512:T513">
    <cfRule type="top10" dxfId="250" priority="251" rank="10"/>
  </conditionalFormatting>
  <conditionalFormatting sqref="V512:V513">
    <cfRule type="top10" dxfId="249" priority="252" rank="10"/>
  </conditionalFormatting>
  <conditionalFormatting sqref="AB512:AB513">
    <cfRule type="top10" dxfId="248" priority="241" rank="10"/>
  </conditionalFormatting>
  <conditionalFormatting sqref="H510:H511">
    <cfRule type="top10" dxfId="247" priority="233" rank="10"/>
  </conditionalFormatting>
  <conditionalFormatting sqref="J510:J511">
    <cfRule type="top10" dxfId="246" priority="232" rank="10"/>
  </conditionalFormatting>
  <conditionalFormatting sqref="L510:L511">
    <cfRule type="top10" dxfId="245" priority="231" rank="10"/>
  </conditionalFormatting>
  <conditionalFormatting sqref="F510:F511">
    <cfRule type="top10" dxfId="244" priority="230" rank="10"/>
  </conditionalFormatting>
  <conditionalFormatting sqref="B510:B511">
    <cfRule type="duplicateValues" dxfId="243" priority="234"/>
  </conditionalFormatting>
  <conditionalFormatting sqref="N510:N511">
    <cfRule type="top10" dxfId="242" priority="235" rank="10"/>
  </conditionalFormatting>
  <conditionalFormatting sqref="AD510:AD511">
    <cfRule type="top10" dxfId="241" priority="236" rank="10"/>
  </conditionalFormatting>
  <conditionalFormatting sqref="P510:P511">
    <cfRule type="top10" dxfId="240" priority="237" rank="10"/>
  </conditionalFormatting>
  <conditionalFormatting sqref="R510:R511">
    <cfRule type="top10" dxfId="239" priority="238" rank="10"/>
  </conditionalFormatting>
  <conditionalFormatting sqref="T510:T511">
    <cfRule type="top10" dxfId="238" priority="239" rank="10"/>
  </conditionalFormatting>
  <conditionalFormatting sqref="V510:V511">
    <cfRule type="top10" dxfId="237" priority="240" rank="10"/>
  </conditionalFormatting>
  <conditionalFormatting sqref="AB510:AB511">
    <cfRule type="top10" dxfId="236" priority="229" rank="10"/>
  </conditionalFormatting>
  <conditionalFormatting sqref="H508:H509">
    <cfRule type="top10" dxfId="235" priority="221" rank="10"/>
  </conditionalFormatting>
  <conditionalFormatting sqref="J508:J509">
    <cfRule type="top10" dxfId="234" priority="220" rank="10"/>
  </conditionalFormatting>
  <conditionalFormatting sqref="L508:L509">
    <cfRule type="top10" dxfId="233" priority="219" rank="10"/>
  </conditionalFormatting>
  <conditionalFormatting sqref="F508:F509">
    <cfRule type="top10" dxfId="232" priority="218" rank="10"/>
  </conditionalFormatting>
  <conditionalFormatting sqref="B508:B509">
    <cfRule type="duplicateValues" dxfId="231" priority="222"/>
  </conditionalFormatting>
  <conditionalFormatting sqref="N508:N509">
    <cfRule type="top10" dxfId="230" priority="223" rank="10"/>
  </conditionalFormatting>
  <conditionalFormatting sqref="AD508:AD509">
    <cfRule type="top10" dxfId="229" priority="224" rank="10"/>
  </conditionalFormatting>
  <conditionalFormatting sqref="P508:P509">
    <cfRule type="top10" dxfId="228" priority="225" rank="10"/>
  </conditionalFormatting>
  <conditionalFormatting sqref="R508:R509">
    <cfRule type="top10" dxfId="227" priority="226" rank="10"/>
  </conditionalFormatting>
  <conditionalFormatting sqref="T508:T509">
    <cfRule type="top10" dxfId="226" priority="227" rank="10"/>
  </conditionalFormatting>
  <conditionalFormatting sqref="V508:V509">
    <cfRule type="top10" dxfId="225" priority="228" rank="10"/>
  </conditionalFormatting>
  <conditionalFormatting sqref="AB508:AB509">
    <cfRule type="top10" dxfId="224" priority="217" rank="10"/>
  </conditionalFormatting>
  <conditionalFormatting sqref="H506:H507">
    <cfRule type="top10" dxfId="223" priority="209" rank="10"/>
  </conditionalFormatting>
  <conditionalFormatting sqref="J506:J507">
    <cfRule type="top10" dxfId="222" priority="208" rank="10"/>
  </conditionalFormatting>
  <conditionalFormatting sqref="L506:L507">
    <cfRule type="top10" dxfId="221" priority="207" rank="10"/>
  </conditionalFormatting>
  <conditionalFormatting sqref="F506:F507">
    <cfRule type="top10" dxfId="220" priority="206" rank="10"/>
  </conditionalFormatting>
  <conditionalFormatting sqref="B506:B507">
    <cfRule type="duplicateValues" dxfId="219" priority="210"/>
  </conditionalFormatting>
  <conditionalFormatting sqref="N506:N507">
    <cfRule type="top10" dxfId="218" priority="211" rank="10"/>
  </conditionalFormatting>
  <conditionalFormatting sqref="AD506:AD507">
    <cfRule type="top10" dxfId="217" priority="212" rank="10"/>
  </conditionalFormatting>
  <conditionalFormatting sqref="P506:P507">
    <cfRule type="top10" dxfId="216" priority="213" rank="10"/>
  </conditionalFormatting>
  <conditionalFormatting sqref="R506:R507">
    <cfRule type="top10" dxfId="215" priority="214" rank="10"/>
  </conditionalFormatting>
  <conditionalFormatting sqref="T506:T507">
    <cfRule type="top10" dxfId="214" priority="215" rank="10"/>
  </conditionalFormatting>
  <conditionalFormatting sqref="V506:V507">
    <cfRule type="top10" dxfId="213" priority="216" rank="10"/>
  </conditionalFormatting>
  <conditionalFormatting sqref="AB506:AB507">
    <cfRule type="top10" dxfId="212" priority="205" rank="10"/>
  </conditionalFormatting>
  <conditionalFormatting sqref="H505">
    <cfRule type="top10" dxfId="211" priority="197" rank="10"/>
  </conditionalFormatting>
  <conditionalFormatting sqref="J505">
    <cfRule type="top10" dxfId="210" priority="196" rank="10"/>
  </conditionalFormatting>
  <conditionalFormatting sqref="L505">
    <cfRule type="top10" dxfId="209" priority="195" rank="10"/>
  </conditionalFormatting>
  <conditionalFormatting sqref="F505">
    <cfRule type="top10" dxfId="208" priority="194" rank="10"/>
  </conditionalFormatting>
  <conditionalFormatting sqref="B505">
    <cfRule type="duplicateValues" dxfId="207" priority="198"/>
  </conditionalFormatting>
  <conditionalFormatting sqref="N505">
    <cfRule type="top10" dxfId="206" priority="199" rank="10"/>
  </conditionalFormatting>
  <conditionalFormatting sqref="AD505">
    <cfRule type="top10" dxfId="205" priority="200" rank="10"/>
  </conditionalFormatting>
  <conditionalFormatting sqref="P505">
    <cfRule type="top10" dxfId="204" priority="201" rank="10"/>
  </conditionalFormatting>
  <conditionalFormatting sqref="R505">
    <cfRule type="top10" dxfId="203" priority="202" rank="10"/>
  </conditionalFormatting>
  <conditionalFormatting sqref="T505">
    <cfRule type="top10" dxfId="202" priority="203" rank="10"/>
  </conditionalFormatting>
  <conditionalFormatting sqref="V505">
    <cfRule type="top10" dxfId="201" priority="204" rank="10"/>
  </conditionalFormatting>
  <conditionalFormatting sqref="AB505">
    <cfRule type="top10" dxfId="200" priority="193" rank="10"/>
  </conditionalFormatting>
  <conditionalFormatting sqref="H503:H504">
    <cfRule type="top10" dxfId="199" priority="185" rank="10"/>
  </conditionalFormatting>
  <conditionalFormatting sqref="J503:J504">
    <cfRule type="top10" dxfId="198" priority="184" rank="10"/>
  </conditionalFormatting>
  <conditionalFormatting sqref="L503:L504">
    <cfRule type="top10" dxfId="197" priority="183" rank="10"/>
  </conditionalFormatting>
  <conditionalFormatting sqref="F503:F504">
    <cfRule type="top10" dxfId="196" priority="182" rank="10"/>
  </conditionalFormatting>
  <conditionalFormatting sqref="B503:B504">
    <cfRule type="duplicateValues" dxfId="195" priority="186"/>
  </conditionalFormatting>
  <conditionalFormatting sqref="N503:N504">
    <cfRule type="top10" dxfId="194" priority="187" rank="10"/>
  </conditionalFormatting>
  <conditionalFormatting sqref="AD503:AD504">
    <cfRule type="top10" dxfId="193" priority="188" rank="10"/>
  </conditionalFormatting>
  <conditionalFormatting sqref="P503:P504">
    <cfRule type="top10" dxfId="192" priority="189" rank="10"/>
  </conditionalFormatting>
  <conditionalFormatting sqref="R503:R504">
    <cfRule type="top10" dxfId="191" priority="190" rank="10"/>
  </conditionalFormatting>
  <conditionalFormatting sqref="T503:T504">
    <cfRule type="top10" dxfId="190" priority="191" rank="10"/>
  </conditionalFormatting>
  <conditionalFormatting sqref="V503:V504">
    <cfRule type="top10" dxfId="189" priority="192" rank="10"/>
  </conditionalFormatting>
  <conditionalFormatting sqref="AB503:AB504">
    <cfRule type="top10" dxfId="188" priority="181" rank="10"/>
  </conditionalFormatting>
  <conditionalFormatting sqref="H501:H502">
    <cfRule type="top10" dxfId="187" priority="173" rank="10"/>
  </conditionalFormatting>
  <conditionalFormatting sqref="J501:J502">
    <cfRule type="top10" dxfId="186" priority="172" rank="10"/>
  </conditionalFormatting>
  <conditionalFormatting sqref="L501:L502">
    <cfRule type="top10" dxfId="185" priority="171" rank="10"/>
  </conditionalFormatting>
  <conditionalFormatting sqref="F501:F502">
    <cfRule type="top10" dxfId="184" priority="170" rank="10"/>
  </conditionalFormatting>
  <conditionalFormatting sqref="B501:B502">
    <cfRule type="duplicateValues" dxfId="183" priority="174"/>
  </conditionalFormatting>
  <conditionalFormatting sqref="N501:N502">
    <cfRule type="top10" dxfId="182" priority="175" rank="10"/>
  </conditionalFormatting>
  <conditionalFormatting sqref="AD501:AD502">
    <cfRule type="top10" dxfId="181" priority="176" rank="10"/>
  </conditionalFormatting>
  <conditionalFormatting sqref="P501:P502">
    <cfRule type="top10" dxfId="180" priority="177" rank="10"/>
  </conditionalFormatting>
  <conditionalFormatting sqref="R501:R502">
    <cfRule type="top10" dxfId="179" priority="178" rank="10"/>
  </conditionalFormatting>
  <conditionalFormatting sqref="T501:T502">
    <cfRule type="top10" dxfId="178" priority="179" rank="10"/>
  </conditionalFormatting>
  <conditionalFormatting sqref="V501:V502">
    <cfRule type="top10" dxfId="177" priority="180" rank="10"/>
  </conditionalFormatting>
  <conditionalFormatting sqref="AB501:AB502">
    <cfRule type="top10" dxfId="176" priority="169" rank="10"/>
  </conditionalFormatting>
  <conditionalFormatting sqref="H499:H500">
    <cfRule type="top10" dxfId="175" priority="161" rank="10"/>
  </conditionalFormatting>
  <conditionalFormatting sqref="J499:J500">
    <cfRule type="top10" dxfId="174" priority="160" rank="10"/>
  </conditionalFormatting>
  <conditionalFormatting sqref="L499:L500">
    <cfRule type="top10" dxfId="173" priority="159" rank="10"/>
  </conditionalFormatting>
  <conditionalFormatting sqref="F499:F500">
    <cfRule type="top10" dxfId="172" priority="158" rank="10"/>
  </conditionalFormatting>
  <conditionalFormatting sqref="B499:B500">
    <cfRule type="duplicateValues" dxfId="171" priority="162"/>
  </conditionalFormatting>
  <conditionalFormatting sqref="N499:N500">
    <cfRule type="top10" dxfId="170" priority="163" rank="10"/>
  </conditionalFormatting>
  <conditionalFormatting sqref="AD499:AD500">
    <cfRule type="top10" dxfId="169" priority="164" rank="10"/>
  </conditionalFormatting>
  <conditionalFormatting sqref="P499:P500">
    <cfRule type="top10" dxfId="168" priority="165" rank="10"/>
  </conditionalFormatting>
  <conditionalFormatting sqref="R499:R500">
    <cfRule type="top10" dxfId="167" priority="166" rank="10"/>
  </conditionalFormatting>
  <conditionalFormatting sqref="T499:T500">
    <cfRule type="top10" dxfId="166" priority="167" rank="10"/>
  </conditionalFormatting>
  <conditionalFormatting sqref="V499:V500">
    <cfRule type="top10" dxfId="165" priority="168" rank="10"/>
  </conditionalFormatting>
  <conditionalFormatting sqref="AB499:AB500">
    <cfRule type="top10" dxfId="164" priority="157" rank="10"/>
  </conditionalFormatting>
  <conditionalFormatting sqref="H497:H498">
    <cfRule type="top10" dxfId="163" priority="149" rank="10"/>
  </conditionalFormatting>
  <conditionalFormatting sqref="J497:J498">
    <cfRule type="top10" dxfId="162" priority="148" rank="10"/>
  </conditionalFormatting>
  <conditionalFormatting sqref="L497:L498">
    <cfRule type="top10" dxfId="161" priority="147" rank="10"/>
  </conditionalFormatting>
  <conditionalFormatting sqref="F497:F498">
    <cfRule type="top10" dxfId="160" priority="146" rank="10"/>
  </conditionalFormatting>
  <conditionalFormatting sqref="B497:B498">
    <cfRule type="duplicateValues" dxfId="159" priority="150"/>
  </conditionalFormatting>
  <conditionalFormatting sqref="N497:N498">
    <cfRule type="top10" dxfId="158" priority="151" rank="10"/>
  </conditionalFormatting>
  <conditionalFormatting sqref="AD497:AD498">
    <cfRule type="top10" dxfId="157" priority="152" rank="10"/>
  </conditionalFormatting>
  <conditionalFormatting sqref="P497:P498">
    <cfRule type="top10" dxfId="156" priority="153" rank="10"/>
  </conditionalFormatting>
  <conditionalFormatting sqref="R497:R498">
    <cfRule type="top10" dxfId="155" priority="154" rank="10"/>
  </conditionalFormatting>
  <conditionalFormatting sqref="T497:T498">
    <cfRule type="top10" dxfId="154" priority="155" rank="10"/>
  </conditionalFormatting>
  <conditionalFormatting sqref="V497:V498">
    <cfRule type="top10" dxfId="153" priority="156" rank="10"/>
  </conditionalFormatting>
  <conditionalFormatting sqref="AB497:AB498">
    <cfRule type="top10" dxfId="152" priority="145" rank="10"/>
  </conditionalFormatting>
  <conditionalFormatting sqref="H495:H496">
    <cfRule type="top10" dxfId="151" priority="137" rank="10"/>
  </conditionalFormatting>
  <conditionalFormatting sqref="J495:J496">
    <cfRule type="top10" dxfId="150" priority="136" rank="10"/>
  </conditionalFormatting>
  <conditionalFormatting sqref="L495:L496">
    <cfRule type="top10" dxfId="149" priority="135" rank="10"/>
  </conditionalFormatting>
  <conditionalFormatting sqref="F495:F496">
    <cfRule type="top10" dxfId="148" priority="134" rank="10"/>
  </conditionalFormatting>
  <conditionalFormatting sqref="B495:B496">
    <cfRule type="duplicateValues" dxfId="147" priority="138"/>
  </conditionalFormatting>
  <conditionalFormatting sqref="N495:N496">
    <cfRule type="top10" dxfId="146" priority="139" rank="10"/>
  </conditionalFormatting>
  <conditionalFormatting sqref="AD495:AD496">
    <cfRule type="top10" dxfId="145" priority="140" rank="10"/>
  </conditionalFormatting>
  <conditionalFormatting sqref="P495:P496">
    <cfRule type="top10" dxfId="144" priority="141" rank="10"/>
  </conditionalFormatting>
  <conditionalFormatting sqref="R495:R496">
    <cfRule type="top10" dxfId="143" priority="142" rank="10"/>
  </conditionalFormatting>
  <conditionalFormatting sqref="T495:T496">
    <cfRule type="top10" dxfId="142" priority="143" rank="10"/>
  </conditionalFormatting>
  <conditionalFormatting sqref="V495:V496">
    <cfRule type="top10" dxfId="141" priority="144" rank="10"/>
  </conditionalFormatting>
  <conditionalFormatting sqref="AB495:AB496">
    <cfRule type="top10" dxfId="140" priority="133" rank="10"/>
  </conditionalFormatting>
  <conditionalFormatting sqref="H493:H494">
    <cfRule type="top10" dxfId="139" priority="125" rank="10"/>
  </conditionalFormatting>
  <conditionalFormatting sqref="J493:J494">
    <cfRule type="top10" dxfId="138" priority="124" rank="10"/>
  </conditionalFormatting>
  <conditionalFormatting sqref="L493:L494">
    <cfRule type="top10" dxfId="137" priority="123" rank="10"/>
  </conditionalFormatting>
  <conditionalFormatting sqref="F493:F494">
    <cfRule type="top10" dxfId="136" priority="122" rank="10"/>
  </conditionalFormatting>
  <conditionalFormatting sqref="B493:B494">
    <cfRule type="duplicateValues" dxfId="135" priority="126"/>
  </conditionalFormatting>
  <conditionalFormatting sqref="AD493:AD494">
    <cfRule type="top10" dxfId="133" priority="128" rank="10"/>
  </conditionalFormatting>
  <conditionalFormatting sqref="P493:P494">
    <cfRule type="top10" dxfId="132" priority="129" rank="10"/>
  </conditionalFormatting>
  <conditionalFormatting sqref="R493:R494">
    <cfRule type="top10" dxfId="131" priority="130" rank="10"/>
  </conditionalFormatting>
  <conditionalFormatting sqref="T493:T494">
    <cfRule type="top10" dxfId="130" priority="131" rank="10"/>
  </conditionalFormatting>
  <conditionalFormatting sqref="V493:V494">
    <cfRule type="top10" dxfId="129" priority="132" rank="10"/>
  </conditionalFormatting>
  <conditionalFormatting sqref="AB493:AB494">
    <cfRule type="top10" dxfId="128" priority="121" rank="10"/>
  </conditionalFormatting>
  <conditionalFormatting sqref="H474:H475">
    <cfRule type="top10" dxfId="127" priority="113" rank="10"/>
  </conditionalFormatting>
  <conditionalFormatting sqref="J474:J475">
    <cfRule type="top10" dxfId="126" priority="112" rank="10"/>
  </conditionalFormatting>
  <conditionalFormatting sqref="L474:L475">
    <cfRule type="top10" dxfId="125" priority="111" rank="10"/>
  </conditionalFormatting>
  <conditionalFormatting sqref="F474:F475">
    <cfRule type="top10" dxfId="124" priority="110" rank="10"/>
  </conditionalFormatting>
  <conditionalFormatting sqref="B474:B475">
    <cfRule type="duplicateValues" dxfId="123" priority="114"/>
  </conditionalFormatting>
  <conditionalFormatting sqref="N474:N494">
    <cfRule type="top10" dxfId="122" priority="115" rank="10"/>
  </conditionalFormatting>
  <conditionalFormatting sqref="AD474:AD475">
    <cfRule type="top10" dxfId="121" priority="116" rank="10"/>
  </conditionalFormatting>
  <conditionalFormatting sqref="P474:P475">
    <cfRule type="top10" dxfId="120" priority="117" rank="10"/>
  </conditionalFormatting>
  <conditionalFormatting sqref="R474:R475">
    <cfRule type="top10" dxfId="119" priority="118" rank="10"/>
  </conditionalFormatting>
  <conditionalFormatting sqref="T474:T475">
    <cfRule type="top10" dxfId="118" priority="119" rank="10"/>
  </conditionalFormatting>
  <conditionalFormatting sqref="V474:V475">
    <cfRule type="top10" dxfId="117" priority="120" rank="10"/>
  </conditionalFormatting>
  <conditionalFormatting sqref="AB474:AB475">
    <cfRule type="top10" dxfId="116" priority="109" rank="10"/>
  </conditionalFormatting>
  <conditionalFormatting sqref="H491:H492">
    <cfRule type="top10" dxfId="107" priority="101" rank="10"/>
  </conditionalFormatting>
  <conditionalFormatting sqref="J491:J492">
    <cfRule type="top10" dxfId="106" priority="100" rank="10"/>
  </conditionalFormatting>
  <conditionalFormatting sqref="L491:L492">
    <cfRule type="top10" dxfId="105" priority="99" rank="10"/>
  </conditionalFormatting>
  <conditionalFormatting sqref="F491:F492">
    <cfRule type="top10" dxfId="104" priority="98" rank="10"/>
  </conditionalFormatting>
  <conditionalFormatting sqref="B491:B492">
    <cfRule type="duplicateValues" dxfId="103" priority="102"/>
  </conditionalFormatting>
  <conditionalFormatting sqref="AD491:AD492">
    <cfRule type="top10" dxfId="101" priority="104" rank="10"/>
  </conditionalFormatting>
  <conditionalFormatting sqref="P491:P492">
    <cfRule type="top10" dxfId="100" priority="105" rank="10"/>
  </conditionalFormatting>
  <conditionalFormatting sqref="R491:R492">
    <cfRule type="top10" dxfId="99" priority="106" rank="10"/>
  </conditionalFormatting>
  <conditionalFormatting sqref="T491:T492">
    <cfRule type="top10" dxfId="98" priority="107" rank="10"/>
  </conditionalFormatting>
  <conditionalFormatting sqref="V491:V492">
    <cfRule type="top10" dxfId="97" priority="108" rank="10"/>
  </conditionalFormatting>
  <conditionalFormatting sqref="AB491:AB492">
    <cfRule type="top10" dxfId="96" priority="97" rank="10"/>
  </conditionalFormatting>
  <conditionalFormatting sqref="H489:H490">
    <cfRule type="top10" dxfId="95" priority="89" rank="10"/>
  </conditionalFormatting>
  <conditionalFormatting sqref="J489:J490">
    <cfRule type="top10" dxfId="94" priority="88" rank="10"/>
  </conditionalFormatting>
  <conditionalFormatting sqref="L489:L490">
    <cfRule type="top10" dxfId="93" priority="87" rank="10"/>
  </conditionalFormatting>
  <conditionalFormatting sqref="F489:F490">
    <cfRule type="top10" dxfId="92" priority="86" rank="10"/>
  </conditionalFormatting>
  <conditionalFormatting sqref="B489:B490">
    <cfRule type="duplicateValues" dxfId="91" priority="90"/>
  </conditionalFormatting>
  <conditionalFormatting sqref="AD489:AD490">
    <cfRule type="top10" dxfId="89" priority="92" rank="10"/>
  </conditionalFormatting>
  <conditionalFormatting sqref="P489:P490">
    <cfRule type="top10" dxfId="88" priority="93" rank="10"/>
  </conditionalFormatting>
  <conditionalFormatting sqref="R489:R490">
    <cfRule type="top10" dxfId="87" priority="94" rank="10"/>
  </conditionalFormatting>
  <conditionalFormatting sqref="T489:T490">
    <cfRule type="top10" dxfId="86" priority="95" rank="10"/>
  </conditionalFormatting>
  <conditionalFormatting sqref="V489:V490">
    <cfRule type="top10" dxfId="85" priority="96" rank="10"/>
  </conditionalFormatting>
  <conditionalFormatting sqref="AB489:AB490">
    <cfRule type="top10" dxfId="84" priority="85" rank="10"/>
  </conditionalFormatting>
  <conditionalFormatting sqref="H488">
    <cfRule type="top10" dxfId="83" priority="77" rank="10"/>
  </conditionalFormatting>
  <conditionalFormatting sqref="J488">
    <cfRule type="top10" dxfId="82" priority="76" rank="10"/>
  </conditionalFormatting>
  <conditionalFormatting sqref="L488">
    <cfRule type="top10" dxfId="81" priority="75" rank="10"/>
  </conditionalFormatting>
  <conditionalFormatting sqref="F488">
    <cfRule type="top10" dxfId="80" priority="74" rank="10"/>
  </conditionalFormatting>
  <conditionalFormatting sqref="B488">
    <cfRule type="duplicateValues" dxfId="79" priority="78"/>
  </conditionalFormatting>
  <conditionalFormatting sqref="AD488">
    <cfRule type="top10" dxfId="77" priority="80" rank="10"/>
  </conditionalFormatting>
  <conditionalFormatting sqref="P488">
    <cfRule type="top10" dxfId="76" priority="81" rank="10"/>
  </conditionalFormatting>
  <conditionalFormatting sqref="R488">
    <cfRule type="top10" dxfId="75" priority="82" rank="10"/>
  </conditionalFormatting>
  <conditionalFormatting sqref="T488">
    <cfRule type="top10" dxfId="74" priority="83" rank="10"/>
  </conditionalFormatting>
  <conditionalFormatting sqref="V488">
    <cfRule type="top10" dxfId="73" priority="84" rank="10"/>
  </conditionalFormatting>
  <conditionalFormatting sqref="AB488">
    <cfRule type="top10" dxfId="72" priority="73" rank="10"/>
  </conditionalFormatting>
  <conditionalFormatting sqref="H486:H487">
    <cfRule type="top10" dxfId="71" priority="65" rank="10"/>
  </conditionalFormatting>
  <conditionalFormatting sqref="J486:J487">
    <cfRule type="top10" dxfId="70" priority="64" rank="10"/>
  </conditionalFormatting>
  <conditionalFormatting sqref="L486:L487">
    <cfRule type="top10" dxfId="69" priority="63" rank="10"/>
  </conditionalFormatting>
  <conditionalFormatting sqref="F486:F487">
    <cfRule type="top10" dxfId="68" priority="62" rank="10"/>
  </conditionalFormatting>
  <conditionalFormatting sqref="B486:B487">
    <cfRule type="duplicateValues" dxfId="67" priority="66"/>
  </conditionalFormatting>
  <conditionalFormatting sqref="AD486:AD487">
    <cfRule type="top10" dxfId="65" priority="68" rank="10"/>
  </conditionalFormatting>
  <conditionalFormatting sqref="P486:P487">
    <cfRule type="top10" dxfId="64" priority="69" rank="10"/>
  </conditionalFormatting>
  <conditionalFormatting sqref="R486:R487">
    <cfRule type="top10" dxfId="63" priority="70" rank="10"/>
  </conditionalFormatting>
  <conditionalFormatting sqref="T486:T487">
    <cfRule type="top10" dxfId="62" priority="71" rank="10"/>
  </conditionalFormatting>
  <conditionalFormatting sqref="V486:V487">
    <cfRule type="top10" dxfId="61" priority="72" rank="10"/>
  </conditionalFormatting>
  <conditionalFormatting sqref="AB486:AB487">
    <cfRule type="top10" dxfId="60" priority="61" rank="10"/>
  </conditionalFormatting>
  <conditionalFormatting sqref="H484:H485">
    <cfRule type="top10" dxfId="59" priority="53" rank="10"/>
  </conditionalFormatting>
  <conditionalFormatting sqref="J484:J485">
    <cfRule type="top10" dxfId="58" priority="52" rank="10"/>
  </conditionalFormatting>
  <conditionalFormatting sqref="L484:L485">
    <cfRule type="top10" dxfId="57" priority="51" rank="10"/>
  </conditionalFormatting>
  <conditionalFormatting sqref="F484:F485">
    <cfRule type="top10" dxfId="56" priority="50" rank="10"/>
  </conditionalFormatting>
  <conditionalFormatting sqref="B484:B485">
    <cfRule type="duplicateValues" dxfId="55" priority="54"/>
  </conditionalFormatting>
  <conditionalFormatting sqref="AD484:AD485">
    <cfRule type="top10" dxfId="53" priority="56" rank="10"/>
  </conditionalFormatting>
  <conditionalFormatting sqref="P484:P485">
    <cfRule type="top10" dxfId="52" priority="57" rank="10"/>
  </conditionalFormatting>
  <conditionalFormatting sqref="R484:R485">
    <cfRule type="top10" dxfId="51" priority="58" rank="10"/>
  </conditionalFormatting>
  <conditionalFormatting sqref="T484:T485">
    <cfRule type="top10" dxfId="50" priority="59" rank="10"/>
  </conditionalFormatting>
  <conditionalFormatting sqref="V484:V485">
    <cfRule type="top10" dxfId="49" priority="60" rank="10"/>
  </conditionalFormatting>
  <conditionalFormatting sqref="AB484:AB485">
    <cfRule type="top10" dxfId="48" priority="49" rank="10"/>
  </conditionalFormatting>
  <conditionalFormatting sqref="H482:H483">
    <cfRule type="top10" dxfId="47" priority="41" rank="10"/>
  </conditionalFormatting>
  <conditionalFormatting sqref="J482:J483">
    <cfRule type="top10" dxfId="46" priority="40" rank="10"/>
  </conditionalFormatting>
  <conditionalFormatting sqref="L482:L483">
    <cfRule type="top10" dxfId="45" priority="39" rank="10"/>
  </conditionalFormatting>
  <conditionalFormatting sqref="F482:F483">
    <cfRule type="top10" dxfId="44" priority="38" rank="10"/>
  </conditionalFormatting>
  <conditionalFormatting sqref="B482:B483">
    <cfRule type="duplicateValues" dxfId="43" priority="42"/>
  </conditionalFormatting>
  <conditionalFormatting sqref="AD482:AD483">
    <cfRule type="top10" dxfId="41" priority="44" rank="10"/>
  </conditionalFormatting>
  <conditionalFormatting sqref="P482:P483">
    <cfRule type="top10" dxfId="40" priority="45" rank="10"/>
  </conditionalFormatting>
  <conditionalFormatting sqref="R482:R483">
    <cfRule type="top10" dxfId="39" priority="46" rank="10"/>
  </conditionalFormatting>
  <conditionalFormatting sqref="T482:T483">
    <cfRule type="top10" dxfId="38" priority="47" rank="10"/>
  </conditionalFormatting>
  <conditionalFormatting sqref="V482:V483">
    <cfRule type="top10" dxfId="37" priority="48" rank="10"/>
  </conditionalFormatting>
  <conditionalFormatting sqref="AB482:AB483">
    <cfRule type="top10" dxfId="36" priority="37" rank="10"/>
  </conditionalFormatting>
  <conditionalFormatting sqref="H480:H481">
    <cfRule type="top10" dxfId="35" priority="29" rank="10"/>
  </conditionalFormatting>
  <conditionalFormatting sqref="J480:J481">
    <cfRule type="top10" dxfId="34" priority="28" rank="10"/>
  </conditionalFormatting>
  <conditionalFormatting sqref="L480:L481">
    <cfRule type="top10" dxfId="33" priority="27" rank="10"/>
  </conditionalFormatting>
  <conditionalFormatting sqref="F480:F481">
    <cfRule type="top10" dxfId="32" priority="26" rank="10"/>
  </conditionalFormatting>
  <conditionalFormatting sqref="B480:B481">
    <cfRule type="duplicateValues" dxfId="31" priority="30"/>
  </conditionalFormatting>
  <conditionalFormatting sqref="AD480:AD481">
    <cfRule type="top10" dxfId="29" priority="32" rank="10"/>
  </conditionalFormatting>
  <conditionalFormatting sqref="P480:P481">
    <cfRule type="top10" dxfId="28" priority="33" rank="10"/>
  </conditionalFormatting>
  <conditionalFormatting sqref="R480:R481">
    <cfRule type="top10" dxfId="27" priority="34" rank="10"/>
  </conditionalFormatting>
  <conditionalFormatting sqref="T480:T481">
    <cfRule type="top10" dxfId="26" priority="35" rank="10"/>
  </conditionalFormatting>
  <conditionalFormatting sqref="V480:V481">
    <cfRule type="top10" dxfId="25" priority="36" rank="10"/>
  </conditionalFormatting>
  <conditionalFormatting sqref="AB480:AB481">
    <cfRule type="top10" dxfId="24" priority="25" rank="10"/>
  </conditionalFormatting>
  <conditionalFormatting sqref="H478:H479">
    <cfRule type="top10" dxfId="23" priority="17" rank="10"/>
  </conditionalFormatting>
  <conditionalFormatting sqref="J478:J479">
    <cfRule type="top10" dxfId="22" priority="16" rank="10"/>
  </conditionalFormatting>
  <conditionalFormatting sqref="L478:L479">
    <cfRule type="top10" dxfId="21" priority="15" rank="10"/>
  </conditionalFormatting>
  <conditionalFormatting sqref="F478:F479">
    <cfRule type="top10" dxfId="20" priority="14" rank="10"/>
  </conditionalFormatting>
  <conditionalFormatting sqref="B478:B479">
    <cfRule type="duplicateValues" dxfId="19" priority="18"/>
  </conditionalFormatting>
  <conditionalFormatting sqref="AD478:AD479">
    <cfRule type="top10" dxfId="17" priority="20" rank="10"/>
  </conditionalFormatting>
  <conditionalFormatting sqref="P478:P479">
    <cfRule type="top10" dxfId="16" priority="21" rank="10"/>
  </conditionalFormatting>
  <conditionalFormatting sqref="R478:R479">
    <cfRule type="top10" dxfId="15" priority="22" rank="10"/>
  </conditionalFormatting>
  <conditionalFormatting sqref="T478:T479">
    <cfRule type="top10" dxfId="14" priority="23" rank="10"/>
  </conditionalFormatting>
  <conditionalFormatting sqref="V478:V479">
    <cfRule type="top10" dxfId="13" priority="24" rank="10"/>
  </conditionalFormatting>
  <conditionalFormatting sqref="AB478:AB479">
    <cfRule type="top10" dxfId="12" priority="13" rank="10"/>
  </conditionalFormatting>
  <conditionalFormatting sqref="H476:H477">
    <cfRule type="top10" dxfId="11" priority="5" rank="10"/>
  </conditionalFormatting>
  <conditionalFormatting sqref="J476:J477">
    <cfRule type="top10" dxfId="10" priority="4" rank="10"/>
  </conditionalFormatting>
  <conditionalFormatting sqref="L476:L477">
    <cfRule type="top10" dxfId="9" priority="3" rank="10"/>
  </conditionalFormatting>
  <conditionalFormatting sqref="F476:F477">
    <cfRule type="top10" dxfId="8" priority="2" rank="10"/>
  </conditionalFormatting>
  <conditionalFormatting sqref="B476:B477">
    <cfRule type="duplicateValues" dxfId="7" priority="6"/>
  </conditionalFormatting>
  <conditionalFormatting sqref="AD476:AD477">
    <cfRule type="top10" dxfId="5" priority="8" rank="10"/>
  </conditionalFormatting>
  <conditionalFormatting sqref="P476:P477">
    <cfRule type="top10" dxfId="4" priority="9" rank="10"/>
  </conditionalFormatting>
  <conditionalFormatting sqref="R476:R477">
    <cfRule type="top10" dxfId="3" priority="10" rank="10"/>
  </conditionalFormatting>
  <conditionalFormatting sqref="T476:T477">
    <cfRule type="top10" dxfId="2" priority="11" rank="10"/>
  </conditionalFormatting>
  <conditionalFormatting sqref="V476:V477">
    <cfRule type="top10" dxfId="1" priority="12" rank="10"/>
  </conditionalFormatting>
  <conditionalFormatting sqref="AB476:AB477">
    <cfRule type="top10" dxfId="0" priority="1" rank="10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B0375-3513-4D63-ABA6-01BA1ECD7933}">
  <dimension ref="A1:Q206"/>
  <sheetViews>
    <sheetView zoomScale="90" zoomScaleNormal="90" workbookViewId="0">
      <selection activeCell="D47" sqref="D47:D53"/>
    </sheetView>
  </sheetViews>
  <sheetFormatPr defaultRowHeight="14.5"/>
  <cols>
    <col min="1" max="1" width="20.6328125" style="134" customWidth="1"/>
    <col min="2" max="2" width="15.7265625" style="134" customWidth="1"/>
    <col min="3" max="3" width="11.1796875" style="134" customWidth="1"/>
    <col min="4" max="4" width="14.81640625" style="134" customWidth="1"/>
    <col min="5" max="5" width="10.90625" style="134" customWidth="1"/>
    <col min="6" max="6" width="8.7265625" style="134"/>
    <col min="7" max="7" width="20.6328125" style="134" customWidth="1"/>
    <col min="8" max="8" width="15.7265625" style="134" customWidth="1"/>
    <col min="9" max="9" width="11.1796875" style="134" customWidth="1"/>
    <col min="10" max="10" width="17.81640625" style="134" customWidth="1"/>
    <col min="11" max="11" width="10.90625" style="134" customWidth="1"/>
    <col min="12" max="16384" width="8.7265625" style="134"/>
  </cols>
  <sheetData>
    <row r="1" spans="1:11">
      <c r="A1" s="134" t="s">
        <v>1154</v>
      </c>
      <c r="G1" s="134" t="s">
        <v>1155</v>
      </c>
    </row>
    <row r="2" spans="1:11">
      <c r="A2" s="124" t="s">
        <v>923</v>
      </c>
      <c r="B2" s="133" t="s">
        <v>1</v>
      </c>
      <c r="C2" s="132" t="s">
        <v>889</v>
      </c>
      <c r="D2" s="125" t="s">
        <v>2</v>
      </c>
      <c r="E2" s="125" t="s">
        <v>889</v>
      </c>
      <c r="G2" s="124" t="s">
        <v>923</v>
      </c>
      <c r="H2" s="133" t="s">
        <v>1</v>
      </c>
      <c r="I2" s="132" t="s">
        <v>889</v>
      </c>
      <c r="J2" s="125" t="s">
        <v>2</v>
      </c>
      <c r="K2" s="125" t="s">
        <v>889</v>
      </c>
    </row>
    <row r="3" spans="1:11">
      <c r="A3" s="100" t="s">
        <v>924</v>
      </c>
      <c r="B3" s="121">
        <f>SUMIF('2026累計'!D:D,ブランド別実績!A3,'2026累計'!F:F)</f>
        <v>870</v>
      </c>
      <c r="C3" s="128">
        <f>B3/$B$10</f>
        <v>1.1272642462878022E-2</v>
      </c>
      <c r="D3" s="121">
        <f>SUMIF('2026累計'!D:D,ブランド別実績!A3,'2026累計'!G:G)</f>
        <v>622875</v>
      </c>
      <c r="E3" s="127">
        <f t="shared" ref="E3:E10" si="0">D3/$D$10</f>
        <v>9.3848672471636158E-3</v>
      </c>
      <c r="G3" s="100" t="s">
        <v>924</v>
      </c>
      <c r="H3" s="121">
        <f>SUMIF('2026累計'!D:D,ブランド別実績!G3,'2026累計'!AD:AD)</f>
        <v>25748</v>
      </c>
      <c r="I3" s="128">
        <f>H3/$B$10</f>
        <v>0.33361838865998084</v>
      </c>
      <c r="J3" s="121">
        <f>SUMIF('2026累計'!D:D,ブランド別実績!G3,'2026累計'!AE:AE)</f>
        <v>18220170</v>
      </c>
      <c r="K3" s="127">
        <f t="shared" ref="K3:K10" si="1">J3/$D$10</f>
        <v>0.27452358285491163</v>
      </c>
    </row>
    <row r="4" spans="1:11">
      <c r="A4" s="100" t="s">
        <v>1131</v>
      </c>
      <c r="B4" s="121">
        <f>SUMIF('2026累計'!D:D,ブランド別実績!A4,'2026累計'!F:F)</f>
        <v>1290</v>
      </c>
      <c r="C4" s="129">
        <f t="shared" ref="C4:C9" si="2">B4/$B$10</f>
        <v>1.6714607789784654E-2</v>
      </c>
      <c r="D4" s="121">
        <f>SUMIF('2026累計'!D:D,ブランド別実績!A4,'2026累計'!G:G)</f>
        <v>806180</v>
      </c>
      <c r="E4" s="127">
        <f t="shared" si="0"/>
        <v>1.2146726513856494E-2</v>
      </c>
      <c r="G4" s="100" t="s">
        <v>920</v>
      </c>
      <c r="H4" s="121">
        <f>SUMIF('2026累計'!D:D,ブランド別実績!G4,'2026累計'!AD:AD)</f>
        <v>7962</v>
      </c>
      <c r="I4" s="129">
        <f t="shared" ref="I4:I10" si="3">H4/$B$10</f>
        <v>0.10316411412578715</v>
      </c>
      <c r="J4" s="121">
        <f>SUMIF('2026累計'!D:D,ブランド別実績!G4,'2026累計'!AE:AE)</f>
        <v>5071117</v>
      </c>
      <c r="K4" s="127">
        <f t="shared" si="1"/>
        <v>7.6406598177539017E-2</v>
      </c>
    </row>
    <row r="5" spans="1:11">
      <c r="A5" s="100" t="s">
        <v>1133</v>
      </c>
      <c r="B5" s="122">
        <f>SUMIF('2026累計'!D:D,ブランド別実績!A5,'2026累計'!F:F)</f>
        <v>16674</v>
      </c>
      <c r="C5" s="129">
        <f t="shared" si="2"/>
        <v>0.21604602347819327</v>
      </c>
      <c r="D5" s="122">
        <f>SUMIF('2026累計'!D:D,ブランド別実績!A5,'2026累計'!G:G)</f>
        <v>23078830</v>
      </c>
      <c r="E5" s="127">
        <f t="shared" si="0"/>
        <v>0.34772908813141812</v>
      </c>
      <c r="G5" s="100" t="s">
        <v>922</v>
      </c>
      <c r="H5" s="121">
        <f>SUMIF('2026累計'!D:D,ブランド別実績!G5,'2026累計'!AD:AD)</f>
        <v>71109</v>
      </c>
      <c r="I5" s="129">
        <f t="shared" si="3"/>
        <v>0.92136360102619919</v>
      </c>
      <c r="J5" s="121">
        <f>SUMIF('2026累計'!D:D,ブランド別実績!G5,'2026累計'!AE:AE)</f>
        <v>131816910</v>
      </c>
      <c r="K5" s="127">
        <f t="shared" si="1"/>
        <v>1.9860874192756397</v>
      </c>
    </row>
    <row r="6" spans="1:11">
      <c r="A6" s="100" t="s">
        <v>1142</v>
      </c>
      <c r="B6" s="148">
        <f>SUMIF('2026累計'!D:D,ブランド別実績!A6,'2026累計'!F:F)</f>
        <v>49808</v>
      </c>
      <c r="C6" s="129">
        <f t="shared" si="2"/>
        <v>0.64536525952991786</v>
      </c>
      <c r="D6" s="148">
        <f>SUMIF('2026累計'!D:D,ブランド別実績!A6,'2026累計'!G:G)</f>
        <v>35564320</v>
      </c>
      <c r="E6" s="127">
        <f t="shared" si="0"/>
        <v>0.53584815883707948</v>
      </c>
      <c r="G6" s="100" t="s">
        <v>1141</v>
      </c>
      <c r="H6" s="121">
        <f>SUMIF('2026累計'!D:D,ブランド別実績!G6,'2026累計'!AD:AD)</f>
        <v>206601</v>
      </c>
      <c r="I6" s="129">
        <f t="shared" si="3"/>
        <v>2.6769416154862786</v>
      </c>
      <c r="J6" s="121">
        <f>SUMIF('2026累計'!D:D,ブランド別実績!G6,'2026累計'!AE:AE)</f>
        <v>146527430</v>
      </c>
      <c r="K6" s="127">
        <f t="shared" si="1"/>
        <v>2.2077310513635311</v>
      </c>
    </row>
    <row r="7" spans="1:11">
      <c r="A7" s="100" t="s">
        <v>1135</v>
      </c>
      <c r="B7" s="121">
        <f>SUMIF('2026累計'!D:D,ブランド別実績!A7,'2026累計'!F:F)</f>
        <v>7152</v>
      </c>
      <c r="C7" s="129">
        <f t="shared" si="2"/>
        <v>9.2668895281038638E-2</v>
      </c>
      <c r="D7" s="121">
        <f>SUMIF('2026累計'!D:D,ブランド別実績!A7,'2026累計'!G:G)</f>
        <v>3529680</v>
      </c>
      <c r="E7" s="127">
        <f t="shared" si="0"/>
        <v>5.318174308644346E-2</v>
      </c>
      <c r="G7" s="100" t="s">
        <v>1135</v>
      </c>
      <c r="H7" s="121">
        <f>SUMIF('2026累計'!D:D,ブランド別実績!G7,'2026累計'!AD:AD)</f>
        <v>15115</v>
      </c>
      <c r="I7" s="129">
        <f t="shared" si="3"/>
        <v>0.19584596646712793</v>
      </c>
      <c r="J7" s="121">
        <f>SUMIF('2026累計'!D:D,ブランド別実績!G7,'2026累計'!AE:AE)</f>
        <v>8073725</v>
      </c>
      <c r="K7" s="127">
        <f t="shared" si="1"/>
        <v>0.12164693929778216</v>
      </c>
    </row>
    <row r="8" spans="1:11">
      <c r="A8" s="100" t="s">
        <v>1138</v>
      </c>
      <c r="B8" s="121">
        <f>SUMIF('2026累計'!D:D,ブランド別実績!A8,'2026累計'!F:F)</f>
        <v>1284</v>
      </c>
      <c r="C8" s="129">
        <f t="shared" si="2"/>
        <v>1.66368654279717E-2</v>
      </c>
      <c r="D8" s="121">
        <f>SUMIF('2026累計'!D:D,ブランド別実績!A8,'2026累計'!G:G)</f>
        <v>2680260</v>
      </c>
      <c r="E8" s="127">
        <f t="shared" si="0"/>
        <v>4.0383518824616098E-2</v>
      </c>
      <c r="G8" s="100" t="s">
        <v>1138</v>
      </c>
      <c r="H8" s="121">
        <f>SUMIF('2026累計'!D:D,ブランド別実績!G8,'2026累計'!AD:AD)</f>
        <v>16532</v>
      </c>
      <c r="I8" s="129">
        <f t="shared" si="3"/>
        <v>0.21420612091528674</v>
      </c>
      <c r="J8" s="121">
        <f>SUMIF('2026累計'!D:D,ブランド別実績!G8,'2026累計'!AE:AE)</f>
        <v>36130567</v>
      </c>
      <c r="K8" s="127">
        <f t="shared" si="1"/>
        <v>0.54437981113345468</v>
      </c>
    </row>
    <row r="9" spans="1:11">
      <c r="A9" s="100" t="s">
        <v>1129</v>
      </c>
      <c r="B9" s="121">
        <f>SUMIF('2026累計'!D:D,ブランド別実績!A9,'2026累計'!F:F)</f>
        <v>100</v>
      </c>
      <c r="C9" s="129">
        <f t="shared" si="2"/>
        <v>1.2957060302158645E-3</v>
      </c>
      <c r="D9" s="121">
        <f>SUMIF('2026累計'!D:D,ブランド別実績!A9,'2026累計'!G:G)</f>
        <v>88000</v>
      </c>
      <c r="E9" s="127">
        <f t="shared" si="0"/>
        <v>1.3258973594226741E-3</v>
      </c>
      <c r="G9" s="100" t="s">
        <v>1129</v>
      </c>
      <c r="H9" s="121">
        <f>SUMIF('2026累計'!D:D,ブランド別実績!G9,'2026累計'!AD:AD)</f>
        <v>1395</v>
      </c>
      <c r="I9" s="129">
        <f t="shared" si="3"/>
        <v>1.8075099121511312E-2</v>
      </c>
      <c r="J9" s="121">
        <f>SUMIF('2026累計'!D:D,ブランド別実績!G9,'2026累計'!AE:AE)</f>
        <v>2930345</v>
      </c>
      <c r="K9" s="127">
        <f t="shared" si="1"/>
        <v>4.415155338292541E-2</v>
      </c>
    </row>
    <row r="10" spans="1:11">
      <c r="A10" s="126" t="s">
        <v>0</v>
      </c>
      <c r="B10" s="123">
        <f>SUM(B3:B9)</f>
        <v>77178</v>
      </c>
      <c r="C10" s="130">
        <f t="shared" ref="C10" si="4">B10/$B$10</f>
        <v>1</v>
      </c>
      <c r="D10" s="123">
        <f>SUM(D3:D9)</f>
        <v>66370145</v>
      </c>
      <c r="E10" s="131">
        <f t="shared" si="0"/>
        <v>1</v>
      </c>
      <c r="G10" s="126" t="s">
        <v>0</v>
      </c>
      <c r="H10" s="123">
        <f>SUM(H3:H9)</f>
        <v>344462</v>
      </c>
      <c r="I10" s="130">
        <f t="shared" si="3"/>
        <v>4.4632149058021717</v>
      </c>
      <c r="J10" s="123">
        <f>SUM(J3:J9)</f>
        <v>348770264</v>
      </c>
      <c r="K10" s="131">
        <f t="shared" si="1"/>
        <v>5.2549269554857831</v>
      </c>
    </row>
    <row r="12" spans="1:11">
      <c r="A12" s="134" t="s">
        <v>1190</v>
      </c>
    </row>
    <row r="13" spans="1:11">
      <c r="A13" s="124" t="s">
        <v>923</v>
      </c>
      <c r="B13" s="133" t="s">
        <v>1</v>
      </c>
      <c r="C13" s="132" t="s">
        <v>889</v>
      </c>
      <c r="D13" s="125" t="s">
        <v>2</v>
      </c>
      <c r="E13" s="125" t="s">
        <v>889</v>
      </c>
    </row>
    <row r="14" spans="1:11">
      <c r="A14" s="100" t="s">
        <v>924</v>
      </c>
      <c r="B14" s="121">
        <f>SUMIF('2026累計'!D:D,ブランド別実績!A14,'2026累計'!H:H)</f>
        <v>6580</v>
      </c>
      <c r="C14" s="128">
        <f>B14/$B$10</f>
        <v>8.5257456788203886E-2</v>
      </c>
      <c r="D14" s="121">
        <f>SUMIF('2026累計'!D:D,ブランド別実績!A14,'2026累計'!I:I)</f>
        <v>4788422</v>
      </c>
      <c r="E14" s="127">
        <f t="shared" ref="E14:E21" si="5">D14/$D$10</f>
        <v>7.2147228245470915E-2</v>
      </c>
    </row>
    <row r="15" spans="1:11">
      <c r="A15" s="100" t="s">
        <v>920</v>
      </c>
      <c r="B15" s="121">
        <f>SUMIF('2026累計'!D:D,ブランド別実績!A15,'2026累計'!H:H)</f>
        <v>1230</v>
      </c>
      <c r="C15" s="129">
        <f t="shared" ref="C15:C21" si="6">B15/$B$10</f>
        <v>1.5937184171655135E-2</v>
      </c>
      <c r="D15" s="121">
        <f>SUMIF('2026累計'!D:D,ブランド別実績!A15,'2026累計'!I:I)</f>
        <v>752920</v>
      </c>
      <c r="E15" s="127">
        <f t="shared" si="5"/>
        <v>1.1344257271096817E-2</v>
      </c>
    </row>
    <row r="16" spans="1:11">
      <c r="A16" s="100" t="s">
        <v>922</v>
      </c>
      <c r="B16" s="121">
        <f>SUMIF('2026累計'!D:D,ブランド別実績!A16,'2026累計'!H:H)</f>
        <v>24412</v>
      </c>
      <c r="C16" s="129">
        <f t="shared" si="6"/>
        <v>0.31630775609629685</v>
      </c>
      <c r="D16" s="121">
        <f>SUMIF('2026累計'!D:D,ブランド別実績!A16,'2026累計'!I:I)</f>
        <v>41886680</v>
      </c>
      <c r="E16" s="127">
        <f t="shared" si="5"/>
        <v>0.63110725462480155</v>
      </c>
    </row>
    <row r="17" spans="1:5">
      <c r="A17" s="100" t="s">
        <v>1141</v>
      </c>
      <c r="B17" s="121">
        <f>SUMIF('2026累計'!D:D,ブランド別実績!A17,'2026累計'!H:H)</f>
        <v>10141</v>
      </c>
      <c r="C17" s="129">
        <f t="shared" si="6"/>
        <v>0.13139754852419083</v>
      </c>
      <c r="D17" s="121">
        <f>SUMIF('2026累計'!D:D,ブランド別実績!A17,'2026累計'!I:I)</f>
        <v>7143295</v>
      </c>
      <c r="E17" s="127">
        <f t="shared" si="5"/>
        <v>0.10762813611451354</v>
      </c>
    </row>
    <row r="18" spans="1:5">
      <c r="A18" s="100" t="s">
        <v>1135</v>
      </c>
      <c r="B18" s="121">
        <f>SUMIF('2026累計'!D:D,ブランド別実績!A18,'2026累計'!H:H)</f>
        <v>1030</v>
      </c>
      <c r="C18" s="129">
        <f t="shared" si="6"/>
        <v>1.3345772111223406E-2</v>
      </c>
      <c r="D18" s="121">
        <f>SUMIF('2026累計'!D:D,ブランド別実績!A18,'2026累計'!I:I)</f>
        <v>516450</v>
      </c>
      <c r="E18" s="127">
        <f t="shared" si="5"/>
        <v>7.7813601281118191E-3</v>
      </c>
    </row>
    <row r="19" spans="1:5">
      <c r="A19" s="100" t="s">
        <v>1138</v>
      </c>
      <c r="B19" s="121">
        <f>SUMIF('2026累計'!D:D,ブランド別実績!A19,'2026累計'!H:H)</f>
        <v>3233</v>
      </c>
      <c r="C19" s="129">
        <f t="shared" si="6"/>
        <v>4.1890175956878904E-2</v>
      </c>
      <c r="D19" s="121">
        <f>SUMIF('2026累計'!D:D,ブランド別実績!A19,'2026累計'!I:I)</f>
        <v>7390570</v>
      </c>
      <c r="E19" s="127">
        <f t="shared" si="5"/>
        <v>0.11135383235941401</v>
      </c>
    </row>
    <row r="20" spans="1:5">
      <c r="A20" s="100" t="s">
        <v>1129</v>
      </c>
      <c r="B20" s="121">
        <f>SUMIF('2026累計'!D:D,ブランド別実績!A20,'2026累計'!H:H)</f>
        <v>506</v>
      </c>
      <c r="C20" s="129">
        <f t="shared" si="6"/>
        <v>6.5562725128922748E-3</v>
      </c>
      <c r="D20" s="121">
        <f>SUMIF('2026累計'!D:D,ブランド別実績!A20,'2026累計'!I:I)</f>
        <v>1157915</v>
      </c>
      <c r="E20" s="127">
        <f t="shared" si="5"/>
        <v>1.7446323192453473E-2</v>
      </c>
    </row>
    <row r="21" spans="1:5">
      <c r="A21" s="126" t="s">
        <v>0</v>
      </c>
      <c r="B21" s="123">
        <f>SUM(B14:B20)</f>
        <v>47132</v>
      </c>
      <c r="C21" s="130">
        <f t="shared" si="6"/>
        <v>0.61069216616134137</v>
      </c>
      <c r="D21" s="123">
        <f>SUM(D14:D20)</f>
        <v>63636252</v>
      </c>
      <c r="E21" s="131">
        <f t="shared" si="5"/>
        <v>0.95880839193586209</v>
      </c>
    </row>
    <row r="23" spans="1:5">
      <c r="A23" s="134" t="s">
        <v>1235</v>
      </c>
    </row>
    <row r="24" spans="1:5">
      <c r="A24" s="124" t="s">
        <v>923</v>
      </c>
      <c r="B24" s="133" t="s">
        <v>1</v>
      </c>
      <c r="C24" s="132" t="s">
        <v>889</v>
      </c>
      <c r="D24" s="125" t="s">
        <v>2</v>
      </c>
      <c r="E24" s="125" t="s">
        <v>889</v>
      </c>
    </row>
    <row r="25" spans="1:5">
      <c r="A25" s="100" t="s">
        <v>924</v>
      </c>
      <c r="B25" s="121">
        <f>SUMIF('2026累計'!D:D,ブランド別実績!A25,'2026累計'!J:J)</f>
        <v>5264</v>
      </c>
      <c r="C25" s="128">
        <f>B25/$B$10</f>
        <v>6.820596543056312E-2</v>
      </c>
      <c r="D25" s="121">
        <f>SUMIF('2026累計'!D:D,ブランド別実績!A25,'2026累計'!K:K)</f>
        <v>3778390</v>
      </c>
      <c r="E25" s="127">
        <f t="shared" ref="E25:E32" si="7">D25/$D$10</f>
        <v>5.6929060498511791E-2</v>
      </c>
    </row>
    <row r="26" spans="1:5">
      <c r="A26" s="100" t="s">
        <v>920</v>
      </c>
      <c r="B26" s="121">
        <f>SUMIF('2026累計'!D:D,ブランド別実績!A26,'2026累計'!J:J)</f>
        <v>1616</v>
      </c>
      <c r="C26" s="129">
        <f t="shared" ref="C26:C32" si="8">B26/$B$10</f>
        <v>2.0938609448288372E-2</v>
      </c>
      <c r="D26" s="121">
        <f>SUMIF('2026累計'!D:D,ブランド別実績!A26,'2026累計'!K:K)</f>
        <v>1076870</v>
      </c>
      <c r="E26" s="127">
        <f t="shared" si="7"/>
        <v>1.6225216925471537E-2</v>
      </c>
    </row>
    <row r="27" spans="1:5">
      <c r="A27" s="100" t="s">
        <v>1141</v>
      </c>
      <c r="B27" s="121">
        <f>SUMIF('2026累計'!D:D,ブランド別実績!A27,'2026累計'!J:J)</f>
        <v>18816</v>
      </c>
      <c r="C27" s="129">
        <f t="shared" si="8"/>
        <v>0.2438000466454171</v>
      </c>
      <c r="D27" s="121">
        <f>SUMIF('2026累計'!D:D,ブランド別実績!A27,'2026累計'!K:K)</f>
        <v>13260258</v>
      </c>
      <c r="E27" s="127">
        <f t="shared" si="7"/>
        <v>0.1997925121302658</v>
      </c>
    </row>
    <row r="28" spans="1:5">
      <c r="A28" s="100" t="s">
        <v>1135</v>
      </c>
      <c r="B28" s="121">
        <f>SUMIF('2026累計'!D:D,ブランド別実績!A28,'2026累計'!J:J)</f>
        <v>1143</v>
      </c>
      <c r="C28" s="129">
        <f t="shared" si="8"/>
        <v>1.4809919925367333E-2</v>
      </c>
      <c r="D28" s="121">
        <f>SUMIF('2026累計'!D:D,ブランド別実績!A28,'2026累計'!K:K)</f>
        <v>586245</v>
      </c>
      <c r="E28" s="127">
        <f t="shared" si="7"/>
        <v>8.8329624713039279E-3</v>
      </c>
    </row>
    <row r="29" spans="1:5">
      <c r="A29" s="100" t="s">
        <v>922</v>
      </c>
      <c r="B29" s="121">
        <f>SUMIF('2026累計'!D:D,ブランド別実績!A29,'2026累計'!J:J)</f>
        <v>13421</v>
      </c>
      <c r="C29" s="129">
        <f>B29/$B$10</f>
        <v>0.17389670631527118</v>
      </c>
      <c r="D29" s="121">
        <f>SUMIF('2026累計'!D:D,ブランド別実績!A29,'2026累計'!K:K)</f>
        <v>27736940</v>
      </c>
      <c r="E29" s="127">
        <f>D29/$D$10</f>
        <v>0.41791290345983123</v>
      </c>
    </row>
    <row r="30" spans="1:5">
      <c r="A30" s="100" t="s">
        <v>1138</v>
      </c>
      <c r="B30" s="121">
        <f>SUMIF('2026累計'!D:D,ブランド別実績!A30,'2026累計'!J:J)</f>
        <v>6740</v>
      </c>
      <c r="C30" s="129">
        <f t="shared" si="8"/>
        <v>8.7330586436549271E-2</v>
      </c>
      <c r="D30" s="121">
        <f>SUMIF('2026累計'!D:D,ブランド別実績!A30,'2026累計'!K:K)</f>
        <v>14504193</v>
      </c>
      <c r="E30" s="127">
        <f t="shared" si="7"/>
        <v>0.21853489999155493</v>
      </c>
    </row>
    <row r="31" spans="1:5">
      <c r="A31" s="100" t="s">
        <v>1129</v>
      </c>
      <c r="B31" s="121">
        <f>SUMIF('2026累計'!D:D,ブランド別実績!A31,'2026累計'!J:J)</f>
        <v>349</v>
      </c>
      <c r="C31" s="129">
        <f t="shared" si="8"/>
        <v>4.5220140454533672E-3</v>
      </c>
      <c r="D31" s="121">
        <f>SUMIF('2026累計'!D:D,ブランド別実績!A31,'2026累計'!K:K)</f>
        <v>679140</v>
      </c>
      <c r="E31" s="127">
        <f t="shared" si="7"/>
        <v>1.0232612871344488E-2</v>
      </c>
    </row>
    <row r="32" spans="1:5">
      <c r="A32" s="126" t="s">
        <v>0</v>
      </c>
      <c r="B32" s="123">
        <f>SUM(B25:B31)</f>
        <v>47349</v>
      </c>
      <c r="C32" s="130">
        <f t="shared" si="8"/>
        <v>0.61350384824690973</v>
      </c>
      <c r="D32" s="123">
        <f>SUM(D25:D31)</f>
        <v>61622036</v>
      </c>
      <c r="E32" s="131">
        <f t="shared" si="7"/>
        <v>0.92846016834828371</v>
      </c>
    </row>
    <row r="34" spans="1:5">
      <c r="A34" s="134" t="s">
        <v>1240</v>
      </c>
    </row>
    <row r="35" spans="1:5">
      <c r="A35" s="124" t="s">
        <v>923</v>
      </c>
      <c r="B35" s="133" t="s">
        <v>1</v>
      </c>
      <c r="C35" s="132" t="s">
        <v>889</v>
      </c>
      <c r="D35" s="125" t="s">
        <v>2</v>
      </c>
      <c r="E35" s="125" t="s">
        <v>889</v>
      </c>
    </row>
    <row r="36" spans="1:5">
      <c r="A36" s="100" t="s">
        <v>924</v>
      </c>
      <c r="B36" s="121">
        <f>SUMIF('2026累計'!D:D,ブランド別実績!A36,'2026累計'!L:L)</f>
        <v>7106</v>
      </c>
      <c r="C36" s="128">
        <f>B36/$B$10</f>
        <v>9.2072870507139346E-2</v>
      </c>
      <c r="D36" s="121">
        <f>SUMIF('2026累計'!D:D,ブランド別実績!A36,'2026累計'!M:M)</f>
        <v>4816768</v>
      </c>
      <c r="E36" s="127">
        <f t="shared" ref="E36:E39" si="9">D36/$D$10</f>
        <v>7.2574317865359492E-2</v>
      </c>
    </row>
    <row r="37" spans="1:5">
      <c r="A37" s="100" t="s">
        <v>920</v>
      </c>
      <c r="B37" s="121">
        <f>SUMIF('2026累計'!D:D,ブランド別実績!A37,'2026累計'!L:L)</f>
        <v>1675</v>
      </c>
      <c r="C37" s="129">
        <f t="shared" ref="C37:C39" si="10">B37/$B$10</f>
        <v>2.1703076006115731E-2</v>
      </c>
      <c r="D37" s="121">
        <f>SUMIF('2026累計'!D:D,ブランド別実績!A37,'2026累計'!M:M)</f>
        <v>1126367</v>
      </c>
      <c r="E37" s="127">
        <f t="shared" si="9"/>
        <v>1.6970988989100447E-2</v>
      </c>
    </row>
    <row r="38" spans="1:5">
      <c r="A38" s="100" t="s">
        <v>1141</v>
      </c>
      <c r="B38" s="121">
        <f>SUMIF('2026累計'!D:D,ブランド別実績!A38,'2026累計'!L:L)</f>
        <v>37847</v>
      </c>
      <c r="C38" s="129">
        <f t="shared" si="10"/>
        <v>0.49038586125579831</v>
      </c>
      <c r="D38" s="121">
        <f>SUMIF('2026累計'!D:D,ブランド別実績!A38,'2026累計'!M:M)</f>
        <v>26898630</v>
      </c>
      <c r="E38" s="127">
        <f t="shared" si="9"/>
        <v>0.40528207373963099</v>
      </c>
    </row>
    <row r="39" spans="1:5">
      <c r="A39" s="100" t="s">
        <v>1135</v>
      </c>
      <c r="B39" s="121">
        <f>SUMIF('2026累計'!D:D,ブランド別実績!A39,'2026累計'!L:L)</f>
        <v>4070</v>
      </c>
      <c r="C39" s="129">
        <f t="shared" si="10"/>
        <v>5.2735235429785692E-2</v>
      </c>
      <c r="D39" s="121">
        <f>SUMIF('2026累計'!D:D,ブランド別実績!A39,'2026累計'!M:M)</f>
        <v>2580050</v>
      </c>
      <c r="E39" s="127">
        <f t="shared" si="9"/>
        <v>3.887365320657353E-2</v>
      </c>
    </row>
    <row r="40" spans="1:5">
      <c r="A40" s="100" t="s">
        <v>922</v>
      </c>
      <c r="B40" s="121">
        <f>SUMIF('2026累計'!D:D,ブランド別実績!A40,'2026累計'!L:L)</f>
        <v>12206</v>
      </c>
      <c r="C40" s="129">
        <f>B40/$B$10</f>
        <v>0.15815387804814843</v>
      </c>
      <c r="D40" s="121">
        <f>SUMIF('2026累計'!D:D,ブランド別実績!A40,'2026累計'!M:M)</f>
        <v>26945490</v>
      </c>
      <c r="E40" s="127">
        <f>D40/$D$10</f>
        <v>0.40598811408352353</v>
      </c>
    </row>
    <row r="41" spans="1:5">
      <c r="A41" s="100" t="s">
        <v>1138</v>
      </c>
      <c r="B41" s="121">
        <f>SUMIF('2026累計'!D:D,ブランド別実績!A41,'2026累計'!L:L)</f>
        <v>2066</v>
      </c>
      <c r="C41" s="129">
        <f t="shared" ref="C41:C43" si="11">B41/$B$10</f>
        <v>2.6769286584259762E-2</v>
      </c>
      <c r="D41" s="121">
        <f>SUMIF('2026累計'!D:D,ブランド別実績!A41,'2026累計'!M:M)</f>
        <v>4831761</v>
      </c>
      <c r="E41" s="127">
        <f t="shared" ref="E41:E43" si="12">D41/$D$10</f>
        <v>7.2800217627971134E-2</v>
      </c>
    </row>
    <row r="42" spans="1:5">
      <c r="A42" s="100" t="s">
        <v>1129</v>
      </c>
      <c r="B42" s="121">
        <f>SUMIF('2026累計'!D:D,ブランド別実績!A42,'2026累計'!L:L)</f>
        <v>36</v>
      </c>
      <c r="C42" s="129">
        <f t="shared" si="11"/>
        <v>4.6645417087771128E-4</v>
      </c>
      <c r="D42" s="121">
        <f>SUMIF('2026累計'!D:D,ブランド別実績!A42,'2026累計'!M:M)</f>
        <v>87450</v>
      </c>
      <c r="E42" s="127">
        <f t="shared" si="12"/>
        <v>1.3176105009262825E-3</v>
      </c>
    </row>
    <row r="43" spans="1:5">
      <c r="A43" s="126" t="s">
        <v>0</v>
      </c>
      <c r="B43" s="123">
        <f>SUM(B36:B42)</f>
        <v>65006</v>
      </c>
      <c r="C43" s="130">
        <f t="shared" si="11"/>
        <v>0.84228666200212499</v>
      </c>
      <c r="D43" s="123">
        <f>SUM(D36:D42)</f>
        <v>67286516</v>
      </c>
      <c r="E43" s="131">
        <f t="shared" si="12"/>
        <v>1.0138069760130854</v>
      </c>
    </row>
    <row r="45" spans="1:5">
      <c r="A45" s="134" t="s">
        <v>1264</v>
      </c>
    </row>
    <row r="46" spans="1:5">
      <c r="A46" s="124" t="s">
        <v>923</v>
      </c>
      <c r="B46" s="133" t="s">
        <v>1</v>
      </c>
      <c r="C46" s="132" t="s">
        <v>889</v>
      </c>
      <c r="D46" s="125" t="s">
        <v>2</v>
      </c>
      <c r="E46" s="125" t="s">
        <v>889</v>
      </c>
    </row>
    <row r="47" spans="1:5">
      <c r="A47" s="100" t="s">
        <v>924</v>
      </c>
      <c r="B47" s="121">
        <f>SUMIF('2026累計'!D:D,ブランド別実績!A47,'2026累計'!N:N)</f>
        <v>5928</v>
      </c>
      <c r="C47" s="128">
        <f>B47/$B$10</f>
        <v>7.6809453471196457E-2</v>
      </c>
      <c r="D47" s="121">
        <f>SUMIF('2026累計'!D:D,ブランド別実績!A47,'2026累計'!O:O)</f>
        <v>4213715</v>
      </c>
      <c r="E47" s="127">
        <f t="shared" ref="E47:E50" si="13">D47/$D$10</f>
        <v>6.3488108998405832E-2</v>
      </c>
    </row>
    <row r="48" spans="1:5">
      <c r="A48" s="100" t="s">
        <v>920</v>
      </c>
      <c r="B48" s="121">
        <f>SUMIF('2026累計'!D:D,ブランド別実績!A48,'2026累計'!N:N)</f>
        <v>2151</v>
      </c>
      <c r="C48" s="129">
        <f t="shared" ref="C48:C50" si="14">B48/$B$10</f>
        <v>2.7870636709943247E-2</v>
      </c>
      <c r="D48" s="121">
        <f>SUMIF('2026累計'!D:D,ブランド別実績!A48,'2026累計'!O:O)</f>
        <v>1308780</v>
      </c>
      <c r="E48" s="127">
        <f t="shared" si="13"/>
        <v>1.971940847801372E-2</v>
      </c>
    </row>
    <row r="49" spans="1:5">
      <c r="A49" s="100" t="s">
        <v>1141</v>
      </c>
      <c r="B49" s="121">
        <f>SUMIF('2026累計'!D:D,ブランド別実績!A49,'2026累計'!N:N)</f>
        <v>89989</v>
      </c>
      <c r="C49" s="129">
        <f t="shared" si="14"/>
        <v>1.1659928995309543</v>
      </c>
      <c r="D49" s="121">
        <f>SUMIF('2026累計'!D:D,ブランド別実績!A49,'2026累計'!O:O)</f>
        <v>63660927</v>
      </c>
      <c r="E49" s="127">
        <f t="shared" si="13"/>
        <v>0.95918017054204119</v>
      </c>
    </row>
    <row r="50" spans="1:5">
      <c r="A50" s="100" t="s">
        <v>1135</v>
      </c>
      <c r="B50" s="121">
        <f>SUMIF('2026累計'!D:D,ブランド別実績!A50,'2026累計'!N:N)</f>
        <v>1720</v>
      </c>
      <c r="C50" s="129">
        <f t="shared" si="14"/>
        <v>2.228614371971287E-2</v>
      </c>
      <c r="D50" s="121">
        <f>SUMIF('2026累計'!D:D,ブランド別実績!A50,'2026累計'!O:O)</f>
        <v>861300</v>
      </c>
      <c r="E50" s="127">
        <f t="shared" si="13"/>
        <v>1.2977220405349424E-2</v>
      </c>
    </row>
    <row r="51" spans="1:5">
      <c r="A51" s="100" t="s">
        <v>922</v>
      </c>
      <c r="B51" s="121">
        <f>SUMIF('2026累計'!D:D,ブランド別実績!A51,'2026累計'!N:N)</f>
        <v>4396</v>
      </c>
      <c r="C51" s="129">
        <f>B51/$B$10</f>
        <v>5.6959237088289406E-2</v>
      </c>
      <c r="D51" s="121">
        <f>SUMIF('2026累計'!D:D,ブランド別実績!A51,'2026累計'!O:O)</f>
        <v>12168970</v>
      </c>
      <c r="E51" s="127">
        <f>D51/$D$10</f>
        <v>0.18335005897606521</v>
      </c>
    </row>
    <row r="52" spans="1:5">
      <c r="A52" s="100" t="s">
        <v>1138</v>
      </c>
      <c r="B52" s="121">
        <f>SUMIF('2026累計'!D:D,ブランド別実績!A52,'2026累計'!N:N)</f>
        <v>3209</v>
      </c>
      <c r="C52" s="129">
        <f t="shared" ref="C52:C54" si="15">B52/$B$10</f>
        <v>4.1579206509627098E-2</v>
      </c>
      <c r="D52" s="121">
        <f>SUMIF('2026累計'!D:D,ブランド別実績!A52,'2026累計'!O:O)</f>
        <v>6723783</v>
      </c>
      <c r="E52" s="127">
        <f t="shared" ref="E52:E54" si="16">D52/$D$10</f>
        <v>0.10130734232989848</v>
      </c>
    </row>
    <row r="53" spans="1:5">
      <c r="A53" s="100" t="s">
        <v>1129</v>
      </c>
      <c r="B53" s="121">
        <f>SUMIF('2026累計'!D:D,ブランド別実績!A53,'2026累計'!N:N)</f>
        <v>404</v>
      </c>
      <c r="C53" s="129">
        <f t="shared" si="15"/>
        <v>5.234652362072093E-3</v>
      </c>
      <c r="D53" s="121">
        <f>SUMIF('2026累計'!D:D,ブランド別実績!A53,'2026累計'!O:O)</f>
        <v>917840</v>
      </c>
      <c r="E53" s="127">
        <f t="shared" si="16"/>
        <v>1.3829109458778492E-2</v>
      </c>
    </row>
    <row r="54" spans="1:5">
      <c r="A54" s="126" t="s">
        <v>0</v>
      </c>
      <c r="B54" s="123">
        <f>SUM(B47:B53)</f>
        <v>107797</v>
      </c>
      <c r="C54" s="130">
        <f t="shared" si="15"/>
        <v>1.3967322293917956</v>
      </c>
      <c r="D54" s="123">
        <f>SUM(D47:D53)</f>
        <v>89855315</v>
      </c>
      <c r="E54" s="131">
        <f t="shared" si="16"/>
        <v>1.3538514191885522</v>
      </c>
    </row>
    <row r="206" spans="17:17">
      <c r="Q206" s="134">
        <f>SUM(Q207:Q213)</f>
        <v>0</v>
      </c>
    </row>
  </sheetData>
  <phoneticPr fontId="3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8"/>
  <sheetViews>
    <sheetView zoomScale="80" zoomScaleNormal="80" workbookViewId="0">
      <selection activeCell="Q25" sqref="Q25"/>
    </sheetView>
  </sheetViews>
  <sheetFormatPr defaultRowHeight="12"/>
  <cols>
    <col min="1" max="1" width="19.26953125" style="1" customWidth="1"/>
    <col min="2" max="2" width="8.6328125" style="3" customWidth="1"/>
    <col min="3" max="14" width="8.6328125" style="1" customWidth="1"/>
    <col min="15" max="15" width="10.36328125" style="1" customWidth="1"/>
    <col min="16" max="16384" width="8.7265625" style="1"/>
  </cols>
  <sheetData>
    <row r="1" spans="1:16">
      <c r="A1" s="85"/>
      <c r="B1" s="86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 t="s">
        <v>929</v>
      </c>
      <c r="P1" s="85"/>
    </row>
    <row r="2" spans="1:16" ht="14.5" customHeight="1">
      <c r="A2" s="159" t="s">
        <v>928</v>
      </c>
      <c r="B2" s="161">
        <v>2024</v>
      </c>
      <c r="C2" s="161"/>
      <c r="D2" s="161"/>
      <c r="E2" s="161"/>
      <c r="F2" s="161"/>
      <c r="G2" s="161"/>
      <c r="H2" s="161">
        <v>2025</v>
      </c>
      <c r="I2" s="161"/>
      <c r="J2" s="161"/>
      <c r="K2" s="161"/>
      <c r="L2" s="161"/>
      <c r="M2" s="161"/>
      <c r="N2" s="161"/>
      <c r="O2" s="160" t="s">
        <v>0</v>
      </c>
      <c r="P2" s="160"/>
    </row>
    <row r="3" spans="1:16" ht="15.5" customHeight="1">
      <c r="A3" s="159"/>
      <c r="B3" s="77" t="s">
        <v>876</v>
      </c>
      <c r="C3" s="77" t="s">
        <v>877</v>
      </c>
      <c r="D3" s="77" t="s">
        <v>878</v>
      </c>
      <c r="E3" s="77" t="s">
        <v>879</v>
      </c>
      <c r="F3" s="77" t="s">
        <v>880</v>
      </c>
      <c r="G3" s="77" t="s">
        <v>881</v>
      </c>
      <c r="H3" s="77" t="s">
        <v>882</v>
      </c>
      <c r="I3" s="77" t="s">
        <v>883</v>
      </c>
      <c r="J3" s="77" t="s">
        <v>884</v>
      </c>
      <c r="K3" s="77" t="s">
        <v>885</v>
      </c>
      <c r="L3" s="77" t="s">
        <v>886</v>
      </c>
      <c r="M3" s="77" t="s">
        <v>887</v>
      </c>
      <c r="N3" s="77" t="s">
        <v>875</v>
      </c>
      <c r="O3" s="84" t="s">
        <v>930</v>
      </c>
      <c r="P3" s="84" t="s">
        <v>889</v>
      </c>
    </row>
    <row r="4" spans="1:16" ht="15.5" customHeight="1">
      <c r="A4" s="74" t="s">
        <v>946</v>
      </c>
      <c r="B4" s="80">
        <v>0</v>
      </c>
      <c r="C4" s="88">
        <v>501.6</v>
      </c>
      <c r="D4" s="88">
        <v>128.69999999999999</v>
      </c>
      <c r="E4" s="88">
        <v>120.34</v>
      </c>
      <c r="F4" s="88">
        <v>729.96</v>
      </c>
      <c r="G4" s="88">
        <v>126.5</v>
      </c>
      <c r="H4" s="88">
        <v>2071.08</v>
      </c>
      <c r="I4" s="88">
        <v>2502.94</v>
      </c>
      <c r="J4" s="88">
        <v>5663.68</v>
      </c>
      <c r="K4" s="88">
        <v>11088.88</v>
      </c>
      <c r="L4" s="88">
        <v>21080.84</v>
      </c>
      <c r="M4" s="88">
        <v>11433.306</v>
      </c>
      <c r="N4" s="88">
        <v>29359.901999999998</v>
      </c>
      <c r="O4" s="89">
        <f t="shared" ref="O4:O9" si="0">SUM(B4:N4)</f>
        <v>84807.728000000003</v>
      </c>
      <c r="P4" s="87">
        <f>O4/$O$10</f>
        <v>0.3121871977446059</v>
      </c>
    </row>
    <row r="5" spans="1:16" ht="15" customHeight="1">
      <c r="A5" s="74" t="s">
        <v>945</v>
      </c>
      <c r="B5" s="79">
        <v>0</v>
      </c>
      <c r="C5" s="81">
        <v>20.350000000000001</v>
      </c>
      <c r="D5" s="82">
        <v>14.85</v>
      </c>
      <c r="E5" s="82">
        <v>0</v>
      </c>
      <c r="F5" s="82">
        <v>273.24</v>
      </c>
      <c r="G5" s="82">
        <v>0</v>
      </c>
      <c r="H5" s="82">
        <v>1438.8</v>
      </c>
      <c r="I5" s="82">
        <v>1485</v>
      </c>
      <c r="J5" s="82">
        <v>70.400000000000006</v>
      </c>
      <c r="K5" s="82">
        <v>1078</v>
      </c>
      <c r="L5" s="82">
        <v>24.75</v>
      </c>
      <c r="M5" s="82">
        <v>0</v>
      </c>
      <c r="N5" s="82">
        <v>1889.25</v>
      </c>
      <c r="O5" s="82">
        <f t="shared" si="0"/>
        <v>6294.6399999999994</v>
      </c>
      <c r="P5" s="41">
        <f>O5/$O$10</f>
        <v>2.3171308426174389E-2</v>
      </c>
    </row>
    <row r="6" spans="1:16" s="22" customFormat="1" ht="15" customHeight="1">
      <c r="A6" s="75" t="s">
        <v>919</v>
      </c>
      <c r="B6" s="79">
        <v>73.48</v>
      </c>
      <c r="C6" s="81">
        <v>451.78</v>
      </c>
      <c r="D6" s="83">
        <v>290.89499999999998</v>
      </c>
      <c r="E6" s="83">
        <v>564.44000000000005</v>
      </c>
      <c r="F6" s="83">
        <v>967.005</v>
      </c>
      <c r="G6" s="83">
        <v>324.64999999999998</v>
      </c>
      <c r="H6" s="83">
        <v>2021.557</v>
      </c>
      <c r="I6" s="83">
        <v>474.81299999999999</v>
      </c>
      <c r="J6" s="83">
        <v>420.93200000000002</v>
      </c>
      <c r="K6" s="83">
        <v>955.09400000000005</v>
      </c>
      <c r="L6" s="83">
        <v>1416.2639999999999</v>
      </c>
      <c r="M6" s="83">
        <v>230.40600000000001</v>
      </c>
      <c r="N6" s="83">
        <v>1344.808</v>
      </c>
      <c r="O6" s="82">
        <f t="shared" si="0"/>
        <v>9536.1239999999998</v>
      </c>
      <c r="P6" s="41">
        <f t="shared" ref="P6:P10" si="1">O6/$O$10</f>
        <v>3.5103591372063189E-2</v>
      </c>
    </row>
    <row r="7" spans="1:16" s="22" customFormat="1" ht="15" customHeight="1">
      <c r="A7" s="75" t="s">
        <v>921</v>
      </c>
      <c r="B7" s="79">
        <v>528</v>
      </c>
      <c r="C7" s="81">
        <v>1771.2750000000001</v>
      </c>
      <c r="D7" s="83">
        <v>953.15</v>
      </c>
      <c r="E7" s="83">
        <v>1702.25</v>
      </c>
      <c r="F7" s="83">
        <v>4365.9549999999999</v>
      </c>
      <c r="G7" s="83">
        <v>5857.665</v>
      </c>
      <c r="H7" s="83">
        <v>19166.455000000002</v>
      </c>
      <c r="I7" s="83">
        <v>12896.51</v>
      </c>
      <c r="J7" s="83">
        <v>7596.7650000000003</v>
      </c>
      <c r="K7" s="83">
        <v>11935.165000000001</v>
      </c>
      <c r="L7" s="83">
        <v>34265.879999999997</v>
      </c>
      <c r="M7" s="83">
        <v>6872.69</v>
      </c>
      <c r="N7" s="83">
        <v>13735.424999999999</v>
      </c>
      <c r="O7" s="82">
        <f>SUM(B7:N7)</f>
        <v>121647.18500000001</v>
      </c>
      <c r="P7" s="41">
        <f t="shared" si="1"/>
        <v>0.44779756154615602</v>
      </c>
    </row>
    <row r="8" spans="1:16" ht="15" customHeight="1">
      <c r="A8" s="76" t="s">
        <v>925</v>
      </c>
      <c r="B8" s="79">
        <v>0</v>
      </c>
      <c r="C8" s="81">
        <v>0</v>
      </c>
      <c r="D8" s="82">
        <v>0</v>
      </c>
      <c r="E8" s="82">
        <v>0</v>
      </c>
      <c r="F8" s="82">
        <v>0</v>
      </c>
      <c r="G8" s="82">
        <v>0</v>
      </c>
      <c r="H8" s="82">
        <v>0</v>
      </c>
      <c r="I8" s="82">
        <v>0</v>
      </c>
      <c r="J8" s="82">
        <v>0</v>
      </c>
      <c r="K8" s="82">
        <v>0</v>
      </c>
      <c r="L8" s="82">
        <v>6288.4250000000002</v>
      </c>
      <c r="M8" s="82">
        <v>136.4</v>
      </c>
      <c r="N8" s="82">
        <v>1681.68</v>
      </c>
      <c r="O8" s="82">
        <f t="shared" si="0"/>
        <v>8106.5050000000001</v>
      </c>
      <c r="P8" s="41">
        <f t="shared" si="1"/>
        <v>2.9840996087675362E-2</v>
      </c>
    </row>
    <row r="9" spans="1:16" ht="15" customHeight="1">
      <c r="A9" s="40" t="s">
        <v>924</v>
      </c>
      <c r="B9" s="79">
        <v>2357.41</v>
      </c>
      <c r="C9" s="81">
        <v>1181.395</v>
      </c>
      <c r="D9" s="82">
        <v>1575.71</v>
      </c>
      <c r="E9" s="82">
        <v>3389.5070000000001</v>
      </c>
      <c r="F9" s="82">
        <v>4320.2830000000004</v>
      </c>
      <c r="G9" s="82">
        <v>1056.165</v>
      </c>
      <c r="H9" s="82">
        <v>6192.7139999999999</v>
      </c>
      <c r="I9" s="82">
        <v>6153.2370000000001</v>
      </c>
      <c r="J9" s="82">
        <v>3436.32</v>
      </c>
      <c r="K9" s="82">
        <v>3260.9140000000002</v>
      </c>
      <c r="L9" s="82">
        <v>3393.4989999999998</v>
      </c>
      <c r="M9" s="82">
        <v>2465.5250000000001</v>
      </c>
      <c r="N9" s="82">
        <v>2481.788</v>
      </c>
      <c r="O9" s="82">
        <f t="shared" si="0"/>
        <v>41264.466999999997</v>
      </c>
      <c r="P9" s="41">
        <f t="shared" si="1"/>
        <v>0.15189934482332509</v>
      </c>
    </row>
    <row r="10" spans="1:16" ht="20.5" customHeight="1">
      <c r="A10" s="78" t="s">
        <v>905</v>
      </c>
      <c r="B10" s="80">
        <f>SUM(B4:B9)</f>
        <v>2958.89</v>
      </c>
      <c r="C10" s="80">
        <f t="shared" ref="C10:N10" si="2">SUM(C4:C9)</f>
        <v>3926.4</v>
      </c>
      <c r="D10" s="80">
        <f t="shared" si="2"/>
        <v>2963.3049999999998</v>
      </c>
      <c r="E10" s="80">
        <f t="shared" si="2"/>
        <v>5776.5370000000003</v>
      </c>
      <c r="F10" s="80">
        <f t="shared" si="2"/>
        <v>10656.442999999999</v>
      </c>
      <c r="G10" s="80">
        <f t="shared" si="2"/>
        <v>7364.98</v>
      </c>
      <c r="H10" s="80">
        <f t="shared" si="2"/>
        <v>30890.606</v>
      </c>
      <c r="I10" s="80">
        <f t="shared" si="2"/>
        <v>23512.5</v>
      </c>
      <c r="J10" s="80">
        <f t="shared" si="2"/>
        <v>17188.097000000002</v>
      </c>
      <c r="K10" s="80">
        <f t="shared" si="2"/>
        <v>28318.053</v>
      </c>
      <c r="L10" s="80">
        <f t="shared" si="2"/>
        <v>66469.657999999996</v>
      </c>
      <c r="M10" s="80">
        <f t="shared" si="2"/>
        <v>21138.327000000005</v>
      </c>
      <c r="N10" s="80">
        <f t="shared" si="2"/>
        <v>50492.852999999996</v>
      </c>
      <c r="O10" s="80">
        <f>SUM(O4:O9)</f>
        <v>271656.64900000003</v>
      </c>
      <c r="P10" s="41">
        <f t="shared" si="1"/>
        <v>1</v>
      </c>
    </row>
    <row r="14" spans="1:16">
      <c r="C14" s="1">
        <v>501600</v>
      </c>
      <c r="D14" s="1">
        <v>128700</v>
      </c>
      <c r="E14" s="1">
        <v>120340</v>
      </c>
      <c r="F14" s="1">
        <v>729960</v>
      </c>
      <c r="G14" s="1">
        <v>126500</v>
      </c>
      <c r="H14" s="1">
        <v>2071080</v>
      </c>
      <c r="I14" s="1">
        <v>2502940</v>
      </c>
      <c r="J14" s="1">
        <v>5663680</v>
      </c>
      <c r="K14" s="1">
        <v>11088880</v>
      </c>
      <c r="L14" s="1">
        <v>21080840</v>
      </c>
      <c r="M14" s="1">
        <v>11433306</v>
      </c>
      <c r="N14" s="1">
        <v>29359902</v>
      </c>
    </row>
    <row r="15" spans="1:16">
      <c r="C15" s="1">
        <v>20350</v>
      </c>
      <c r="D15" s="1">
        <v>14850</v>
      </c>
      <c r="F15" s="1">
        <v>273240</v>
      </c>
      <c r="H15" s="1">
        <v>1438800</v>
      </c>
      <c r="I15" s="1">
        <v>1485000</v>
      </c>
      <c r="J15" s="1">
        <v>70400</v>
      </c>
      <c r="K15" s="1">
        <v>1078000</v>
      </c>
      <c r="L15" s="1">
        <v>24750</v>
      </c>
      <c r="N15" s="1">
        <v>1889250</v>
      </c>
    </row>
    <row r="17" spans="3:15">
      <c r="C17" s="1">
        <f>C14/1000</f>
        <v>501.6</v>
      </c>
      <c r="D17" s="1">
        <f t="shared" ref="D17:N18" si="3">D14/1000</f>
        <v>128.69999999999999</v>
      </c>
      <c r="E17" s="1">
        <f t="shared" si="3"/>
        <v>120.34</v>
      </c>
      <c r="F17" s="1">
        <f t="shared" si="3"/>
        <v>729.96</v>
      </c>
      <c r="G17" s="1">
        <f t="shared" si="3"/>
        <v>126.5</v>
      </c>
      <c r="H17" s="1">
        <f t="shared" si="3"/>
        <v>2071.08</v>
      </c>
      <c r="I17" s="1">
        <f t="shared" si="3"/>
        <v>2502.94</v>
      </c>
      <c r="J17" s="1">
        <f t="shared" si="3"/>
        <v>5663.68</v>
      </c>
      <c r="K17" s="1">
        <f t="shared" si="3"/>
        <v>11088.88</v>
      </c>
      <c r="L17" s="1">
        <f t="shared" si="3"/>
        <v>21080.84</v>
      </c>
      <c r="M17" s="1">
        <f t="shared" si="3"/>
        <v>11433.306</v>
      </c>
      <c r="N17" s="1">
        <f t="shared" si="3"/>
        <v>29359.901999999998</v>
      </c>
      <c r="O17" s="1">
        <f>SUM(C17:N17)</f>
        <v>84807.728000000003</v>
      </c>
    </row>
    <row r="18" spans="3:15">
      <c r="C18" s="1">
        <f>C15/1000</f>
        <v>20.350000000000001</v>
      </c>
      <c r="D18" s="1">
        <f t="shared" si="3"/>
        <v>14.85</v>
      </c>
      <c r="E18" s="1">
        <f t="shared" si="3"/>
        <v>0</v>
      </c>
      <c r="F18" s="1">
        <f t="shared" si="3"/>
        <v>273.24</v>
      </c>
      <c r="G18" s="1">
        <f t="shared" si="3"/>
        <v>0</v>
      </c>
      <c r="H18" s="1">
        <f t="shared" si="3"/>
        <v>1438.8</v>
      </c>
      <c r="I18" s="1">
        <f t="shared" si="3"/>
        <v>1485</v>
      </c>
      <c r="J18" s="1">
        <f t="shared" si="3"/>
        <v>70.400000000000006</v>
      </c>
      <c r="K18" s="1">
        <f t="shared" si="3"/>
        <v>1078</v>
      </c>
      <c r="L18" s="1">
        <f t="shared" si="3"/>
        <v>24.75</v>
      </c>
      <c r="M18" s="1">
        <f t="shared" si="3"/>
        <v>0</v>
      </c>
      <c r="N18" s="1">
        <f t="shared" si="3"/>
        <v>1889.25</v>
      </c>
      <c r="O18" s="1">
        <f>SUM(C18:N18)</f>
        <v>6294.6399999999994</v>
      </c>
    </row>
  </sheetData>
  <mergeCells count="4">
    <mergeCell ref="A2:A3"/>
    <mergeCell ref="O2:P2"/>
    <mergeCell ref="B2:G2"/>
    <mergeCell ref="H2:N2"/>
  </mergeCells>
  <phoneticPr fontId="3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5"/>
  <sheetViews>
    <sheetView workbookViewId="0">
      <selection activeCell="Q25" sqref="Q25"/>
    </sheetView>
  </sheetViews>
  <sheetFormatPr defaultRowHeight="13"/>
  <cols>
    <col min="1" max="1" width="3.26953125" customWidth="1"/>
    <col min="2" max="2" width="9.08984375" customWidth="1"/>
    <col min="3" max="3" width="35.54296875" customWidth="1"/>
    <col min="4" max="4" width="12" customWidth="1"/>
    <col min="5" max="5" width="6.7265625" customWidth="1"/>
    <col min="6" max="6" width="13.453125" customWidth="1"/>
    <col min="7" max="7" width="6.7265625" customWidth="1"/>
  </cols>
  <sheetData>
    <row r="1" spans="1:7">
      <c r="A1" s="162" t="s">
        <v>784</v>
      </c>
      <c r="B1" s="162" t="s">
        <v>3</v>
      </c>
      <c r="C1" s="162" t="s">
        <v>4</v>
      </c>
      <c r="D1" s="164" t="s">
        <v>1079</v>
      </c>
      <c r="E1" s="165"/>
      <c r="F1" s="165"/>
      <c r="G1" s="166"/>
    </row>
    <row r="2" spans="1:7">
      <c r="A2" s="162"/>
      <c r="B2" s="162"/>
      <c r="C2" s="162"/>
      <c r="D2" s="52" t="s">
        <v>904</v>
      </c>
      <c r="E2" s="52" t="s">
        <v>889</v>
      </c>
      <c r="F2" s="52" t="s">
        <v>907</v>
      </c>
      <c r="G2" s="52" t="s">
        <v>889</v>
      </c>
    </row>
    <row r="3" spans="1:7">
      <c r="A3" s="45">
        <v>1</v>
      </c>
      <c r="B3" s="45" t="s">
        <v>609</v>
      </c>
      <c r="C3" s="45" t="s">
        <v>610</v>
      </c>
      <c r="D3" s="50">
        <v>165812</v>
      </c>
      <c r="E3" s="51">
        <f>D3/$D$14</f>
        <v>0.38453528632818568</v>
      </c>
      <c r="F3" s="50">
        <v>109435.92</v>
      </c>
      <c r="G3" s="51">
        <f>F3/$F$14</f>
        <v>0.24681196709820594</v>
      </c>
    </row>
    <row r="4" spans="1:7">
      <c r="A4" s="45">
        <v>2</v>
      </c>
      <c r="B4" s="45" t="s">
        <v>504</v>
      </c>
      <c r="C4" s="45" t="s">
        <v>505</v>
      </c>
      <c r="D4" s="50">
        <v>37000</v>
      </c>
      <c r="E4" s="51">
        <f t="shared" ref="E4:E14" si="0">D4/$D$14</f>
        <v>8.5806851097284101E-2</v>
      </c>
      <c r="F4" s="50">
        <v>101750</v>
      </c>
      <c r="G4" s="51">
        <f t="shared" ref="G4:G14" si="1">F4/$F$14</f>
        <v>0.22947783188776094</v>
      </c>
    </row>
    <row r="5" spans="1:7">
      <c r="A5" s="45">
        <v>3</v>
      </c>
      <c r="B5" s="45" t="s">
        <v>584</v>
      </c>
      <c r="C5" s="45" t="s">
        <v>931</v>
      </c>
      <c r="D5" s="50">
        <v>34332</v>
      </c>
      <c r="E5" s="51">
        <f t="shared" si="0"/>
        <v>7.9619481401944803E-2</v>
      </c>
      <c r="F5" s="50">
        <v>28323.9</v>
      </c>
      <c r="G5" s="51">
        <f t="shared" si="1"/>
        <v>6.3879185873275207E-2</v>
      </c>
    </row>
    <row r="6" spans="1:7">
      <c r="A6" s="45">
        <v>4</v>
      </c>
      <c r="B6" s="45" t="s">
        <v>932</v>
      </c>
      <c r="C6" s="45" t="s">
        <v>1031</v>
      </c>
      <c r="D6" s="50">
        <v>23462</v>
      </c>
      <c r="E6" s="51">
        <f t="shared" si="0"/>
        <v>5.4410820012012959E-2</v>
      </c>
      <c r="F6" s="50">
        <v>16259.165999999999</v>
      </c>
      <c r="G6" s="51">
        <f t="shared" si="1"/>
        <v>3.666946596543684E-2</v>
      </c>
    </row>
    <row r="7" spans="1:7">
      <c r="A7" s="45">
        <v>5</v>
      </c>
      <c r="B7" s="45" t="s">
        <v>212</v>
      </c>
      <c r="C7" s="45" t="s">
        <v>213</v>
      </c>
      <c r="D7" s="53">
        <v>18400</v>
      </c>
      <c r="E7" s="54">
        <f t="shared" si="0"/>
        <v>4.267151514027101E-2</v>
      </c>
      <c r="F7" s="50">
        <v>9108</v>
      </c>
      <c r="G7" s="51">
        <f t="shared" si="1"/>
        <v>2.0541367005736871E-2</v>
      </c>
    </row>
    <row r="8" spans="1:7">
      <c r="A8" s="45">
        <v>6</v>
      </c>
      <c r="B8" s="45" t="s">
        <v>675</v>
      </c>
      <c r="C8" s="45" t="s">
        <v>676</v>
      </c>
      <c r="D8" s="50">
        <v>7800</v>
      </c>
      <c r="E8" s="51">
        <f t="shared" si="0"/>
        <v>1.8089011852940973E-2</v>
      </c>
      <c r="F8" s="50">
        <v>5148</v>
      </c>
      <c r="G8" s="51">
        <f t="shared" si="1"/>
        <v>1.1610337872807797E-2</v>
      </c>
    </row>
    <row r="9" spans="1:7">
      <c r="A9" s="45">
        <v>7</v>
      </c>
      <c r="B9" s="45" t="s">
        <v>933</v>
      </c>
      <c r="C9" s="45" t="s">
        <v>934</v>
      </c>
      <c r="D9" s="50">
        <v>6700</v>
      </c>
      <c r="E9" s="51">
        <f t="shared" si="0"/>
        <v>1.5537997360859552E-2</v>
      </c>
      <c r="F9" s="50">
        <v>4422</v>
      </c>
      <c r="G9" s="51">
        <f t="shared" si="1"/>
        <v>9.9729825317707993E-3</v>
      </c>
    </row>
    <row r="10" spans="1:7">
      <c r="A10" s="45">
        <v>8</v>
      </c>
      <c r="B10" s="45" t="s">
        <v>935</v>
      </c>
      <c r="C10" s="45" t="s">
        <v>936</v>
      </c>
      <c r="D10" s="50">
        <v>6456</v>
      </c>
      <c r="E10" s="51">
        <f t="shared" si="0"/>
        <v>1.4972135964434219E-2</v>
      </c>
      <c r="F10" s="50">
        <v>4260.96</v>
      </c>
      <c r="G10" s="51">
        <f t="shared" si="1"/>
        <v>9.6097873470316845E-3</v>
      </c>
    </row>
    <row r="11" spans="1:7">
      <c r="A11" s="45">
        <v>9</v>
      </c>
      <c r="B11" s="45" t="s">
        <v>442</v>
      </c>
      <c r="C11" s="45" t="s">
        <v>443</v>
      </c>
      <c r="D11" s="50">
        <v>6357</v>
      </c>
      <c r="E11" s="51">
        <f t="shared" si="0"/>
        <v>1.4742544660146892E-2</v>
      </c>
      <c r="F11" s="50">
        <v>4545.2550000000001</v>
      </c>
      <c r="G11" s="51">
        <f t="shared" si="1"/>
        <v>1.0250960813533216E-2</v>
      </c>
    </row>
    <row r="12" spans="1:7">
      <c r="A12" s="45">
        <v>10</v>
      </c>
      <c r="B12" s="45" t="s">
        <v>1078</v>
      </c>
      <c r="C12" s="45" t="s">
        <v>1033</v>
      </c>
      <c r="D12" s="50">
        <v>5698</v>
      </c>
      <c r="E12" s="51">
        <f t="shared" si="0"/>
        <v>1.321425506898175E-2</v>
      </c>
      <c r="F12" s="50">
        <v>5641.02</v>
      </c>
      <c r="G12" s="51">
        <f t="shared" si="1"/>
        <v>1.2722250999857467E-2</v>
      </c>
    </row>
    <row r="13" spans="1:7">
      <c r="A13" s="45">
        <v>11</v>
      </c>
      <c r="B13" s="45" t="s">
        <v>906</v>
      </c>
      <c r="C13" s="45"/>
      <c r="D13" s="50">
        <f>D14-SUM(D3:D12)</f>
        <v>119184</v>
      </c>
      <c r="E13" s="51">
        <f t="shared" si="0"/>
        <v>0.27640010111293806</v>
      </c>
      <c r="F13" s="50">
        <f>F14-SUM(F3:F12)</f>
        <v>154503.728</v>
      </c>
      <c r="G13" s="51">
        <f t="shared" si="1"/>
        <v>0.34845386260458322</v>
      </c>
    </row>
    <row r="14" spans="1:7">
      <c r="A14" s="163" t="s">
        <v>905</v>
      </c>
      <c r="B14" s="163"/>
      <c r="C14" s="55" t="s">
        <v>0</v>
      </c>
      <c r="D14" s="55">
        <v>431201</v>
      </c>
      <c r="E14" s="56">
        <f t="shared" si="0"/>
        <v>1</v>
      </c>
      <c r="F14" s="55">
        <v>443397.94900000002</v>
      </c>
      <c r="G14" s="56">
        <f t="shared" si="1"/>
        <v>1</v>
      </c>
    </row>
    <row r="16" spans="1:7">
      <c r="G16" s="90"/>
    </row>
    <row r="17" spans="7:7">
      <c r="G17" s="90"/>
    </row>
    <row r="18" spans="7:7">
      <c r="G18" s="90"/>
    </row>
    <row r="19" spans="7:7">
      <c r="G19" s="90"/>
    </row>
    <row r="20" spans="7:7">
      <c r="G20" s="90"/>
    </row>
    <row r="21" spans="7:7">
      <c r="G21" s="90"/>
    </row>
    <row r="22" spans="7:7">
      <c r="G22" s="90"/>
    </row>
    <row r="23" spans="7:7">
      <c r="G23" s="90"/>
    </row>
    <row r="24" spans="7:7">
      <c r="G24" s="90"/>
    </row>
    <row r="25" spans="7:7">
      <c r="G25" s="90"/>
    </row>
  </sheetData>
  <mergeCells count="5">
    <mergeCell ref="A1:A2"/>
    <mergeCell ref="B1:B2"/>
    <mergeCell ref="C1:C2"/>
    <mergeCell ref="A14:B14"/>
    <mergeCell ref="D1:G1"/>
  </mergeCells>
  <phoneticPr fontId="3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7"/>
  <sheetViews>
    <sheetView zoomScale="80" zoomScaleNormal="80" workbookViewId="0">
      <selection activeCell="Q25" sqref="Q25"/>
    </sheetView>
  </sheetViews>
  <sheetFormatPr defaultRowHeight="12"/>
  <cols>
    <col min="1" max="1" width="14.1796875" style="1" customWidth="1"/>
    <col min="2" max="14" width="8.1796875" style="2" customWidth="1"/>
    <col min="15" max="15" width="9.90625" style="3" customWidth="1"/>
    <col min="16" max="16" width="8.7265625" style="1"/>
    <col min="17" max="17" width="8.7265625" style="1" customWidth="1"/>
    <col min="18" max="16384" width="8.7265625" style="1"/>
  </cols>
  <sheetData>
    <row r="1" spans="1:15">
      <c r="N1" s="3"/>
    </row>
    <row r="2" spans="1:15" ht="14.5" customHeight="1">
      <c r="A2" s="167" t="s">
        <v>892</v>
      </c>
      <c r="B2" s="161">
        <v>2024</v>
      </c>
      <c r="C2" s="161"/>
      <c r="D2" s="161"/>
      <c r="E2" s="161"/>
      <c r="F2" s="161"/>
      <c r="G2" s="161"/>
      <c r="H2" s="161">
        <v>2025</v>
      </c>
      <c r="I2" s="161"/>
      <c r="J2" s="161"/>
      <c r="K2" s="161"/>
      <c r="L2" s="161"/>
      <c r="M2" s="161"/>
      <c r="N2" s="161"/>
      <c r="O2" s="160" t="s">
        <v>0</v>
      </c>
    </row>
    <row r="3" spans="1:15" ht="14.5" customHeight="1">
      <c r="A3" s="168"/>
      <c r="B3" s="44" t="s">
        <v>876</v>
      </c>
      <c r="C3" s="44" t="s">
        <v>877</v>
      </c>
      <c r="D3" s="44" t="s">
        <v>878</v>
      </c>
      <c r="E3" s="44" t="s">
        <v>879</v>
      </c>
      <c r="F3" s="44" t="s">
        <v>880</v>
      </c>
      <c r="G3" s="44" t="s">
        <v>881</v>
      </c>
      <c r="H3" s="44" t="s">
        <v>882</v>
      </c>
      <c r="I3" s="44" t="s">
        <v>883</v>
      </c>
      <c r="J3" s="44" t="s">
        <v>884</v>
      </c>
      <c r="K3" s="44" t="s">
        <v>885</v>
      </c>
      <c r="L3" s="44" t="s">
        <v>886</v>
      </c>
      <c r="M3" s="44" t="s">
        <v>887</v>
      </c>
      <c r="N3" s="44" t="s">
        <v>875</v>
      </c>
      <c r="O3" s="160"/>
    </row>
    <row r="4" spans="1:15">
      <c r="A4" s="40" t="s">
        <v>890</v>
      </c>
      <c r="B4" s="45">
        <v>6619.6350000000002</v>
      </c>
      <c r="C4" s="45">
        <v>5543.8950000000004</v>
      </c>
      <c r="D4" s="45">
        <v>5423.8950000000004</v>
      </c>
      <c r="E4" s="45">
        <v>12794.087</v>
      </c>
      <c r="F4" s="45">
        <v>15671.343000000001</v>
      </c>
      <c r="G4" s="45">
        <v>7639.98</v>
      </c>
      <c r="H4" s="45">
        <v>30890.61</v>
      </c>
      <c r="I4" s="45">
        <v>23512.5</v>
      </c>
      <c r="J4" s="45">
        <v>17188.097000000002</v>
      </c>
      <c r="K4" s="45">
        <v>28318.053</v>
      </c>
      <c r="L4" s="45">
        <v>68893.672999999995</v>
      </c>
      <c r="M4" s="45">
        <v>29626.972000000002</v>
      </c>
      <c r="N4" s="45">
        <v>50492.853000000003</v>
      </c>
      <c r="O4" s="46">
        <f>SUM(B4:N4)</f>
        <v>302615.59300000005</v>
      </c>
    </row>
    <row r="5" spans="1:15" s="22" customFormat="1">
      <c r="A5" s="42" t="s">
        <v>891</v>
      </c>
      <c r="B5" s="47">
        <v>2958.89</v>
      </c>
      <c r="C5" s="47">
        <v>3926.4</v>
      </c>
      <c r="D5" s="47">
        <v>2963.3049999999998</v>
      </c>
      <c r="E5" s="47">
        <v>5776.5370000000003</v>
      </c>
      <c r="F5" s="47">
        <v>10656.442999999999</v>
      </c>
      <c r="G5" s="45">
        <v>7364.98</v>
      </c>
      <c r="H5" s="47">
        <v>30890.606</v>
      </c>
      <c r="I5" s="47">
        <v>23512.5</v>
      </c>
      <c r="J5" s="47">
        <v>17188.097000000002</v>
      </c>
      <c r="K5" s="47">
        <v>28318.053</v>
      </c>
      <c r="L5" s="47">
        <v>66469.657999999996</v>
      </c>
      <c r="M5" s="47">
        <v>21138.327000000001</v>
      </c>
      <c r="N5" s="47">
        <v>50492.853000000003</v>
      </c>
      <c r="O5" s="46">
        <v>292863.28399999999</v>
      </c>
    </row>
    <row r="6" spans="1:15" s="22" customFormat="1">
      <c r="A6" s="42" t="s">
        <v>893</v>
      </c>
      <c r="B6" s="47">
        <f>B4-B5</f>
        <v>3660.7450000000003</v>
      </c>
      <c r="C6" s="47">
        <f t="shared" ref="C6:O6" si="0">C4-C5</f>
        <v>1617.4950000000003</v>
      </c>
      <c r="D6" s="47">
        <f t="shared" si="0"/>
        <v>2460.5900000000006</v>
      </c>
      <c r="E6" s="47">
        <f t="shared" si="0"/>
        <v>7017.5499999999993</v>
      </c>
      <c r="F6" s="47">
        <f t="shared" si="0"/>
        <v>5014.9000000000015</v>
      </c>
      <c r="G6" s="45">
        <f t="shared" si="0"/>
        <v>275</v>
      </c>
      <c r="H6" s="47">
        <f t="shared" si="0"/>
        <v>4.0000000008149073E-3</v>
      </c>
      <c r="I6" s="47">
        <f t="shared" si="0"/>
        <v>0</v>
      </c>
      <c r="J6" s="47">
        <f t="shared" si="0"/>
        <v>0</v>
      </c>
      <c r="K6" s="47">
        <f t="shared" si="0"/>
        <v>0</v>
      </c>
      <c r="L6" s="47">
        <f t="shared" si="0"/>
        <v>2424.0149999999994</v>
      </c>
      <c r="M6" s="47">
        <f t="shared" si="0"/>
        <v>8488.6450000000004</v>
      </c>
      <c r="N6" s="47">
        <f t="shared" si="0"/>
        <v>0</v>
      </c>
      <c r="O6" s="46">
        <f t="shared" si="0"/>
        <v>9752.3090000000666</v>
      </c>
    </row>
    <row r="7" spans="1:15">
      <c r="A7" s="43" t="s">
        <v>888</v>
      </c>
      <c r="B7" s="48">
        <f t="shared" ref="B7:O7" si="1">B5/B4</f>
        <v>0.44698688069659426</v>
      </c>
      <c r="C7" s="48">
        <f t="shared" si="1"/>
        <v>0.70823852183347624</v>
      </c>
      <c r="D7" s="48">
        <f t="shared" si="1"/>
        <v>0.54634261909568671</v>
      </c>
      <c r="E7" s="48">
        <f t="shared" si="1"/>
        <v>0.45150052520355693</v>
      </c>
      <c r="F7" s="48">
        <f t="shared" si="1"/>
        <v>0.6799955179335937</v>
      </c>
      <c r="G7" s="48">
        <f t="shared" si="1"/>
        <v>0.9640051413747156</v>
      </c>
      <c r="H7" s="48">
        <f t="shared" si="1"/>
        <v>0.99999987051081218</v>
      </c>
      <c r="I7" s="48">
        <f t="shared" si="1"/>
        <v>1</v>
      </c>
      <c r="J7" s="48">
        <f t="shared" si="1"/>
        <v>1</v>
      </c>
      <c r="K7" s="48">
        <f t="shared" si="1"/>
        <v>1</v>
      </c>
      <c r="L7" s="48">
        <f t="shared" si="1"/>
        <v>0.96481512895966515</v>
      </c>
      <c r="M7" s="48">
        <f t="shared" si="1"/>
        <v>0.71348253206571366</v>
      </c>
      <c r="N7" s="48">
        <f t="shared" si="1"/>
        <v>1</v>
      </c>
      <c r="O7" s="49">
        <f t="shared" si="1"/>
        <v>0.96777327664011004</v>
      </c>
    </row>
  </sheetData>
  <mergeCells count="4">
    <mergeCell ref="B2:G2"/>
    <mergeCell ref="H2:N2"/>
    <mergeCell ref="O2:O3"/>
    <mergeCell ref="A2:A3"/>
  </mergeCells>
  <phoneticPr fontId="3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69"/>
  <sheetViews>
    <sheetView workbookViewId="0">
      <selection activeCell="C65" sqref="C65"/>
    </sheetView>
  </sheetViews>
  <sheetFormatPr defaultRowHeight="14.5"/>
  <cols>
    <col min="1" max="1" width="5.81640625" style="134" customWidth="1"/>
    <col min="2" max="2" width="10.54296875" style="134" customWidth="1"/>
    <col min="3" max="3" width="42.54296875" style="134" customWidth="1"/>
    <col min="4" max="4" width="11.08984375" style="134" customWidth="1"/>
    <col min="5" max="5" width="13.90625" style="134" customWidth="1"/>
    <col min="6" max="6" width="8.7265625" style="134"/>
    <col min="7" max="7" width="5.08984375" style="134" customWidth="1"/>
    <col min="8" max="8" width="10.08984375" style="134" customWidth="1"/>
    <col min="9" max="9" width="43.453125" style="134" customWidth="1"/>
    <col min="10" max="10" width="9.81640625" style="134" bestFit="1" customWidth="1"/>
    <col min="11" max="11" width="13.81640625" style="134" customWidth="1"/>
    <col min="12" max="16384" width="8.7265625" style="134"/>
  </cols>
  <sheetData>
    <row r="1" spans="1:11" ht="15" thickBot="1">
      <c r="A1" s="134" t="s">
        <v>882</v>
      </c>
      <c r="G1" s="134" t="s">
        <v>938</v>
      </c>
    </row>
    <row r="2" spans="1:11">
      <c r="A2" s="172" t="s">
        <v>784</v>
      </c>
      <c r="B2" s="169" t="s">
        <v>3</v>
      </c>
      <c r="C2" s="169" t="s">
        <v>4</v>
      </c>
      <c r="D2" s="170" t="s">
        <v>0</v>
      </c>
      <c r="E2" s="171"/>
      <c r="G2" s="172" t="s">
        <v>784</v>
      </c>
      <c r="H2" s="169" t="s">
        <v>3</v>
      </c>
      <c r="I2" s="169" t="s">
        <v>4</v>
      </c>
      <c r="J2" s="170" t="s">
        <v>0</v>
      </c>
      <c r="K2" s="171"/>
    </row>
    <row r="3" spans="1:11">
      <c r="A3" s="173"/>
      <c r="B3" s="156"/>
      <c r="C3" s="156"/>
      <c r="D3" s="135" t="s">
        <v>1</v>
      </c>
      <c r="E3" s="136" t="s">
        <v>2</v>
      </c>
      <c r="G3" s="173"/>
      <c r="H3" s="156"/>
      <c r="I3" s="156"/>
      <c r="J3" s="135" t="s">
        <v>1</v>
      </c>
      <c r="K3" s="136" t="s">
        <v>2</v>
      </c>
    </row>
    <row r="4" spans="1:11">
      <c r="A4" s="137">
        <v>1</v>
      </c>
      <c r="B4" s="100" t="s">
        <v>1144</v>
      </c>
      <c r="C4" s="101" t="s">
        <v>1146</v>
      </c>
      <c r="D4" s="138">
        <v>28800</v>
      </c>
      <c r="E4" s="139">
        <v>20592000</v>
      </c>
      <c r="G4" s="137">
        <v>1</v>
      </c>
      <c r="H4" s="100" t="s">
        <v>1144</v>
      </c>
      <c r="I4" s="101" t="s">
        <v>1146</v>
      </c>
      <c r="J4" s="138">
        <v>28800</v>
      </c>
      <c r="K4" s="139">
        <v>20592000</v>
      </c>
    </row>
    <row r="5" spans="1:11">
      <c r="A5" s="140">
        <v>2</v>
      </c>
      <c r="B5" s="109" t="s">
        <v>609</v>
      </c>
      <c r="C5" s="141" t="s">
        <v>610</v>
      </c>
      <c r="D5" s="142">
        <v>20808</v>
      </c>
      <c r="E5" s="139">
        <v>14877720</v>
      </c>
      <c r="G5" s="140">
        <v>2</v>
      </c>
      <c r="H5" s="109" t="s">
        <v>609</v>
      </c>
      <c r="I5" s="141" t="s">
        <v>610</v>
      </c>
      <c r="J5" s="142">
        <v>20808</v>
      </c>
      <c r="K5" s="139">
        <v>14877720</v>
      </c>
    </row>
    <row r="6" spans="1:11">
      <c r="A6" s="140">
        <v>3</v>
      </c>
      <c r="B6" s="109" t="s">
        <v>212</v>
      </c>
      <c r="C6" s="141" t="s">
        <v>213</v>
      </c>
      <c r="D6" s="142">
        <v>6960</v>
      </c>
      <c r="E6" s="139">
        <v>3445200</v>
      </c>
      <c r="G6" s="140">
        <v>3</v>
      </c>
      <c r="H6" s="109" t="s">
        <v>212</v>
      </c>
      <c r="I6" s="141" t="s">
        <v>213</v>
      </c>
      <c r="J6" s="142">
        <v>6960</v>
      </c>
      <c r="K6" s="139">
        <v>3445200</v>
      </c>
    </row>
    <row r="7" spans="1:11">
      <c r="A7" s="140">
        <v>4</v>
      </c>
      <c r="B7" s="109" t="s">
        <v>584</v>
      </c>
      <c r="C7" s="141" t="s">
        <v>931</v>
      </c>
      <c r="D7" s="142">
        <v>6000</v>
      </c>
      <c r="E7" s="139">
        <v>4950000</v>
      </c>
      <c r="G7" s="140">
        <v>4</v>
      </c>
      <c r="H7" s="109" t="s">
        <v>584</v>
      </c>
      <c r="I7" s="141" t="s">
        <v>931</v>
      </c>
      <c r="J7" s="142">
        <v>6000</v>
      </c>
      <c r="K7" s="139">
        <v>4950000</v>
      </c>
    </row>
    <row r="8" spans="1:11">
      <c r="A8" s="140">
        <v>5</v>
      </c>
      <c r="B8" s="109" t="s">
        <v>1078</v>
      </c>
      <c r="C8" s="141" t="s">
        <v>1033</v>
      </c>
      <c r="D8" s="142">
        <v>5500</v>
      </c>
      <c r="E8" s="139">
        <v>5445000</v>
      </c>
      <c r="G8" s="140">
        <v>5</v>
      </c>
      <c r="H8" s="109" t="s">
        <v>1078</v>
      </c>
      <c r="I8" s="141" t="s">
        <v>1033</v>
      </c>
      <c r="J8" s="142">
        <v>5500</v>
      </c>
      <c r="K8" s="139">
        <v>5445000</v>
      </c>
    </row>
    <row r="9" spans="1:11">
      <c r="A9" s="140">
        <v>6</v>
      </c>
      <c r="B9" s="109" t="s">
        <v>504</v>
      </c>
      <c r="C9" s="141" t="s">
        <v>505</v>
      </c>
      <c r="D9" s="142">
        <v>1680</v>
      </c>
      <c r="E9" s="139">
        <v>4989600</v>
      </c>
      <c r="G9" s="140">
        <v>6</v>
      </c>
      <c r="H9" s="109" t="s">
        <v>504</v>
      </c>
      <c r="I9" s="141" t="s">
        <v>505</v>
      </c>
      <c r="J9" s="142">
        <v>1680</v>
      </c>
      <c r="K9" s="139">
        <v>4989600</v>
      </c>
    </row>
    <row r="10" spans="1:11">
      <c r="A10" s="140">
        <v>7</v>
      </c>
      <c r="B10" s="109" t="s">
        <v>478</v>
      </c>
      <c r="C10" s="141" t="s">
        <v>479</v>
      </c>
      <c r="D10" s="142">
        <v>1606</v>
      </c>
      <c r="E10" s="139">
        <v>1589940</v>
      </c>
      <c r="G10" s="140">
        <v>7</v>
      </c>
      <c r="H10" s="109" t="s">
        <v>478</v>
      </c>
      <c r="I10" s="141" t="s">
        <v>479</v>
      </c>
      <c r="J10" s="142">
        <v>1606</v>
      </c>
      <c r="K10" s="139">
        <v>1589940</v>
      </c>
    </row>
    <row r="11" spans="1:11">
      <c r="A11" s="140">
        <v>8</v>
      </c>
      <c r="B11" s="109" t="s">
        <v>678</v>
      </c>
      <c r="C11" s="141" t="s">
        <v>620</v>
      </c>
      <c r="D11" s="142">
        <v>572</v>
      </c>
      <c r="E11" s="139">
        <v>2831400</v>
      </c>
      <c r="G11" s="140">
        <v>8</v>
      </c>
      <c r="H11" s="109" t="s">
        <v>678</v>
      </c>
      <c r="I11" s="141" t="s">
        <v>620</v>
      </c>
      <c r="J11" s="142">
        <v>572</v>
      </c>
      <c r="K11" s="139">
        <v>2831400</v>
      </c>
    </row>
    <row r="12" spans="1:11">
      <c r="A12" s="140">
        <v>9</v>
      </c>
      <c r="B12" s="109" t="s">
        <v>962</v>
      </c>
      <c r="C12" s="141" t="s">
        <v>896</v>
      </c>
      <c r="D12" s="142">
        <v>480</v>
      </c>
      <c r="E12" s="139">
        <v>1293600</v>
      </c>
      <c r="G12" s="140">
        <v>9</v>
      </c>
      <c r="H12" s="109" t="s">
        <v>962</v>
      </c>
      <c r="I12" s="141" t="s">
        <v>896</v>
      </c>
      <c r="J12" s="142">
        <v>480</v>
      </c>
      <c r="K12" s="139">
        <v>1293600</v>
      </c>
    </row>
    <row r="13" spans="1:11" ht="15" thickBot="1">
      <c r="A13" s="143">
        <v>10</v>
      </c>
      <c r="B13" s="144" t="s">
        <v>462</v>
      </c>
      <c r="C13" s="145" t="s">
        <v>463</v>
      </c>
      <c r="D13" s="146">
        <v>220</v>
      </c>
      <c r="E13" s="147">
        <v>108900</v>
      </c>
      <c r="G13" s="143">
        <v>10</v>
      </c>
      <c r="H13" s="144" t="s">
        <v>462</v>
      </c>
      <c r="I13" s="145" t="s">
        <v>463</v>
      </c>
      <c r="J13" s="146">
        <v>220</v>
      </c>
      <c r="K13" s="147">
        <v>108900</v>
      </c>
    </row>
    <row r="15" spans="1:11" ht="15" thickBot="1">
      <c r="A15" s="134" t="s">
        <v>1189</v>
      </c>
      <c r="G15" s="134" t="s">
        <v>938</v>
      </c>
    </row>
    <row r="16" spans="1:11">
      <c r="A16" s="172" t="s">
        <v>784</v>
      </c>
      <c r="B16" s="169" t="s">
        <v>3</v>
      </c>
      <c r="C16" s="169" t="s">
        <v>4</v>
      </c>
      <c r="D16" s="170" t="s">
        <v>0</v>
      </c>
      <c r="E16" s="171"/>
      <c r="G16" s="172" t="s">
        <v>784</v>
      </c>
      <c r="H16" s="169" t="s">
        <v>3</v>
      </c>
      <c r="I16" s="169" t="s">
        <v>4</v>
      </c>
      <c r="J16" s="170" t="s">
        <v>0</v>
      </c>
      <c r="K16" s="171"/>
    </row>
    <row r="17" spans="1:11">
      <c r="A17" s="173"/>
      <c r="B17" s="156"/>
      <c r="C17" s="156"/>
      <c r="D17" s="135" t="s">
        <v>1</v>
      </c>
      <c r="E17" s="136" t="s">
        <v>2</v>
      </c>
      <c r="G17" s="173"/>
      <c r="H17" s="156"/>
      <c r="I17" s="156"/>
      <c r="J17" s="135" t="s">
        <v>1</v>
      </c>
      <c r="K17" s="136" t="s">
        <v>2</v>
      </c>
    </row>
    <row r="18" spans="1:11">
      <c r="A18" s="137">
        <v>1</v>
      </c>
      <c r="B18" s="100" t="s">
        <v>1078</v>
      </c>
      <c r="C18" s="101" t="s">
        <v>1033</v>
      </c>
      <c r="D18" s="138">
        <v>14008</v>
      </c>
      <c r="E18" s="139">
        <v>13867920</v>
      </c>
      <c r="G18" s="137">
        <v>1</v>
      </c>
      <c r="H18" s="100" t="s">
        <v>609</v>
      </c>
      <c r="I18" s="101" t="s">
        <v>610</v>
      </c>
      <c r="J18" s="138">
        <v>29808</v>
      </c>
      <c r="K18" s="139">
        <v>21312720</v>
      </c>
    </row>
    <row r="19" spans="1:11">
      <c r="A19" s="140">
        <v>2</v>
      </c>
      <c r="B19" s="109" t="s">
        <v>609</v>
      </c>
      <c r="C19" s="141" t="s">
        <v>610</v>
      </c>
      <c r="D19" s="142">
        <v>9000</v>
      </c>
      <c r="E19" s="139">
        <v>6435000</v>
      </c>
      <c r="G19" s="140">
        <v>2</v>
      </c>
      <c r="H19" s="109" t="s">
        <v>1144</v>
      </c>
      <c r="I19" s="141" t="s">
        <v>1146</v>
      </c>
      <c r="J19" s="142">
        <v>28800</v>
      </c>
      <c r="K19" s="139">
        <v>20592000</v>
      </c>
    </row>
    <row r="20" spans="1:11">
      <c r="A20" s="140">
        <v>3</v>
      </c>
      <c r="B20" s="109" t="s">
        <v>504</v>
      </c>
      <c r="C20" s="141" t="s">
        <v>505</v>
      </c>
      <c r="D20" s="142">
        <v>5000</v>
      </c>
      <c r="E20" s="139">
        <v>14850000</v>
      </c>
      <c r="G20" s="140">
        <v>3</v>
      </c>
      <c r="H20" s="109" t="s">
        <v>1078</v>
      </c>
      <c r="I20" s="141" t="s">
        <v>1033</v>
      </c>
      <c r="J20" s="142">
        <v>19508</v>
      </c>
      <c r="K20" s="139">
        <v>19312920</v>
      </c>
    </row>
    <row r="21" spans="1:11">
      <c r="A21" s="140">
        <v>4</v>
      </c>
      <c r="B21" s="109" t="s">
        <v>962</v>
      </c>
      <c r="C21" s="141" t="s">
        <v>896</v>
      </c>
      <c r="D21" s="142">
        <v>1590</v>
      </c>
      <c r="E21" s="139">
        <v>4285050</v>
      </c>
      <c r="G21" s="140">
        <v>4</v>
      </c>
      <c r="H21" s="109" t="s">
        <v>212</v>
      </c>
      <c r="I21" s="141" t="s">
        <v>213</v>
      </c>
      <c r="J21" s="142">
        <v>7960</v>
      </c>
      <c r="K21" s="139">
        <v>3940200</v>
      </c>
    </row>
    <row r="22" spans="1:11">
      <c r="A22" s="140">
        <v>5</v>
      </c>
      <c r="B22" s="109" t="s">
        <v>1035</v>
      </c>
      <c r="C22" s="141" t="s">
        <v>897</v>
      </c>
      <c r="D22" s="142">
        <v>1010</v>
      </c>
      <c r="E22" s="139">
        <v>1888700</v>
      </c>
      <c r="G22" s="140">
        <v>5</v>
      </c>
      <c r="H22" s="109" t="s">
        <v>504</v>
      </c>
      <c r="I22" s="141" t="s">
        <v>505</v>
      </c>
      <c r="J22" s="142">
        <v>6680</v>
      </c>
      <c r="K22" s="139">
        <v>19839600</v>
      </c>
    </row>
    <row r="23" spans="1:11">
      <c r="A23" s="140">
        <v>6</v>
      </c>
      <c r="B23" s="109" t="s">
        <v>212</v>
      </c>
      <c r="C23" s="141" t="s">
        <v>213</v>
      </c>
      <c r="D23" s="142">
        <v>1000</v>
      </c>
      <c r="E23" s="139">
        <v>495000</v>
      </c>
      <c r="G23" s="140">
        <v>6</v>
      </c>
      <c r="H23" s="109" t="s">
        <v>584</v>
      </c>
      <c r="I23" s="141" t="s">
        <v>931</v>
      </c>
      <c r="J23" s="142">
        <v>6000</v>
      </c>
      <c r="K23" s="139">
        <v>4950000</v>
      </c>
    </row>
    <row r="24" spans="1:11">
      <c r="A24" s="140">
        <v>7</v>
      </c>
      <c r="B24" s="109" t="s">
        <v>478</v>
      </c>
      <c r="C24" s="141" t="s">
        <v>479</v>
      </c>
      <c r="D24" s="142">
        <v>986</v>
      </c>
      <c r="E24" s="139">
        <v>976140</v>
      </c>
      <c r="G24" s="140">
        <v>7</v>
      </c>
      <c r="H24" s="109" t="s">
        <v>478</v>
      </c>
      <c r="I24" s="141" t="s">
        <v>479</v>
      </c>
      <c r="J24" s="142">
        <v>2592</v>
      </c>
      <c r="K24" s="139">
        <v>2566080</v>
      </c>
    </row>
    <row r="25" spans="1:11">
      <c r="A25" s="140">
        <v>8</v>
      </c>
      <c r="B25" s="109" t="s">
        <v>1034</v>
      </c>
      <c r="C25" s="141" t="s">
        <v>894</v>
      </c>
      <c r="D25" s="142">
        <v>620</v>
      </c>
      <c r="E25" s="139">
        <v>988900</v>
      </c>
      <c r="G25" s="140">
        <v>8</v>
      </c>
      <c r="H25" s="109" t="s">
        <v>962</v>
      </c>
      <c r="I25" s="141" t="s">
        <v>896</v>
      </c>
      <c r="J25" s="142">
        <v>2070</v>
      </c>
      <c r="K25" s="139">
        <v>5578650</v>
      </c>
    </row>
    <row r="26" spans="1:11">
      <c r="A26" s="140">
        <v>9</v>
      </c>
      <c r="B26" s="109" t="s">
        <v>739</v>
      </c>
      <c r="C26" s="141" t="s">
        <v>740</v>
      </c>
      <c r="D26" s="142">
        <v>610</v>
      </c>
      <c r="E26" s="139">
        <v>369050</v>
      </c>
      <c r="G26" s="140">
        <v>9</v>
      </c>
      <c r="H26" s="109" t="s">
        <v>1035</v>
      </c>
      <c r="I26" s="141" t="s">
        <v>897</v>
      </c>
      <c r="J26" s="142">
        <v>1130</v>
      </c>
      <c r="K26" s="139">
        <v>2113100</v>
      </c>
    </row>
    <row r="27" spans="1:11" ht="15" thickBot="1">
      <c r="A27" s="143">
        <v>10</v>
      </c>
      <c r="B27" s="144" t="s">
        <v>932</v>
      </c>
      <c r="C27" s="145" t="s">
        <v>1031</v>
      </c>
      <c r="D27" s="146">
        <v>606</v>
      </c>
      <c r="E27" s="147">
        <v>419958</v>
      </c>
      <c r="G27" s="143">
        <v>10</v>
      </c>
      <c r="H27" s="144" t="s">
        <v>678</v>
      </c>
      <c r="I27" s="145" t="s">
        <v>620</v>
      </c>
      <c r="J27" s="146">
        <v>1012</v>
      </c>
      <c r="K27" s="147">
        <v>5009400</v>
      </c>
    </row>
    <row r="29" spans="1:11" ht="15" thickBot="1">
      <c r="A29" s="134" t="s">
        <v>1235</v>
      </c>
      <c r="G29" s="134" t="s">
        <v>938</v>
      </c>
    </row>
    <row r="30" spans="1:11">
      <c r="A30" s="172" t="s">
        <v>784</v>
      </c>
      <c r="B30" s="169" t="s">
        <v>3</v>
      </c>
      <c r="C30" s="169" t="s">
        <v>4</v>
      </c>
      <c r="D30" s="170" t="s">
        <v>0</v>
      </c>
      <c r="E30" s="171"/>
      <c r="G30" s="172" t="s">
        <v>784</v>
      </c>
      <c r="H30" s="169" t="s">
        <v>3</v>
      </c>
      <c r="I30" s="169" t="s">
        <v>4</v>
      </c>
      <c r="J30" s="170" t="s">
        <v>0</v>
      </c>
      <c r="K30" s="171"/>
    </row>
    <row r="31" spans="1:11">
      <c r="A31" s="173"/>
      <c r="B31" s="156"/>
      <c r="C31" s="156"/>
      <c r="D31" s="135" t="s">
        <v>1</v>
      </c>
      <c r="E31" s="136" t="s">
        <v>2</v>
      </c>
      <c r="G31" s="173"/>
      <c r="H31" s="156"/>
      <c r="I31" s="156"/>
      <c r="J31" s="135" t="s">
        <v>1</v>
      </c>
      <c r="K31" s="136" t="s">
        <v>2</v>
      </c>
    </row>
    <row r="32" spans="1:11">
      <c r="A32" s="137">
        <v>1</v>
      </c>
      <c r="B32" s="100" t="s">
        <v>1144</v>
      </c>
      <c r="C32" s="101" t="s">
        <v>1146</v>
      </c>
      <c r="D32" s="138">
        <v>9360</v>
      </c>
      <c r="E32" s="139">
        <v>6692400</v>
      </c>
      <c r="G32" s="137">
        <v>1</v>
      </c>
      <c r="H32" s="100" t="s">
        <v>1144</v>
      </c>
      <c r="I32" s="101" t="s">
        <v>1146</v>
      </c>
      <c r="J32" s="138">
        <v>38160</v>
      </c>
      <c r="K32" s="139">
        <v>27284400</v>
      </c>
    </row>
    <row r="33" spans="1:11">
      <c r="A33" s="140">
        <v>2</v>
      </c>
      <c r="B33" s="109" t="s">
        <v>609</v>
      </c>
      <c r="C33" s="141" t="s">
        <v>610</v>
      </c>
      <c r="D33" s="142">
        <v>7500</v>
      </c>
      <c r="E33" s="139">
        <v>5362500</v>
      </c>
      <c r="G33" s="140">
        <v>2</v>
      </c>
      <c r="H33" s="109" t="s">
        <v>609</v>
      </c>
      <c r="I33" s="141" t="s">
        <v>610</v>
      </c>
      <c r="J33" s="142">
        <v>37308</v>
      </c>
      <c r="K33" s="139">
        <v>26675220</v>
      </c>
    </row>
    <row r="34" spans="1:11">
      <c r="A34" s="140">
        <v>3</v>
      </c>
      <c r="B34" s="109" t="s">
        <v>584</v>
      </c>
      <c r="C34" s="141" t="s">
        <v>931</v>
      </c>
      <c r="D34" s="142">
        <v>5000</v>
      </c>
      <c r="E34" s="139">
        <v>4125000</v>
      </c>
      <c r="G34" s="140">
        <v>3</v>
      </c>
      <c r="H34" s="109" t="s">
        <v>1078</v>
      </c>
      <c r="I34" s="141" t="s">
        <v>1033</v>
      </c>
      <c r="J34" s="142">
        <v>19508</v>
      </c>
      <c r="K34" s="139">
        <v>19312920</v>
      </c>
    </row>
    <row r="35" spans="1:11">
      <c r="A35" s="140">
        <v>4</v>
      </c>
      <c r="B35" s="109" t="s">
        <v>504</v>
      </c>
      <c r="C35" s="141" t="s">
        <v>505</v>
      </c>
      <c r="D35" s="142">
        <v>4172</v>
      </c>
      <c r="E35" s="139">
        <v>12390840</v>
      </c>
      <c r="G35" s="140">
        <v>4</v>
      </c>
      <c r="H35" s="109" t="s">
        <v>584</v>
      </c>
      <c r="I35" s="141" t="s">
        <v>931</v>
      </c>
      <c r="J35" s="142">
        <v>11000</v>
      </c>
      <c r="K35" s="139">
        <v>9075000</v>
      </c>
    </row>
    <row r="36" spans="1:11">
      <c r="A36" s="140">
        <v>5</v>
      </c>
      <c r="B36" s="109" t="s">
        <v>962</v>
      </c>
      <c r="C36" s="141" t="s">
        <v>896</v>
      </c>
      <c r="D36" s="142">
        <v>2144</v>
      </c>
      <c r="E36" s="139">
        <v>5778080</v>
      </c>
      <c r="G36" s="140">
        <v>5</v>
      </c>
      <c r="H36" s="109" t="s">
        <v>504</v>
      </c>
      <c r="I36" s="141" t="s">
        <v>505</v>
      </c>
      <c r="J36" s="142">
        <v>10852</v>
      </c>
      <c r="K36" s="139">
        <v>32230440</v>
      </c>
    </row>
    <row r="37" spans="1:11">
      <c r="A37" s="140">
        <v>6</v>
      </c>
      <c r="B37" s="109" t="s">
        <v>1035</v>
      </c>
      <c r="C37" s="141" t="s">
        <v>897</v>
      </c>
      <c r="D37" s="142">
        <v>1440</v>
      </c>
      <c r="E37" s="139">
        <v>2692800</v>
      </c>
      <c r="G37" s="140">
        <v>6</v>
      </c>
      <c r="H37" s="109" t="s">
        <v>212</v>
      </c>
      <c r="I37" s="141" t="s">
        <v>213</v>
      </c>
      <c r="J37" s="142">
        <v>9010</v>
      </c>
      <c r="K37" s="139">
        <v>4459950</v>
      </c>
    </row>
    <row r="38" spans="1:11">
      <c r="A38" s="140">
        <v>7</v>
      </c>
      <c r="B38" s="109" t="s">
        <v>1036</v>
      </c>
      <c r="C38" s="141" t="s">
        <v>898</v>
      </c>
      <c r="D38" s="142">
        <v>1173</v>
      </c>
      <c r="E38" s="139">
        <v>2451570</v>
      </c>
      <c r="G38" s="140">
        <v>7</v>
      </c>
      <c r="H38" s="109" t="s">
        <v>962</v>
      </c>
      <c r="I38" s="141" t="s">
        <v>896</v>
      </c>
      <c r="J38" s="142">
        <v>4214</v>
      </c>
      <c r="K38" s="139">
        <v>11356730</v>
      </c>
    </row>
    <row r="39" spans="1:11">
      <c r="A39" s="140">
        <v>8</v>
      </c>
      <c r="B39" s="109" t="s">
        <v>932</v>
      </c>
      <c r="C39" s="141" t="s">
        <v>1031</v>
      </c>
      <c r="D39" s="142">
        <v>1128</v>
      </c>
      <c r="E39" s="139">
        <v>781704</v>
      </c>
      <c r="G39" s="140">
        <v>8</v>
      </c>
      <c r="H39" s="109" t="s">
        <v>478</v>
      </c>
      <c r="I39" s="141" t="s">
        <v>479</v>
      </c>
      <c r="J39" s="142">
        <v>2884</v>
      </c>
      <c r="K39" s="139">
        <v>2855160</v>
      </c>
    </row>
    <row r="40" spans="1:11">
      <c r="A40" s="140">
        <v>9</v>
      </c>
      <c r="B40" s="109" t="s">
        <v>212</v>
      </c>
      <c r="C40" s="141" t="s">
        <v>213</v>
      </c>
      <c r="D40" s="142">
        <v>1050</v>
      </c>
      <c r="E40" s="139">
        <v>519750</v>
      </c>
      <c r="G40" s="140">
        <v>9</v>
      </c>
      <c r="H40" s="109" t="s">
        <v>1035</v>
      </c>
      <c r="I40" s="141" t="s">
        <v>897</v>
      </c>
      <c r="J40" s="142">
        <v>2570</v>
      </c>
      <c r="K40" s="139">
        <v>4805900</v>
      </c>
    </row>
    <row r="41" spans="1:11" ht="15" thickBot="1">
      <c r="A41" s="143">
        <v>10</v>
      </c>
      <c r="B41" s="144" t="s">
        <v>678</v>
      </c>
      <c r="C41" s="145" t="s">
        <v>620</v>
      </c>
      <c r="D41" s="146">
        <v>744</v>
      </c>
      <c r="E41" s="147">
        <v>3682800</v>
      </c>
      <c r="G41" s="143">
        <v>10</v>
      </c>
      <c r="H41" s="144" t="s">
        <v>678</v>
      </c>
      <c r="I41" s="145" t="s">
        <v>620</v>
      </c>
      <c r="J41" s="146">
        <v>1756</v>
      </c>
      <c r="K41" s="147">
        <v>8692200</v>
      </c>
    </row>
    <row r="43" spans="1:11" ht="15" thickBot="1">
      <c r="A43" s="134" t="s">
        <v>1240</v>
      </c>
      <c r="G43" s="134" t="s">
        <v>938</v>
      </c>
    </row>
    <row r="44" spans="1:11">
      <c r="A44" s="172" t="s">
        <v>784</v>
      </c>
      <c r="B44" s="169" t="s">
        <v>3</v>
      </c>
      <c r="C44" s="169" t="s">
        <v>4</v>
      </c>
      <c r="D44" s="170" t="s">
        <v>0</v>
      </c>
      <c r="E44" s="171"/>
      <c r="G44" s="172" t="s">
        <v>784</v>
      </c>
      <c r="H44" s="169" t="s">
        <v>3</v>
      </c>
      <c r="I44" s="169" t="s">
        <v>4</v>
      </c>
      <c r="J44" s="170" t="s">
        <v>0</v>
      </c>
      <c r="K44" s="171"/>
    </row>
    <row r="45" spans="1:11">
      <c r="A45" s="173"/>
      <c r="B45" s="156"/>
      <c r="C45" s="156"/>
      <c r="D45" s="135" t="s">
        <v>1</v>
      </c>
      <c r="E45" s="136" t="s">
        <v>2</v>
      </c>
      <c r="G45" s="173"/>
      <c r="H45" s="156"/>
      <c r="I45" s="156"/>
      <c r="J45" s="135" t="s">
        <v>1</v>
      </c>
      <c r="K45" s="136" t="s">
        <v>2</v>
      </c>
    </row>
    <row r="46" spans="1:11">
      <c r="A46" s="137">
        <v>1</v>
      </c>
      <c r="B46" s="100" t="s">
        <v>609</v>
      </c>
      <c r="C46" s="101" t="s">
        <v>610</v>
      </c>
      <c r="D46" s="138">
        <v>17640</v>
      </c>
      <c r="E46" s="139">
        <v>12612600</v>
      </c>
      <c r="G46" s="137">
        <v>1</v>
      </c>
      <c r="H46" s="100" t="s">
        <v>609</v>
      </c>
      <c r="I46" s="101" t="s">
        <v>610</v>
      </c>
      <c r="J46" s="138">
        <v>54948</v>
      </c>
      <c r="K46" s="139">
        <v>39287820</v>
      </c>
    </row>
    <row r="47" spans="1:11">
      <c r="A47" s="140">
        <v>2</v>
      </c>
      <c r="B47" s="109" t="s">
        <v>1144</v>
      </c>
      <c r="C47" s="141" t="s">
        <v>1146</v>
      </c>
      <c r="D47" s="142">
        <v>11463</v>
      </c>
      <c r="E47" s="139">
        <v>8196045</v>
      </c>
      <c r="G47" s="140">
        <v>2</v>
      </c>
      <c r="H47" s="109" t="s">
        <v>1144</v>
      </c>
      <c r="I47" s="141" t="s">
        <v>1146</v>
      </c>
      <c r="J47" s="142">
        <v>49623</v>
      </c>
      <c r="K47" s="139">
        <v>35480445</v>
      </c>
    </row>
    <row r="48" spans="1:11">
      <c r="A48" s="140">
        <v>3</v>
      </c>
      <c r="B48" s="109" t="s">
        <v>932</v>
      </c>
      <c r="C48" s="141" t="s">
        <v>1031</v>
      </c>
      <c r="D48" s="142">
        <v>5790</v>
      </c>
      <c r="E48" s="139">
        <v>4012470</v>
      </c>
      <c r="G48" s="140">
        <v>3</v>
      </c>
      <c r="H48" s="109" t="s">
        <v>1078</v>
      </c>
      <c r="I48" s="141" t="s">
        <v>1033</v>
      </c>
      <c r="J48" s="142">
        <v>23508</v>
      </c>
      <c r="K48" s="139">
        <v>23272920</v>
      </c>
    </row>
    <row r="49" spans="1:11">
      <c r="A49" s="140">
        <v>4</v>
      </c>
      <c r="B49" s="109" t="s">
        <v>1078</v>
      </c>
      <c r="C49" s="141" t="s">
        <v>1033</v>
      </c>
      <c r="D49" s="142">
        <v>4000</v>
      </c>
      <c r="E49" s="139">
        <v>3960000</v>
      </c>
      <c r="G49" s="140">
        <v>4</v>
      </c>
      <c r="H49" s="109" t="s">
        <v>504</v>
      </c>
      <c r="I49" s="141" t="s">
        <v>505</v>
      </c>
      <c r="J49" s="142">
        <v>14100</v>
      </c>
      <c r="K49" s="139">
        <v>41877000</v>
      </c>
    </row>
    <row r="50" spans="1:11">
      <c r="A50" s="140">
        <v>5</v>
      </c>
      <c r="B50" s="109" t="s">
        <v>504</v>
      </c>
      <c r="C50" s="141" t="s">
        <v>505</v>
      </c>
      <c r="D50" s="142">
        <v>3248</v>
      </c>
      <c r="E50" s="139">
        <v>9646560</v>
      </c>
      <c r="G50" s="140">
        <v>5</v>
      </c>
      <c r="H50" s="109" t="s">
        <v>584</v>
      </c>
      <c r="I50" s="141" t="s">
        <v>931</v>
      </c>
      <c r="J50" s="142">
        <v>11000</v>
      </c>
      <c r="K50" s="139">
        <v>9075000</v>
      </c>
    </row>
    <row r="51" spans="1:11">
      <c r="A51" s="140">
        <v>6</v>
      </c>
      <c r="B51" s="109" t="s">
        <v>1162</v>
      </c>
      <c r="C51" s="141" t="s">
        <v>1187</v>
      </c>
      <c r="D51" s="142">
        <v>2880</v>
      </c>
      <c r="E51" s="139">
        <v>2059200</v>
      </c>
      <c r="G51" s="140">
        <v>6</v>
      </c>
      <c r="H51" s="109" t="s">
        <v>212</v>
      </c>
      <c r="I51" s="141" t="s">
        <v>213</v>
      </c>
      <c r="J51" s="142">
        <v>10510</v>
      </c>
      <c r="K51" s="139">
        <v>5202450</v>
      </c>
    </row>
    <row r="52" spans="1:11">
      <c r="A52" s="140">
        <v>7</v>
      </c>
      <c r="B52" s="109" t="s">
        <v>1241</v>
      </c>
      <c r="C52" s="141" t="s">
        <v>1039</v>
      </c>
      <c r="D52" s="142">
        <v>2570</v>
      </c>
      <c r="E52" s="139">
        <v>1837550</v>
      </c>
      <c r="G52" s="140">
        <v>7</v>
      </c>
      <c r="H52" s="109" t="s">
        <v>932</v>
      </c>
      <c r="I52" s="141" t="s">
        <v>1031</v>
      </c>
      <c r="J52" s="142">
        <v>7524</v>
      </c>
      <c r="K52" s="139">
        <v>5214132</v>
      </c>
    </row>
    <row r="53" spans="1:11">
      <c r="A53" s="140">
        <v>8</v>
      </c>
      <c r="B53" s="109" t="s">
        <v>739</v>
      </c>
      <c r="C53" s="141" t="s">
        <v>740</v>
      </c>
      <c r="D53" s="142">
        <v>1518</v>
      </c>
      <c r="E53" s="139">
        <v>918390</v>
      </c>
      <c r="G53" s="140">
        <v>8</v>
      </c>
      <c r="H53" s="109" t="s">
        <v>962</v>
      </c>
      <c r="I53" s="141" t="s">
        <v>896</v>
      </c>
      <c r="J53" s="142">
        <v>5104</v>
      </c>
      <c r="K53" s="139">
        <v>13755280</v>
      </c>
    </row>
    <row r="54" spans="1:11">
      <c r="A54" s="140">
        <v>9</v>
      </c>
      <c r="B54" s="109" t="s">
        <v>212</v>
      </c>
      <c r="C54" s="141" t="s">
        <v>213</v>
      </c>
      <c r="D54" s="142">
        <v>1500</v>
      </c>
      <c r="E54" s="139">
        <v>742500</v>
      </c>
      <c r="G54" s="140">
        <v>9</v>
      </c>
      <c r="H54" s="109" t="s">
        <v>1162</v>
      </c>
      <c r="I54" s="141" t="s">
        <v>1187</v>
      </c>
      <c r="J54" s="142">
        <v>3168</v>
      </c>
      <c r="K54" s="139">
        <v>2265120</v>
      </c>
    </row>
    <row r="55" spans="1:11" ht="15" thickBot="1">
      <c r="A55" s="143">
        <v>10</v>
      </c>
      <c r="B55" s="144" t="s">
        <v>962</v>
      </c>
      <c r="C55" s="145" t="s">
        <v>896</v>
      </c>
      <c r="D55" s="146">
        <v>890</v>
      </c>
      <c r="E55" s="147">
        <v>2398550</v>
      </c>
      <c r="G55" s="143">
        <v>10</v>
      </c>
      <c r="H55" s="144" t="s">
        <v>1035</v>
      </c>
      <c r="I55" s="145" t="s">
        <v>897</v>
      </c>
      <c r="J55" s="146">
        <v>2942</v>
      </c>
      <c r="K55" s="147">
        <v>5501540</v>
      </c>
    </row>
    <row r="57" spans="1:11" ht="15" thickBot="1">
      <c r="A57" s="134" t="s">
        <v>1264</v>
      </c>
      <c r="G57" s="134" t="s">
        <v>938</v>
      </c>
    </row>
    <row r="58" spans="1:11">
      <c r="A58" s="172" t="s">
        <v>784</v>
      </c>
      <c r="B58" s="169" t="s">
        <v>3</v>
      </c>
      <c r="C58" s="169" t="s">
        <v>4</v>
      </c>
      <c r="D58" s="170" t="s">
        <v>0</v>
      </c>
      <c r="E58" s="171"/>
      <c r="G58" s="172" t="s">
        <v>784</v>
      </c>
      <c r="H58" s="169" t="s">
        <v>3</v>
      </c>
      <c r="I58" s="169" t="s">
        <v>4</v>
      </c>
      <c r="J58" s="170" t="s">
        <v>0</v>
      </c>
      <c r="K58" s="171"/>
    </row>
    <row r="59" spans="1:11">
      <c r="A59" s="173"/>
      <c r="B59" s="156"/>
      <c r="C59" s="156"/>
      <c r="D59" s="135" t="s">
        <v>1</v>
      </c>
      <c r="E59" s="136" t="s">
        <v>2</v>
      </c>
      <c r="G59" s="173"/>
      <c r="H59" s="156"/>
      <c r="I59" s="156"/>
      <c r="J59" s="135" t="s">
        <v>1</v>
      </c>
      <c r="K59" s="136" t="s">
        <v>2</v>
      </c>
    </row>
    <row r="60" spans="1:11">
      <c r="A60" s="137">
        <v>1</v>
      </c>
      <c r="B60" s="100" t="s">
        <v>1244</v>
      </c>
      <c r="C60" s="101" t="s">
        <v>1292</v>
      </c>
      <c r="D60" s="138">
        <v>59472</v>
      </c>
      <c r="E60" s="139">
        <v>42522480</v>
      </c>
      <c r="G60" s="137">
        <v>1</v>
      </c>
      <c r="H60" s="100" t="s">
        <v>609</v>
      </c>
      <c r="I60" s="101" t="s">
        <v>610</v>
      </c>
      <c r="J60" s="138">
        <v>70872</v>
      </c>
      <c r="K60" s="139">
        <v>50673480</v>
      </c>
    </row>
    <row r="61" spans="1:11">
      <c r="A61" s="140">
        <v>2</v>
      </c>
      <c r="B61" s="109" t="s">
        <v>609</v>
      </c>
      <c r="C61" s="141" t="s">
        <v>610</v>
      </c>
      <c r="D61" s="142">
        <v>15924</v>
      </c>
      <c r="E61" s="139">
        <v>11385660</v>
      </c>
      <c r="G61" s="140">
        <v>2</v>
      </c>
      <c r="H61" s="109" t="s">
        <v>1244</v>
      </c>
      <c r="I61" s="141" t="s">
        <v>1292</v>
      </c>
      <c r="J61" s="142">
        <v>59472</v>
      </c>
      <c r="K61" s="139">
        <v>42522480</v>
      </c>
    </row>
    <row r="62" spans="1:11">
      <c r="A62" s="140">
        <v>3</v>
      </c>
      <c r="B62" s="109" t="s">
        <v>1245</v>
      </c>
      <c r="C62" s="141" t="s">
        <v>1293</v>
      </c>
      <c r="D62" s="142">
        <v>7647</v>
      </c>
      <c r="E62" s="139">
        <v>5467605</v>
      </c>
      <c r="G62" s="140">
        <v>3</v>
      </c>
      <c r="H62" s="109" t="s">
        <v>1144</v>
      </c>
      <c r="I62" s="141" t="s">
        <v>1146</v>
      </c>
      <c r="J62" s="142">
        <v>49623</v>
      </c>
      <c r="K62" s="139">
        <v>35480445</v>
      </c>
    </row>
    <row r="63" spans="1:11">
      <c r="A63" s="140">
        <v>4</v>
      </c>
      <c r="B63" s="109" t="s">
        <v>1246</v>
      </c>
      <c r="C63" s="141" t="s">
        <v>1294</v>
      </c>
      <c r="D63" s="142">
        <v>3600</v>
      </c>
      <c r="E63" s="139">
        <v>2574000</v>
      </c>
      <c r="G63" s="140">
        <v>4</v>
      </c>
      <c r="H63" s="109" t="s">
        <v>1078</v>
      </c>
      <c r="I63" s="141" t="s">
        <v>1033</v>
      </c>
      <c r="J63" s="142">
        <v>23508</v>
      </c>
      <c r="K63" s="139">
        <v>23272920</v>
      </c>
    </row>
    <row r="64" spans="1:11">
      <c r="A64" s="140">
        <v>5</v>
      </c>
      <c r="B64" s="109" t="s">
        <v>932</v>
      </c>
      <c r="C64" s="141" t="s">
        <v>1031</v>
      </c>
      <c r="D64" s="142">
        <v>1344</v>
      </c>
      <c r="E64" s="139">
        <v>931392</v>
      </c>
      <c r="G64" s="140">
        <v>5</v>
      </c>
      <c r="H64" s="109" t="s">
        <v>504</v>
      </c>
      <c r="I64" s="141" t="s">
        <v>505</v>
      </c>
      <c r="J64" s="142">
        <v>14940</v>
      </c>
      <c r="K64" s="139">
        <v>44371800</v>
      </c>
    </row>
    <row r="65" spans="1:11">
      <c r="A65" s="140">
        <v>6</v>
      </c>
      <c r="B65" s="109" t="s">
        <v>212</v>
      </c>
      <c r="C65" s="141" t="s">
        <v>213</v>
      </c>
      <c r="D65" s="142">
        <v>1050</v>
      </c>
      <c r="E65" s="139">
        <v>519750</v>
      </c>
      <c r="G65" s="140">
        <v>6</v>
      </c>
      <c r="H65" s="109" t="s">
        <v>212</v>
      </c>
      <c r="I65" s="141" t="s">
        <v>213</v>
      </c>
      <c r="J65" s="142">
        <v>11560</v>
      </c>
      <c r="K65" s="139">
        <v>5722200</v>
      </c>
    </row>
    <row r="66" spans="1:11">
      <c r="A66" s="140">
        <v>7</v>
      </c>
      <c r="B66" s="109" t="s">
        <v>962</v>
      </c>
      <c r="C66" s="141" t="s">
        <v>896</v>
      </c>
      <c r="D66" s="142">
        <v>1020</v>
      </c>
      <c r="E66" s="139">
        <v>2748900</v>
      </c>
      <c r="G66" s="140">
        <v>7</v>
      </c>
      <c r="H66" s="109" t="s">
        <v>584</v>
      </c>
      <c r="I66" s="141" t="s">
        <v>931</v>
      </c>
      <c r="J66" s="142">
        <v>11000</v>
      </c>
      <c r="K66" s="139">
        <v>9075000</v>
      </c>
    </row>
    <row r="67" spans="1:11">
      <c r="A67" s="140">
        <v>8</v>
      </c>
      <c r="B67" s="109" t="s">
        <v>1302</v>
      </c>
      <c r="C67" s="141" t="s">
        <v>1050</v>
      </c>
      <c r="D67" s="142">
        <v>1000</v>
      </c>
      <c r="E67" s="139">
        <v>247500</v>
      </c>
      <c r="G67" s="140">
        <v>8</v>
      </c>
      <c r="H67" s="109" t="s">
        <v>932</v>
      </c>
      <c r="I67" s="141" t="s">
        <v>1031</v>
      </c>
      <c r="J67" s="142">
        <v>8868</v>
      </c>
      <c r="K67" s="139">
        <v>6145524</v>
      </c>
    </row>
    <row r="68" spans="1:11">
      <c r="A68" s="140">
        <v>9</v>
      </c>
      <c r="B68" s="109" t="s">
        <v>504</v>
      </c>
      <c r="C68" s="141" t="s">
        <v>505</v>
      </c>
      <c r="D68" s="142">
        <v>840</v>
      </c>
      <c r="E68" s="139">
        <v>2494800</v>
      </c>
      <c r="G68" s="140">
        <v>9</v>
      </c>
      <c r="H68" s="109" t="s">
        <v>1245</v>
      </c>
      <c r="I68" s="141" t="s">
        <v>1293</v>
      </c>
      <c r="J68" s="142">
        <v>7647</v>
      </c>
      <c r="K68" s="139">
        <v>5467605</v>
      </c>
    </row>
    <row r="69" spans="1:11" ht="15" thickBot="1">
      <c r="A69" s="143">
        <v>10</v>
      </c>
      <c r="B69" s="144" t="s">
        <v>611</v>
      </c>
      <c r="C69" s="145" t="s">
        <v>1032</v>
      </c>
      <c r="D69" s="146">
        <v>690</v>
      </c>
      <c r="E69" s="147">
        <v>326370</v>
      </c>
      <c r="G69" s="143">
        <v>10</v>
      </c>
      <c r="H69" s="144" t="s">
        <v>962</v>
      </c>
      <c r="I69" s="145" t="s">
        <v>896</v>
      </c>
      <c r="J69" s="146">
        <v>6124</v>
      </c>
      <c r="K69" s="147">
        <v>16504180</v>
      </c>
    </row>
  </sheetData>
  <mergeCells count="40">
    <mergeCell ref="H58:H59"/>
    <mergeCell ref="I58:I59"/>
    <mergeCell ref="J58:K58"/>
    <mergeCell ref="A58:A59"/>
    <mergeCell ref="B58:B59"/>
    <mergeCell ref="C58:C59"/>
    <mergeCell ref="D58:E58"/>
    <mergeCell ref="G58:G59"/>
    <mergeCell ref="H44:H45"/>
    <mergeCell ref="I44:I45"/>
    <mergeCell ref="J44:K44"/>
    <mergeCell ref="A44:A45"/>
    <mergeCell ref="B44:B45"/>
    <mergeCell ref="C44:C45"/>
    <mergeCell ref="D44:E44"/>
    <mergeCell ref="G44:G45"/>
    <mergeCell ref="J16:K16"/>
    <mergeCell ref="B2:B3"/>
    <mergeCell ref="C2:C3"/>
    <mergeCell ref="D2:E2"/>
    <mergeCell ref="J2:K2"/>
    <mergeCell ref="A16:A17"/>
    <mergeCell ref="B16:B17"/>
    <mergeCell ref="C16:C17"/>
    <mergeCell ref="D16:E16"/>
    <mergeCell ref="I2:I3"/>
    <mergeCell ref="H2:H3"/>
    <mergeCell ref="G2:G3"/>
    <mergeCell ref="A2:A3"/>
    <mergeCell ref="G16:G17"/>
    <mergeCell ref="H16:H17"/>
    <mergeCell ref="I16:I17"/>
    <mergeCell ref="H30:H31"/>
    <mergeCell ref="I30:I31"/>
    <mergeCell ref="J30:K30"/>
    <mergeCell ref="A30:A31"/>
    <mergeCell ref="B30:B31"/>
    <mergeCell ref="C30:C31"/>
    <mergeCell ref="D30:E30"/>
    <mergeCell ref="G30:G31"/>
  </mergeCells>
  <phoneticPr fontId="3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465"/>
  <sheetViews>
    <sheetView zoomScale="40" zoomScaleNormal="40" workbookViewId="0">
      <selection activeCell="Q25" sqref="Q25"/>
    </sheetView>
  </sheetViews>
  <sheetFormatPr defaultRowHeight="12"/>
  <cols>
    <col min="1" max="1" width="6.81640625" style="1" customWidth="1"/>
    <col min="2" max="2" width="19.7265625" style="1" hidden="1" customWidth="1"/>
    <col min="3" max="3" width="10.7265625" style="1" customWidth="1"/>
    <col min="4" max="4" width="17" style="1" customWidth="1"/>
    <col min="5" max="5" width="52.36328125" style="1" customWidth="1"/>
    <col min="6" max="18" width="13.26953125" style="2" customWidth="1"/>
    <col min="19" max="19" width="16.1796875" style="3" bestFit="1" customWidth="1"/>
    <col min="20" max="20" width="8.7265625" style="1"/>
    <col min="21" max="21" width="8.7265625" style="1" customWidth="1"/>
    <col min="22" max="16384" width="8.7265625" style="1"/>
  </cols>
  <sheetData>
    <row r="1" spans="1:19" ht="14.5" customHeight="1">
      <c r="A1" s="174" t="s">
        <v>784</v>
      </c>
      <c r="B1" s="28" t="s">
        <v>787</v>
      </c>
      <c r="C1" s="174" t="s">
        <v>3</v>
      </c>
      <c r="D1" s="174" t="s">
        <v>923</v>
      </c>
      <c r="E1" s="174" t="s">
        <v>4</v>
      </c>
      <c r="F1" s="29">
        <v>2407</v>
      </c>
      <c r="G1" s="29">
        <v>2408</v>
      </c>
      <c r="H1" s="29">
        <v>2409</v>
      </c>
      <c r="I1" s="29">
        <v>2410</v>
      </c>
      <c r="J1" s="29">
        <v>2411</v>
      </c>
      <c r="K1" s="29">
        <v>2412</v>
      </c>
      <c r="L1" s="29">
        <v>2501</v>
      </c>
      <c r="M1" s="29">
        <v>2502</v>
      </c>
      <c r="N1" s="29">
        <v>2503</v>
      </c>
      <c r="O1" s="29">
        <v>2504</v>
      </c>
      <c r="P1" s="29">
        <v>2505</v>
      </c>
      <c r="Q1" s="29">
        <v>2506</v>
      </c>
      <c r="R1" s="29">
        <v>2507</v>
      </c>
      <c r="S1" s="30" t="s">
        <v>948</v>
      </c>
    </row>
    <row r="2" spans="1:19">
      <c r="A2" s="175"/>
      <c r="B2" s="31"/>
      <c r="C2" s="175"/>
      <c r="D2" s="175"/>
      <c r="E2" s="175"/>
      <c r="F2" s="4" t="s">
        <v>947</v>
      </c>
      <c r="G2" s="4" t="s">
        <v>2</v>
      </c>
      <c r="H2" s="4" t="s">
        <v>2</v>
      </c>
      <c r="I2" s="5" t="s">
        <v>2</v>
      </c>
      <c r="J2" s="4" t="s">
        <v>2</v>
      </c>
      <c r="K2" s="5" t="s">
        <v>2</v>
      </c>
      <c r="L2" s="4" t="s">
        <v>2</v>
      </c>
      <c r="M2" s="5" t="s">
        <v>2</v>
      </c>
      <c r="N2" s="4" t="s">
        <v>2</v>
      </c>
      <c r="O2" s="4" t="s">
        <v>2</v>
      </c>
      <c r="P2" s="4" t="s">
        <v>2</v>
      </c>
      <c r="Q2" s="4" t="s">
        <v>2</v>
      </c>
      <c r="R2" s="4" t="s">
        <v>2</v>
      </c>
      <c r="S2" s="6" t="s">
        <v>2</v>
      </c>
    </row>
    <row r="3" spans="1:19">
      <c r="A3" s="7">
        <v>1</v>
      </c>
      <c r="B3" s="8">
        <v>4971710576306</v>
      </c>
      <c r="C3" s="9" t="s">
        <v>609</v>
      </c>
      <c r="D3" s="72" t="s">
        <v>941</v>
      </c>
      <c r="E3" s="10" t="s">
        <v>940</v>
      </c>
      <c r="F3" s="11"/>
      <c r="G3" s="11">
        <v>85800</v>
      </c>
      <c r="H3" s="11">
        <v>26400</v>
      </c>
      <c r="I3" s="12">
        <v>93720</v>
      </c>
      <c r="J3" s="11">
        <v>209880</v>
      </c>
      <c r="K3" s="12"/>
      <c r="L3" s="11">
        <v>1333200</v>
      </c>
      <c r="M3" s="12">
        <v>2360820</v>
      </c>
      <c r="N3" s="11">
        <v>5488560</v>
      </c>
      <c r="O3" s="11">
        <v>8102160</v>
      </c>
      <c r="P3" s="11">
        <v>13332660</v>
      </c>
      <c r="Q3" s="38">
        <v>9139680</v>
      </c>
      <c r="R3" s="38">
        <v>20606520</v>
      </c>
      <c r="S3" s="39">
        <f t="shared" ref="S3:S66" si="0">F3+G3+H3+I3+J3+K3+L3+M3+N3+ O3+P3+Q3+R3</f>
        <v>60779400</v>
      </c>
    </row>
    <row r="4" spans="1:19">
      <c r="A4" s="9">
        <v>2</v>
      </c>
      <c r="B4" s="13">
        <v>4971710565065</v>
      </c>
      <c r="C4" s="14" t="s">
        <v>504</v>
      </c>
      <c r="D4" s="73" t="s">
        <v>922</v>
      </c>
      <c r="E4" s="15" t="s">
        <v>505</v>
      </c>
      <c r="F4" s="11">
        <v>110000</v>
      </c>
      <c r="G4" s="16">
        <v>453750</v>
      </c>
      <c r="H4" s="11">
        <v>82500</v>
      </c>
      <c r="I4" s="12">
        <v>522500</v>
      </c>
      <c r="J4" s="11">
        <v>2483250</v>
      </c>
      <c r="K4" s="12">
        <v>3080000</v>
      </c>
      <c r="L4" s="16">
        <v>9190500</v>
      </c>
      <c r="M4" s="17">
        <v>7312250</v>
      </c>
      <c r="N4" s="16">
        <v>2546500</v>
      </c>
      <c r="O4" s="11">
        <v>6083000</v>
      </c>
      <c r="P4" s="11">
        <v>16464250</v>
      </c>
      <c r="Q4" s="38">
        <v>3080000</v>
      </c>
      <c r="R4" s="38">
        <v>7144500</v>
      </c>
      <c r="S4" s="39">
        <f t="shared" si="0"/>
        <v>58553000</v>
      </c>
    </row>
    <row r="5" spans="1:19">
      <c r="A5" s="9">
        <v>3</v>
      </c>
      <c r="B5" s="13">
        <v>4971710574852</v>
      </c>
      <c r="C5" s="14" t="s">
        <v>584</v>
      </c>
      <c r="D5" s="73" t="s">
        <v>922</v>
      </c>
      <c r="E5" s="15" t="s">
        <v>786</v>
      </c>
      <c r="F5" s="11"/>
      <c r="G5" s="16">
        <v>49500</v>
      </c>
      <c r="H5" s="11"/>
      <c r="I5" s="12">
        <v>37125</v>
      </c>
      <c r="J5" s="11">
        <v>264000</v>
      </c>
      <c r="K5" s="12">
        <v>561000</v>
      </c>
      <c r="L5" s="16">
        <v>503250</v>
      </c>
      <c r="M5" s="17">
        <v>740850</v>
      </c>
      <c r="N5" s="16">
        <v>394350</v>
      </c>
      <c r="O5" s="11">
        <v>2103750</v>
      </c>
      <c r="P5" s="11">
        <v>3836250</v>
      </c>
      <c r="Q5" s="38">
        <v>297000</v>
      </c>
      <c r="R5" s="38">
        <v>3387450</v>
      </c>
      <c r="S5" s="39">
        <f t="shared" si="0"/>
        <v>12174525</v>
      </c>
    </row>
    <row r="6" spans="1:19">
      <c r="A6" s="9">
        <v>4</v>
      </c>
      <c r="B6" s="13">
        <v>4971710511505</v>
      </c>
      <c r="C6" s="14" t="s">
        <v>212</v>
      </c>
      <c r="D6" s="72" t="s">
        <v>939</v>
      </c>
      <c r="E6" s="15" t="s">
        <v>943</v>
      </c>
      <c r="F6" s="11"/>
      <c r="G6" s="16">
        <v>4950</v>
      </c>
      <c r="H6" s="11">
        <v>14850</v>
      </c>
      <c r="I6" s="12"/>
      <c r="J6" s="11">
        <v>178200</v>
      </c>
      <c r="K6" s="12"/>
      <c r="L6" s="16">
        <v>1386000</v>
      </c>
      <c r="M6" s="17">
        <v>1485000</v>
      </c>
      <c r="N6" s="16"/>
      <c r="O6" s="11">
        <v>990000</v>
      </c>
      <c r="P6" s="11">
        <v>24750</v>
      </c>
      <c r="Q6" s="38"/>
      <c r="R6" s="38">
        <v>1757250</v>
      </c>
      <c r="S6" s="39">
        <f t="shared" si="0"/>
        <v>5841000</v>
      </c>
    </row>
    <row r="7" spans="1:19">
      <c r="A7" s="9">
        <v>5</v>
      </c>
      <c r="B7" s="13">
        <v>4971710598711</v>
      </c>
      <c r="C7" s="14" t="s">
        <v>829</v>
      </c>
      <c r="D7" s="72" t="s">
        <v>942</v>
      </c>
      <c r="E7" s="15" t="s">
        <v>848</v>
      </c>
      <c r="F7" s="11"/>
      <c r="G7" s="16"/>
      <c r="H7" s="11"/>
      <c r="I7" s="12"/>
      <c r="J7" s="11"/>
      <c r="K7" s="12"/>
      <c r="L7" s="16"/>
      <c r="M7" s="17"/>
      <c r="N7" s="16"/>
      <c r="O7" s="11"/>
      <c r="P7" s="11"/>
      <c r="Q7" s="38">
        <v>798336</v>
      </c>
      <c r="R7" s="38">
        <v>5345802</v>
      </c>
      <c r="S7" s="39">
        <f t="shared" si="0"/>
        <v>6144138</v>
      </c>
    </row>
    <row r="8" spans="1:19">
      <c r="A8" s="9">
        <v>6</v>
      </c>
      <c r="B8" s="13">
        <v>4971710590500</v>
      </c>
      <c r="C8" s="14" t="s">
        <v>788</v>
      </c>
      <c r="D8" s="72" t="s">
        <v>942</v>
      </c>
      <c r="E8" s="15" t="s">
        <v>789</v>
      </c>
      <c r="F8" s="11"/>
      <c r="G8" s="16"/>
      <c r="H8" s="11"/>
      <c r="I8" s="12"/>
      <c r="J8" s="11"/>
      <c r="K8" s="12"/>
      <c r="L8" s="16"/>
      <c r="M8" s="17"/>
      <c r="N8" s="16"/>
      <c r="O8" s="11">
        <v>2376000</v>
      </c>
      <c r="P8" s="11">
        <v>1980000</v>
      </c>
      <c r="Q8" s="38"/>
      <c r="R8" s="38">
        <v>66000</v>
      </c>
      <c r="S8" s="39">
        <f t="shared" si="0"/>
        <v>4422000</v>
      </c>
    </row>
    <row r="9" spans="1:19">
      <c r="A9" s="9">
        <v>7</v>
      </c>
      <c r="B9" s="13">
        <v>4971710579291</v>
      </c>
      <c r="C9" s="14" t="s">
        <v>821</v>
      </c>
      <c r="D9" s="72" t="s">
        <v>942</v>
      </c>
      <c r="E9" s="15" t="s">
        <v>823</v>
      </c>
      <c r="F9" s="11"/>
      <c r="G9" s="32"/>
      <c r="H9" s="11">
        <v>0</v>
      </c>
      <c r="I9" s="12">
        <v>0</v>
      </c>
      <c r="J9" s="11"/>
      <c r="K9" s="12"/>
      <c r="L9" s="16"/>
      <c r="M9" s="17"/>
      <c r="N9" s="16"/>
      <c r="O9" s="11"/>
      <c r="P9" s="11">
        <v>3769920</v>
      </c>
      <c r="Q9" s="38">
        <v>491040</v>
      </c>
      <c r="R9" s="38"/>
      <c r="S9" s="39">
        <f t="shared" si="0"/>
        <v>4260960</v>
      </c>
    </row>
    <row r="10" spans="1:19">
      <c r="A10" s="9">
        <v>8</v>
      </c>
      <c r="B10" s="13">
        <v>4971710551006</v>
      </c>
      <c r="C10" s="14" t="s">
        <v>442</v>
      </c>
      <c r="D10" s="73" t="s">
        <v>924</v>
      </c>
      <c r="E10" s="15" t="s">
        <v>443</v>
      </c>
      <c r="F10" s="11">
        <v>1079650</v>
      </c>
      <c r="G10" s="16">
        <v>38610</v>
      </c>
      <c r="H10" s="11">
        <v>17160</v>
      </c>
      <c r="I10" s="12">
        <v>47190</v>
      </c>
      <c r="J10" s="11">
        <v>579150</v>
      </c>
      <c r="K10" s="12">
        <v>64350</v>
      </c>
      <c r="L10" s="16">
        <v>926640</v>
      </c>
      <c r="M10" s="17">
        <v>475475</v>
      </c>
      <c r="N10" s="16">
        <v>602030</v>
      </c>
      <c r="O10" s="11">
        <v>25740</v>
      </c>
      <c r="P10" s="11">
        <v>370370</v>
      </c>
      <c r="Q10" s="38">
        <v>51480</v>
      </c>
      <c r="R10" s="38">
        <v>253110</v>
      </c>
      <c r="S10" s="39">
        <f t="shared" si="0"/>
        <v>4530955</v>
      </c>
    </row>
    <row r="11" spans="1:19">
      <c r="A11" s="9">
        <v>9</v>
      </c>
      <c r="B11" s="13">
        <v>4971710580044</v>
      </c>
      <c r="C11" s="14" t="s">
        <v>675</v>
      </c>
      <c r="D11" s="72" t="s">
        <v>942</v>
      </c>
      <c r="E11" s="15" t="s">
        <v>676</v>
      </c>
      <c r="F11" s="11"/>
      <c r="G11" s="16">
        <v>9900</v>
      </c>
      <c r="H11" s="11"/>
      <c r="I11" s="12"/>
      <c r="J11" s="11"/>
      <c r="K11" s="12">
        <v>0</v>
      </c>
      <c r="L11" s="16"/>
      <c r="M11" s="17"/>
      <c r="N11" s="16"/>
      <c r="O11" s="11"/>
      <c r="P11" s="11">
        <v>39600</v>
      </c>
      <c r="Q11" s="38">
        <v>818400</v>
      </c>
      <c r="R11" s="38">
        <v>2640000</v>
      </c>
      <c r="S11" s="39">
        <f t="shared" si="0"/>
        <v>3507900</v>
      </c>
    </row>
    <row r="12" spans="1:19">
      <c r="A12" s="9">
        <v>10</v>
      </c>
      <c r="B12" s="13">
        <v>4971710539189</v>
      </c>
      <c r="C12" s="14" t="s">
        <v>408</v>
      </c>
      <c r="D12" s="73" t="s">
        <v>924</v>
      </c>
      <c r="E12" s="15" t="s">
        <v>409</v>
      </c>
      <c r="F12" s="11">
        <v>441650</v>
      </c>
      <c r="G12" s="16">
        <v>180895</v>
      </c>
      <c r="H12" s="11">
        <v>14520</v>
      </c>
      <c r="I12" s="12">
        <v>7260</v>
      </c>
      <c r="J12" s="11">
        <v>235950</v>
      </c>
      <c r="K12" s="12">
        <v>142175</v>
      </c>
      <c r="L12" s="16">
        <v>804045</v>
      </c>
      <c r="M12" s="17">
        <v>273460</v>
      </c>
      <c r="N12" s="16">
        <v>182710</v>
      </c>
      <c r="O12" s="11">
        <v>14520</v>
      </c>
      <c r="P12" s="11">
        <v>485210</v>
      </c>
      <c r="Q12" s="38">
        <v>32065</v>
      </c>
      <c r="R12" s="38"/>
      <c r="S12" s="39">
        <f t="shared" si="0"/>
        <v>2814460</v>
      </c>
    </row>
    <row r="13" spans="1:19">
      <c r="A13" s="9">
        <v>11</v>
      </c>
      <c r="B13" s="13">
        <v>4971710571837</v>
      </c>
      <c r="C13" s="14" t="s">
        <v>564</v>
      </c>
      <c r="D13" s="73" t="s">
        <v>924</v>
      </c>
      <c r="E13" s="15" t="s">
        <v>565</v>
      </c>
      <c r="F13" s="11">
        <v>364650</v>
      </c>
      <c r="G13" s="16">
        <v>24310</v>
      </c>
      <c r="H13" s="11">
        <v>17160</v>
      </c>
      <c r="I13" s="12">
        <v>329615</v>
      </c>
      <c r="J13" s="11">
        <v>193050</v>
      </c>
      <c r="K13" s="12">
        <v>135850</v>
      </c>
      <c r="L13" s="16">
        <v>657800</v>
      </c>
      <c r="M13" s="17">
        <v>619905</v>
      </c>
      <c r="N13" s="16">
        <v>530530</v>
      </c>
      <c r="O13" s="11">
        <v>17160</v>
      </c>
      <c r="P13" s="11"/>
      <c r="Q13" s="38">
        <v>35750</v>
      </c>
      <c r="R13" s="38">
        <v>8580</v>
      </c>
      <c r="S13" s="39">
        <f t="shared" si="0"/>
        <v>2934360</v>
      </c>
    </row>
    <row r="14" spans="1:19">
      <c r="A14" s="9">
        <v>12</v>
      </c>
      <c r="B14" s="13">
        <v>4971710590524</v>
      </c>
      <c r="C14" s="14" t="s">
        <v>790</v>
      </c>
      <c r="D14" s="72" t="s">
        <v>942</v>
      </c>
      <c r="E14" s="15" t="s">
        <v>791</v>
      </c>
      <c r="F14" s="11"/>
      <c r="G14" s="16"/>
      <c r="H14" s="11"/>
      <c r="I14" s="12"/>
      <c r="J14" s="11"/>
      <c r="K14" s="12"/>
      <c r="L14" s="16"/>
      <c r="M14" s="17"/>
      <c r="N14" s="16"/>
      <c r="O14" s="11">
        <v>234960</v>
      </c>
      <c r="P14" s="11">
        <v>1782000</v>
      </c>
      <c r="Q14" s="38"/>
      <c r="R14" s="38">
        <v>462000</v>
      </c>
      <c r="S14" s="39">
        <f t="shared" si="0"/>
        <v>2478960</v>
      </c>
    </row>
    <row r="15" spans="1:19">
      <c r="A15" s="9">
        <v>13</v>
      </c>
      <c r="B15" s="13">
        <v>4971710561395</v>
      </c>
      <c r="C15" s="14" t="s">
        <v>478</v>
      </c>
      <c r="D15" s="73" t="s">
        <v>922</v>
      </c>
      <c r="E15" s="15" t="s">
        <v>479</v>
      </c>
      <c r="F15" s="11">
        <v>19800</v>
      </c>
      <c r="G15" s="16">
        <v>297000</v>
      </c>
      <c r="H15" s="11">
        <v>39600</v>
      </c>
      <c r="I15" s="12">
        <v>118800</v>
      </c>
      <c r="J15" s="11">
        <v>49500</v>
      </c>
      <c r="K15" s="12">
        <v>59400</v>
      </c>
      <c r="L15" s="16">
        <v>390060</v>
      </c>
      <c r="M15" s="17">
        <v>314820</v>
      </c>
      <c r="N15" s="16">
        <v>247500</v>
      </c>
      <c r="O15" s="11">
        <v>669240</v>
      </c>
      <c r="P15" s="11"/>
      <c r="Q15" s="38">
        <v>129690</v>
      </c>
      <c r="R15" s="38"/>
      <c r="S15" s="39">
        <f t="shared" si="0"/>
        <v>2335410</v>
      </c>
    </row>
    <row r="16" spans="1:19">
      <c r="A16" s="9">
        <v>14</v>
      </c>
      <c r="B16" s="13">
        <v>4971710576573</v>
      </c>
      <c r="C16" s="14" t="s">
        <v>611</v>
      </c>
      <c r="D16" s="72" t="s">
        <v>942</v>
      </c>
      <c r="E16" s="15" t="s">
        <v>785</v>
      </c>
      <c r="F16" s="11"/>
      <c r="G16" s="16">
        <v>165000</v>
      </c>
      <c r="H16" s="11">
        <v>13200</v>
      </c>
      <c r="I16" s="12"/>
      <c r="J16" s="11">
        <v>31680</v>
      </c>
      <c r="K16" s="12">
        <v>4400</v>
      </c>
      <c r="L16" s="16">
        <v>388080</v>
      </c>
      <c r="M16" s="17">
        <v>51040</v>
      </c>
      <c r="N16" s="16">
        <v>4840</v>
      </c>
      <c r="O16" s="11">
        <v>220880</v>
      </c>
      <c r="P16" s="11">
        <v>12320</v>
      </c>
      <c r="Q16" s="38">
        <v>73920</v>
      </c>
      <c r="R16" s="38">
        <v>66880</v>
      </c>
      <c r="S16" s="39">
        <f t="shared" si="0"/>
        <v>1032240</v>
      </c>
    </row>
    <row r="17" spans="1:19">
      <c r="A17" s="9">
        <v>15</v>
      </c>
      <c r="B17" s="13">
        <v>4971710595543</v>
      </c>
      <c r="C17" s="14" t="s">
        <v>769</v>
      </c>
      <c r="D17" s="73" t="s">
        <v>924</v>
      </c>
      <c r="E17" s="15" t="s">
        <v>770</v>
      </c>
      <c r="F17" s="11"/>
      <c r="G17" s="16"/>
      <c r="H17" s="11"/>
      <c r="I17" s="12"/>
      <c r="J17" s="11"/>
      <c r="K17" s="12"/>
      <c r="L17" s="16"/>
      <c r="M17" s="17">
        <v>415800</v>
      </c>
      <c r="N17" s="16">
        <v>308000</v>
      </c>
      <c r="O17" s="11">
        <v>377300</v>
      </c>
      <c r="P17" s="11">
        <v>281050</v>
      </c>
      <c r="Q17" s="38">
        <v>275660</v>
      </c>
      <c r="R17" s="38">
        <v>69300</v>
      </c>
      <c r="S17" s="39">
        <f t="shared" si="0"/>
        <v>1727110</v>
      </c>
    </row>
    <row r="18" spans="1:19">
      <c r="A18" s="9">
        <v>16</v>
      </c>
      <c r="B18" s="13">
        <v>4971710595789</v>
      </c>
      <c r="C18" s="14" t="s">
        <v>819</v>
      </c>
      <c r="D18" s="73" t="s">
        <v>922</v>
      </c>
      <c r="E18" s="15" t="s">
        <v>827</v>
      </c>
      <c r="F18" s="11"/>
      <c r="G18" s="16"/>
      <c r="H18" s="11"/>
      <c r="I18" s="12"/>
      <c r="J18" s="11"/>
      <c r="K18" s="12"/>
      <c r="L18" s="16"/>
      <c r="M18" s="17"/>
      <c r="N18" s="16"/>
      <c r="O18" s="11"/>
      <c r="P18" s="11">
        <v>740520</v>
      </c>
      <c r="Q18" s="38"/>
      <c r="R18" s="38">
        <v>1138500</v>
      </c>
      <c r="S18" s="39">
        <f t="shared" si="0"/>
        <v>1879020</v>
      </c>
    </row>
    <row r="19" spans="1:19">
      <c r="A19" s="9">
        <v>17</v>
      </c>
      <c r="B19" s="13">
        <v>4971710556766</v>
      </c>
      <c r="C19" s="14" t="s">
        <v>444</v>
      </c>
      <c r="D19" s="72" t="s">
        <v>942</v>
      </c>
      <c r="E19" s="15" t="s">
        <v>445</v>
      </c>
      <c r="F19" s="11"/>
      <c r="G19" s="16">
        <v>221100</v>
      </c>
      <c r="H19" s="11">
        <v>75900</v>
      </c>
      <c r="I19" s="12">
        <v>21120</v>
      </c>
      <c r="J19" s="11">
        <v>377520</v>
      </c>
      <c r="K19" s="12">
        <v>79200</v>
      </c>
      <c r="L19" s="16">
        <v>270600</v>
      </c>
      <c r="M19" s="17">
        <v>91080</v>
      </c>
      <c r="N19" s="16">
        <v>11880</v>
      </c>
      <c r="O19" s="11">
        <v>79200</v>
      </c>
      <c r="P19" s="11"/>
      <c r="Q19" s="38"/>
      <c r="R19" s="38"/>
      <c r="S19" s="39">
        <f t="shared" si="0"/>
        <v>1227600</v>
      </c>
    </row>
    <row r="20" spans="1:19">
      <c r="A20" s="9">
        <v>18</v>
      </c>
      <c r="B20" s="13">
        <v>4971710577341</v>
      </c>
      <c r="C20" s="14" t="s">
        <v>619</v>
      </c>
      <c r="D20" s="73" t="s">
        <v>922</v>
      </c>
      <c r="E20" s="15" t="s">
        <v>620</v>
      </c>
      <c r="F20" s="11"/>
      <c r="G20" s="16"/>
      <c r="H20" s="11">
        <v>27500</v>
      </c>
      <c r="I20" s="12">
        <v>13750</v>
      </c>
      <c r="J20" s="11">
        <v>82500</v>
      </c>
      <c r="K20" s="12"/>
      <c r="L20" s="16">
        <v>1067000</v>
      </c>
      <c r="M20" s="17">
        <v>574750</v>
      </c>
      <c r="N20" s="16">
        <v>544500</v>
      </c>
      <c r="O20" s="11">
        <v>220000</v>
      </c>
      <c r="P20" s="11">
        <v>2128500</v>
      </c>
      <c r="Q20" s="38">
        <v>148500</v>
      </c>
      <c r="R20" s="38">
        <v>121000</v>
      </c>
      <c r="S20" s="39">
        <f t="shared" si="0"/>
        <v>4928000</v>
      </c>
    </row>
    <row r="21" spans="1:19">
      <c r="A21" s="9">
        <v>19</v>
      </c>
      <c r="B21" s="13">
        <v>4971710546071</v>
      </c>
      <c r="C21" s="14" t="str">
        <f>VLOOKUP(B21,[2]OBK!$E:$F,2,0)</f>
        <v>MUZU</v>
      </c>
      <c r="D21" s="73" t="s">
        <v>922</v>
      </c>
      <c r="E21" s="15" t="s">
        <v>894</v>
      </c>
      <c r="F21" s="11"/>
      <c r="G21" s="16">
        <v>63800</v>
      </c>
      <c r="H21" s="11"/>
      <c r="I21" s="12">
        <v>79750</v>
      </c>
      <c r="J21" s="11">
        <v>47850</v>
      </c>
      <c r="K21" s="12">
        <v>162690</v>
      </c>
      <c r="L21" s="16">
        <v>778360</v>
      </c>
      <c r="M21" s="17">
        <v>236060</v>
      </c>
      <c r="N21" s="16">
        <v>245630</v>
      </c>
      <c r="O21" s="11">
        <v>194590</v>
      </c>
      <c r="P21" s="11">
        <v>957000</v>
      </c>
      <c r="Q21" s="38">
        <v>47850</v>
      </c>
      <c r="R21" s="38">
        <v>9570</v>
      </c>
      <c r="S21" s="39">
        <f t="shared" si="0"/>
        <v>2823150</v>
      </c>
    </row>
    <row r="22" spans="1:19">
      <c r="A22" s="9">
        <v>20</v>
      </c>
      <c r="B22" s="13">
        <v>4971710580396</v>
      </c>
      <c r="C22" s="14" t="s">
        <v>678</v>
      </c>
      <c r="D22" s="73" t="s">
        <v>922</v>
      </c>
      <c r="E22" s="15" t="s">
        <v>620</v>
      </c>
      <c r="F22" s="11"/>
      <c r="G22" s="16">
        <v>91300</v>
      </c>
      <c r="H22" s="11">
        <v>45650</v>
      </c>
      <c r="I22" s="12">
        <v>159775</v>
      </c>
      <c r="J22" s="11">
        <v>136950</v>
      </c>
      <c r="K22" s="12"/>
      <c r="L22" s="16">
        <v>1460800</v>
      </c>
      <c r="M22" s="17">
        <v>1168640</v>
      </c>
      <c r="N22" s="16">
        <v>1415150</v>
      </c>
      <c r="O22" s="11">
        <v>547800</v>
      </c>
      <c r="P22" s="11">
        <v>2424015</v>
      </c>
      <c r="Q22" s="38">
        <v>365200</v>
      </c>
      <c r="R22" s="38">
        <v>27390</v>
      </c>
      <c r="S22" s="39">
        <f t="shared" si="0"/>
        <v>7842670</v>
      </c>
    </row>
    <row r="23" spans="1:19">
      <c r="A23" s="9">
        <v>21</v>
      </c>
      <c r="B23" s="13">
        <v>4971710471991</v>
      </c>
      <c r="C23" s="14" t="s">
        <v>20</v>
      </c>
      <c r="D23" s="73" t="s">
        <v>924</v>
      </c>
      <c r="E23" s="15" t="s">
        <v>21</v>
      </c>
      <c r="F23" s="11"/>
      <c r="G23" s="16"/>
      <c r="H23" s="11"/>
      <c r="I23" s="12">
        <v>460680</v>
      </c>
      <c r="J23" s="11">
        <v>539880</v>
      </c>
      <c r="K23" s="12">
        <v>0</v>
      </c>
      <c r="L23" s="16"/>
      <c r="M23" s="17"/>
      <c r="N23" s="16"/>
      <c r="O23" s="11"/>
      <c r="P23" s="11"/>
      <c r="Q23" s="38"/>
      <c r="R23" s="38"/>
      <c r="S23" s="39">
        <f t="shared" si="0"/>
        <v>1000560</v>
      </c>
    </row>
    <row r="24" spans="1:19">
      <c r="A24" s="9">
        <v>22</v>
      </c>
      <c r="B24" s="13">
        <v>4971710576641</v>
      </c>
      <c r="C24" s="14" t="s">
        <v>618</v>
      </c>
      <c r="D24" s="73" t="s">
        <v>922</v>
      </c>
      <c r="E24" s="15" t="s">
        <v>617</v>
      </c>
      <c r="F24" s="11">
        <v>36300</v>
      </c>
      <c r="G24" s="16">
        <v>81675</v>
      </c>
      <c r="H24" s="11">
        <v>72600</v>
      </c>
      <c r="I24" s="12">
        <v>45375</v>
      </c>
      <c r="J24" s="11">
        <v>181500</v>
      </c>
      <c r="K24" s="12">
        <v>87120</v>
      </c>
      <c r="L24" s="16">
        <v>235950</v>
      </c>
      <c r="M24" s="17">
        <v>123420</v>
      </c>
      <c r="N24" s="16">
        <v>134310</v>
      </c>
      <c r="O24" s="11">
        <v>245025</v>
      </c>
      <c r="P24" s="11">
        <v>1150710</v>
      </c>
      <c r="Q24" s="38">
        <v>145200</v>
      </c>
      <c r="R24" s="38">
        <v>3630</v>
      </c>
      <c r="S24" s="39">
        <f t="shared" si="0"/>
        <v>2542815</v>
      </c>
    </row>
    <row r="25" spans="1:19">
      <c r="A25" s="9">
        <v>23</v>
      </c>
      <c r="B25" s="13">
        <v>4971710557787</v>
      </c>
      <c r="C25" s="14" t="s">
        <v>462</v>
      </c>
      <c r="D25" s="73" t="s">
        <v>920</v>
      </c>
      <c r="E25" s="15" t="s">
        <v>463</v>
      </c>
      <c r="F25" s="11"/>
      <c r="G25" s="16">
        <v>14850</v>
      </c>
      <c r="H25" s="11">
        <v>14850</v>
      </c>
      <c r="I25" s="12">
        <v>9900</v>
      </c>
      <c r="J25" s="11">
        <v>42570</v>
      </c>
      <c r="K25" s="12">
        <v>49500</v>
      </c>
      <c r="L25" s="16">
        <v>110880</v>
      </c>
      <c r="M25" s="17">
        <v>2970</v>
      </c>
      <c r="N25" s="16">
        <v>74250</v>
      </c>
      <c r="O25" s="11">
        <v>139590</v>
      </c>
      <c r="P25" s="11">
        <v>74250</v>
      </c>
      <c r="Q25" s="38">
        <v>30690</v>
      </c>
      <c r="R25" s="38">
        <v>111870</v>
      </c>
      <c r="S25" s="39">
        <f t="shared" si="0"/>
        <v>676170</v>
      </c>
    </row>
    <row r="26" spans="1:19">
      <c r="A26" s="9">
        <v>24</v>
      </c>
      <c r="B26" s="13">
        <v>4971710580372</v>
      </c>
      <c r="C26" s="14" t="s">
        <v>677</v>
      </c>
      <c r="D26" s="73" t="s">
        <v>922</v>
      </c>
      <c r="E26" s="15" t="s">
        <v>620</v>
      </c>
      <c r="F26" s="11"/>
      <c r="G26" s="16"/>
      <c r="H26" s="11">
        <v>26400</v>
      </c>
      <c r="I26" s="12">
        <v>13200</v>
      </c>
      <c r="J26" s="11">
        <v>26400</v>
      </c>
      <c r="K26" s="12"/>
      <c r="L26" s="16">
        <v>844800</v>
      </c>
      <c r="M26" s="17">
        <v>359040</v>
      </c>
      <c r="N26" s="16">
        <v>179520</v>
      </c>
      <c r="O26" s="11">
        <v>132000</v>
      </c>
      <c r="P26" s="11"/>
      <c r="Q26" s="38">
        <v>1657920</v>
      </c>
      <c r="R26" s="38">
        <v>179520</v>
      </c>
      <c r="S26" s="39">
        <f t="shared" si="0"/>
        <v>3418800</v>
      </c>
    </row>
    <row r="27" spans="1:19">
      <c r="A27" s="9">
        <v>25</v>
      </c>
      <c r="B27" s="13">
        <v>4971710576634</v>
      </c>
      <c r="C27" s="14" t="s">
        <v>616</v>
      </c>
      <c r="D27" s="73" t="s">
        <v>922</v>
      </c>
      <c r="E27" s="15" t="s">
        <v>617</v>
      </c>
      <c r="F27" s="11">
        <v>57750</v>
      </c>
      <c r="G27" s="16">
        <v>115500</v>
      </c>
      <c r="H27" s="11">
        <v>279125</v>
      </c>
      <c r="I27" s="12">
        <v>21175</v>
      </c>
      <c r="J27" s="11">
        <v>96250</v>
      </c>
      <c r="K27" s="12">
        <v>9625</v>
      </c>
      <c r="L27" s="16">
        <v>375375</v>
      </c>
      <c r="M27" s="17">
        <v>157850</v>
      </c>
      <c r="N27" s="16">
        <v>11550</v>
      </c>
      <c r="O27" s="11">
        <v>134750</v>
      </c>
      <c r="P27" s="11">
        <v>1149225</v>
      </c>
      <c r="Q27" s="38">
        <v>34650</v>
      </c>
      <c r="R27" s="38">
        <v>30800</v>
      </c>
      <c r="S27" s="39">
        <f t="shared" si="0"/>
        <v>2473625</v>
      </c>
    </row>
    <row r="28" spans="1:19">
      <c r="A28" s="9">
        <v>26</v>
      </c>
      <c r="B28" s="13">
        <v>4971710592955</v>
      </c>
      <c r="C28" s="14" t="s">
        <v>739</v>
      </c>
      <c r="D28" s="73" t="s">
        <v>924</v>
      </c>
      <c r="E28" s="15" t="s">
        <v>740</v>
      </c>
      <c r="F28" s="11"/>
      <c r="G28" s="16"/>
      <c r="H28" s="11"/>
      <c r="I28" s="12"/>
      <c r="J28" s="11"/>
      <c r="K28" s="12"/>
      <c r="L28" s="16">
        <v>39325</v>
      </c>
      <c r="M28" s="17">
        <v>196625</v>
      </c>
      <c r="N28" s="16">
        <v>23595</v>
      </c>
      <c r="O28" s="11">
        <v>206305</v>
      </c>
      <c r="P28" s="11">
        <v>19360</v>
      </c>
      <c r="Q28" s="38"/>
      <c r="R28" s="38">
        <v>263780</v>
      </c>
      <c r="S28" s="39">
        <f t="shared" si="0"/>
        <v>748990</v>
      </c>
    </row>
    <row r="29" spans="1:19">
      <c r="A29" s="9">
        <v>27</v>
      </c>
      <c r="B29" s="13">
        <v>4971710549812</v>
      </c>
      <c r="C29" s="14" t="s">
        <v>437</v>
      </c>
      <c r="D29" s="73" t="s">
        <v>922</v>
      </c>
      <c r="E29" s="15" t="s">
        <v>435</v>
      </c>
      <c r="F29" s="11">
        <v>75900</v>
      </c>
      <c r="G29" s="16"/>
      <c r="H29" s="11">
        <v>189750</v>
      </c>
      <c r="I29" s="12">
        <v>113850</v>
      </c>
      <c r="J29" s="11">
        <v>75900</v>
      </c>
      <c r="K29" s="12">
        <v>478170</v>
      </c>
      <c r="L29" s="16">
        <v>455400</v>
      </c>
      <c r="M29" s="17">
        <v>409860</v>
      </c>
      <c r="N29" s="16">
        <v>527505</v>
      </c>
      <c r="O29" s="11">
        <v>645150</v>
      </c>
      <c r="P29" s="11">
        <v>595815</v>
      </c>
      <c r="Q29" s="38">
        <v>394680</v>
      </c>
      <c r="R29" s="38">
        <v>721050</v>
      </c>
      <c r="S29" s="39">
        <f t="shared" si="0"/>
        <v>4683030</v>
      </c>
    </row>
    <row r="30" spans="1:19">
      <c r="A30" s="9">
        <v>28</v>
      </c>
      <c r="B30" s="13">
        <v>4971710568899</v>
      </c>
      <c r="C30" s="14" t="s">
        <v>538</v>
      </c>
      <c r="D30" s="73" t="s">
        <v>922</v>
      </c>
      <c r="E30" s="15" t="s">
        <v>539</v>
      </c>
      <c r="F30" s="11">
        <v>29700</v>
      </c>
      <c r="G30" s="16">
        <v>14850</v>
      </c>
      <c r="H30" s="11">
        <v>14850</v>
      </c>
      <c r="I30" s="12">
        <v>7425</v>
      </c>
      <c r="J30" s="11">
        <v>170775</v>
      </c>
      <c r="K30" s="12"/>
      <c r="L30" s="16">
        <v>44550</v>
      </c>
      <c r="M30" s="17">
        <v>124740</v>
      </c>
      <c r="N30" s="16">
        <v>166320</v>
      </c>
      <c r="O30" s="11">
        <v>68310</v>
      </c>
      <c r="P30" s="11">
        <v>929610</v>
      </c>
      <c r="Q30" s="38">
        <v>89100</v>
      </c>
      <c r="R30" s="38">
        <v>2970</v>
      </c>
      <c r="S30" s="39">
        <f t="shared" si="0"/>
        <v>1663200</v>
      </c>
    </row>
    <row r="31" spans="1:19">
      <c r="A31" s="9">
        <v>29</v>
      </c>
      <c r="B31" s="13">
        <v>4971710549782</v>
      </c>
      <c r="C31" s="14" t="s">
        <v>434</v>
      </c>
      <c r="D31" s="73" t="s">
        <v>922</v>
      </c>
      <c r="E31" s="15" t="s">
        <v>435</v>
      </c>
      <c r="F31" s="11">
        <v>87450</v>
      </c>
      <c r="G31" s="16">
        <v>174900</v>
      </c>
      <c r="H31" s="11">
        <v>72875</v>
      </c>
      <c r="I31" s="12">
        <v>87450</v>
      </c>
      <c r="J31" s="11">
        <v>122430</v>
      </c>
      <c r="K31" s="12">
        <v>227370</v>
      </c>
      <c r="L31" s="16">
        <v>670450</v>
      </c>
      <c r="M31" s="17">
        <v>145750</v>
      </c>
      <c r="N31" s="16">
        <v>343970</v>
      </c>
      <c r="O31" s="11">
        <v>291500</v>
      </c>
      <c r="P31" s="11">
        <v>174900</v>
      </c>
      <c r="Q31" s="38">
        <v>256520</v>
      </c>
      <c r="R31" s="38">
        <v>574255</v>
      </c>
      <c r="S31" s="39">
        <f t="shared" si="0"/>
        <v>3229820</v>
      </c>
    </row>
    <row r="32" spans="1:19">
      <c r="A32" s="9">
        <v>30</v>
      </c>
      <c r="B32" s="13">
        <v>4971710524055</v>
      </c>
      <c r="C32" s="14" t="s">
        <v>398</v>
      </c>
      <c r="D32" s="73" t="s">
        <v>924</v>
      </c>
      <c r="E32" s="15" t="s">
        <v>399</v>
      </c>
      <c r="F32" s="11"/>
      <c r="G32" s="16"/>
      <c r="H32" s="11"/>
      <c r="I32" s="12">
        <v>60500</v>
      </c>
      <c r="J32" s="11">
        <v>9075</v>
      </c>
      <c r="K32" s="12">
        <v>72600</v>
      </c>
      <c r="L32" s="16">
        <v>176055</v>
      </c>
      <c r="M32" s="17">
        <v>73810</v>
      </c>
      <c r="N32" s="16">
        <v>151250</v>
      </c>
      <c r="O32" s="11">
        <v>3630</v>
      </c>
      <c r="P32" s="11">
        <v>24200</v>
      </c>
      <c r="Q32" s="38">
        <v>60500</v>
      </c>
      <c r="R32" s="38">
        <v>24200</v>
      </c>
      <c r="S32" s="39">
        <f t="shared" si="0"/>
        <v>655820</v>
      </c>
    </row>
    <row r="33" spans="1:19">
      <c r="A33" s="9">
        <v>31</v>
      </c>
      <c r="B33" s="13">
        <v>4971710549805</v>
      </c>
      <c r="C33" s="14" t="s">
        <v>436</v>
      </c>
      <c r="D33" s="73" t="s">
        <v>922</v>
      </c>
      <c r="E33" s="15" t="s">
        <v>435</v>
      </c>
      <c r="F33" s="11"/>
      <c r="G33" s="16">
        <v>192500</v>
      </c>
      <c r="H33" s="11">
        <v>55000</v>
      </c>
      <c r="I33" s="12">
        <v>68750</v>
      </c>
      <c r="J33" s="11">
        <v>68750</v>
      </c>
      <c r="K33" s="12">
        <v>198000</v>
      </c>
      <c r="L33" s="16">
        <v>871750</v>
      </c>
      <c r="M33" s="17">
        <v>203500</v>
      </c>
      <c r="N33" s="16">
        <v>192500</v>
      </c>
      <c r="O33" s="11">
        <v>82500</v>
      </c>
      <c r="P33" s="11">
        <v>855250</v>
      </c>
      <c r="Q33" s="38">
        <v>16500</v>
      </c>
      <c r="R33" s="38">
        <v>129250</v>
      </c>
      <c r="S33" s="39">
        <f t="shared" si="0"/>
        <v>2934250</v>
      </c>
    </row>
    <row r="34" spans="1:19">
      <c r="A34" s="9">
        <v>32</v>
      </c>
      <c r="B34" s="13">
        <v>4971710522839</v>
      </c>
      <c r="C34" s="14" t="s">
        <v>390</v>
      </c>
      <c r="D34" s="72" t="s">
        <v>944</v>
      </c>
      <c r="E34" s="15" t="s">
        <v>391</v>
      </c>
      <c r="F34" s="11"/>
      <c r="G34" s="16">
        <v>15400</v>
      </c>
      <c r="H34" s="11"/>
      <c r="I34" s="12"/>
      <c r="J34" s="11">
        <v>95040</v>
      </c>
      <c r="K34" s="12"/>
      <c r="L34" s="16">
        <v>52800</v>
      </c>
      <c r="M34" s="17"/>
      <c r="N34" s="16">
        <v>70400</v>
      </c>
      <c r="O34" s="11">
        <v>88000</v>
      </c>
      <c r="P34" s="11"/>
      <c r="Q34" s="38"/>
      <c r="R34" s="38">
        <v>132000</v>
      </c>
      <c r="S34" s="39">
        <f t="shared" si="0"/>
        <v>453640</v>
      </c>
    </row>
    <row r="35" spans="1:19">
      <c r="A35" s="9">
        <v>33</v>
      </c>
      <c r="B35" s="13">
        <v>4971710557718</v>
      </c>
      <c r="C35" s="14" t="s">
        <v>456</v>
      </c>
      <c r="D35" s="73" t="s">
        <v>920</v>
      </c>
      <c r="E35" s="15" t="s">
        <v>457</v>
      </c>
      <c r="F35" s="11">
        <v>6600</v>
      </c>
      <c r="G35" s="16">
        <v>23100</v>
      </c>
      <c r="H35" s="11">
        <v>23100</v>
      </c>
      <c r="I35" s="12">
        <v>3300</v>
      </c>
      <c r="J35" s="11">
        <v>39600</v>
      </c>
      <c r="K35" s="12">
        <v>3300</v>
      </c>
      <c r="L35" s="16">
        <v>93720</v>
      </c>
      <c r="M35" s="17">
        <v>101640</v>
      </c>
      <c r="N35" s="16">
        <v>15840</v>
      </c>
      <c r="O35" s="11">
        <v>113520</v>
      </c>
      <c r="P35" s="11">
        <v>73920</v>
      </c>
      <c r="Q35" s="38"/>
      <c r="R35" s="38">
        <v>155760</v>
      </c>
      <c r="S35" s="39">
        <f t="shared" si="0"/>
        <v>653400</v>
      </c>
    </row>
    <row r="36" spans="1:19">
      <c r="A36" s="9">
        <v>34</v>
      </c>
      <c r="B36" s="13">
        <v>4971710556865</v>
      </c>
      <c r="C36" s="14" t="s">
        <v>454</v>
      </c>
      <c r="D36" s="73" t="s">
        <v>924</v>
      </c>
      <c r="E36" s="15" t="s">
        <v>455</v>
      </c>
      <c r="F36" s="11">
        <v>70400</v>
      </c>
      <c r="G36" s="16">
        <v>30800</v>
      </c>
      <c r="H36" s="11">
        <v>18480</v>
      </c>
      <c r="I36" s="12">
        <v>44000</v>
      </c>
      <c r="J36" s="11">
        <v>58960</v>
      </c>
      <c r="K36" s="12"/>
      <c r="L36" s="16">
        <v>151360</v>
      </c>
      <c r="M36" s="17">
        <v>200640</v>
      </c>
      <c r="N36" s="16">
        <v>52800</v>
      </c>
      <c r="O36" s="11">
        <v>59840</v>
      </c>
      <c r="P36" s="11">
        <v>63360</v>
      </c>
      <c r="Q36" s="38">
        <v>13200</v>
      </c>
      <c r="R36" s="38">
        <v>95040</v>
      </c>
      <c r="S36" s="39">
        <f t="shared" si="0"/>
        <v>858880</v>
      </c>
    </row>
    <row r="37" spans="1:19">
      <c r="A37" s="9">
        <v>35</v>
      </c>
      <c r="B37" s="13">
        <v>4971710580600</v>
      </c>
      <c r="C37" s="14" t="str">
        <f>VLOOKUP(B37,[3]SEK!$E:$F,2,0)</f>
        <v>MTSW</v>
      </c>
      <c r="D37" s="73" t="s">
        <v>925</v>
      </c>
      <c r="E37" s="15" t="s">
        <v>896</v>
      </c>
      <c r="F37" s="11"/>
      <c r="G37" s="16"/>
      <c r="H37" s="11"/>
      <c r="I37" s="12"/>
      <c r="J37" s="11"/>
      <c r="K37" s="12"/>
      <c r="L37" s="16"/>
      <c r="M37" s="17"/>
      <c r="N37" s="16"/>
      <c r="O37" s="11"/>
      <c r="P37" s="11">
        <v>1706100</v>
      </c>
      <c r="Q37" s="38"/>
      <c r="R37" s="38">
        <v>780670</v>
      </c>
      <c r="S37" s="39">
        <f t="shared" si="0"/>
        <v>2486770</v>
      </c>
    </row>
    <row r="38" spans="1:19">
      <c r="A38" s="9">
        <v>36</v>
      </c>
      <c r="B38" s="13">
        <v>4971710556827</v>
      </c>
      <c r="C38" s="14" t="s">
        <v>446</v>
      </c>
      <c r="D38" s="73" t="s">
        <v>924</v>
      </c>
      <c r="E38" s="15" t="s">
        <v>447</v>
      </c>
      <c r="F38" s="11"/>
      <c r="G38" s="16"/>
      <c r="H38" s="11">
        <v>94050</v>
      </c>
      <c r="I38" s="12">
        <v>128700</v>
      </c>
      <c r="J38" s="11">
        <v>59400</v>
      </c>
      <c r="K38" s="12">
        <v>74250</v>
      </c>
      <c r="L38" s="16">
        <v>64350</v>
      </c>
      <c r="M38" s="17">
        <v>198990</v>
      </c>
      <c r="N38" s="16">
        <v>227700</v>
      </c>
      <c r="O38" s="11">
        <v>29700</v>
      </c>
      <c r="P38" s="11">
        <v>61380</v>
      </c>
      <c r="Q38" s="38">
        <v>8910</v>
      </c>
      <c r="R38" s="38">
        <v>3960</v>
      </c>
      <c r="S38" s="39">
        <f t="shared" si="0"/>
        <v>951390</v>
      </c>
    </row>
    <row r="39" spans="1:19">
      <c r="A39" s="9">
        <v>37</v>
      </c>
      <c r="B39" s="13">
        <v>4971710295252</v>
      </c>
      <c r="C39" s="14" t="str">
        <f>VLOOKUP(B39,[2]OBK!$E:$F,2,0)</f>
        <v>MUZP</v>
      </c>
      <c r="D39" s="73" t="s">
        <v>922</v>
      </c>
      <c r="E39" s="15" t="s">
        <v>895</v>
      </c>
      <c r="F39" s="11"/>
      <c r="G39" s="16">
        <v>34650</v>
      </c>
      <c r="H39" s="11"/>
      <c r="I39" s="12">
        <v>17325</v>
      </c>
      <c r="J39" s="11">
        <v>173250</v>
      </c>
      <c r="K39" s="12">
        <v>265650</v>
      </c>
      <c r="L39" s="16">
        <v>138600</v>
      </c>
      <c r="M39" s="17">
        <v>106260</v>
      </c>
      <c r="N39" s="16">
        <v>71610</v>
      </c>
      <c r="O39" s="11">
        <v>99330</v>
      </c>
      <c r="P39" s="11">
        <v>184800</v>
      </c>
      <c r="Q39" s="38"/>
      <c r="R39" s="38"/>
      <c r="S39" s="39">
        <f t="shared" si="0"/>
        <v>1091475</v>
      </c>
    </row>
    <row r="40" spans="1:19">
      <c r="A40" s="9">
        <v>38</v>
      </c>
      <c r="B40" s="13">
        <v>4971710595529</v>
      </c>
      <c r="C40" s="14" t="s">
        <v>765</v>
      </c>
      <c r="D40" s="73" t="s">
        <v>924</v>
      </c>
      <c r="E40" s="15" t="s">
        <v>766</v>
      </c>
      <c r="F40" s="11"/>
      <c r="G40" s="16"/>
      <c r="H40" s="11"/>
      <c r="I40" s="12"/>
      <c r="J40" s="11"/>
      <c r="K40" s="12"/>
      <c r="L40" s="16"/>
      <c r="M40" s="17">
        <v>22330</v>
      </c>
      <c r="N40" s="16">
        <v>104720</v>
      </c>
      <c r="O40" s="11">
        <v>133980</v>
      </c>
      <c r="P40" s="11">
        <v>127050</v>
      </c>
      <c r="Q40" s="38">
        <v>186340</v>
      </c>
      <c r="R40" s="38">
        <v>149380</v>
      </c>
      <c r="S40" s="39">
        <f t="shared" si="0"/>
        <v>723800</v>
      </c>
    </row>
    <row r="41" spans="1:19">
      <c r="A41" s="9">
        <v>39</v>
      </c>
      <c r="B41" s="13">
        <v>4971710563238</v>
      </c>
      <c r="C41" s="14" t="s">
        <v>480</v>
      </c>
      <c r="D41" s="72" t="s">
        <v>942</v>
      </c>
      <c r="E41" s="15" t="s">
        <v>481</v>
      </c>
      <c r="F41" s="11"/>
      <c r="G41" s="16">
        <v>19800</v>
      </c>
      <c r="H41" s="11"/>
      <c r="I41" s="12"/>
      <c r="J41" s="11">
        <v>110880</v>
      </c>
      <c r="K41" s="12">
        <v>42900</v>
      </c>
      <c r="L41" s="16">
        <v>79200</v>
      </c>
      <c r="M41" s="17"/>
      <c r="N41" s="16">
        <v>158400</v>
      </c>
      <c r="O41" s="11">
        <v>52800</v>
      </c>
      <c r="P41" s="11">
        <v>118800</v>
      </c>
      <c r="Q41" s="38"/>
      <c r="R41" s="38">
        <v>29700</v>
      </c>
      <c r="S41" s="39">
        <f t="shared" si="0"/>
        <v>612480</v>
      </c>
    </row>
    <row r="42" spans="1:19">
      <c r="A42" s="9">
        <v>40</v>
      </c>
      <c r="B42" s="13">
        <v>4971710571790</v>
      </c>
      <c r="C42" s="14" t="s">
        <v>556</v>
      </c>
      <c r="D42" s="73" t="s">
        <v>924</v>
      </c>
      <c r="E42" s="15" t="s">
        <v>557</v>
      </c>
      <c r="F42" s="11"/>
      <c r="G42" s="16">
        <v>15840</v>
      </c>
      <c r="H42" s="11">
        <v>15840</v>
      </c>
      <c r="I42" s="12">
        <v>106920</v>
      </c>
      <c r="J42" s="11"/>
      <c r="K42" s="12">
        <v>16500</v>
      </c>
      <c r="L42" s="16">
        <v>9900</v>
      </c>
      <c r="M42" s="17">
        <v>205920</v>
      </c>
      <c r="N42" s="16">
        <v>99000</v>
      </c>
      <c r="O42" s="11">
        <v>91080</v>
      </c>
      <c r="P42" s="11"/>
      <c r="Q42" s="38"/>
      <c r="R42" s="38">
        <v>5280</v>
      </c>
      <c r="S42" s="39">
        <f t="shared" si="0"/>
        <v>566280</v>
      </c>
    </row>
    <row r="43" spans="1:19">
      <c r="A43" s="9">
        <v>41</v>
      </c>
      <c r="B43" s="13">
        <v>4971710571844</v>
      </c>
      <c r="C43" s="14" t="s">
        <v>566</v>
      </c>
      <c r="D43" s="73" t="s">
        <v>924</v>
      </c>
      <c r="E43" s="15" t="s">
        <v>567</v>
      </c>
      <c r="F43" s="11">
        <v>143000</v>
      </c>
      <c r="G43" s="16"/>
      <c r="H43" s="11"/>
      <c r="I43" s="12"/>
      <c r="J43" s="11">
        <v>197340</v>
      </c>
      <c r="K43" s="12"/>
      <c r="L43" s="16">
        <v>71500</v>
      </c>
      <c r="M43" s="17">
        <v>78650</v>
      </c>
      <c r="N43" s="16">
        <v>21450</v>
      </c>
      <c r="O43" s="11"/>
      <c r="P43" s="11">
        <v>82225</v>
      </c>
      <c r="Q43" s="38"/>
      <c r="R43" s="38"/>
      <c r="S43" s="39">
        <f t="shared" si="0"/>
        <v>594165</v>
      </c>
    </row>
    <row r="44" spans="1:19">
      <c r="A44" s="9">
        <v>42</v>
      </c>
      <c r="B44" s="13">
        <v>4971710557732</v>
      </c>
      <c r="C44" s="14" t="s">
        <v>460</v>
      </c>
      <c r="D44" s="73" t="s">
        <v>920</v>
      </c>
      <c r="E44" s="15" t="s">
        <v>461</v>
      </c>
      <c r="F44" s="11">
        <v>6600</v>
      </c>
      <c r="G44" s="16">
        <v>33000</v>
      </c>
      <c r="H44" s="11">
        <v>26400</v>
      </c>
      <c r="I44" s="12">
        <v>3300</v>
      </c>
      <c r="J44" s="11">
        <v>6600</v>
      </c>
      <c r="K44" s="12">
        <v>3300</v>
      </c>
      <c r="L44" s="16">
        <v>87120</v>
      </c>
      <c r="M44" s="17">
        <v>123420</v>
      </c>
      <c r="N44" s="16">
        <v>3960</v>
      </c>
      <c r="O44" s="11">
        <v>43560</v>
      </c>
      <c r="P44" s="11">
        <v>73920</v>
      </c>
      <c r="Q44" s="38"/>
      <c r="R44" s="38">
        <v>124080</v>
      </c>
      <c r="S44" s="39">
        <f t="shared" si="0"/>
        <v>535260</v>
      </c>
    </row>
    <row r="45" spans="1:19">
      <c r="A45" s="9">
        <v>43</v>
      </c>
      <c r="B45" s="13">
        <v>4971710581911</v>
      </c>
      <c r="C45" s="14" t="s">
        <v>691</v>
      </c>
      <c r="D45" s="73" t="s">
        <v>924</v>
      </c>
      <c r="E45" s="15" t="s">
        <v>692</v>
      </c>
      <c r="F45" s="11"/>
      <c r="G45" s="16"/>
      <c r="H45" s="11">
        <v>214500</v>
      </c>
      <c r="I45" s="12">
        <v>214500</v>
      </c>
      <c r="J45" s="11">
        <v>28600</v>
      </c>
      <c r="K45" s="12"/>
      <c r="L45" s="16">
        <v>71500</v>
      </c>
      <c r="M45" s="17"/>
      <c r="N45" s="16"/>
      <c r="O45" s="11">
        <v>50050</v>
      </c>
      <c r="P45" s="11"/>
      <c r="Q45" s="38"/>
      <c r="R45" s="38"/>
      <c r="S45" s="39">
        <f t="shared" si="0"/>
        <v>579150</v>
      </c>
    </row>
    <row r="46" spans="1:19">
      <c r="A46" s="9">
        <v>44</v>
      </c>
      <c r="B46" s="13">
        <v>4971710489194</v>
      </c>
      <c r="C46" s="14" t="s">
        <v>88</v>
      </c>
      <c r="D46" s="73" t="s">
        <v>924</v>
      </c>
      <c r="E46" s="15" t="s">
        <v>89</v>
      </c>
      <c r="F46" s="11"/>
      <c r="G46" s="16"/>
      <c r="H46" s="11"/>
      <c r="I46" s="12">
        <v>27500</v>
      </c>
      <c r="J46" s="11">
        <v>60500</v>
      </c>
      <c r="K46" s="12">
        <v>5500</v>
      </c>
      <c r="L46" s="16">
        <v>38500</v>
      </c>
      <c r="M46" s="17">
        <v>49500</v>
      </c>
      <c r="N46" s="16"/>
      <c r="O46" s="11"/>
      <c r="P46" s="11">
        <v>143000</v>
      </c>
      <c r="Q46" s="38">
        <v>88000</v>
      </c>
      <c r="R46" s="38">
        <v>8250</v>
      </c>
      <c r="S46" s="39">
        <f t="shared" si="0"/>
        <v>420750</v>
      </c>
    </row>
    <row r="47" spans="1:19">
      <c r="A47" s="9">
        <v>45</v>
      </c>
      <c r="B47" s="13">
        <v>4971710299212</v>
      </c>
      <c r="C47" s="14" t="s">
        <v>14</v>
      </c>
      <c r="D47" s="73" t="s">
        <v>922</v>
      </c>
      <c r="E47" s="15" t="s">
        <v>15</v>
      </c>
      <c r="F47" s="11">
        <v>29700</v>
      </c>
      <c r="G47" s="16">
        <v>59400</v>
      </c>
      <c r="H47" s="11">
        <v>19800</v>
      </c>
      <c r="I47" s="12">
        <v>34650</v>
      </c>
      <c r="J47" s="11">
        <v>29700</v>
      </c>
      <c r="K47" s="12"/>
      <c r="L47" s="16">
        <v>556380</v>
      </c>
      <c r="M47" s="17"/>
      <c r="N47" s="16"/>
      <c r="O47" s="11"/>
      <c r="P47" s="11"/>
      <c r="Q47" s="38"/>
      <c r="R47" s="38"/>
      <c r="S47" s="39">
        <f t="shared" si="0"/>
        <v>729630</v>
      </c>
    </row>
    <row r="48" spans="1:19">
      <c r="A48" s="9">
        <v>46</v>
      </c>
      <c r="B48" s="13">
        <v>4971710556841</v>
      </c>
      <c r="C48" s="14" t="s">
        <v>450</v>
      </c>
      <c r="D48" s="73" t="s">
        <v>924</v>
      </c>
      <c r="E48" s="15" t="s">
        <v>451</v>
      </c>
      <c r="F48" s="11"/>
      <c r="G48" s="16"/>
      <c r="H48" s="11">
        <v>34650</v>
      </c>
      <c r="I48" s="12">
        <v>29700</v>
      </c>
      <c r="J48" s="11">
        <v>24750</v>
      </c>
      <c r="K48" s="12">
        <v>69300</v>
      </c>
      <c r="L48" s="16">
        <v>168300</v>
      </c>
      <c r="M48" s="17">
        <v>226710</v>
      </c>
      <c r="N48" s="16">
        <v>71280</v>
      </c>
      <c r="O48" s="11">
        <v>29700</v>
      </c>
      <c r="P48" s="11">
        <v>37620</v>
      </c>
      <c r="Q48" s="38">
        <v>9900</v>
      </c>
      <c r="R48" s="38">
        <v>1980</v>
      </c>
      <c r="S48" s="39">
        <f t="shared" si="0"/>
        <v>703890</v>
      </c>
    </row>
    <row r="49" spans="1:19">
      <c r="A49" s="9">
        <v>47</v>
      </c>
      <c r="B49" s="13">
        <v>4971710576627</v>
      </c>
      <c r="C49" s="14" t="s">
        <v>614</v>
      </c>
      <c r="D49" s="73" t="s">
        <v>924</v>
      </c>
      <c r="E49" s="15" t="s">
        <v>615</v>
      </c>
      <c r="F49" s="11"/>
      <c r="G49" s="16"/>
      <c r="H49" s="11">
        <v>18480</v>
      </c>
      <c r="I49" s="12">
        <v>154000</v>
      </c>
      <c r="J49" s="11"/>
      <c r="K49" s="12"/>
      <c r="L49" s="16">
        <v>7700</v>
      </c>
      <c r="M49" s="17">
        <v>232540</v>
      </c>
      <c r="N49" s="16">
        <v>23100</v>
      </c>
      <c r="O49" s="11">
        <v>9240</v>
      </c>
      <c r="P49" s="11">
        <v>23100</v>
      </c>
      <c r="Q49" s="38"/>
      <c r="R49" s="38">
        <v>73920</v>
      </c>
      <c r="S49" s="39">
        <f t="shared" si="0"/>
        <v>542080</v>
      </c>
    </row>
    <row r="50" spans="1:19">
      <c r="A50" s="9">
        <v>48</v>
      </c>
      <c r="B50" s="13">
        <v>4971710593037</v>
      </c>
      <c r="C50" s="14" t="s">
        <v>755</v>
      </c>
      <c r="D50" s="73" t="s">
        <v>924</v>
      </c>
      <c r="E50" s="15" t="s">
        <v>756</v>
      </c>
      <c r="F50" s="11"/>
      <c r="G50" s="16"/>
      <c r="H50" s="11"/>
      <c r="I50" s="12"/>
      <c r="J50" s="11"/>
      <c r="K50" s="12"/>
      <c r="L50" s="16">
        <v>112200</v>
      </c>
      <c r="M50" s="17">
        <v>181390</v>
      </c>
      <c r="N50" s="16">
        <v>46750</v>
      </c>
      <c r="O50" s="11">
        <v>39270</v>
      </c>
      <c r="P50" s="11">
        <v>116875</v>
      </c>
      <c r="Q50" s="38"/>
      <c r="R50" s="38">
        <v>160820</v>
      </c>
      <c r="S50" s="39">
        <f t="shared" si="0"/>
        <v>657305</v>
      </c>
    </row>
    <row r="51" spans="1:19">
      <c r="A51" s="9">
        <v>49</v>
      </c>
      <c r="B51" s="13">
        <v>4971710295818</v>
      </c>
      <c r="C51" s="14" t="str">
        <f>VLOOKUP(B51,[2]OBK!$E:$F,2,0)</f>
        <v>MUWT</v>
      </c>
      <c r="D51" s="73" t="s">
        <v>922</v>
      </c>
      <c r="E51" s="15" t="s">
        <v>13</v>
      </c>
      <c r="F51" s="11"/>
      <c r="G51" s="16">
        <v>40700</v>
      </c>
      <c r="H51" s="11"/>
      <c r="I51" s="12">
        <v>20350</v>
      </c>
      <c r="J51" s="11">
        <v>40700</v>
      </c>
      <c r="K51" s="12">
        <v>97680</v>
      </c>
      <c r="L51" s="16">
        <v>496540</v>
      </c>
      <c r="M51" s="17">
        <v>463980</v>
      </c>
      <c r="N51" s="16">
        <v>427350</v>
      </c>
      <c r="O51" s="11">
        <v>268620</v>
      </c>
      <c r="P51" s="11">
        <v>602360</v>
      </c>
      <c r="Q51" s="38">
        <v>203500</v>
      </c>
      <c r="R51" s="38">
        <v>179080</v>
      </c>
      <c r="S51" s="39">
        <f t="shared" si="0"/>
        <v>2840860</v>
      </c>
    </row>
    <row r="52" spans="1:19">
      <c r="A52" s="9">
        <v>50</v>
      </c>
      <c r="B52" s="13">
        <v>4971710582864</v>
      </c>
      <c r="C52" s="14" t="s">
        <v>695</v>
      </c>
      <c r="D52" s="73" t="s">
        <v>924</v>
      </c>
      <c r="E52" s="15" t="s">
        <v>696</v>
      </c>
      <c r="F52" s="11"/>
      <c r="G52" s="16">
        <v>35750</v>
      </c>
      <c r="H52" s="11">
        <v>7150</v>
      </c>
      <c r="I52" s="12">
        <v>30030</v>
      </c>
      <c r="J52" s="11">
        <v>114400</v>
      </c>
      <c r="K52" s="12">
        <v>14300</v>
      </c>
      <c r="L52" s="16"/>
      <c r="M52" s="17">
        <v>225940</v>
      </c>
      <c r="N52" s="16">
        <v>5720</v>
      </c>
      <c r="O52" s="11">
        <v>4290</v>
      </c>
      <c r="P52" s="11">
        <v>30030</v>
      </c>
      <c r="Q52" s="38"/>
      <c r="R52" s="38">
        <v>1430</v>
      </c>
      <c r="S52" s="39">
        <f t="shared" si="0"/>
        <v>469040</v>
      </c>
    </row>
    <row r="53" spans="1:19">
      <c r="A53" s="9">
        <v>51</v>
      </c>
      <c r="B53" s="13">
        <v>4971710278521</v>
      </c>
      <c r="C53" s="14" t="s">
        <v>5</v>
      </c>
      <c r="D53" s="73" t="s">
        <v>922</v>
      </c>
      <c r="E53" s="15" t="s">
        <v>6</v>
      </c>
      <c r="F53" s="11">
        <v>49500</v>
      </c>
      <c r="G53" s="16">
        <v>24750</v>
      </c>
      <c r="H53" s="11"/>
      <c r="I53" s="12">
        <v>49500</v>
      </c>
      <c r="J53" s="11">
        <v>79200</v>
      </c>
      <c r="K53" s="12">
        <v>237600</v>
      </c>
      <c r="L53" s="16"/>
      <c r="M53" s="17"/>
      <c r="N53" s="16">
        <v>148500</v>
      </c>
      <c r="O53" s="11"/>
      <c r="P53" s="11">
        <v>952875</v>
      </c>
      <c r="Q53" s="38"/>
      <c r="R53" s="38">
        <v>79200</v>
      </c>
      <c r="S53" s="39">
        <f t="shared" si="0"/>
        <v>1621125</v>
      </c>
    </row>
    <row r="54" spans="1:19">
      <c r="A54" s="9">
        <v>52</v>
      </c>
      <c r="B54" s="13">
        <v>4971710595499</v>
      </c>
      <c r="C54" s="14" t="s">
        <v>759</v>
      </c>
      <c r="D54" s="73" t="s">
        <v>924</v>
      </c>
      <c r="E54" s="15" t="s">
        <v>760</v>
      </c>
      <c r="F54" s="11"/>
      <c r="G54" s="16"/>
      <c r="H54" s="11"/>
      <c r="I54" s="12"/>
      <c r="J54" s="11"/>
      <c r="K54" s="12"/>
      <c r="L54" s="16"/>
      <c r="M54" s="17">
        <v>47740</v>
      </c>
      <c r="N54" s="16">
        <v>169400</v>
      </c>
      <c r="O54" s="11">
        <v>84700</v>
      </c>
      <c r="P54" s="11">
        <v>29260</v>
      </c>
      <c r="Q54" s="38">
        <v>166320</v>
      </c>
      <c r="R54" s="38"/>
      <c r="S54" s="39">
        <f t="shared" si="0"/>
        <v>497420</v>
      </c>
    </row>
    <row r="55" spans="1:19">
      <c r="A55" s="9">
        <v>53</v>
      </c>
      <c r="B55" s="13">
        <v>4971710561210</v>
      </c>
      <c r="C55" s="14" t="s">
        <v>464</v>
      </c>
      <c r="D55" s="73" t="s">
        <v>924</v>
      </c>
      <c r="E55" s="15" t="s">
        <v>465</v>
      </c>
      <c r="F55" s="11"/>
      <c r="G55" s="16">
        <v>23100</v>
      </c>
      <c r="H55" s="11">
        <v>3850</v>
      </c>
      <c r="I55" s="12">
        <v>77000</v>
      </c>
      <c r="J55" s="11">
        <v>30800</v>
      </c>
      <c r="K55" s="12"/>
      <c r="L55" s="16">
        <v>70070</v>
      </c>
      <c r="M55" s="17">
        <v>61600</v>
      </c>
      <c r="N55" s="16">
        <v>1540</v>
      </c>
      <c r="O55" s="11">
        <v>64680</v>
      </c>
      <c r="P55" s="11">
        <v>83160</v>
      </c>
      <c r="Q55" s="38">
        <v>3850</v>
      </c>
      <c r="R55" s="38">
        <v>50820</v>
      </c>
      <c r="S55" s="39">
        <f t="shared" si="0"/>
        <v>470470</v>
      </c>
    </row>
    <row r="56" spans="1:19">
      <c r="A56" s="9">
        <v>54</v>
      </c>
      <c r="B56" s="13">
        <v>4971710557725</v>
      </c>
      <c r="C56" s="14" t="s">
        <v>458</v>
      </c>
      <c r="D56" s="73" t="s">
        <v>920</v>
      </c>
      <c r="E56" s="15" t="s">
        <v>459</v>
      </c>
      <c r="F56" s="11">
        <v>6600</v>
      </c>
      <c r="G56" s="16">
        <v>36300</v>
      </c>
      <c r="H56" s="11"/>
      <c r="I56" s="12"/>
      <c r="J56" s="11">
        <v>19800</v>
      </c>
      <c r="K56" s="12"/>
      <c r="L56" s="16">
        <v>82500</v>
      </c>
      <c r="M56" s="17">
        <v>23760</v>
      </c>
      <c r="N56" s="16">
        <v>26400</v>
      </c>
      <c r="O56" s="11">
        <v>79200</v>
      </c>
      <c r="P56" s="11">
        <v>73920</v>
      </c>
      <c r="Q56" s="38"/>
      <c r="R56" s="38">
        <v>47520</v>
      </c>
      <c r="S56" s="39">
        <f t="shared" si="0"/>
        <v>396000</v>
      </c>
    </row>
    <row r="57" spans="1:19">
      <c r="A57" s="9">
        <v>55</v>
      </c>
      <c r="B57" s="13">
        <v>4971710494211</v>
      </c>
      <c r="C57" s="14" t="s">
        <v>122</v>
      </c>
      <c r="D57" s="73" t="s">
        <v>924</v>
      </c>
      <c r="E57" s="15" t="s">
        <v>123</v>
      </c>
      <c r="F57" s="11">
        <v>38610</v>
      </c>
      <c r="G57" s="16">
        <v>1485</v>
      </c>
      <c r="H57" s="11"/>
      <c r="I57" s="12">
        <v>16632</v>
      </c>
      <c r="J57" s="11"/>
      <c r="K57" s="12">
        <v>10395</v>
      </c>
      <c r="L57" s="16">
        <v>7721</v>
      </c>
      <c r="M57" s="17">
        <v>3564</v>
      </c>
      <c r="N57" s="16">
        <v>2970</v>
      </c>
      <c r="O57" s="11">
        <v>20196</v>
      </c>
      <c r="P57" s="11">
        <v>11880</v>
      </c>
      <c r="Q57" s="38">
        <v>3564</v>
      </c>
      <c r="R57" s="38">
        <v>60588</v>
      </c>
      <c r="S57" s="39">
        <f t="shared" si="0"/>
        <v>177605</v>
      </c>
    </row>
    <row r="58" spans="1:19">
      <c r="A58" s="9">
        <v>56</v>
      </c>
      <c r="B58" s="13">
        <v>4971710593044</v>
      </c>
      <c r="C58" s="14" t="s">
        <v>757</v>
      </c>
      <c r="D58" s="73" t="s">
        <v>924</v>
      </c>
      <c r="E58" s="15" t="s">
        <v>758</v>
      </c>
      <c r="F58" s="11"/>
      <c r="G58" s="16"/>
      <c r="H58" s="11"/>
      <c r="I58" s="12"/>
      <c r="J58" s="11"/>
      <c r="K58" s="12"/>
      <c r="L58" s="16">
        <v>112200</v>
      </c>
      <c r="M58" s="17">
        <v>184195</v>
      </c>
      <c r="N58" s="16">
        <v>11220</v>
      </c>
      <c r="O58" s="11">
        <v>33660</v>
      </c>
      <c r="P58" s="11">
        <v>93500</v>
      </c>
      <c r="Q58" s="38"/>
      <c r="R58" s="38">
        <v>95370</v>
      </c>
      <c r="S58" s="39">
        <f t="shared" si="0"/>
        <v>530145</v>
      </c>
    </row>
    <row r="59" spans="1:19">
      <c r="A59" s="9">
        <v>57</v>
      </c>
      <c r="B59" s="13">
        <v>4971710494204</v>
      </c>
      <c r="C59" s="14" t="s">
        <v>120</v>
      </c>
      <c r="D59" s="73" t="s">
        <v>924</v>
      </c>
      <c r="E59" s="15" t="s">
        <v>121</v>
      </c>
      <c r="F59" s="11"/>
      <c r="G59" s="16">
        <v>1485</v>
      </c>
      <c r="H59" s="11">
        <v>14850</v>
      </c>
      <c r="I59" s="12">
        <v>25245</v>
      </c>
      <c r="J59" s="11"/>
      <c r="K59" s="12"/>
      <c r="L59" s="16">
        <v>23760</v>
      </c>
      <c r="M59" s="17">
        <v>45144</v>
      </c>
      <c r="N59" s="16">
        <v>1782</v>
      </c>
      <c r="O59" s="11">
        <v>16632</v>
      </c>
      <c r="P59" s="11">
        <v>31482</v>
      </c>
      <c r="Q59" s="38">
        <v>1782</v>
      </c>
      <c r="R59" s="38">
        <v>4752</v>
      </c>
      <c r="S59" s="39">
        <f t="shared" si="0"/>
        <v>166914</v>
      </c>
    </row>
    <row r="60" spans="1:19">
      <c r="A60" s="9">
        <v>58</v>
      </c>
      <c r="B60" s="13">
        <v>4971710541212</v>
      </c>
      <c r="C60" s="14" t="s">
        <v>432</v>
      </c>
      <c r="D60" s="73" t="s">
        <v>922</v>
      </c>
      <c r="E60" s="15" t="s">
        <v>433</v>
      </c>
      <c r="F60" s="11"/>
      <c r="G60" s="16">
        <v>17600</v>
      </c>
      <c r="H60" s="11"/>
      <c r="I60" s="12">
        <v>17600</v>
      </c>
      <c r="J60" s="11">
        <v>17600</v>
      </c>
      <c r="K60" s="12"/>
      <c r="L60" s="16">
        <v>242880</v>
      </c>
      <c r="M60" s="17">
        <v>28160</v>
      </c>
      <c r="N60" s="16"/>
      <c r="O60" s="11">
        <v>75680</v>
      </c>
      <c r="P60" s="11">
        <v>561440</v>
      </c>
      <c r="Q60" s="38"/>
      <c r="R60" s="38">
        <v>1760</v>
      </c>
      <c r="S60" s="39">
        <f t="shared" si="0"/>
        <v>962720</v>
      </c>
    </row>
    <row r="61" spans="1:19">
      <c r="A61" s="9">
        <v>59</v>
      </c>
      <c r="B61" s="13">
        <v>4971710513622</v>
      </c>
      <c r="C61" s="14" t="s">
        <v>260</v>
      </c>
      <c r="D61" s="73" t="s">
        <v>920</v>
      </c>
      <c r="E61" s="15" t="s">
        <v>261</v>
      </c>
      <c r="F61" s="11"/>
      <c r="G61" s="16">
        <v>9060</v>
      </c>
      <c r="H61" s="11"/>
      <c r="I61" s="12">
        <v>15100</v>
      </c>
      <c r="J61" s="11">
        <v>9060</v>
      </c>
      <c r="K61" s="12"/>
      <c r="L61" s="16">
        <v>74291</v>
      </c>
      <c r="M61" s="17"/>
      <c r="N61" s="16"/>
      <c r="O61" s="11">
        <v>1812</v>
      </c>
      <c r="P61" s="11">
        <v>18120</v>
      </c>
      <c r="Q61" s="38">
        <v>7248</v>
      </c>
      <c r="R61" s="38">
        <v>19328</v>
      </c>
      <c r="S61" s="39">
        <f t="shared" si="0"/>
        <v>154019</v>
      </c>
    </row>
    <row r="62" spans="1:19">
      <c r="A62" s="9">
        <v>60</v>
      </c>
      <c r="B62" s="13">
        <v>4971710588125</v>
      </c>
      <c r="C62" s="14" t="s">
        <v>717</v>
      </c>
      <c r="D62" s="73" t="s">
        <v>924</v>
      </c>
      <c r="E62" s="15" t="s">
        <v>718</v>
      </c>
      <c r="F62" s="11"/>
      <c r="G62" s="16"/>
      <c r="H62" s="11"/>
      <c r="I62" s="12"/>
      <c r="J62" s="11">
        <v>214500</v>
      </c>
      <c r="K62" s="12">
        <v>51480</v>
      </c>
      <c r="L62" s="16">
        <v>10725</v>
      </c>
      <c r="M62" s="17">
        <v>4290</v>
      </c>
      <c r="N62" s="16">
        <v>47190</v>
      </c>
      <c r="O62" s="11">
        <v>25740</v>
      </c>
      <c r="P62" s="11"/>
      <c r="Q62" s="38"/>
      <c r="R62" s="38">
        <v>1430</v>
      </c>
      <c r="S62" s="39">
        <f t="shared" si="0"/>
        <v>355355</v>
      </c>
    </row>
    <row r="63" spans="1:19">
      <c r="A63" s="9">
        <v>61</v>
      </c>
      <c r="B63" s="13">
        <v>4971710581928</v>
      </c>
      <c r="C63" s="14" t="str">
        <f>VLOOKUP(B63,[3]SEK!$E:$F,2,0)</f>
        <v>MTSX</v>
      </c>
      <c r="D63" s="73" t="s">
        <v>925</v>
      </c>
      <c r="E63" s="15" t="s">
        <v>897</v>
      </c>
      <c r="F63" s="11"/>
      <c r="G63" s="16"/>
      <c r="H63" s="11"/>
      <c r="I63" s="12"/>
      <c r="J63" s="11"/>
      <c r="K63" s="12"/>
      <c r="L63" s="16"/>
      <c r="M63" s="17"/>
      <c r="N63" s="16"/>
      <c r="O63" s="11"/>
      <c r="P63" s="11">
        <v>813120</v>
      </c>
      <c r="Q63" s="38">
        <v>35200</v>
      </c>
      <c r="R63" s="38">
        <v>21120</v>
      </c>
      <c r="S63" s="39">
        <f t="shared" si="0"/>
        <v>869440</v>
      </c>
    </row>
    <row r="64" spans="1:19">
      <c r="A64" s="9">
        <v>62</v>
      </c>
      <c r="B64" s="13">
        <v>4971710595536</v>
      </c>
      <c r="C64" s="14" t="s">
        <v>767</v>
      </c>
      <c r="D64" s="73" t="s">
        <v>924</v>
      </c>
      <c r="E64" s="15" t="s">
        <v>768</v>
      </c>
      <c r="F64" s="11"/>
      <c r="G64" s="16"/>
      <c r="H64" s="11"/>
      <c r="I64" s="12"/>
      <c r="J64" s="11"/>
      <c r="K64" s="12"/>
      <c r="L64" s="16"/>
      <c r="M64" s="17">
        <v>49280</v>
      </c>
      <c r="N64" s="16">
        <v>104720</v>
      </c>
      <c r="O64" s="11">
        <v>135520</v>
      </c>
      <c r="P64" s="11">
        <v>23100</v>
      </c>
      <c r="Q64" s="38">
        <v>66220</v>
      </c>
      <c r="R64" s="38"/>
      <c r="S64" s="39">
        <f t="shared" si="0"/>
        <v>378840</v>
      </c>
    </row>
    <row r="65" spans="1:19">
      <c r="A65" s="9">
        <v>63</v>
      </c>
      <c r="B65" s="13">
        <v>4971710490756</v>
      </c>
      <c r="C65" s="14" t="s">
        <v>94</v>
      </c>
      <c r="D65" s="73" t="s">
        <v>924</v>
      </c>
      <c r="E65" s="15" t="s">
        <v>95</v>
      </c>
      <c r="F65" s="11"/>
      <c r="G65" s="16"/>
      <c r="H65" s="11"/>
      <c r="I65" s="12">
        <v>33000</v>
      </c>
      <c r="J65" s="11">
        <v>5500</v>
      </c>
      <c r="K65" s="12"/>
      <c r="L65" s="16">
        <v>82500</v>
      </c>
      <c r="M65" s="17">
        <v>99000</v>
      </c>
      <c r="N65" s="16"/>
      <c r="O65" s="11">
        <v>16500</v>
      </c>
      <c r="P65" s="11"/>
      <c r="Q65" s="38"/>
      <c r="R65" s="38">
        <v>16500</v>
      </c>
      <c r="S65" s="39">
        <f t="shared" si="0"/>
        <v>253000</v>
      </c>
    </row>
    <row r="66" spans="1:19">
      <c r="A66" s="9">
        <v>64</v>
      </c>
      <c r="B66" s="13">
        <v>4971710561241</v>
      </c>
      <c r="C66" s="14" t="s">
        <v>470</v>
      </c>
      <c r="D66" s="73" t="s">
        <v>924</v>
      </c>
      <c r="E66" s="15" t="s">
        <v>471</v>
      </c>
      <c r="F66" s="11"/>
      <c r="G66" s="16"/>
      <c r="H66" s="11"/>
      <c r="I66" s="12">
        <v>42350</v>
      </c>
      <c r="J66" s="11">
        <v>231000</v>
      </c>
      <c r="K66" s="12">
        <v>3850</v>
      </c>
      <c r="L66" s="16">
        <v>9240</v>
      </c>
      <c r="M66" s="17">
        <v>7700</v>
      </c>
      <c r="N66" s="16">
        <v>1540</v>
      </c>
      <c r="O66" s="11">
        <v>20020</v>
      </c>
      <c r="P66" s="11">
        <v>1540</v>
      </c>
      <c r="Q66" s="38">
        <v>7700</v>
      </c>
      <c r="R66" s="38">
        <v>24640</v>
      </c>
      <c r="S66" s="39">
        <f t="shared" si="0"/>
        <v>349580</v>
      </c>
    </row>
    <row r="67" spans="1:19">
      <c r="A67" s="9">
        <v>65</v>
      </c>
      <c r="B67" s="13">
        <v>4971710576610</v>
      </c>
      <c r="C67" s="14" t="s">
        <v>612</v>
      </c>
      <c r="D67" s="73" t="s">
        <v>924</v>
      </c>
      <c r="E67" s="15" t="s">
        <v>613</v>
      </c>
      <c r="F67" s="11"/>
      <c r="G67" s="16"/>
      <c r="H67" s="11">
        <v>18480</v>
      </c>
      <c r="I67" s="12">
        <v>154000</v>
      </c>
      <c r="J67" s="11"/>
      <c r="K67" s="12"/>
      <c r="L67" s="16">
        <v>7700</v>
      </c>
      <c r="M67" s="17">
        <v>117040</v>
      </c>
      <c r="N67" s="16">
        <v>23100</v>
      </c>
      <c r="O67" s="11">
        <v>4620</v>
      </c>
      <c r="P67" s="11"/>
      <c r="Q67" s="38"/>
      <c r="R67" s="38">
        <v>23100</v>
      </c>
      <c r="S67" s="39">
        <f t="shared" ref="S67:S130" si="1">F67+G67+H67+I67+J67+K67+L67+M67+N67+ O67+P67+Q67+R67</f>
        <v>348040</v>
      </c>
    </row>
    <row r="68" spans="1:19">
      <c r="A68" s="9">
        <v>66</v>
      </c>
      <c r="B68" s="13">
        <v>4971710569193</v>
      </c>
      <c r="C68" s="14" t="s">
        <v>542</v>
      </c>
      <c r="D68" s="73" t="s">
        <v>920</v>
      </c>
      <c r="E68" s="15" t="s">
        <v>543</v>
      </c>
      <c r="F68" s="11">
        <v>6600</v>
      </c>
      <c r="G68" s="16">
        <v>19800</v>
      </c>
      <c r="H68" s="11">
        <v>3300</v>
      </c>
      <c r="I68" s="12">
        <v>26400</v>
      </c>
      <c r="J68" s="11">
        <v>6600</v>
      </c>
      <c r="K68" s="12"/>
      <c r="L68" s="16">
        <v>90420</v>
      </c>
      <c r="M68" s="17">
        <v>55440</v>
      </c>
      <c r="N68" s="16"/>
      <c r="O68" s="11">
        <v>40920</v>
      </c>
      <c r="P68" s="11">
        <v>33000</v>
      </c>
      <c r="Q68" s="38">
        <v>7920</v>
      </c>
      <c r="R68" s="38"/>
      <c r="S68" s="39">
        <f t="shared" si="1"/>
        <v>290400</v>
      </c>
    </row>
    <row r="69" spans="1:19">
      <c r="A69" s="9">
        <v>67</v>
      </c>
      <c r="B69" s="13">
        <v>4971710523065</v>
      </c>
      <c r="C69" s="14" t="s">
        <v>394</v>
      </c>
      <c r="D69" s="73" t="s">
        <v>920</v>
      </c>
      <c r="E69" s="15" t="s">
        <v>395</v>
      </c>
      <c r="F69" s="11">
        <v>5280</v>
      </c>
      <c r="G69" s="16">
        <v>4400</v>
      </c>
      <c r="H69" s="11"/>
      <c r="I69" s="12">
        <v>3520</v>
      </c>
      <c r="J69" s="11">
        <v>44880</v>
      </c>
      <c r="K69" s="12"/>
      <c r="L69" s="16">
        <v>84480</v>
      </c>
      <c r="M69" s="17">
        <v>5280</v>
      </c>
      <c r="N69" s="16">
        <v>68640</v>
      </c>
      <c r="O69" s="11">
        <v>9680</v>
      </c>
      <c r="P69" s="11">
        <v>70400</v>
      </c>
      <c r="Q69" s="38"/>
      <c r="R69" s="38">
        <v>86240</v>
      </c>
      <c r="S69" s="39">
        <f t="shared" si="1"/>
        <v>382800</v>
      </c>
    </row>
    <row r="70" spans="1:19">
      <c r="A70" s="9">
        <v>68</v>
      </c>
      <c r="B70" s="13">
        <v>4971710573855</v>
      </c>
      <c r="C70" s="14" t="str">
        <f>VLOOKUP(B70,[3]SEK!$E:$F,2,0)</f>
        <v>MTSC</v>
      </c>
      <c r="D70" s="73" t="s">
        <v>925</v>
      </c>
      <c r="E70" s="15" t="s">
        <v>898</v>
      </c>
      <c r="F70" s="11"/>
      <c r="G70" s="16"/>
      <c r="H70" s="11"/>
      <c r="I70" s="12"/>
      <c r="J70" s="11"/>
      <c r="K70" s="12"/>
      <c r="L70" s="16"/>
      <c r="M70" s="17"/>
      <c r="N70" s="16"/>
      <c r="O70" s="11"/>
      <c r="P70" s="11">
        <v>519750</v>
      </c>
      <c r="Q70" s="38"/>
      <c r="R70" s="38">
        <v>311850</v>
      </c>
      <c r="S70" s="39">
        <f t="shared" si="1"/>
        <v>831600</v>
      </c>
    </row>
    <row r="71" spans="1:19">
      <c r="A71" s="9">
        <v>69</v>
      </c>
      <c r="B71" s="13">
        <v>4971710494914</v>
      </c>
      <c r="C71" s="14" t="s">
        <v>132</v>
      </c>
      <c r="D71" s="73" t="s">
        <v>924</v>
      </c>
      <c r="E71" s="15" t="s">
        <v>133</v>
      </c>
      <c r="F71" s="11"/>
      <c r="G71" s="16"/>
      <c r="H71" s="11"/>
      <c r="I71" s="12"/>
      <c r="J71" s="11">
        <v>6600</v>
      </c>
      <c r="K71" s="12"/>
      <c r="L71" s="16"/>
      <c r="M71" s="17">
        <v>13200</v>
      </c>
      <c r="N71" s="16">
        <v>13200</v>
      </c>
      <c r="O71" s="11">
        <v>85800</v>
      </c>
      <c r="P71" s="11">
        <v>33000</v>
      </c>
      <c r="Q71" s="38">
        <v>66000</v>
      </c>
      <c r="R71" s="38">
        <v>66000</v>
      </c>
      <c r="S71" s="39">
        <f t="shared" si="1"/>
        <v>283800</v>
      </c>
    </row>
    <row r="72" spans="1:19">
      <c r="A72" s="9">
        <v>70</v>
      </c>
      <c r="B72" s="13">
        <v>4971710593020</v>
      </c>
      <c r="C72" s="14" t="s">
        <v>753</v>
      </c>
      <c r="D72" s="73" t="s">
        <v>924</v>
      </c>
      <c r="E72" s="15" t="s">
        <v>754</v>
      </c>
      <c r="F72" s="11"/>
      <c r="G72" s="16"/>
      <c r="H72" s="11"/>
      <c r="I72" s="12"/>
      <c r="J72" s="11"/>
      <c r="K72" s="12"/>
      <c r="L72" s="16">
        <v>39325</v>
      </c>
      <c r="M72" s="17">
        <v>68365</v>
      </c>
      <c r="N72" s="16">
        <v>14520</v>
      </c>
      <c r="O72" s="11">
        <v>24200</v>
      </c>
      <c r="P72" s="11">
        <v>7260</v>
      </c>
      <c r="Q72" s="38">
        <v>102850</v>
      </c>
      <c r="R72" s="38">
        <v>1210</v>
      </c>
      <c r="S72" s="39">
        <f t="shared" si="1"/>
        <v>257730</v>
      </c>
    </row>
    <row r="73" spans="1:19">
      <c r="A73" s="9">
        <v>71</v>
      </c>
      <c r="B73" s="13">
        <v>4971710573992</v>
      </c>
      <c r="C73" s="14" t="str">
        <f>VLOOKUP(B73,[3]SEK!$E:$F,2,0)</f>
        <v>MTSE</v>
      </c>
      <c r="D73" s="73" t="s">
        <v>925</v>
      </c>
      <c r="E73" s="15" t="s">
        <v>901</v>
      </c>
      <c r="F73" s="11"/>
      <c r="G73" s="16"/>
      <c r="H73" s="11"/>
      <c r="I73" s="12"/>
      <c r="J73" s="11"/>
      <c r="K73" s="12"/>
      <c r="L73" s="16"/>
      <c r="M73" s="17"/>
      <c r="N73" s="16"/>
      <c r="O73" s="11"/>
      <c r="P73" s="11">
        <v>703890</v>
      </c>
      <c r="Q73" s="38">
        <v>59400</v>
      </c>
      <c r="R73" s="38">
        <v>445500</v>
      </c>
      <c r="S73" s="39">
        <f t="shared" si="1"/>
        <v>1208790</v>
      </c>
    </row>
    <row r="74" spans="1:19">
      <c r="A74" s="9">
        <v>72</v>
      </c>
      <c r="B74" s="13">
        <v>4971710494167</v>
      </c>
      <c r="C74" s="14" t="s">
        <v>112</v>
      </c>
      <c r="D74" s="73" t="s">
        <v>924</v>
      </c>
      <c r="E74" s="15" t="s">
        <v>113</v>
      </c>
      <c r="F74" s="11"/>
      <c r="G74" s="16">
        <v>2970</v>
      </c>
      <c r="H74" s="11"/>
      <c r="I74" s="12">
        <v>8910</v>
      </c>
      <c r="J74" s="11"/>
      <c r="K74" s="12">
        <v>2970</v>
      </c>
      <c r="L74" s="16">
        <v>18413</v>
      </c>
      <c r="M74" s="17">
        <v>27918</v>
      </c>
      <c r="N74" s="16"/>
      <c r="O74" s="11">
        <v>20196</v>
      </c>
      <c r="P74" s="11">
        <v>31482</v>
      </c>
      <c r="Q74" s="38">
        <v>5346</v>
      </c>
      <c r="R74" s="38">
        <v>1782</v>
      </c>
      <c r="S74" s="39">
        <f t="shared" si="1"/>
        <v>119987</v>
      </c>
    </row>
    <row r="75" spans="1:19">
      <c r="A75" s="9">
        <v>73</v>
      </c>
      <c r="B75" s="13">
        <v>4971710295245</v>
      </c>
      <c r="C75" s="14" t="s">
        <v>10</v>
      </c>
      <c r="D75" s="73" t="s">
        <v>922</v>
      </c>
      <c r="E75" s="15" t="s">
        <v>11</v>
      </c>
      <c r="F75" s="11"/>
      <c r="G75" s="16">
        <v>6600</v>
      </c>
      <c r="H75" s="11"/>
      <c r="I75" s="12">
        <v>13200</v>
      </c>
      <c r="J75" s="11"/>
      <c r="K75" s="12">
        <v>63360</v>
      </c>
      <c r="L75" s="16">
        <v>198000</v>
      </c>
      <c r="M75" s="17"/>
      <c r="N75" s="16"/>
      <c r="O75" s="11">
        <v>73920</v>
      </c>
      <c r="P75" s="11">
        <v>174240</v>
      </c>
      <c r="Q75" s="38"/>
      <c r="R75" s="38"/>
      <c r="S75" s="39">
        <f t="shared" si="1"/>
        <v>529320</v>
      </c>
    </row>
    <row r="76" spans="1:19">
      <c r="A76" s="9">
        <v>74</v>
      </c>
      <c r="B76" s="13">
        <v>4971710580754</v>
      </c>
      <c r="C76" s="14" t="s">
        <v>689</v>
      </c>
      <c r="D76" s="73" t="s">
        <v>924</v>
      </c>
      <c r="E76" s="15" t="s">
        <v>690</v>
      </c>
      <c r="F76" s="11"/>
      <c r="G76" s="16"/>
      <c r="H76" s="11">
        <v>0</v>
      </c>
      <c r="I76" s="12">
        <v>59400</v>
      </c>
      <c r="J76" s="11"/>
      <c r="K76" s="12">
        <v>6600</v>
      </c>
      <c r="L76" s="16">
        <v>26400</v>
      </c>
      <c r="M76" s="17"/>
      <c r="N76" s="16">
        <v>66000</v>
      </c>
      <c r="O76" s="11">
        <v>39600</v>
      </c>
      <c r="P76" s="11">
        <v>39600</v>
      </c>
      <c r="Q76" s="38">
        <v>13200</v>
      </c>
      <c r="R76" s="38"/>
      <c r="S76" s="39">
        <f t="shared" si="1"/>
        <v>250800</v>
      </c>
    </row>
    <row r="77" spans="1:19">
      <c r="A77" s="9">
        <v>75</v>
      </c>
      <c r="B77" s="13">
        <v>4971710513714</v>
      </c>
      <c r="C77" s="14" t="s">
        <v>278</v>
      </c>
      <c r="D77" s="73" t="s">
        <v>920</v>
      </c>
      <c r="E77" s="15" t="s">
        <v>279</v>
      </c>
      <c r="F77" s="11"/>
      <c r="G77" s="16">
        <v>16500</v>
      </c>
      <c r="H77" s="11"/>
      <c r="I77" s="12">
        <v>27500</v>
      </c>
      <c r="J77" s="11">
        <v>27500</v>
      </c>
      <c r="K77" s="12"/>
      <c r="L77" s="16">
        <v>85800</v>
      </c>
      <c r="M77" s="17"/>
      <c r="N77" s="16"/>
      <c r="O77" s="11">
        <v>16500</v>
      </c>
      <c r="P77" s="11">
        <v>16500</v>
      </c>
      <c r="Q77" s="38"/>
      <c r="R77" s="38">
        <v>16500</v>
      </c>
      <c r="S77" s="39">
        <f t="shared" si="1"/>
        <v>206800</v>
      </c>
    </row>
    <row r="78" spans="1:19">
      <c r="A78" s="9">
        <v>76</v>
      </c>
      <c r="B78" s="13">
        <v>4971710561227</v>
      </c>
      <c r="C78" s="14" t="s">
        <v>466</v>
      </c>
      <c r="D78" s="73" t="s">
        <v>924</v>
      </c>
      <c r="E78" s="15" t="s">
        <v>467</v>
      </c>
      <c r="F78" s="11"/>
      <c r="G78" s="16">
        <v>18480</v>
      </c>
      <c r="H78" s="11">
        <v>18480</v>
      </c>
      <c r="I78" s="12">
        <v>40040</v>
      </c>
      <c r="J78" s="11">
        <v>7700</v>
      </c>
      <c r="K78" s="12"/>
      <c r="L78" s="16">
        <v>51590</v>
      </c>
      <c r="M78" s="17">
        <v>30800</v>
      </c>
      <c r="N78" s="16">
        <v>9240</v>
      </c>
      <c r="O78" s="11">
        <v>32340</v>
      </c>
      <c r="P78" s="11">
        <v>50820</v>
      </c>
      <c r="Q78" s="38">
        <v>5390</v>
      </c>
      <c r="R78" s="38">
        <v>23100</v>
      </c>
      <c r="S78" s="39">
        <f t="shared" si="1"/>
        <v>287980</v>
      </c>
    </row>
    <row r="79" spans="1:19">
      <c r="A79" s="9">
        <v>77</v>
      </c>
      <c r="B79" s="13">
        <v>4971710588118</v>
      </c>
      <c r="C79" s="14" t="s">
        <v>715</v>
      </c>
      <c r="D79" s="73" t="s">
        <v>924</v>
      </c>
      <c r="E79" s="15" t="s">
        <v>716</v>
      </c>
      <c r="F79" s="11"/>
      <c r="G79" s="16"/>
      <c r="H79" s="11"/>
      <c r="I79" s="12"/>
      <c r="J79" s="11">
        <v>214500</v>
      </c>
      <c r="K79" s="12">
        <v>30030</v>
      </c>
      <c r="L79" s="16">
        <v>3575</v>
      </c>
      <c r="M79" s="17">
        <v>4290</v>
      </c>
      <c r="N79" s="16">
        <v>4290</v>
      </c>
      <c r="O79" s="11">
        <v>4290</v>
      </c>
      <c r="P79" s="11"/>
      <c r="Q79" s="38"/>
      <c r="R79" s="38">
        <v>1430</v>
      </c>
      <c r="S79" s="39">
        <f t="shared" si="1"/>
        <v>262405</v>
      </c>
    </row>
    <row r="80" spans="1:19">
      <c r="A80" s="9">
        <v>78</v>
      </c>
      <c r="B80" s="13">
        <v>4971710580471</v>
      </c>
      <c r="C80" s="14" t="s">
        <v>683</v>
      </c>
      <c r="D80" s="73" t="s">
        <v>920</v>
      </c>
      <c r="E80" s="15" t="s">
        <v>684</v>
      </c>
      <c r="F80" s="11"/>
      <c r="G80" s="16"/>
      <c r="H80" s="11"/>
      <c r="I80" s="12"/>
      <c r="J80" s="11">
        <v>19800</v>
      </c>
      <c r="K80" s="12"/>
      <c r="L80" s="16">
        <v>79200</v>
      </c>
      <c r="M80" s="17">
        <v>1320</v>
      </c>
      <c r="N80" s="16">
        <v>21120</v>
      </c>
      <c r="O80" s="11">
        <v>7920</v>
      </c>
      <c r="P80" s="11">
        <v>39600</v>
      </c>
      <c r="Q80" s="38">
        <v>3960</v>
      </c>
      <c r="R80" s="38">
        <v>69300</v>
      </c>
      <c r="S80" s="39">
        <f t="shared" si="1"/>
        <v>242220</v>
      </c>
    </row>
    <row r="81" spans="1:19">
      <c r="A81" s="9">
        <v>79</v>
      </c>
      <c r="B81" s="13">
        <v>4971710566147</v>
      </c>
      <c r="C81" s="14" t="s">
        <v>518</v>
      </c>
      <c r="D81" s="73" t="s">
        <v>920</v>
      </c>
      <c r="E81" s="15" t="s">
        <v>519</v>
      </c>
      <c r="F81" s="11"/>
      <c r="G81" s="16">
        <v>16500</v>
      </c>
      <c r="H81" s="11">
        <v>5500</v>
      </c>
      <c r="I81" s="12"/>
      <c r="J81" s="11">
        <v>16500</v>
      </c>
      <c r="K81" s="12"/>
      <c r="L81" s="16">
        <v>83600</v>
      </c>
      <c r="M81" s="17"/>
      <c r="N81" s="16">
        <v>1100</v>
      </c>
      <c r="O81" s="11">
        <v>550</v>
      </c>
      <c r="P81" s="11">
        <v>44000</v>
      </c>
      <c r="Q81" s="38">
        <v>3300</v>
      </c>
      <c r="R81" s="38">
        <v>24200</v>
      </c>
      <c r="S81" s="39">
        <f t="shared" si="1"/>
        <v>195250</v>
      </c>
    </row>
    <row r="82" spans="1:19">
      <c r="A82" s="9">
        <v>80</v>
      </c>
      <c r="B82" s="13">
        <v>4971710588163</v>
      </c>
      <c r="C82" s="14" t="s">
        <v>797</v>
      </c>
      <c r="D82" s="72" t="s">
        <v>942</v>
      </c>
      <c r="E82" s="15" t="s">
        <v>798</v>
      </c>
      <c r="F82" s="11"/>
      <c r="G82" s="16"/>
      <c r="H82" s="11"/>
      <c r="I82" s="12"/>
      <c r="J82" s="11"/>
      <c r="K82" s="12"/>
      <c r="L82" s="16"/>
      <c r="M82" s="17"/>
      <c r="N82" s="16"/>
      <c r="O82" s="11">
        <v>22880</v>
      </c>
      <c r="P82" s="11"/>
      <c r="Q82" s="38">
        <v>87230</v>
      </c>
      <c r="R82" s="38">
        <v>143000</v>
      </c>
      <c r="S82" s="39">
        <f t="shared" si="1"/>
        <v>253110</v>
      </c>
    </row>
    <row r="83" spans="1:19">
      <c r="A83" s="9">
        <v>81</v>
      </c>
      <c r="B83" s="13">
        <v>4971710561258</v>
      </c>
      <c r="C83" s="14" t="s">
        <v>472</v>
      </c>
      <c r="D83" s="73" t="s">
        <v>924</v>
      </c>
      <c r="E83" s="15" t="s">
        <v>473</v>
      </c>
      <c r="F83" s="11"/>
      <c r="G83" s="16">
        <v>18480</v>
      </c>
      <c r="H83" s="11">
        <v>18480</v>
      </c>
      <c r="I83" s="12">
        <v>1540</v>
      </c>
      <c r="J83" s="11">
        <v>30800</v>
      </c>
      <c r="K83" s="12">
        <v>24640</v>
      </c>
      <c r="L83" s="16">
        <v>63910</v>
      </c>
      <c r="M83" s="17">
        <v>10780</v>
      </c>
      <c r="N83" s="16">
        <v>6160</v>
      </c>
      <c r="O83" s="11">
        <v>27720</v>
      </c>
      <c r="P83" s="11">
        <v>63140</v>
      </c>
      <c r="Q83" s="38">
        <v>3850</v>
      </c>
      <c r="R83" s="38">
        <v>1540</v>
      </c>
      <c r="S83" s="39">
        <f t="shared" si="1"/>
        <v>271040</v>
      </c>
    </row>
    <row r="84" spans="1:19">
      <c r="A84" s="9">
        <v>82</v>
      </c>
      <c r="B84" s="13">
        <v>4971710513615</v>
      </c>
      <c r="C84" s="14" t="s">
        <v>258</v>
      </c>
      <c r="D84" s="73" t="s">
        <v>920</v>
      </c>
      <c r="E84" s="15" t="s">
        <v>259</v>
      </c>
      <c r="F84" s="11"/>
      <c r="G84" s="16">
        <v>9060</v>
      </c>
      <c r="H84" s="11"/>
      <c r="I84" s="12"/>
      <c r="J84" s="11">
        <v>9060</v>
      </c>
      <c r="K84" s="12"/>
      <c r="L84" s="16">
        <v>35031</v>
      </c>
      <c r="M84" s="17"/>
      <c r="N84" s="16"/>
      <c r="O84" s="11">
        <v>1812</v>
      </c>
      <c r="P84" s="11"/>
      <c r="Q84" s="38">
        <v>21744</v>
      </c>
      <c r="R84" s="38">
        <v>28388</v>
      </c>
      <c r="S84" s="39">
        <f t="shared" si="1"/>
        <v>105095</v>
      </c>
    </row>
    <row r="85" spans="1:19">
      <c r="A85" s="9">
        <v>83</v>
      </c>
      <c r="B85" s="13">
        <v>4971710582857</v>
      </c>
      <c r="C85" s="14" t="s">
        <v>693</v>
      </c>
      <c r="D85" s="73" t="s">
        <v>924</v>
      </c>
      <c r="E85" s="15" t="s">
        <v>694</v>
      </c>
      <c r="F85" s="11"/>
      <c r="G85" s="16">
        <v>35750</v>
      </c>
      <c r="H85" s="11">
        <v>7150</v>
      </c>
      <c r="I85" s="12">
        <v>29315</v>
      </c>
      <c r="J85" s="11">
        <v>715</v>
      </c>
      <c r="K85" s="12"/>
      <c r="L85" s="16">
        <v>107250</v>
      </c>
      <c r="M85" s="17">
        <v>54340</v>
      </c>
      <c r="N85" s="16">
        <v>5720</v>
      </c>
      <c r="O85" s="11">
        <v>4290</v>
      </c>
      <c r="P85" s="11">
        <v>1430</v>
      </c>
      <c r="Q85" s="38"/>
      <c r="R85" s="38">
        <v>1430</v>
      </c>
      <c r="S85" s="39">
        <f t="shared" si="1"/>
        <v>247390</v>
      </c>
    </row>
    <row r="86" spans="1:19">
      <c r="A86" s="9">
        <v>84</v>
      </c>
      <c r="B86" s="13">
        <v>4971710595512</v>
      </c>
      <c r="C86" s="14" t="s">
        <v>763</v>
      </c>
      <c r="D86" s="73" t="s">
        <v>924</v>
      </c>
      <c r="E86" s="15" t="s">
        <v>764</v>
      </c>
      <c r="F86" s="11"/>
      <c r="G86" s="16"/>
      <c r="H86" s="11"/>
      <c r="I86" s="12"/>
      <c r="J86" s="11"/>
      <c r="K86" s="12"/>
      <c r="L86" s="16"/>
      <c r="M86" s="17">
        <v>37730</v>
      </c>
      <c r="N86" s="16">
        <v>51590</v>
      </c>
      <c r="O86" s="11">
        <v>77000</v>
      </c>
      <c r="P86" s="11">
        <v>46200</v>
      </c>
      <c r="Q86" s="38">
        <v>46200</v>
      </c>
      <c r="R86" s="38"/>
      <c r="S86" s="39">
        <f t="shared" si="1"/>
        <v>258720</v>
      </c>
    </row>
    <row r="87" spans="1:19">
      <c r="A87" s="9">
        <v>85</v>
      </c>
      <c r="B87" s="13">
        <v>4971710513684</v>
      </c>
      <c r="C87" s="14" t="s">
        <v>272</v>
      </c>
      <c r="D87" s="73" t="s">
        <v>920</v>
      </c>
      <c r="E87" s="15" t="s">
        <v>273</v>
      </c>
      <c r="F87" s="11"/>
      <c r="G87" s="16">
        <v>16500</v>
      </c>
      <c r="H87" s="11"/>
      <c r="I87" s="12"/>
      <c r="J87" s="11">
        <v>16500</v>
      </c>
      <c r="K87" s="12"/>
      <c r="L87" s="16">
        <v>66000</v>
      </c>
      <c r="M87" s="17">
        <v>11000</v>
      </c>
      <c r="N87" s="16"/>
      <c r="O87" s="11">
        <v>3300</v>
      </c>
      <c r="P87" s="11">
        <v>33000</v>
      </c>
      <c r="Q87" s="38"/>
      <c r="R87" s="38">
        <v>35200</v>
      </c>
      <c r="S87" s="39">
        <f t="shared" si="1"/>
        <v>181500</v>
      </c>
    </row>
    <row r="88" spans="1:19">
      <c r="A88" s="9">
        <v>86</v>
      </c>
      <c r="B88" s="13">
        <v>4971710592962</v>
      </c>
      <c r="C88" s="14" t="s">
        <v>741</v>
      </c>
      <c r="D88" s="73" t="s">
        <v>924</v>
      </c>
      <c r="E88" s="15" t="s">
        <v>742</v>
      </c>
      <c r="F88" s="11"/>
      <c r="G88" s="16"/>
      <c r="H88" s="11"/>
      <c r="I88" s="12"/>
      <c r="J88" s="11"/>
      <c r="K88" s="12"/>
      <c r="L88" s="16">
        <v>39325</v>
      </c>
      <c r="M88" s="17">
        <v>81675</v>
      </c>
      <c r="N88" s="16">
        <v>38720</v>
      </c>
      <c r="O88" s="11">
        <v>7260</v>
      </c>
      <c r="P88" s="11">
        <v>21175</v>
      </c>
      <c r="Q88" s="38">
        <v>8470</v>
      </c>
      <c r="R88" s="38">
        <v>1210</v>
      </c>
      <c r="S88" s="39">
        <f t="shared" si="1"/>
        <v>197835</v>
      </c>
    </row>
    <row r="89" spans="1:19">
      <c r="A89" s="9">
        <v>87</v>
      </c>
      <c r="B89" s="13">
        <v>4971710556834</v>
      </c>
      <c r="C89" s="14" t="s">
        <v>448</v>
      </c>
      <c r="D89" s="73" t="s">
        <v>924</v>
      </c>
      <c r="E89" s="15" t="s">
        <v>449</v>
      </c>
      <c r="F89" s="11"/>
      <c r="G89" s="16">
        <v>4950</v>
      </c>
      <c r="H89" s="11">
        <v>14850</v>
      </c>
      <c r="I89" s="12">
        <v>54450</v>
      </c>
      <c r="J89" s="11">
        <v>14850</v>
      </c>
      <c r="K89" s="12">
        <v>64350</v>
      </c>
      <c r="L89" s="16">
        <v>49500</v>
      </c>
      <c r="M89" s="17">
        <v>18810</v>
      </c>
      <c r="N89" s="16">
        <v>1980</v>
      </c>
      <c r="O89" s="11">
        <v>31680</v>
      </c>
      <c r="P89" s="11">
        <v>54450</v>
      </c>
      <c r="Q89" s="38">
        <v>6930</v>
      </c>
      <c r="R89" s="38">
        <v>3960</v>
      </c>
      <c r="S89" s="39">
        <f t="shared" si="1"/>
        <v>320760</v>
      </c>
    </row>
    <row r="90" spans="1:19">
      <c r="A90" s="9">
        <v>88</v>
      </c>
      <c r="B90" s="13">
        <v>4971710588132</v>
      </c>
      <c r="C90" s="14" t="s">
        <v>719</v>
      </c>
      <c r="D90" s="73" t="s">
        <v>924</v>
      </c>
      <c r="E90" s="15" t="s">
        <v>720</v>
      </c>
      <c r="F90" s="11"/>
      <c r="G90" s="16"/>
      <c r="H90" s="11"/>
      <c r="I90" s="12"/>
      <c r="J90" s="11">
        <v>0</v>
      </c>
      <c r="K90" s="12">
        <v>0</v>
      </c>
      <c r="L90" s="16"/>
      <c r="M90" s="17">
        <v>214500</v>
      </c>
      <c r="N90" s="16"/>
      <c r="O90" s="11"/>
      <c r="P90" s="11"/>
      <c r="Q90" s="38">
        <v>14300</v>
      </c>
      <c r="R90" s="38"/>
      <c r="S90" s="39">
        <f t="shared" si="1"/>
        <v>228800</v>
      </c>
    </row>
    <row r="91" spans="1:19">
      <c r="A91" s="9">
        <v>89</v>
      </c>
      <c r="B91" s="13">
        <v>4971710569186</v>
      </c>
      <c r="C91" s="14" t="s">
        <v>540</v>
      </c>
      <c r="D91" s="73" t="s">
        <v>920</v>
      </c>
      <c r="E91" s="15" t="s">
        <v>541</v>
      </c>
      <c r="F91" s="11">
        <v>6600</v>
      </c>
      <c r="G91" s="16">
        <v>19800</v>
      </c>
      <c r="H91" s="11">
        <v>6600</v>
      </c>
      <c r="I91" s="12">
        <v>3300</v>
      </c>
      <c r="J91" s="11">
        <v>6600</v>
      </c>
      <c r="K91" s="12">
        <v>36300</v>
      </c>
      <c r="L91" s="16">
        <v>27720</v>
      </c>
      <c r="M91" s="17"/>
      <c r="N91" s="16"/>
      <c r="O91" s="11">
        <v>27720</v>
      </c>
      <c r="P91" s="11">
        <v>34320</v>
      </c>
      <c r="Q91" s="38"/>
      <c r="R91" s="38">
        <v>42240</v>
      </c>
      <c r="S91" s="39">
        <f t="shared" si="1"/>
        <v>211200</v>
      </c>
    </row>
    <row r="92" spans="1:19">
      <c r="A92" s="9">
        <v>90</v>
      </c>
      <c r="B92" s="13">
        <v>4971710590067</v>
      </c>
      <c r="C92" s="14" t="s">
        <v>733</v>
      </c>
      <c r="D92" s="73" t="s">
        <v>924</v>
      </c>
      <c r="E92" s="15" t="s">
        <v>734</v>
      </c>
      <c r="F92" s="11"/>
      <c r="G92" s="16"/>
      <c r="H92" s="11"/>
      <c r="I92" s="12"/>
      <c r="J92" s="11">
        <v>231000</v>
      </c>
      <c r="K92" s="12"/>
      <c r="L92" s="16"/>
      <c r="M92" s="17"/>
      <c r="N92" s="16">
        <v>3850</v>
      </c>
      <c r="O92" s="11"/>
      <c r="P92" s="11">
        <v>1540</v>
      </c>
      <c r="Q92" s="38">
        <v>7700</v>
      </c>
      <c r="R92" s="38"/>
      <c r="S92" s="39">
        <f t="shared" si="1"/>
        <v>244090</v>
      </c>
    </row>
    <row r="93" spans="1:19">
      <c r="A93" s="9">
        <v>91</v>
      </c>
      <c r="B93" s="13">
        <v>4971710571851</v>
      </c>
      <c r="C93" s="14" t="s">
        <v>568</v>
      </c>
      <c r="D93" s="73" t="s">
        <v>924</v>
      </c>
      <c r="E93" s="15" t="s">
        <v>569</v>
      </c>
      <c r="F93" s="11"/>
      <c r="G93" s="16"/>
      <c r="H93" s="11">
        <v>221650</v>
      </c>
      <c r="I93" s="12">
        <v>3575</v>
      </c>
      <c r="J93" s="11">
        <v>0</v>
      </c>
      <c r="K93" s="12">
        <v>0</v>
      </c>
      <c r="L93" s="16"/>
      <c r="M93" s="17"/>
      <c r="N93" s="16"/>
      <c r="O93" s="11"/>
      <c r="P93" s="11"/>
      <c r="Q93" s="38"/>
      <c r="R93" s="38"/>
      <c r="S93" s="39">
        <f t="shared" si="1"/>
        <v>225225</v>
      </c>
    </row>
    <row r="94" spans="1:19">
      <c r="A94" s="9">
        <v>92</v>
      </c>
      <c r="B94" s="13">
        <v>4971710595505</v>
      </c>
      <c r="C94" s="14" t="s">
        <v>761</v>
      </c>
      <c r="D94" s="73" t="s">
        <v>924</v>
      </c>
      <c r="E94" s="15" t="s">
        <v>762</v>
      </c>
      <c r="F94" s="11"/>
      <c r="G94" s="16"/>
      <c r="H94" s="11"/>
      <c r="I94" s="12"/>
      <c r="J94" s="11"/>
      <c r="K94" s="12"/>
      <c r="L94" s="16"/>
      <c r="M94" s="17">
        <v>30030</v>
      </c>
      <c r="N94" s="16">
        <v>88550</v>
      </c>
      <c r="O94" s="11">
        <v>61600</v>
      </c>
      <c r="P94" s="11">
        <v>46200</v>
      </c>
      <c r="Q94" s="38">
        <v>15400</v>
      </c>
      <c r="R94" s="38"/>
      <c r="S94" s="39">
        <f t="shared" si="1"/>
        <v>241780</v>
      </c>
    </row>
    <row r="95" spans="1:19">
      <c r="A95" s="9">
        <v>93</v>
      </c>
      <c r="B95" s="13">
        <v>4971710590043</v>
      </c>
      <c r="C95" s="14" t="s">
        <v>729</v>
      </c>
      <c r="D95" s="73" t="s">
        <v>924</v>
      </c>
      <c r="E95" s="15" t="s">
        <v>730</v>
      </c>
      <c r="F95" s="11"/>
      <c r="G95" s="16"/>
      <c r="H95" s="11"/>
      <c r="I95" s="12"/>
      <c r="J95" s="11">
        <v>231000</v>
      </c>
      <c r="K95" s="12"/>
      <c r="L95" s="16"/>
      <c r="M95" s="17">
        <v>1540</v>
      </c>
      <c r="N95" s="16">
        <v>1540</v>
      </c>
      <c r="O95" s="11"/>
      <c r="P95" s="11">
        <v>1540</v>
      </c>
      <c r="Q95" s="38">
        <v>3850</v>
      </c>
      <c r="R95" s="38"/>
      <c r="S95" s="39">
        <f t="shared" si="1"/>
        <v>239470</v>
      </c>
    </row>
    <row r="96" spans="1:19">
      <c r="A96" s="9">
        <v>94</v>
      </c>
      <c r="B96" s="13">
        <v>4971710590036</v>
      </c>
      <c r="C96" s="14" t="s">
        <v>727</v>
      </c>
      <c r="D96" s="73" t="s">
        <v>924</v>
      </c>
      <c r="E96" s="15" t="s">
        <v>728</v>
      </c>
      <c r="F96" s="11"/>
      <c r="G96" s="16"/>
      <c r="H96" s="11"/>
      <c r="I96" s="12"/>
      <c r="J96" s="11">
        <v>231000</v>
      </c>
      <c r="K96" s="12">
        <v>1540</v>
      </c>
      <c r="L96" s="16"/>
      <c r="M96" s="17"/>
      <c r="N96" s="16">
        <v>1540</v>
      </c>
      <c r="O96" s="11"/>
      <c r="P96" s="11">
        <v>1540</v>
      </c>
      <c r="Q96" s="38"/>
      <c r="R96" s="38">
        <v>3850</v>
      </c>
      <c r="S96" s="39">
        <f t="shared" si="1"/>
        <v>239470</v>
      </c>
    </row>
    <row r="97" spans="1:19">
      <c r="A97" s="9">
        <v>95</v>
      </c>
      <c r="B97" s="13">
        <v>4971710489200</v>
      </c>
      <c r="C97" s="14" t="s">
        <v>90</v>
      </c>
      <c r="D97" s="73" t="s">
        <v>924</v>
      </c>
      <c r="E97" s="15" t="s">
        <v>91</v>
      </c>
      <c r="F97" s="11"/>
      <c r="G97" s="16"/>
      <c r="H97" s="11"/>
      <c r="I97" s="12">
        <v>27500</v>
      </c>
      <c r="J97" s="11">
        <v>110000</v>
      </c>
      <c r="K97" s="12"/>
      <c r="L97" s="16">
        <v>11000</v>
      </c>
      <c r="M97" s="17"/>
      <c r="N97" s="16">
        <v>5500</v>
      </c>
      <c r="O97" s="11">
        <v>5500</v>
      </c>
      <c r="P97" s="11"/>
      <c r="Q97" s="38">
        <v>11000</v>
      </c>
      <c r="R97" s="38"/>
      <c r="S97" s="39">
        <f t="shared" si="1"/>
        <v>170500</v>
      </c>
    </row>
    <row r="98" spans="1:19">
      <c r="A98" s="9">
        <v>96</v>
      </c>
      <c r="B98" s="13">
        <v>4971710591088</v>
      </c>
      <c r="C98" s="14" t="s">
        <v>735</v>
      </c>
      <c r="D98" s="73" t="s">
        <v>924</v>
      </c>
      <c r="E98" s="15" t="s">
        <v>736</v>
      </c>
      <c r="F98" s="11"/>
      <c r="G98" s="16"/>
      <c r="H98" s="11"/>
      <c r="I98" s="12"/>
      <c r="J98" s="11">
        <v>0</v>
      </c>
      <c r="K98" s="12">
        <v>0</v>
      </c>
      <c r="L98" s="16"/>
      <c r="M98" s="17">
        <v>231000</v>
      </c>
      <c r="N98" s="16">
        <v>4620</v>
      </c>
      <c r="O98" s="11"/>
      <c r="P98" s="11"/>
      <c r="Q98" s="38"/>
      <c r="R98" s="38"/>
      <c r="S98" s="39">
        <f t="shared" si="1"/>
        <v>235620</v>
      </c>
    </row>
    <row r="99" spans="1:19">
      <c r="A99" s="9">
        <v>97</v>
      </c>
      <c r="B99" s="13">
        <v>4971710591095</v>
      </c>
      <c r="C99" s="14" t="s">
        <v>737</v>
      </c>
      <c r="D99" s="73" t="s">
        <v>924</v>
      </c>
      <c r="E99" s="15" t="s">
        <v>738</v>
      </c>
      <c r="F99" s="11"/>
      <c r="G99" s="16"/>
      <c r="H99" s="11"/>
      <c r="I99" s="12"/>
      <c r="J99" s="11"/>
      <c r="K99" s="12"/>
      <c r="L99" s="16"/>
      <c r="M99" s="17">
        <v>231000</v>
      </c>
      <c r="N99" s="16">
        <v>4620</v>
      </c>
      <c r="O99" s="11"/>
      <c r="P99" s="11"/>
      <c r="Q99" s="38"/>
      <c r="R99" s="38"/>
      <c r="S99" s="39">
        <f t="shared" si="1"/>
        <v>235620</v>
      </c>
    </row>
    <row r="100" spans="1:19">
      <c r="A100" s="9">
        <v>98</v>
      </c>
      <c r="B100" s="13">
        <v>4971710484274</v>
      </c>
      <c r="C100" s="14" t="s">
        <v>36</v>
      </c>
      <c r="D100" s="73" t="s">
        <v>924</v>
      </c>
      <c r="E100" s="15" t="s">
        <v>37</v>
      </c>
      <c r="F100" s="11"/>
      <c r="G100" s="16"/>
      <c r="H100" s="11"/>
      <c r="I100" s="12">
        <v>101640</v>
      </c>
      <c r="J100" s="11">
        <v>71940</v>
      </c>
      <c r="K100" s="12">
        <v>27720</v>
      </c>
      <c r="L100" s="16"/>
      <c r="M100" s="17"/>
      <c r="N100" s="16"/>
      <c r="O100" s="11"/>
      <c r="P100" s="11"/>
      <c r="Q100" s="38"/>
      <c r="R100" s="38"/>
      <c r="S100" s="39">
        <f t="shared" si="1"/>
        <v>201300</v>
      </c>
    </row>
    <row r="101" spans="1:19">
      <c r="A101" s="9">
        <v>99</v>
      </c>
      <c r="B101" s="13">
        <v>4971710590050</v>
      </c>
      <c r="C101" s="14" t="s">
        <v>731</v>
      </c>
      <c r="D101" s="73" t="s">
        <v>924</v>
      </c>
      <c r="E101" s="15" t="s">
        <v>732</v>
      </c>
      <c r="F101" s="11"/>
      <c r="G101" s="16"/>
      <c r="H101" s="11"/>
      <c r="I101" s="12"/>
      <c r="J101" s="11">
        <v>231000</v>
      </c>
      <c r="K101" s="12"/>
      <c r="L101" s="16"/>
      <c r="M101" s="17"/>
      <c r="N101" s="16">
        <v>1540</v>
      </c>
      <c r="O101" s="11"/>
      <c r="P101" s="11">
        <v>1540</v>
      </c>
      <c r="Q101" s="38"/>
      <c r="R101" s="38"/>
      <c r="S101" s="39">
        <f t="shared" si="1"/>
        <v>234080</v>
      </c>
    </row>
    <row r="102" spans="1:19">
      <c r="A102" s="9">
        <v>100</v>
      </c>
      <c r="B102" s="13">
        <v>4971710523058</v>
      </c>
      <c r="C102" s="14" t="s">
        <v>392</v>
      </c>
      <c r="D102" s="73" t="s">
        <v>920</v>
      </c>
      <c r="E102" s="15" t="s">
        <v>393</v>
      </c>
      <c r="F102" s="11">
        <v>5280</v>
      </c>
      <c r="G102" s="16">
        <v>4400</v>
      </c>
      <c r="H102" s="11"/>
      <c r="I102" s="12">
        <v>3520</v>
      </c>
      <c r="J102" s="11">
        <v>13200</v>
      </c>
      <c r="K102" s="12">
        <v>26400</v>
      </c>
      <c r="L102" s="16">
        <v>41360</v>
      </c>
      <c r="M102" s="17">
        <v>5280</v>
      </c>
      <c r="N102" s="16">
        <v>42240</v>
      </c>
      <c r="O102" s="11">
        <v>22000</v>
      </c>
      <c r="P102" s="11">
        <v>47520</v>
      </c>
      <c r="Q102" s="38"/>
      <c r="R102" s="38">
        <v>56320</v>
      </c>
      <c r="S102" s="39">
        <f t="shared" si="1"/>
        <v>267520</v>
      </c>
    </row>
    <row r="103" spans="1:19">
      <c r="A103" s="9">
        <v>101</v>
      </c>
      <c r="B103" s="13">
        <v>4971710571868</v>
      </c>
      <c r="C103" s="14" t="str">
        <f>VLOOKUP(B103,[3]SEK!$E:$F,2,0)</f>
        <v>MTSD</v>
      </c>
      <c r="D103" s="73" t="s">
        <v>925</v>
      </c>
      <c r="E103" s="15" t="s">
        <v>897</v>
      </c>
      <c r="F103" s="11"/>
      <c r="G103" s="16"/>
      <c r="H103" s="11"/>
      <c r="I103" s="12"/>
      <c r="J103" s="11"/>
      <c r="K103" s="12"/>
      <c r="L103" s="16"/>
      <c r="M103" s="17"/>
      <c r="N103" s="16"/>
      <c r="O103" s="11"/>
      <c r="P103" s="11">
        <v>572660</v>
      </c>
      <c r="Q103" s="38">
        <v>41800</v>
      </c>
      <c r="R103" s="38">
        <v>12540</v>
      </c>
      <c r="S103" s="39">
        <f t="shared" si="1"/>
        <v>627000</v>
      </c>
    </row>
    <row r="104" spans="1:19">
      <c r="A104" s="9">
        <v>102</v>
      </c>
      <c r="B104" s="13">
        <v>4971710596953</v>
      </c>
      <c r="C104" s="14" t="s">
        <v>846</v>
      </c>
      <c r="D104" s="73" t="s">
        <v>924</v>
      </c>
      <c r="E104" s="15" t="s">
        <v>865</v>
      </c>
      <c r="F104" s="11"/>
      <c r="G104" s="16"/>
      <c r="H104" s="11"/>
      <c r="I104" s="12"/>
      <c r="J104" s="11"/>
      <c r="K104" s="12"/>
      <c r="L104" s="16"/>
      <c r="M104" s="17"/>
      <c r="N104" s="16"/>
      <c r="O104" s="11"/>
      <c r="P104" s="11"/>
      <c r="Q104" s="38">
        <v>157080</v>
      </c>
      <c r="R104" s="38">
        <v>73920</v>
      </c>
      <c r="S104" s="39">
        <f t="shared" si="1"/>
        <v>231000</v>
      </c>
    </row>
    <row r="105" spans="1:19">
      <c r="A105" s="9">
        <v>103</v>
      </c>
      <c r="B105" s="13">
        <v>4971710596946</v>
      </c>
      <c r="C105" s="14" t="s">
        <v>847</v>
      </c>
      <c r="D105" s="73" t="s">
        <v>924</v>
      </c>
      <c r="E105" s="15" t="s">
        <v>866</v>
      </c>
      <c r="F105" s="11"/>
      <c r="G105" s="16"/>
      <c r="H105" s="11"/>
      <c r="I105" s="12"/>
      <c r="J105" s="11"/>
      <c r="K105" s="12"/>
      <c r="L105" s="16"/>
      <c r="M105" s="17"/>
      <c r="N105" s="16"/>
      <c r="O105" s="11"/>
      <c r="P105" s="11"/>
      <c r="Q105" s="38">
        <v>157080</v>
      </c>
      <c r="R105" s="38">
        <v>73920</v>
      </c>
      <c r="S105" s="39">
        <f t="shared" si="1"/>
        <v>231000</v>
      </c>
    </row>
    <row r="106" spans="1:19">
      <c r="A106" s="9">
        <v>104</v>
      </c>
      <c r="B106" s="13">
        <v>4971710592993</v>
      </c>
      <c r="C106" s="14" t="s">
        <v>747</v>
      </c>
      <c r="D106" s="73" t="s">
        <v>924</v>
      </c>
      <c r="E106" s="15" t="s">
        <v>748</v>
      </c>
      <c r="F106" s="11"/>
      <c r="G106" s="16"/>
      <c r="H106" s="11"/>
      <c r="I106" s="12"/>
      <c r="J106" s="11"/>
      <c r="K106" s="12"/>
      <c r="L106" s="16">
        <v>39325</v>
      </c>
      <c r="M106" s="17"/>
      <c r="N106" s="16"/>
      <c r="O106" s="11"/>
      <c r="P106" s="11"/>
      <c r="Q106" s="38"/>
      <c r="R106" s="38">
        <v>140360</v>
      </c>
      <c r="S106" s="39">
        <f t="shared" si="1"/>
        <v>179685</v>
      </c>
    </row>
    <row r="107" spans="1:19">
      <c r="A107" s="9">
        <v>105</v>
      </c>
      <c r="B107" s="13">
        <v>4971710585278</v>
      </c>
      <c r="C107" s="14" t="str">
        <f>VLOOKUP(B107,[3]SEK!$E:$F,2,0)</f>
        <v>MTOL</v>
      </c>
      <c r="D107" s="73" t="s">
        <v>925</v>
      </c>
      <c r="E107" s="15" t="s">
        <v>902</v>
      </c>
      <c r="F107" s="11"/>
      <c r="G107" s="16"/>
      <c r="H107" s="11"/>
      <c r="I107" s="12"/>
      <c r="J107" s="11"/>
      <c r="K107" s="12"/>
      <c r="L107" s="16"/>
      <c r="M107" s="17"/>
      <c r="N107" s="16"/>
      <c r="O107" s="11"/>
      <c r="P107" s="11">
        <v>211200</v>
      </c>
      <c r="Q107" s="38"/>
      <c r="R107" s="38">
        <v>110000</v>
      </c>
      <c r="S107" s="39">
        <f t="shared" si="1"/>
        <v>321200</v>
      </c>
    </row>
    <row r="108" spans="1:19">
      <c r="A108" s="9">
        <v>106</v>
      </c>
      <c r="B108" s="13">
        <v>4971710494853</v>
      </c>
      <c r="C108" s="14" t="s">
        <v>124</v>
      </c>
      <c r="D108" s="73" t="s">
        <v>924</v>
      </c>
      <c r="E108" s="15" t="s">
        <v>125</v>
      </c>
      <c r="F108" s="11"/>
      <c r="G108" s="16">
        <v>6050</v>
      </c>
      <c r="H108" s="11">
        <v>3025</v>
      </c>
      <c r="I108" s="12">
        <v>24200</v>
      </c>
      <c r="J108" s="11"/>
      <c r="K108" s="12">
        <v>18150</v>
      </c>
      <c r="L108" s="16">
        <v>48400</v>
      </c>
      <c r="M108" s="17">
        <v>29040</v>
      </c>
      <c r="N108" s="16"/>
      <c r="O108" s="11">
        <v>3630</v>
      </c>
      <c r="P108" s="11">
        <v>30250</v>
      </c>
      <c r="Q108" s="38">
        <v>1210</v>
      </c>
      <c r="R108" s="38">
        <v>12100</v>
      </c>
      <c r="S108" s="39">
        <f t="shared" si="1"/>
        <v>176055</v>
      </c>
    </row>
    <row r="109" spans="1:19">
      <c r="A109" s="9">
        <v>107</v>
      </c>
      <c r="B109" s="13">
        <v>4971710512274</v>
      </c>
      <c r="C109" s="14" t="s">
        <v>250</v>
      </c>
      <c r="D109" s="73" t="s">
        <v>924</v>
      </c>
      <c r="E109" s="15" t="s">
        <v>251</v>
      </c>
      <c r="F109" s="11"/>
      <c r="G109" s="16"/>
      <c r="H109" s="11">
        <v>13200</v>
      </c>
      <c r="I109" s="12">
        <v>39600</v>
      </c>
      <c r="J109" s="11"/>
      <c r="K109" s="12"/>
      <c r="L109" s="16">
        <v>13200</v>
      </c>
      <c r="M109" s="17"/>
      <c r="N109" s="16">
        <v>4400</v>
      </c>
      <c r="O109" s="11">
        <v>11440</v>
      </c>
      <c r="P109" s="11"/>
      <c r="Q109" s="38">
        <v>22000</v>
      </c>
      <c r="R109" s="38">
        <v>22000</v>
      </c>
      <c r="S109" s="39">
        <f t="shared" si="1"/>
        <v>125840</v>
      </c>
    </row>
    <row r="110" spans="1:19">
      <c r="A110" s="9">
        <v>108</v>
      </c>
      <c r="B110" s="13">
        <v>4971710593013</v>
      </c>
      <c r="C110" s="14" t="s">
        <v>751</v>
      </c>
      <c r="D110" s="73" t="s">
        <v>924</v>
      </c>
      <c r="E110" s="15" t="s">
        <v>752</v>
      </c>
      <c r="F110" s="11"/>
      <c r="G110" s="16"/>
      <c r="H110" s="11"/>
      <c r="I110" s="12"/>
      <c r="J110" s="11"/>
      <c r="K110" s="12"/>
      <c r="L110" s="16">
        <v>39325</v>
      </c>
      <c r="M110" s="17">
        <v>65340</v>
      </c>
      <c r="N110" s="16">
        <v>21175</v>
      </c>
      <c r="O110" s="11">
        <v>1210</v>
      </c>
      <c r="P110" s="11">
        <v>36300</v>
      </c>
      <c r="Q110" s="38">
        <v>8470</v>
      </c>
      <c r="R110" s="38"/>
      <c r="S110" s="39">
        <f t="shared" si="1"/>
        <v>171820</v>
      </c>
    </row>
    <row r="111" spans="1:19">
      <c r="A111" s="9">
        <v>109</v>
      </c>
      <c r="B111" s="13">
        <v>4971710583991</v>
      </c>
      <c r="C111" s="14" t="s">
        <v>697</v>
      </c>
      <c r="D111" s="73" t="s">
        <v>924</v>
      </c>
      <c r="E111" s="15" t="s">
        <v>698</v>
      </c>
      <c r="F111" s="11"/>
      <c r="G111" s="16">
        <v>35750</v>
      </c>
      <c r="H111" s="11"/>
      <c r="I111" s="12">
        <v>7150</v>
      </c>
      <c r="J111" s="11">
        <v>3575</v>
      </c>
      <c r="K111" s="12"/>
      <c r="L111" s="16">
        <v>42900</v>
      </c>
      <c r="M111" s="17">
        <v>7150</v>
      </c>
      <c r="N111" s="16">
        <v>15730</v>
      </c>
      <c r="O111" s="11">
        <v>9295</v>
      </c>
      <c r="P111" s="11">
        <v>74360</v>
      </c>
      <c r="Q111" s="38">
        <v>3575</v>
      </c>
      <c r="R111" s="38">
        <v>2145</v>
      </c>
      <c r="S111" s="39">
        <f t="shared" si="1"/>
        <v>201630</v>
      </c>
    </row>
    <row r="112" spans="1:19">
      <c r="A112" s="9">
        <v>110</v>
      </c>
      <c r="B112" s="13">
        <v>4971710564907</v>
      </c>
      <c r="C112" s="14" t="s">
        <v>500</v>
      </c>
      <c r="D112" s="73" t="s">
        <v>920</v>
      </c>
      <c r="E112" s="15" t="s">
        <v>501</v>
      </c>
      <c r="F112" s="11"/>
      <c r="G112" s="16"/>
      <c r="H112" s="11">
        <v>13750</v>
      </c>
      <c r="I112" s="12"/>
      <c r="J112" s="11">
        <v>3300</v>
      </c>
      <c r="K112" s="12">
        <v>16500</v>
      </c>
      <c r="L112" s="16">
        <v>47300</v>
      </c>
      <c r="M112" s="17">
        <v>2200</v>
      </c>
      <c r="N112" s="16"/>
      <c r="O112" s="11">
        <v>16500</v>
      </c>
      <c r="P112" s="11">
        <v>27500</v>
      </c>
      <c r="Q112" s="38">
        <v>3300</v>
      </c>
      <c r="R112" s="38">
        <v>24200</v>
      </c>
      <c r="S112" s="39">
        <f t="shared" si="1"/>
        <v>154550</v>
      </c>
    </row>
    <row r="113" spans="1:19">
      <c r="A113" s="9">
        <v>111</v>
      </c>
      <c r="B113" s="13">
        <v>4971710593006</v>
      </c>
      <c r="C113" s="14" t="s">
        <v>749</v>
      </c>
      <c r="D113" s="73" t="s">
        <v>924</v>
      </c>
      <c r="E113" s="15" t="s">
        <v>750</v>
      </c>
      <c r="F113" s="11"/>
      <c r="G113" s="16"/>
      <c r="H113" s="11"/>
      <c r="I113" s="12"/>
      <c r="J113" s="11"/>
      <c r="K113" s="12"/>
      <c r="L113" s="16">
        <v>39325</v>
      </c>
      <c r="M113" s="17">
        <v>71995</v>
      </c>
      <c r="N113" s="16">
        <v>23595</v>
      </c>
      <c r="O113" s="11">
        <v>3630</v>
      </c>
      <c r="P113" s="11"/>
      <c r="Q113" s="38"/>
      <c r="R113" s="38">
        <v>28435</v>
      </c>
      <c r="S113" s="39">
        <f t="shared" si="1"/>
        <v>166980</v>
      </c>
    </row>
    <row r="114" spans="1:19">
      <c r="A114" s="9">
        <v>112</v>
      </c>
      <c r="B114" s="13">
        <v>4971710569209</v>
      </c>
      <c r="C114" s="14" t="s">
        <v>544</v>
      </c>
      <c r="D114" s="73" t="s">
        <v>920</v>
      </c>
      <c r="E114" s="15" t="s">
        <v>545</v>
      </c>
      <c r="F114" s="11">
        <v>6600</v>
      </c>
      <c r="G114" s="16"/>
      <c r="H114" s="11"/>
      <c r="I114" s="12"/>
      <c r="J114" s="11">
        <v>21120</v>
      </c>
      <c r="K114" s="12"/>
      <c r="L114" s="16">
        <v>81180</v>
      </c>
      <c r="M114" s="17">
        <v>1320</v>
      </c>
      <c r="N114" s="16"/>
      <c r="O114" s="11">
        <v>23760</v>
      </c>
      <c r="P114" s="11">
        <v>2640</v>
      </c>
      <c r="Q114" s="38"/>
      <c r="R114" s="38">
        <v>43560</v>
      </c>
      <c r="S114" s="39">
        <f t="shared" si="1"/>
        <v>180180</v>
      </c>
    </row>
    <row r="115" spans="1:19">
      <c r="A115" s="9">
        <v>113</v>
      </c>
      <c r="B115" s="13">
        <v>4971710514667</v>
      </c>
      <c r="C115" s="14" t="s">
        <v>304</v>
      </c>
      <c r="D115" s="73" t="s">
        <v>927</v>
      </c>
      <c r="E115" s="15" t="s">
        <v>305</v>
      </c>
      <c r="F115" s="11"/>
      <c r="G115" s="16">
        <v>33000</v>
      </c>
      <c r="H115" s="11">
        <v>11000</v>
      </c>
      <c r="I115" s="12"/>
      <c r="J115" s="11">
        <v>11000</v>
      </c>
      <c r="K115" s="12">
        <v>16500</v>
      </c>
      <c r="L115" s="16">
        <v>77000</v>
      </c>
      <c r="M115" s="17"/>
      <c r="N115" s="16"/>
      <c r="O115" s="11"/>
      <c r="P115" s="11"/>
      <c r="Q115" s="38"/>
      <c r="R115" s="38"/>
      <c r="S115" s="39">
        <f t="shared" si="1"/>
        <v>148500</v>
      </c>
    </row>
    <row r="116" spans="1:19">
      <c r="A116" s="9">
        <v>114</v>
      </c>
      <c r="B116" s="13">
        <v>4971710585261</v>
      </c>
      <c r="C116" s="14" t="str">
        <f>VLOOKUP(B116,[3]SEK!$E:$F,2,0)</f>
        <v>MTOK</v>
      </c>
      <c r="D116" s="73" t="s">
        <v>925</v>
      </c>
      <c r="E116" s="15" t="s">
        <v>899</v>
      </c>
      <c r="F116" s="11"/>
      <c r="G116" s="16"/>
      <c r="H116" s="11"/>
      <c r="I116" s="12"/>
      <c r="J116" s="11"/>
      <c r="K116" s="12"/>
      <c r="L116" s="16"/>
      <c r="M116" s="17"/>
      <c r="N116" s="16"/>
      <c r="O116" s="11"/>
      <c r="P116" s="11">
        <v>294800</v>
      </c>
      <c r="Q116" s="38"/>
      <c r="R116" s="38"/>
      <c r="S116" s="39">
        <f t="shared" si="1"/>
        <v>294800</v>
      </c>
    </row>
    <row r="117" spans="1:19">
      <c r="A117" s="9">
        <v>115</v>
      </c>
      <c r="B117" s="13">
        <v>4971710564761</v>
      </c>
      <c r="C117" s="14" t="s">
        <v>488</v>
      </c>
      <c r="D117" s="73" t="s">
        <v>924</v>
      </c>
      <c r="E117" s="15" t="s">
        <v>489</v>
      </c>
      <c r="F117" s="11">
        <v>6600</v>
      </c>
      <c r="G117" s="16">
        <v>15840</v>
      </c>
      <c r="H117" s="11">
        <v>15840</v>
      </c>
      <c r="I117" s="12"/>
      <c r="J117" s="11"/>
      <c r="K117" s="12">
        <v>24420</v>
      </c>
      <c r="L117" s="16">
        <v>26400</v>
      </c>
      <c r="M117" s="17"/>
      <c r="N117" s="16">
        <v>21120</v>
      </c>
      <c r="O117" s="11">
        <v>5280</v>
      </c>
      <c r="P117" s="11">
        <v>40920</v>
      </c>
      <c r="Q117" s="38">
        <v>3960</v>
      </c>
      <c r="R117" s="38">
        <v>15840</v>
      </c>
      <c r="S117" s="39">
        <f t="shared" si="1"/>
        <v>176220</v>
      </c>
    </row>
    <row r="118" spans="1:19">
      <c r="A118" s="9">
        <v>116</v>
      </c>
      <c r="B118" s="13">
        <v>4971710288612</v>
      </c>
      <c r="C118" s="14" t="s">
        <v>9</v>
      </c>
      <c r="D118" s="73" t="s">
        <v>922</v>
      </c>
      <c r="E118" s="15" t="s">
        <v>8</v>
      </c>
      <c r="F118" s="11"/>
      <c r="G118" s="16">
        <v>52800</v>
      </c>
      <c r="H118" s="11"/>
      <c r="I118" s="12">
        <v>79200</v>
      </c>
      <c r="J118" s="11">
        <v>79200</v>
      </c>
      <c r="K118" s="12">
        <v>253440</v>
      </c>
      <c r="L118" s="16">
        <v>237600</v>
      </c>
      <c r="M118" s="17"/>
      <c r="N118" s="16"/>
      <c r="O118" s="11"/>
      <c r="P118" s="11"/>
      <c r="Q118" s="38"/>
      <c r="R118" s="38"/>
      <c r="S118" s="39">
        <f t="shared" si="1"/>
        <v>702240</v>
      </c>
    </row>
    <row r="119" spans="1:19">
      <c r="A119" s="9">
        <v>117</v>
      </c>
      <c r="B119" s="13">
        <v>4971710556858</v>
      </c>
      <c r="C119" s="14" t="s">
        <v>452</v>
      </c>
      <c r="D119" s="73" t="s">
        <v>924</v>
      </c>
      <c r="E119" s="15" t="s">
        <v>453</v>
      </c>
      <c r="F119" s="11"/>
      <c r="G119" s="16">
        <v>24750</v>
      </c>
      <c r="H119" s="11">
        <v>4125</v>
      </c>
      <c r="I119" s="12"/>
      <c r="J119" s="11">
        <v>24750</v>
      </c>
      <c r="K119" s="12"/>
      <c r="L119" s="16">
        <v>70125</v>
      </c>
      <c r="M119" s="17">
        <v>25575</v>
      </c>
      <c r="N119" s="16"/>
      <c r="O119" s="11">
        <v>16500</v>
      </c>
      <c r="P119" s="11">
        <v>20625</v>
      </c>
      <c r="Q119" s="38">
        <v>24750</v>
      </c>
      <c r="R119" s="38">
        <v>8250</v>
      </c>
      <c r="S119" s="39">
        <f t="shared" si="1"/>
        <v>219450</v>
      </c>
    </row>
    <row r="120" spans="1:19">
      <c r="A120" s="9">
        <v>118</v>
      </c>
      <c r="B120" s="13">
        <v>4971710582338</v>
      </c>
      <c r="C120" s="14" t="str">
        <f>VLOOKUP(B120,[3]SEK!$E:$F,2,0)</f>
        <v>MTSY</v>
      </c>
      <c r="D120" s="73" t="s">
        <v>925</v>
      </c>
      <c r="E120" s="15" t="s">
        <v>900</v>
      </c>
      <c r="F120" s="11"/>
      <c r="G120" s="16"/>
      <c r="H120" s="11"/>
      <c r="I120" s="12"/>
      <c r="J120" s="11"/>
      <c r="K120" s="12"/>
      <c r="L120" s="16"/>
      <c r="M120" s="17"/>
      <c r="N120" s="16"/>
      <c r="O120" s="11"/>
      <c r="P120" s="11">
        <v>526680</v>
      </c>
      <c r="Q120" s="38"/>
      <c r="R120" s="38"/>
      <c r="S120" s="39">
        <f t="shared" si="1"/>
        <v>526680</v>
      </c>
    </row>
    <row r="121" spans="1:19">
      <c r="A121" s="9">
        <v>119</v>
      </c>
      <c r="B121" s="13">
        <v>4971710565096</v>
      </c>
      <c r="C121" s="14" t="s">
        <v>510</v>
      </c>
      <c r="D121" s="73" t="s">
        <v>920</v>
      </c>
      <c r="E121" s="15" t="s">
        <v>511</v>
      </c>
      <c r="F121" s="11"/>
      <c r="G121" s="16">
        <v>23100</v>
      </c>
      <c r="H121" s="11">
        <v>36300</v>
      </c>
      <c r="I121" s="12">
        <v>29700</v>
      </c>
      <c r="J121" s="11">
        <v>19800</v>
      </c>
      <c r="K121" s="12"/>
      <c r="L121" s="16">
        <v>11220</v>
      </c>
      <c r="M121" s="17"/>
      <c r="N121" s="16">
        <v>21120</v>
      </c>
      <c r="O121" s="11">
        <v>1320</v>
      </c>
      <c r="P121" s="11">
        <v>20460</v>
      </c>
      <c r="Q121" s="38">
        <v>2640</v>
      </c>
      <c r="R121" s="38">
        <v>1320</v>
      </c>
      <c r="S121" s="39">
        <f t="shared" si="1"/>
        <v>166980</v>
      </c>
    </row>
    <row r="122" spans="1:19">
      <c r="A122" s="9">
        <v>120</v>
      </c>
      <c r="B122" s="13">
        <v>4971710561234</v>
      </c>
      <c r="C122" s="14" t="s">
        <v>468</v>
      </c>
      <c r="D122" s="73" t="s">
        <v>924</v>
      </c>
      <c r="E122" s="15" t="s">
        <v>469</v>
      </c>
      <c r="F122" s="11"/>
      <c r="G122" s="16"/>
      <c r="H122" s="11">
        <v>3850</v>
      </c>
      <c r="I122" s="12">
        <v>38500</v>
      </c>
      <c r="J122" s="11">
        <v>8470</v>
      </c>
      <c r="K122" s="12">
        <v>1540</v>
      </c>
      <c r="L122" s="16">
        <v>74690</v>
      </c>
      <c r="M122" s="17">
        <v>10780</v>
      </c>
      <c r="N122" s="16">
        <v>9240</v>
      </c>
      <c r="O122" s="11">
        <v>32340</v>
      </c>
      <c r="P122" s="11">
        <v>1540</v>
      </c>
      <c r="Q122" s="38">
        <v>3850</v>
      </c>
      <c r="R122" s="38">
        <v>3850</v>
      </c>
      <c r="S122" s="39">
        <f t="shared" si="1"/>
        <v>188650</v>
      </c>
    </row>
    <row r="123" spans="1:19">
      <c r="A123" s="9">
        <v>121</v>
      </c>
      <c r="B123" s="13">
        <v>4971710584042</v>
      </c>
      <c r="C123" s="14" t="s">
        <v>699</v>
      </c>
      <c r="D123" s="73" t="s">
        <v>924</v>
      </c>
      <c r="E123" s="15" t="s">
        <v>700</v>
      </c>
      <c r="F123" s="11"/>
      <c r="G123" s="16">
        <v>35750</v>
      </c>
      <c r="H123" s="11"/>
      <c r="I123" s="12">
        <v>7150</v>
      </c>
      <c r="J123" s="11"/>
      <c r="K123" s="12"/>
      <c r="L123" s="16">
        <v>64350</v>
      </c>
      <c r="M123" s="17">
        <v>10725</v>
      </c>
      <c r="N123" s="16">
        <v>18590</v>
      </c>
      <c r="O123" s="11">
        <v>11440</v>
      </c>
      <c r="P123" s="11">
        <v>18590</v>
      </c>
      <c r="Q123" s="38">
        <v>3575</v>
      </c>
      <c r="R123" s="38">
        <v>2145</v>
      </c>
      <c r="S123" s="39">
        <f t="shared" si="1"/>
        <v>172315</v>
      </c>
    </row>
    <row r="124" spans="1:19">
      <c r="A124" s="9">
        <v>122</v>
      </c>
      <c r="B124" s="13">
        <v>4971710568547</v>
      </c>
      <c r="C124" s="14" t="s">
        <v>522</v>
      </c>
      <c r="D124" s="73" t="s">
        <v>924</v>
      </c>
      <c r="E124" s="15" t="s">
        <v>523</v>
      </c>
      <c r="F124" s="11">
        <v>6600</v>
      </c>
      <c r="G124" s="16">
        <v>15840</v>
      </c>
      <c r="H124" s="11">
        <v>15840</v>
      </c>
      <c r="I124" s="12">
        <v>1320</v>
      </c>
      <c r="J124" s="11"/>
      <c r="K124" s="12">
        <v>33000</v>
      </c>
      <c r="L124" s="16"/>
      <c r="M124" s="17">
        <v>13200</v>
      </c>
      <c r="N124" s="16"/>
      <c r="O124" s="11">
        <v>33000</v>
      </c>
      <c r="P124" s="11">
        <v>13200</v>
      </c>
      <c r="Q124" s="38"/>
      <c r="R124" s="38">
        <v>24420</v>
      </c>
      <c r="S124" s="39">
        <f t="shared" si="1"/>
        <v>156420</v>
      </c>
    </row>
    <row r="125" spans="1:19">
      <c r="A125" s="9">
        <v>123</v>
      </c>
      <c r="B125" s="13">
        <v>4971710570250</v>
      </c>
      <c r="C125" s="14" t="str">
        <f>VLOOKUP(B125,[3]SEK!$E:$F,2,0)</f>
        <v>MTSU</v>
      </c>
      <c r="D125" s="73" t="s">
        <v>925</v>
      </c>
      <c r="E125" s="15" t="s">
        <v>900</v>
      </c>
      <c r="F125" s="11"/>
      <c r="G125" s="16"/>
      <c r="H125" s="11"/>
      <c r="I125" s="12"/>
      <c r="J125" s="11"/>
      <c r="K125" s="12"/>
      <c r="L125" s="16"/>
      <c r="M125" s="17"/>
      <c r="N125" s="16"/>
      <c r="O125" s="11"/>
      <c r="P125" s="11">
        <v>514800</v>
      </c>
      <c r="Q125" s="38"/>
      <c r="R125" s="38"/>
      <c r="S125" s="39">
        <f t="shared" si="1"/>
        <v>514800</v>
      </c>
    </row>
    <row r="126" spans="1:19">
      <c r="A126" s="9">
        <v>124</v>
      </c>
      <c r="B126" s="13">
        <v>4971710585285</v>
      </c>
      <c r="C126" s="14" t="str">
        <f>VLOOKUP(B126,[3]SEK!$E:$F,2,0)</f>
        <v>MTOM</v>
      </c>
      <c r="D126" s="73" t="s">
        <v>925</v>
      </c>
      <c r="E126" s="15" t="s">
        <v>899</v>
      </c>
      <c r="F126" s="11"/>
      <c r="G126" s="16"/>
      <c r="H126" s="11"/>
      <c r="I126" s="12"/>
      <c r="J126" s="11"/>
      <c r="K126" s="12"/>
      <c r="L126" s="16"/>
      <c r="M126" s="17"/>
      <c r="N126" s="16"/>
      <c r="O126" s="11"/>
      <c r="P126" s="11">
        <v>75900</v>
      </c>
      <c r="Q126" s="38"/>
      <c r="R126" s="38"/>
      <c r="S126" s="39">
        <f t="shared" si="1"/>
        <v>75900</v>
      </c>
    </row>
    <row r="127" spans="1:19">
      <c r="A127" s="9">
        <v>125</v>
      </c>
      <c r="B127" s="13">
        <v>4971710585292</v>
      </c>
      <c r="C127" s="14" t="str">
        <f>VLOOKUP(B127,[3]SEK!$E:$F,2,0)</f>
        <v>MTON</v>
      </c>
      <c r="D127" s="73" t="s">
        <v>925</v>
      </c>
      <c r="E127" s="15" t="s">
        <v>902</v>
      </c>
      <c r="F127" s="11"/>
      <c r="G127" s="16"/>
      <c r="H127" s="11"/>
      <c r="I127" s="12"/>
      <c r="J127" s="11"/>
      <c r="K127" s="12"/>
      <c r="L127" s="16"/>
      <c r="M127" s="17"/>
      <c r="N127" s="16"/>
      <c r="O127" s="11"/>
      <c r="P127" s="11">
        <v>63250</v>
      </c>
      <c r="Q127" s="38"/>
      <c r="R127" s="38"/>
      <c r="S127" s="39">
        <f t="shared" si="1"/>
        <v>63250</v>
      </c>
    </row>
    <row r="128" spans="1:19">
      <c r="A128" s="9">
        <v>126</v>
      </c>
      <c r="B128" s="13">
        <v>4971710576009</v>
      </c>
      <c r="C128" s="14" t="s">
        <v>605</v>
      </c>
      <c r="D128" s="73" t="s">
        <v>924</v>
      </c>
      <c r="E128" s="15" t="s">
        <v>606</v>
      </c>
      <c r="F128" s="11"/>
      <c r="G128" s="16"/>
      <c r="H128" s="11">
        <v>6600</v>
      </c>
      <c r="I128" s="12">
        <v>33000</v>
      </c>
      <c r="J128" s="11"/>
      <c r="K128" s="12"/>
      <c r="L128" s="16">
        <v>42900</v>
      </c>
      <c r="M128" s="17">
        <v>2640</v>
      </c>
      <c r="N128" s="16">
        <v>1320</v>
      </c>
      <c r="O128" s="11">
        <v>13200</v>
      </c>
      <c r="P128" s="11">
        <v>40920</v>
      </c>
      <c r="Q128" s="38">
        <v>9900</v>
      </c>
      <c r="R128" s="38"/>
      <c r="S128" s="39">
        <f t="shared" si="1"/>
        <v>150480</v>
      </c>
    </row>
    <row r="129" spans="1:19">
      <c r="A129" s="9">
        <v>127</v>
      </c>
      <c r="B129" s="13">
        <v>4971710515817</v>
      </c>
      <c r="C129" s="14" t="s">
        <v>316</v>
      </c>
      <c r="D129" s="73" t="s">
        <v>924</v>
      </c>
      <c r="E129" s="15" t="s">
        <v>317</v>
      </c>
      <c r="F129" s="11"/>
      <c r="G129" s="16">
        <v>2610</v>
      </c>
      <c r="H129" s="11"/>
      <c r="I129" s="12">
        <v>15660</v>
      </c>
      <c r="J129" s="11"/>
      <c r="K129" s="12"/>
      <c r="L129" s="16">
        <v>20880</v>
      </c>
      <c r="M129" s="17">
        <v>2088</v>
      </c>
      <c r="N129" s="16">
        <v>7308</v>
      </c>
      <c r="O129" s="11">
        <v>18792</v>
      </c>
      <c r="P129" s="11">
        <v>1044</v>
      </c>
      <c r="Q129" s="38">
        <v>29232</v>
      </c>
      <c r="R129" s="38">
        <v>19836</v>
      </c>
      <c r="S129" s="39">
        <f t="shared" si="1"/>
        <v>117450</v>
      </c>
    </row>
    <row r="130" spans="1:19">
      <c r="A130" s="9">
        <v>128</v>
      </c>
      <c r="B130" s="13">
        <v>4971710592986</v>
      </c>
      <c r="C130" s="14" t="s">
        <v>745</v>
      </c>
      <c r="D130" s="73" t="s">
        <v>924</v>
      </c>
      <c r="E130" s="15" t="s">
        <v>746</v>
      </c>
      <c r="F130" s="11"/>
      <c r="G130" s="16"/>
      <c r="H130" s="11"/>
      <c r="I130" s="12"/>
      <c r="J130" s="11"/>
      <c r="K130" s="12"/>
      <c r="L130" s="16">
        <v>39325</v>
      </c>
      <c r="M130" s="17">
        <v>65340</v>
      </c>
      <c r="N130" s="16">
        <v>6050</v>
      </c>
      <c r="O130" s="11">
        <v>22990</v>
      </c>
      <c r="P130" s="11"/>
      <c r="Q130" s="38">
        <v>1210</v>
      </c>
      <c r="R130" s="38">
        <v>1210</v>
      </c>
      <c r="S130" s="39">
        <f t="shared" si="1"/>
        <v>136125</v>
      </c>
    </row>
    <row r="131" spans="1:19">
      <c r="A131" s="9">
        <v>129</v>
      </c>
      <c r="B131" s="13">
        <v>4971710494174</v>
      </c>
      <c r="C131" s="14" t="s">
        <v>114</v>
      </c>
      <c r="D131" s="73" t="s">
        <v>924</v>
      </c>
      <c r="E131" s="15" t="s">
        <v>115</v>
      </c>
      <c r="F131" s="11"/>
      <c r="G131" s="16">
        <v>2970</v>
      </c>
      <c r="H131" s="11">
        <v>2970</v>
      </c>
      <c r="I131" s="12">
        <v>8910</v>
      </c>
      <c r="J131" s="11">
        <v>594</v>
      </c>
      <c r="K131" s="12">
        <v>1485</v>
      </c>
      <c r="L131" s="16">
        <v>11880</v>
      </c>
      <c r="M131" s="17">
        <v>13068</v>
      </c>
      <c r="N131" s="16"/>
      <c r="O131" s="11">
        <v>4752</v>
      </c>
      <c r="P131" s="11">
        <v>15444</v>
      </c>
      <c r="Q131" s="38">
        <v>1188</v>
      </c>
      <c r="R131" s="38">
        <v>2970</v>
      </c>
      <c r="S131" s="39">
        <f t="shared" ref="S131:S194" si="2">F131+G131+H131+I131+J131+K131+L131+M131+N131+ O131+P131+Q131+R131</f>
        <v>66231</v>
      </c>
    </row>
    <row r="132" spans="1:19">
      <c r="A132" s="9">
        <v>130</v>
      </c>
      <c r="B132" s="13">
        <v>4971710564778</v>
      </c>
      <c r="C132" s="14" t="s">
        <v>490</v>
      </c>
      <c r="D132" s="73" t="s">
        <v>924</v>
      </c>
      <c r="E132" s="15" t="s">
        <v>491</v>
      </c>
      <c r="F132" s="11">
        <v>6600</v>
      </c>
      <c r="G132" s="16">
        <v>19140</v>
      </c>
      <c r="H132" s="11">
        <v>15840</v>
      </c>
      <c r="I132" s="12"/>
      <c r="J132" s="11"/>
      <c r="K132" s="12"/>
      <c r="L132" s="16">
        <v>59400</v>
      </c>
      <c r="M132" s="17"/>
      <c r="N132" s="16">
        <v>1320</v>
      </c>
      <c r="O132" s="11">
        <v>9240</v>
      </c>
      <c r="P132" s="11">
        <v>1320</v>
      </c>
      <c r="Q132" s="38"/>
      <c r="R132" s="38">
        <v>34320</v>
      </c>
      <c r="S132" s="39">
        <f t="shared" si="2"/>
        <v>147180</v>
      </c>
    </row>
    <row r="133" spans="1:19">
      <c r="A133" s="9">
        <v>131</v>
      </c>
      <c r="B133" s="13">
        <v>4971710295634</v>
      </c>
      <c r="C133" s="14" t="s">
        <v>12</v>
      </c>
      <c r="D133" s="73" t="s">
        <v>922</v>
      </c>
      <c r="E133" s="15" t="s">
        <v>13</v>
      </c>
      <c r="F133" s="11">
        <v>31900</v>
      </c>
      <c r="G133" s="16"/>
      <c r="H133" s="11"/>
      <c r="I133" s="12"/>
      <c r="J133" s="11"/>
      <c r="K133" s="12">
        <v>76560</v>
      </c>
      <c r="L133" s="16">
        <v>267960</v>
      </c>
      <c r="M133" s="17">
        <v>102080</v>
      </c>
      <c r="N133" s="16"/>
      <c r="O133" s="11"/>
      <c r="P133" s="11">
        <v>216920</v>
      </c>
      <c r="Q133" s="38">
        <v>6380</v>
      </c>
      <c r="R133" s="38"/>
      <c r="S133" s="39">
        <f t="shared" si="2"/>
        <v>701800</v>
      </c>
    </row>
    <row r="134" spans="1:19">
      <c r="A134" s="9">
        <v>132</v>
      </c>
      <c r="B134" s="13">
        <v>4971710565102</v>
      </c>
      <c r="C134" s="14" t="s">
        <v>512</v>
      </c>
      <c r="D134" s="73" t="s">
        <v>920</v>
      </c>
      <c r="E134" s="15" t="s">
        <v>513</v>
      </c>
      <c r="F134" s="11"/>
      <c r="G134" s="16"/>
      <c r="H134" s="11">
        <v>6600</v>
      </c>
      <c r="I134" s="12">
        <v>29700</v>
      </c>
      <c r="J134" s="11">
        <v>19800</v>
      </c>
      <c r="K134" s="12">
        <v>3300</v>
      </c>
      <c r="L134" s="16">
        <v>7920</v>
      </c>
      <c r="M134" s="17"/>
      <c r="N134" s="16">
        <v>1320</v>
      </c>
      <c r="O134" s="11">
        <v>21120</v>
      </c>
      <c r="P134" s="11"/>
      <c r="Q134" s="38"/>
      <c r="R134" s="38">
        <v>55440</v>
      </c>
      <c r="S134" s="39">
        <f t="shared" si="2"/>
        <v>145200</v>
      </c>
    </row>
    <row r="135" spans="1:19">
      <c r="A135" s="9">
        <v>133</v>
      </c>
      <c r="B135" s="13">
        <v>4971710580457</v>
      </c>
      <c r="C135" s="14" t="s">
        <v>679</v>
      </c>
      <c r="D135" s="73" t="s">
        <v>920</v>
      </c>
      <c r="E135" s="15" t="s">
        <v>680</v>
      </c>
      <c r="F135" s="11"/>
      <c r="G135" s="16"/>
      <c r="H135" s="11"/>
      <c r="I135" s="12"/>
      <c r="J135" s="11">
        <v>19800</v>
      </c>
      <c r="K135" s="12"/>
      <c r="L135" s="16">
        <v>19800</v>
      </c>
      <c r="M135" s="17">
        <v>22440</v>
      </c>
      <c r="N135" s="16"/>
      <c r="O135" s="11">
        <v>22440</v>
      </c>
      <c r="P135" s="11"/>
      <c r="Q135" s="38">
        <v>7920</v>
      </c>
      <c r="R135" s="38">
        <v>52800</v>
      </c>
      <c r="S135" s="39">
        <f t="shared" si="2"/>
        <v>145200</v>
      </c>
    </row>
    <row r="136" spans="1:19">
      <c r="A136" s="9">
        <v>134</v>
      </c>
      <c r="B136" s="13">
        <v>4971710566130</v>
      </c>
      <c r="C136" s="14" t="s">
        <v>516</v>
      </c>
      <c r="D136" s="73" t="s">
        <v>920</v>
      </c>
      <c r="E136" s="15" t="s">
        <v>517</v>
      </c>
      <c r="F136" s="11"/>
      <c r="G136" s="16"/>
      <c r="H136" s="11">
        <v>8250</v>
      </c>
      <c r="I136" s="12"/>
      <c r="J136" s="11">
        <v>16500</v>
      </c>
      <c r="K136" s="12"/>
      <c r="L136" s="16">
        <v>56100</v>
      </c>
      <c r="M136" s="17">
        <v>3300</v>
      </c>
      <c r="N136" s="16"/>
      <c r="O136" s="11">
        <v>3300</v>
      </c>
      <c r="P136" s="11">
        <v>27500</v>
      </c>
      <c r="Q136" s="38">
        <v>2200</v>
      </c>
      <c r="R136" s="38">
        <v>3300</v>
      </c>
      <c r="S136" s="39">
        <f t="shared" si="2"/>
        <v>120450</v>
      </c>
    </row>
    <row r="137" spans="1:19">
      <c r="A137" s="9">
        <v>135</v>
      </c>
      <c r="B137" s="13">
        <v>4971710584059</v>
      </c>
      <c r="C137" s="14" t="s">
        <v>701</v>
      </c>
      <c r="D137" s="73" t="s">
        <v>924</v>
      </c>
      <c r="E137" s="15" t="s">
        <v>702</v>
      </c>
      <c r="F137" s="11"/>
      <c r="G137" s="16">
        <v>35750</v>
      </c>
      <c r="H137" s="11"/>
      <c r="I137" s="12">
        <v>7150</v>
      </c>
      <c r="J137" s="11">
        <v>2145</v>
      </c>
      <c r="K137" s="12"/>
      <c r="L137" s="16">
        <v>71500</v>
      </c>
      <c r="M137" s="17">
        <v>28600</v>
      </c>
      <c r="N137" s="16">
        <v>10010</v>
      </c>
      <c r="O137" s="11"/>
      <c r="P137" s="11">
        <v>1430</v>
      </c>
      <c r="Q137" s="38"/>
      <c r="R137" s="38"/>
      <c r="S137" s="39">
        <f t="shared" si="2"/>
        <v>156585</v>
      </c>
    </row>
    <row r="138" spans="1:19">
      <c r="A138" s="9">
        <v>136</v>
      </c>
      <c r="B138" s="13">
        <v>4971710523072</v>
      </c>
      <c r="C138" s="14" t="s">
        <v>396</v>
      </c>
      <c r="D138" s="73" t="s">
        <v>920</v>
      </c>
      <c r="E138" s="15" t="s">
        <v>397</v>
      </c>
      <c r="F138" s="11">
        <v>5280</v>
      </c>
      <c r="G138" s="16"/>
      <c r="H138" s="11">
        <v>7920</v>
      </c>
      <c r="I138" s="12">
        <v>8800</v>
      </c>
      <c r="J138" s="11">
        <v>13200</v>
      </c>
      <c r="K138" s="12">
        <v>26400</v>
      </c>
      <c r="L138" s="16">
        <v>41360</v>
      </c>
      <c r="M138" s="17">
        <v>1760</v>
      </c>
      <c r="N138" s="16">
        <v>26400</v>
      </c>
      <c r="O138" s="11">
        <v>25520</v>
      </c>
      <c r="P138" s="11">
        <v>26400</v>
      </c>
      <c r="Q138" s="38">
        <v>5280</v>
      </c>
      <c r="R138" s="38">
        <v>3520</v>
      </c>
      <c r="S138" s="39">
        <f t="shared" si="2"/>
        <v>191840</v>
      </c>
    </row>
    <row r="139" spans="1:19">
      <c r="A139" s="9">
        <v>137</v>
      </c>
      <c r="B139" s="13">
        <v>4971710521504</v>
      </c>
      <c r="C139" s="14" t="s">
        <v>364</v>
      </c>
      <c r="D139" s="73" t="s">
        <v>924</v>
      </c>
      <c r="E139" s="15" t="s">
        <v>365</v>
      </c>
      <c r="F139" s="11"/>
      <c r="G139" s="16">
        <v>117260</v>
      </c>
      <c r="H139" s="11">
        <v>17160</v>
      </c>
      <c r="I139" s="12"/>
      <c r="J139" s="11">
        <v>14300</v>
      </c>
      <c r="K139" s="12"/>
      <c r="L139" s="16"/>
      <c r="M139" s="17">
        <v>1430</v>
      </c>
      <c r="N139" s="16"/>
      <c r="O139" s="11"/>
      <c r="P139" s="11">
        <v>1430</v>
      </c>
      <c r="Q139" s="38">
        <v>2860</v>
      </c>
      <c r="R139" s="38">
        <v>1430</v>
      </c>
      <c r="S139" s="39">
        <f t="shared" si="2"/>
        <v>155870</v>
      </c>
    </row>
    <row r="140" spans="1:19">
      <c r="A140" s="9">
        <v>138</v>
      </c>
      <c r="B140" s="13">
        <v>4971710513691</v>
      </c>
      <c r="C140" s="14" t="s">
        <v>274</v>
      </c>
      <c r="D140" s="73" t="s">
        <v>920</v>
      </c>
      <c r="E140" s="15" t="s">
        <v>275</v>
      </c>
      <c r="F140" s="11"/>
      <c r="G140" s="16">
        <v>16500</v>
      </c>
      <c r="H140" s="11"/>
      <c r="I140" s="12">
        <v>27500</v>
      </c>
      <c r="J140" s="11"/>
      <c r="K140" s="12"/>
      <c r="L140" s="16">
        <v>27500</v>
      </c>
      <c r="M140" s="17"/>
      <c r="N140" s="16"/>
      <c r="O140" s="11">
        <v>19800</v>
      </c>
      <c r="P140" s="11">
        <v>27500</v>
      </c>
      <c r="Q140" s="38"/>
      <c r="R140" s="38"/>
      <c r="S140" s="39">
        <f t="shared" si="2"/>
        <v>118800</v>
      </c>
    </row>
    <row r="141" spans="1:19">
      <c r="A141" s="9">
        <v>139</v>
      </c>
      <c r="B141" s="13">
        <v>4971710592979</v>
      </c>
      <c r="C141" s="14" t="s">
        <v>743</v>
      </c>
      <c r="D141" s="73" t="s">
        <v>924</v>
      </c>
      <c r="E141" s="15" t="s">
        <v>744</v>
      </c>
      <c r="F141" s="11"/>
      <c r="G141" s="16"/>
      <c r="H141" s="11"/>
      <c r="I141" s="12"/>
      <c r="J141" s="11"/>
      <c r="K141" s="12"/>
      <c r="L141" s="16">
        <v>39325</v>
      </c>
      <c r="M141" s="17">
        <v>65340</v>
      </c>
      <c r="N141" s="16">
        <v>3025</v>
      </c>
      <c r="O141" s="11">
        <v>21780</v>
      </c>
      <c r="P141" s="11"/>
      <c r="Q141" s="38">
        <v>1210</v>
      </c>
      <c r="R141" s="38"/>
      <c r="S141" s="39">
        <f t="shared" si="2"/>
        <v>130680</v>
      </c>
    </row>
    <row r="142" spans="1:19">
      <c r="A142" s="9">
        <v>140</v>
      </c>
      <c r="B142" s="13">
        <v>4971710524277</v>
      </c>
      <c r="C142" s="14" t="s">
        <v>400</v>
      </c>
      <c r="D142" s="73" t="s">
        <v>924</v>
      </c>
      <c r="E142" s="15" t="s">
        <v>401</v>
      </c>
      <c r="F142" s="11"/>
      <c r="G142" s="16"/>
      <c r="H142" s="11">
        <v>8250</v>
      </c>
      <c r="I142" s="12">
        <v>16500</v>
      </c>
      <c r="J142" s="11">
        <v>33000</v>
      </c>
      <c r="K142" s="12"/>
      <c r="L142" s="16">
        <v>108900</v>
      </c>
      <c r="M142" s="17">
        <v>1650</v>
      </c>
      <c r="N142" s="16"/>
      <c r="O142" s="11"/>
      <c r="P142" s="11">
        <v>8250</v>
      </c>
      <c r="Q142" s="38"/>
      <c r="R142" s="38"/>
      <c r="S142" s="39">
        <f t="shared" si="2"/>
        <v>176550</v>
      </c>
    </row>
    <row r="143" spans="1:19">
      <c r="A143" s="9">
        <v>141</v>
      </c>
      <c r="B143" s="13">
        <v>4971710494181</v>
      </c>
      <c r="C143" s="14" t="s">
        <v>116</v>
      </c>
      <c r="D143" s="73" t="s">
        <v>924</v>
      </c>
      <c r="E143" s="15" t="s">
        <v>117</v>
      </c>
      <c r="F143" s="11"/>
      <c r="G143" s="16">
        <v>1485</v>
      </c>
      <c r="H143" s="11">
        <v>1485</v>
      </c>
      <c r="I143" s="12">
        <v>8910</v>
      </c>
      <c r="J143" s="11"/>
      <c r="K143" s="12"/>
      <c r="L143" s="16">
        <v>2970</v>
      </c>
      <c r="M143" s="17">
        <v>9504</v>
      </c>
      <c r="N143" s="16"/>
      <c r="O143" s="11">
        <v>18414</v>
      </c>
      <c r="P143" s="11">
        <v>594</v>
      </c>
      <c r="Q143" s="38">
        <v>1782</v>
      </c>
      <c r="R143" s="38">
        <v>18414</v>
      </c>
      <c r="S143" s="39">
        <f t="shared" si="2"/>
        <v>63558</v>
      </c>
    </row>
    <row r="144" spans="1:19">
      <c r="A144" s="9">
        <v>142</v>
      </c>
      <c r="B144" s="13">
        <v>4971710522426</v>
      </c>
      <c r="C144" s="14" t="s">
        <v>384</v>
      </c>
      <c r="D144" s="73" t="s">
        <v>920</v>
      </c>
      <c r="E144" s="15" t="s">
        <v>385</v>
      </c>
      <c r="F144" s="11">
        <v>5940</v>
      </c>
      <c r="G144" s="16"/>
      <c r="H144" s="11"/>
      <c r="I144" s="12"/>
      <c r="J144" s="11">
        <v>330</v>
      </c>
      <c r="K144" s="12"/>
      <c r="L144" s="16">
        <v>9900</v>
      </c>
      <c r="M144" s="17">
        <v>660</v>
      </c>
      <c r="N144" s="16">
        <v>2970</v>
      </c>
      <c r="O144" s="11">
        <v>1980</v>
      </c>
      <c r="P144" s="11">
        <v>9900</v>
      </c>
      <c r="Q144" s="38">
        <v>17160</v>
      </c>
      <c r="R144" s="38">
        <v>21780</v>
      </c>
      <c r="S144" s="39">
        <f t="shared" si="2"/>
        <v>70620</v>
      </c>
    </row>
    <row r="145" spans="1:19">
      <c r="A145" s="9">
        <v>143</v>
      </c>
      <c r="B145" s="13">
        <v>4971710513639</v>
      </c>
      <c r="C145" s="14" t="s">
        <v>262</v>
      </c>
      <c r="D145" s="73" t="s">
        <v>920</v>
      </c>
      <c r="E145" s="15" t="s">
        <v>263</v>
      </c>
      <c r="F145" s="11"/>
      <c r="G145" s="16">
        <v>9060</v>
      </c>
      <c r="H145" s="11"/>
      <c r="I145" s="12"/>
      <c r="J145" s="11"/>
      <c r="K145" s="12">
        <v>9060</v>
      </c>
      <c r="L145" s="16">
        <v>9060</v>
      </c>
      <c r="M145" s="17"/>
      <c r="N145" s="16"/>
      <c r="O145" s="11">
        <v>1812</v>
      </c>
      <c r="P145" s="11">
        <v>9060</v>
      </c>
      <c r="Q145" s="38">
        <v>7248</v>
      </c>
      <c r="R145" s="38">
        <v>19328</v>
      </c>
      <c r="S145" s="39">
        <f t="shared" si="2"/>
        <v>64628</v>
      </c>
    </row>
    <row r="146" spans="1:19">
      <c r="A146" s="9">
        <v>144</v>
      </c>
      <c r="B146" s="13">
        <v>4971710513721</v>
      </c>
      <c r="C146" s="14" t="s">
        <v>280</v>
      </c>
      <c r="D146" s="73" t="s">
        <v>920</v>
      </c>
      <c r="E146" s="15" t="s">
        <v>281</v>
      </c>
      <c r="F146" s="11"/>
      <c r="G146" s="16"/>
      <c r="H146" s="11"/>
      <c r="I146" s="12">
        <v>27500</v>
      </c>
      <c r="J146" s="11">
        <v>27500</v>
      </c>
      <c r="K146" s="12"/>
      <c r="L146" s="16"/>
      <c r="M146" s="17"/>
      <c r="N146" s="16">
        <v>16500</v>
      </c>
      <c r="O146" s="11"/>
      <c r="P146" s="11">
        <v>44000</v>
      </c>
      <c r="Q146" s="38"/>
      <c r="R146" s="38"/>
      <c r="S146" s="39">
        <f t="shared" si="2"/>
        <v>115500</v>
      </c>
    </row>
    <row r="147" spans="1:19">
      <c r="A147" s="9">
        <v>145</v>
      </c>
      <c r="B147" s="13">
        <v>4971710584073</v>
      </c>
      <c r="C147" s="14" t="s">
        <v>705</v>
      </c>
      <c r="D147" s="73" t="s">
        <v>924</v>
      </c>
      <c r="E147" s="15" t="s">
        <v>706</v>
      </c>
      <c r="F147" s="11"/>
      <c r="G147" s="16">
        <v>35750</v>
      </c>
      <c r="H147" s="11"/>
      <c r="I147" s="12">
        <v>7150</v>
      </c>
      <c r="J147" s="11"/>
      <c r="K147" s="12"/>
      <c r="L147" s="16">
        <v>64350</v>
      </c>
      <c r="M147" s="17">
        <v>4290</v>
      </c>
      <c r="N147" s="16">
        <v>10010</v>
      </c>
      <c r="O147" s="11"/>
      <c r="P147" s="11">
        <v>1430</v>
      </c>
      <c r="Q147" s="38">
        <v>25025</v>
      </c>
      <c r="R147" s="38"/>
      <c r="S147" s="39">
        <f t="shared" si="2"/>
        <v>148005</v>
      </c>
    </row>
    <row r="148" spans="1:19">
      <c r="A148" s="9">
        <v>146</v>
      </c>
      <c r="B148" s="13">
        <v>4971710580488</v>
      </c>
      <c r="C148" s="14" t="s">
        <v>685</v>
      </c>
      <c r="D148" s="73" t="s">
        <v>920</v>
      </c>
      <c r="E148" s="15" t="s">
        <v>686</v>
      </c>
      <c r="F148" s="11"/>
      <c r="G148" s="16"/>
      <c r="H148" s="11"/>
      <c r="I148" s="12"/>
      <c r="J148" s="11">
        <v>13860</v>
      </c>
      <c r="K148" s="12"/>
      <c r="L148" s="16"/>
      <c r="M148" s="17"/>
      <c r="N148" s="16">
        <v>1848</v>
      </c>
      <c r="O148" s="11">
        <v>47124</v>
      </c>
      <c r="P148" s="11"/>
      <c r="Q148" s="38">
        <v>2772</v>
      </c>
      <c r="R148" s="38">
        <v>30030</v>
      </c>
      <c r="S148" s="39">
        <f t="shared" si="2"/>
        <v>95634</v>
      </c>
    </row>
    <row r="149" spans="1:19">
      <c r="A149" s="9">
        <v>147</v>
      </c>
      <c r="B149" s="13">
        <v>4971710565072</v>
      </c>
      <c r="C149" s="14" t="s">
        <v>506</v>
      </c>
      <c r="D149" s="73" t="s">
        <v>920</v>
      </c>
      <c r="E149" s="15" t="s">
        <v>507</v>
      </c>
      <c r="F149" s="11"/>
      <c r="G149" s="16"/>
      <c r="H149" s="11">
        <v>6600</v>
      </c>
      <c r="I149" s="12">
        <v>26400</v>
      </c>
      <c r="J149" s="11">
        <v>23760</v>
      </c>
      <c r="K149" s="12"/>
      <c r="L149" s="16">
        <v>7920</v>
      </c>
      <c r="M149" s="17">
        <v>11880</v>
      </c>
      <c r="N149" s="16"/>
      <c r="O149" s="11">
        <v>27720</v>
      </c>
      <c r="P149" s="11"/>
      <c r="Q149" s="38"/>
      <c r="R149" s="38">
        <v>31680</v>
      </c>
      <c r="S149" s="39">
        <f t="shared" si="2"/>
        <v>135960</v>
      </c>
    </row>
    <row r="150" spans="1:19">
      <c r="A150" s="9">
        <v>148</v>
      </c>
      <c r="B150" s="13">
        <v>4971710571806</v>
      </c>
      <c r="C150" s="14" t="s">
        <v>558</v>
      </c>
      <c r="D150" s="73" t="s">
        <v>924</v>
      </c>
      <c r="E150" s="15" t="s">
        <v>559</v>
      </c>
      <c r="F150" s="11"/>
      <c r="G150" s="16">
        <v>15840</v>
      </c>
      <c r="H150" s="11">
        <v>15840</v>
      </c>
      <c r="I150" s="12">
        <v>3960</v>
      </c>
      <c r="J150" s="11"/>
      <c r="K150" s="12">
        <v>6600</v>
      </c>
      <c r="L150" s="16">
        <v>9900</v>
      </c>
      <c r="M150" s="17">
        <v>72600</v>
      </c>
      <c r="N150" s="16"/>
      <c r="O150" s="11">
        <v>5280</v>
      </c>
      <c r="P150" s="11"/>
      <c r="Q150" s="38">
        <v>3960</v>
      </c>
      <c r="R150" s="38">
        <v>1320</v>
      </c>
      <c r="S150" s="39">
        <f t="shared" si="2"/>
        <v>135300</v>
      </c>
    </row>
    <row r="151" spans="1:19">
      <c r="A151" s="9">
        <v>149</v>
      </c>
      <c r="B151" s="13">
        <v>4971710561265</v>
      </c>
      <c r="C151" s="14" t="s">
        <v>474</v>
      </c>
      <c r="D151" s="73" t="s">
        <v>924</v>
      </c>
      <c r="E151" s="15" t="s">
        <v>475</v>
      </c>
      <c r="F151" s="11"/>
      <c r="G151" s="16">
        <v>18480</v>
      </c>
      <c r="H151" s="11">
        <v>18480</v>
      </c>
      <c r="I151" s="12">
        <v>6160</v>
      </c>
      <c r="J151" s="11">
        <v>3850</v>
      </c>
      <c r="K151" s="12">
        <v>23100</v>
      </c>
      <c r="L151" s="16">
        <v>61600</v>
      </c>
      <c r="M151" s="17">
        <v>10010</v>
      </c>
      <c r="N151" s="16">
        <v>1540</v>
      </c>
      <c r="O151" s="11">
        <v>4620</v>
      </c>
      <c r="P151" s="11">
        <v>1540</v>
      </c>
      <c r="Q151" s="38">
        <v>6160</v>
      </c>
      <c r="R151" s="38">
        <v>1540</v>
      </c>
      <c r="S151" s="39">
        <f t="shared" si="2"/>
        <v>157080</v>
      </c>
    </row>
    <row r="152" spans="1:19">
      <c r="A152" s="9">
        <v>150</v>
      </c>
      <c r="B152" s="13">
        <v>4971710595482</v>
      </c>
      <c r="C152" s="14" t="s">
        <v>792</v>
      </c>
      <c r="D152" s="73" t="s">
        <v>924</v>
      </c>
      <c r="E152" s="15" t="s">
        <v>793</v>
      </c>
      <c r="F152" s="11"/>
      <c r="G152" s="16"/>
      <c r="H152" s="11"/>
      <c r="I152" s="12"/>
      <c r="J152" s="11"/>
      <c r="K152" s="12"/>
      <c r="L152" s="16"/>
      <c r="M152" s="17"/>
      <c r="N152" s="16"/>
      <c r="O152" s="11">
        <v>165000</v>
      </c>
      <c r="P152" s="11"/>
      <c r="Q152" s="38"/>
      <c r="R152" s="38"/>
      <c r="S152" s="39">
        <f t="shared" si="2"/>
        <v>165000</v>
      </c>
    </row>
    <row r="153" spans="1:19">
      <c r="A153" s="9">
        <v>151</v>
      </c>
      <c r="B153" s="13">
        <v>4971710595475</v>
      </c>
      <c r="C153" s="14" t="s">
        <v>794</v>
      </c>
      <c r="D153" s="73" t="s">
        <v>924</v>
      </c>
      <c r="E153" s="15" t="s">
        <v>793</v>
      </c>
      <c r="F153" s="11"/>
      <c r="G153" s="16"/>
      <c r="H153" s="11"/>
      <c r="I153" s="12"/>
      <c r="J153" s="11"/>
      <c r="K153" s="12"/>
      <c r="L153" s="16"/>
      <c r="M153" s="17"/>
      <c r="N153" s="16"/>
      <c r="O153" s="11">
        <v>165000</v>
      </c>
      <c r="P153" s="11"/>
      <c r="Q153" s="38"/>
      <c r="R153" s="38"/>
      <c r="S153" s="39">
        <f t="shared" si="2"/>
        <v>165000</v>
      </c>
    </row>
    <row r="154" spans="1:19">
      <c r="A154" s="9">
        <v>152</v>
      </c>
      <c r="B154" s="13">
        <v>4971710568561</v>
      </c>
      <c r="C154" s="14" t="s">
        <v>526</v>
      </c>
      <c r="D154" s="73" t="s">
        <v>924</v>
      </c>
      <c r="E154" s="15" t="s">
        <v>527</v>
      </c>
      <c r="F154" s="11">
        <v>6600</v>
      </c>
      <c r="G154" s="16">
        <v>15840</v>
      </c>
      <c r="H154" s="11">
        <v>15840</v>
      </c>
      <c r="I154" s="12">
        <v>1320</v>
      </c>
      <c r="J154" s="11"/>
      <c r="K154" s="12"/>
      <c r="L154" s="16">
        <v>33000</v>
      </c>
      <c r="M154" s="17"/>
      <c r="N154" s="16"/>
      <c r="O154" s="11">
        <v>33000</v>
      </c>
      <c r="P154" s="11"/>
      <c r="Q154" s="38"/>
      <c r="R154" s="38">
        <v>26400</v>
      </c>
      <c r="S154" s="39">
        <f t="shared" si="2"/>
        <v>132000</v>
      </c>
    </row>
    <row r="155" spans="1:19">
      <c r="A155" s="9">
        <v>153</v>
      </c>
      <c r="B155" s="13">
        <v>4971710494198</v>
      </c>
      <c r="C155" s="14" t="s">
        <v>118</v>
      </c>
      <c r="D155" s="73" t="s">
        <v>924</v>
      </c>
      <c r="E155" s="15" t="s">
        <v>119</v>
      </c>
      <c r="F155" s="11"/>
      <c r="G155" s="16">
        <v>1485</v>
      </c>
      <c r="H155" s="11">
        <v>1485</v>
      </c>
      <c r="I155" s="12">
        <v>8910</v>
      </c>
      <c r="J155" s="11">
        <v>594</v>
      </c>
      <c r="K155" s="12"/>
      <c r="L155" s="16">
        <v>8910</v>
      </c>
      <c r="M155" s="17">
        <v>9504</v>
      </c>
      <c r="N155" s="16">
        <v>1782</v>
      </c>
      <c r="O155" s="11">
        <v>4752</v>
      </c>
      <c r="P155" s="11">
        <v>16038</v>
      </c>
      <c r="Q155" s="38">
        <v>1782</v>
      </c>
      <c r="R155" s="38">
        <v>3564</v>
      </c>
      <c r="S155" s="39">
        <f t="shared" si="2"/>
        <v>58806</v>
      </c>
    </row>
    <row r="156" spans="1:19">
      <c r="A156" s="9">
        <v>154</v>
      </c>
      <c r="B156" s="13">
        <v>4971710564808</v>
      </c>
      <c r="C156" s="14" t="s">
        <v>496</v>
      </c>
      <c r="D156" s="73" t="s">
        <v>924</v>
      </c>
      <c r="E156" s="15" t="s">
        <v>497</v>
      </c>
      <c r="F156" s="11">
        <v>7150</v>
      </c>
      <c r="G156" s="16">
        <v>17160</v>
      </c>
      <c r="H156" s="11">
        <v>17160</v>
      </c>
      <c r="I156" s="12">
        <v>54340</v>
      </c>
      <c r="J156" s="11"/>
      <c r="K156" s="12">
        <v>1430</v>
      </c>
      <c r="L156" s="16">
        <v>3575</v>
      </c>
      <c r="M156" s="17">
        <v>1430</v>
      </c>
      <c r="N156" s="16"/>
      <c r="O156" s="11">
        <v>4290</v>
      </c>
      <c r="P156" s="11"/>
      <c r="Q156" s="38">
        <v>10725</v>
      </c>
      <c r="R156" s="38">
        <v>21450</v>
      </c>
      <c r="S156" s="39">
        <f t="shared" si="2"/>
        <v>138710</v>
      </c>
    </row>
    <row r="157" spans="1:19">
      <c r="A157" s="9">
        <v>155</v>
      </c>
      <c r="B157" s="13">
        <v>4971710515800</v>
      </c>
      <c r="C157" s="14" t="s">
        <v>314</v>
      </c>
      <c r="D157" s="73" t="s">
        <v>924</v>
      </c>
      <c r="E157" s="15" t="s">
        <v>315</v>
      </c>
      <c r="F157" s="11"/>
      <c r="G157" s="16"/>
      <c r="H157" s="11">
        <v>7830</v>
      </c>
      <c r="I157" s="12">
        <v>15660</v>
      </c>
      <c r="J157" s="11"/>
      <c r="K157" s="12"/>
      <c r="L157" s="16"/>
      <c r="M157" s="17">
        <v>3132</v>
      </c>
      <c r="N157" s="16">
        <v>5220</v>
      </c>
      <c r="O157" s="11">
        <v>18792</v>
      </c>
      <c r="P157" s="11"/>
      <c r="Q157" s="38">
        <v>32364</v>
      </c>
      <c r="R157" s="38">
        <v>17748</v>
      </c>
      <c r="S157" s="39">
        <f t="shared" si="2"/>
        <v>100746</v>
      </c>
    </row>
    <row r="158" spans="1:19">
      <c r="A158" s="9">
        <v>156</v>
      </c>
      <c r="B158" s="13">
        <v>4971710577402</v>
      </c>
      <c r="C158" s="14" t="s">
        <v>623</v>
      </c>
      <c r="D158" s="73" t="s">
        <v>924</v>
      </c>
      <c r="E158" s="15" t="s">
        <v>624</v>
      </c>
      <c r="F158" s="11">
        <v>6600</v>
      </c>
      <c r="G158" s="16"/>
      <c r="H158" s="11"/>
      <c r="I158" s="12">
        <v>39600</v>
      </c>
      <c r="J158" s="11"/>
      <c r="K158" s="12"/>
      <c r="L158" s="16">
        <v>16500</v>
      </c>
      <c r="M158" s="17">
        <v>1320</v>
      </c>
      <c r="N158" s="16">
        <v>19800</v>
      </c>
      <c r="O158" s="11">
        <v>36960</v>
      </c>
      <c r="P158" s="11">
        <v>2640</v>
      </c>
      <c r="Q158" s="38"/>
      <c r="R158" s="38">
        <v>3960</v>
      </c>
      <c r="S158" s="39">
        <f t="shared" si="2"/>
        <v>127380</v>
      </c>
    </row>
    <row r="159" spans="1:19">
      <c r="A159" s="9">
        <v>157</v>
      </c>
      <c r="B159" s="13">
        <v>4971710585254</v>
      </c>
      <c r="C159" s="14" t="str">
        <f>VLOOKUP(B159,[3]SEK!$E:$F,2,0)</f>
        <v>MTOJ</v>
      </c>
      <c r="D159" s="73" t="s">
        <v>925</v>
      </c>
      <c r="E159" s="15" t="s">
        <v>899</v>
      </c>
      <c r="F159" s="11"/>
      <c r="G159" s="16"/>
      <c r="H159" s="11"/>
      <c r="I159" s="12"/>
      <c r="J159" s="11"/>
      <c r="K159" s="12"/>
      <c r="L159" s="16"/>
      <c r="M159" s="17"/>
      <c r="N159" s="16"/>
      <c r="O159" s="11"/>
      <c r="P159" s="11">
        <v>264000</v>
      </c>
      <c r="Q159" s="38"/>
      <c r="R159" s="38"/>
      <c r="S159" s="39">
        <f t="shared" si="2"/>
        <v>264000</v>
      </c>
    </row>
    <row r="160" spans="1:19">
      <c r="A160" s="9">
        <v>158</v>
      </c>
      <c r="B160" s="13">
        <v>4971710564785</v>
      </c>
      <c r="C160" s="14" t="s">
        <v>492</v>
      </c>
      <c r="D160" s="73" t="s">
        <v>924</v>
      </c>
      <c r="E160" s="15" t="s">
        <v>493</v>
      </c>
      <c r="F160" s="11">
        <v>6600</v>
      </c>
      <c r="G160" s="16">
        <v>15840</v>
      </c>
      <c r="H160" s="11">
        <v>15840</v>
      </c>
      <c r="I160" s="12"/>
      <c r="J160" s="11"/>
      <c r="K160" s="12"/>
      <c r="L160" s="16">
        <v>62700</v>
      </c>
      <c r="M160" s="17">
        <v>1320</v>
      </c>
      <c r="N160" s="16"/>
      <c r="O160" s="11">
        <v>3960</v>
      </c>
      <c r="P160" s="11"/>
      <c r="Q160" s="38"/>
      <c r="R160" s="38">
        <v>19800</v>
      </c>
      <c r="S160" s="39">
        <f t="shared" si="2"/>
        <v>126060</v>
      </c>
    </row>
    <row r="161" spans="1:19">
      <c r="A161" s="9">
        <v>159</v>
      </c>
      <c r="B161" s="13">
        <v>4971710514131</v>
      </c>
      <c r="C161" s="14" t="s">
        <v>294</v>
      </c>
      <c r="D161" s="73" t="s">
        <v>920</v>
      </c>
      <c r="E161" s="15" t="s">
        <v>295</v>
      </c>
      <c r="F161" s="11"/>
      <c r="G161" s="16"/>
      <c r="H161" s="11"/>
      <c r="I161" s="12"/>
      <c r="J161" s="11"/>
      <c r="K161" s="12">
        <v>29700</v>
      </c>
      <c r="L161" s="16">
        <v>59400</v>
      </c>
      <c r="M161" s="17"/>
      <c r="N161" s="16"/>
      <c r="O161" s="11">
        <v>2970</v>
      </c>
      <c r="P161" s="11"/>
      <c r="Q161" s="38"/>
      <c r="R161" s="38"/>
      <c r="S161" s="39">
        <f t="shared" si="2"/>
        <v>92070</v>
      </c>
    </row>
    <row r="162" spans="1:19">
      <c r="A162" s="9">
        <v>160</v>
      </c>
      <c r="B162" s="13">
        <v>4971710514162</v>
      </c>
      <c r="C162" s="14" t="s">
        <v>298</v>
      </c>
      <c r="D162" s="73" t="s">
        <v>920</v>
      </c>
      <c r="E162" s="15" t="s">
        <v>299</v>
      </c>
      <c r="F162" s="11"/>
      <c r="G162" s="16"/>
      <c r="H162" s="11"/>
      <c r="I162" s="12"/>
      <c r="J162" s="11"/>
      <c r="K162" s="12">
        <v>29700</v>
      </c>
      <c r="L162" s="16">
        <v>59400</v>
      </c>
      <c r="M162" s="17"/>
      <c r="N162" s="16"/>
      <c r="O162" s="11">
        <v>2970</v>
      </c>
      <c r="P162" s="11"/>
      <c r="Q162" s="38"/>
      <c r="R162" s="38"/>
      <c r="S162" s="39">
        <f t="shared" si="2"/>
        <v>92070</v>
      </c>
    </row>
    <row r="163" spans="1:19">
      <c r="A163" s="9">
        <v>161</v>
      </c>
      <c r="B163" s="13">
        <v>4971710575989</v>
      </c>
      <c r="C163" s="14" t="s">
        <v>601</v>
      </c>
      <c r="D163" s="73" t="s">
        <v>924</v>
      </c>
      <c r="E163" s="15" t="s">
        <v>602</v>
      </c>
      <c r="F163" s="11">
        <v>6600</v>
      </c>
      <c r="G163" s="16"/>
      <c r="H163" s="11"/>
      <c r="I163" s="12">
        <v>26400</v>
      </c>
      <c r="J163" s="11"/>
      <c r="K163" s="12"/>
      <c r="L163" s="16">
        <v>29700</v>
      </c>
      <c r="M163" s="17">
        <v>2640</v>
      </c>
      <c r="N163" s="16">
        <v>3300</v>
      </c>
      <c r="O163" s="11">
        <v>37620</v>
      </c>
      <c r="P163" s="11">
        <v>1320</v>
      </c>
      <c r="Q163" s="38">
        <v>11220</v>
      </c>
      <c r="R163" s="38"/>
      <c r="S163" s="39">
        <f t="shared" si="2"/>
        <v>118800</v>
      </c>
    </row>
    <row r="164" spans="1:19">
      <c r="A164" s="9">
        <v>162</v>
      </c>
      <c r="B164" s="13">
        <v>4971710575996</v>
      </c>
      <c r="C164" s="14" t="s">
        <v>603</v>
      </c>
      <c r="D164" s="73" t="s">
        <v>924</v>
      </c>
      <c r="E164" s="15" t="s">
        <v>604</v>
      </c>
      <c r="F164" s="11">
        <v>6600</v>
      </c>
      <c r="G164" s="16"/>
      <c r="H164" s="11"/>
      <c r="I164" s="12">
        <v>29700</v>
      </c>
      <c r="J164" s="11"/>
      <c r="K164" s="12"/>
      <c r="L164" s="16">
        <v>39600</v>
      </c>
      <c r="M164" s="17"/>
      <c r="N164" s="16">
        <v>4620</v>
      </c>
      <c r="O164" s="11">
        <v>13200</v>
      </c>
      <c r="P164" s="11">
        <v>23760</v>
      </c>
      <c r="Q164" s="38"/>
      <c r="R164" s="38"/>
      <c r="S164" s="39">
        <f t="shared" si="2"/>
        <v>117480</v>
      </c>
    </row>
    <row r="165" spans="1:19">
      <c r="A165" s="9">
        <v>163</v>
      </c>
      <c r="B165" s="13">
        <v>4971710571813</v>
      </c>
      <c r="C165" s="14" t="s">
        <v>560</v>
      </c>
      <c r="D165" s="73" t="s">
        <v>924</v>
      </c>
      <c r="E165" s="15" t="s">
        <v>561</v>
      </c>
      <c r="F165" s="11"/>
      <c r="G165" s="16">
        <v>15840</v>
      </c>
      <c r="H165" s="11">
        <v>15840</v>
      </c>
      <c r="I165" s="12">
        <v>3960</v>
      </c>
      <c r="J165" s="11"/>
      <c r="K165" s="12">
        <v>6600</v>
      </c>
      <c r="L165" s="16">
        <v>3300</v>
      </c>
      <c r="M165" s="17">
        <v>38280</v>
      </c>
      <c r="N165" s="16"/>
      <c r="O165" s="11">
        <v>10560</v>
      </c>
      <c r="P165" s="11">
        <v>19800</v>
      </c>
      <c r="Q165" s="38">
        <v>2640</v>
      </c>
      <c r="R165" s="38"/>
      <c r="S165" s="39">
        <f t="shared" si="2"/>
        <v>116820</v>
      </c>
    </row>
    <row r="166" spans="1:19">
      <c r="A166" s="9">
        <v>164</v>
      </c>
      <c r="B166" s="13">
        <v>4971710513677</v>
      </c>
      <c r="C166" s="14" t="s">
        <v>270</v>
      </c>
      <c r="D166" s="73" t="s">
        <v>920</v>
      </c>
      <c r="E166" s="15" t="s">
        <v>271</v>
      </c>
      <c r="F166" s="11"/>
      <c r="G166" s="16"/>
      <c r="H166" s="11"/>
      <c r="I166" s="12">
        <v>27500</v>
      </c>
      <c r="J166" s="11">
        <v>16500</v>
      </c>
      <c r="K166" s="12"/>
      <c r="L166" s="16"/>
      <c r="M166" s="17">
        <v>11000</v>
      </c>
      <c r="N166" s="16"/>
      <c r="O166" s="11">
        <v>14300</v>
      </c>
      <c r="P166" s="11"/>
      <c r="Q166" s="38"/>
      <c r="R166" s="38">
        <v>27500</v>
      </c>
      <c r="S166" s="39">
        <f t="shared" si="2"/>
        <v>96800</v>
      </c>
    </row>
    <row r="167" spans="1:19">
      <c r="A167" s="9">
        <v>165</v>
      </c>
      <c r="B167" s="13">
        <v>4971710568554</v>
      </c>
      <c r="C167" s="14" t="s">
        <v>524</v>
      </c>
      <c r="D167" s="73" t="s">
        <v>924</v>
      </c>
      <c r="E167" s="15" t="s">
        <v>525</v>
      </c>
      <c r="F167" s="11">
        <v>6600</v>
      </c>
      <c r="G167" s="16">
        <v>15840</v>
      </c>
      <c r="H167" s="11">
        <v>15840</v>
      </c>
      <c r="I167" s="12">
        <v>1320</v>
      </c>
      <c r="J167" s="11"/>
      <c r="K167" s="12"/>
      <c r="L167" s="16">
        <v>39600</v>
      </c>
      <c r="M167" s="17"/>
      <c r="N167" s="16"/>
      <c r="O167" s="11"/>
      <c r="P167" s="11">
        <v>33000</v>
      </c>
      <c r="Q167" s="38"/>
      <c r="R167" s="38">
        <v>3300</v>
      </c>
      <c r="S167" s="39">
        <f t="shared" si="2"/>
        <v>115500</v>
      </c>
    </row>
    <row r="168" spans="1:19">
      <c r="A168" s="9">
        <v>166</v>
      </c>
      <c r="B168" s="13">
        <v>4971710484236</v>
      </c>
      <c r="C168" s="14" t="s">
        <v>32</v>
      </c>
      <c r="D168" s="73" t="s">
        <v>924</v>
      </c>
      <c r="E168" s="15" t="s">
        <v>33</v>
      </c>
      <c r="F168" s="11"/>
      <c r="G168" s="16"/>
      <c r="H168" s="11"/>
      <c r="I168" s="12"/>
      <c r="J168" s="11"/>
      <c r="K168" s="12"/>
      <c r="L168" s="16">
        <v>26400</v>
      </c>
      <c r="M168" s="17"/>
      <c r="N168" s="16">
        <v>4400</v>
      </c>
      <c r="O168" s="11">
        <v>13200</v>
      </c>
      <c r="P168" s="11">
        <v>13200</v>
      </c>
      <c r="Q168" s="38">
        <v>17600</v>
      </c>
      <c r="R168" s="38"/>
      <c r="S168" s="39">
        <f t="shared" si="2"/>
        <v>74800</v>
      </c>
    </row>
    <row r="169" spans="1:19">
      <c r="A169" s="9">
        <v>167</v>
      </c>
      <c r="B169" s="13">
        <v>4971710515787</v>
      </c>
      <c r="C169" s="14" t="s">
        <v>310</v>
      </c>
      <c r="D169" s="73" t="s">
        <v>924</v>
      </c>
      <c r="E169" s="15" t="s">
        <v>311</v>
      </c>
      <c r="F169" s="11"/>
      <c r="G169" s="16"/>
      <c r="H169" s="11">
        <v>2610</v>
      </c>
      <c r="I169" s="12">
        <v>15660</v>
      </c>
      <c r="J169" s="11"/>
      <c r="K169" s="12"/>
      <c r="L169" s="16"/>
      <c r="M169" s="17">
        <v>3132</v>
      </c>
      <c r="N169" s="16"/>
      <c r="O169" s="11">
        <v>18792</v>
      </c>
      <c r="P169" s="11"/>
      <c r="Q169" s="38">
        <v>29232</v>
      </c>
      <c r="R169" s="38">
        <v>18792</v>
      </c>
      <c r="S169" s="39">
        <f t="shared" si="2"/>
        <v>88218</v>
      </c>
    </row>
    <row r="170" spans="1:19">
      <c r="A170" s="9">
        <v>168</v>
      </c>
      <c r="B170" s="13">
        <v>4971710584066</v>
      </c>
      <c r="C170" s="14" t="s">
        <v>703</v>
      </c>
      <c r="D170" s="73" t="s">
        <v>924</v>
      </c>
      <c r="E170" s="15" t="s">
        <v>704</v>
      </c>
      <c r="F170" s="11"/>
      <c r="G170" s="16">
        <v>35750</v>
      </c>
      <c r="H170" s="11"/>
      <c r="I170" s="12">
        <v>7150</v>
      </c>
      <c r="J170" s="11"/>
      <c r="K170" s="12"/>
      <c r="L170" s="16">
        <v>57200</v>
      </c>
      <c r="M170" s="17">
        <v>4290</v>
      </c>
      <c r="N170" s="16">
        <v>14300</v>
      </c>
      <c r="O170" s="11"/>
      <c r="P170" s="11">
        <v>1430</v>
      </c>
      <c r="Q170" s="38"/>
      <c r="R170" s="38"/>
      <c r="S170" s="39">
        <f t="shared" si="2"/>
        <v>120120</v>
      </c>
    </row>
    <row r="171" spans="1:19">
      <c r="A171" s="9">
        <v>169</v>
      </c>
      <c r="B171" s="13">
        <v>4971710564914</v>
      </c>
      <c r="C171" s="14" t="s">
        <v>502</v>
      </c>
      <c r="D171" s="73" t="s">
        <v>920</v>
      </c>
      <c r="E171" s="15" t="s">
        <v>503</v>
      </c>
      <c r="F171" s="11"/>
      <c r="G171" s="16">
        <v>2750</v>
      </c>
      <c r="H171" s="11">
        <v>5500</v>
      </c>
      <c r="I171" s="12"/>
      <c r="J171" s="11">
        <v>16500</v>
      </c>
      <c r="K171" s="12"/>
      <c r="L171" s="16"/>
      <c r="M171" s="17"/>
      <c r="N171" s="16">
        <v>16500</v>
      </c>
      <c r="O171" s="11"/>
      <c r="P171" s="11">
        <v>28050</v>
      </c>
      <c r="Q171" s="38"/>
      <c r="R171" s="38">
        <v>23100</v>
      </c>
      <c r="S171" s="39">
        <f t="shared" si="2"/>
        <v>92400</v>
      </c>
    </row>
    <row r="172" spans="1:19">
      <c r="A172" s="9">
        <v>170</v>
      </c>
      <c r="B172" s="13">
        <v>4971710494860</v>
      </c>
      <c r="C172" s="14" t="s">
        <v>126</v>
      </c>
      <c r="D172" s="73" t="s">
        <v>924</v>
      </c>
      <c r="E172" s="15" t="s">
        <v>127</v>
      </c>
      <c r="F172" s="11"/>
      <c r="G172" s="16"/>
      <c r="H172" s="11"/>
      <c r="I172" s="12">
        <v>42350</v>
      </c>
      <c r="J172" s="11">
        <v>15125</v>
      </c>
      <c r="K172" s="12"/>
      <c r="L172" s="16">
        <v>30250</v>
      </c>
      <c r="M172" s="17">
        <v>10890</v>
      </c>
      <c r="N172" s="16"/>
      <c r="O172" s="11"/>
      <c r="P172" s="11"/>
      <c r="Q172" s="38"/>
      <c r="R172" s="38"/>
      <c r="S172" s="39">
        <f t="shared" si="2"/>
        <v>98615</v>
      </c>
    </row>
    <row r="173" spans="1:19">
      <c r="A173" s="9">
        <v>171</v>
      </c>
      <c r="B173" s="13">
        <v>4971710496451</v>
      </c>
      <c r="C173" s="14" t="s">
        <v>168</v>
      </c>
      <c r="D173" s="73" t="s">
        <v>924</v>
      </c>
      <c r="E173" s="15" t="s">
        <v>169</v>
      </c>
      <c r="F173" s="11"/>
      <c r="G173" s="16"/>
      <c r="H173" s="11"/>
      <c r="I173" s="12">
        <v>8250</v>
      </c>
      <c r="J173" s="11">
        <v>16500</v>
      </c>
      <c r="K173" s="12"/>
      <c r="L173" s="16">
        <v>41250</v>
      </c>
      <c r="M173" s="17">
        <v>1650</v>
      </c>
      <c r="N173" s="16"/>
      <c r="O173" s="11">
        <v>8250</v>
      </c>
      <c r="P173" s="11">
        <v>12375</v>
      </c>
      <c r="Q173" s="38">
        <v>24750</v>
      </c>
      <c r="R173" s="38">
        <v>19800</v>
      </c>
      <c r="S173" s="39">
        <f t="shared" si="2"/>
        <v>132825</v>
      </c>
    </row>
    <row r="174" spans="1:19">
      <c r="A174" s="9">
        <v>172</v>
      </c>
      <c r="B174" s="13">
        <v>4971710490732</v>
      </c>
      <c r="C174" s="14" t="s">
        <v>92</v>
      </c>
      <c r="D174" s="73" t="s">
        <v>924</v>
      </c>
      <c r="E174" s="15" t="s">
        <v>93</v>
      </c>
      <c r="F174" s="11"/>
      <c r="G174" s="16"/>
      <c r="H174" s="11"/>
      <c r="I174" s="12">
        <v>11000</v>
      </c>
      <c r="J174" s="11">
        <v>16500</v>
      </c>
      <c r="K174" s="12"/>
      <c r="L174" s="16">
        <v>11000</v>
      </c>
      <c r="M174" s="17"/>
      <c r="N174" s="16"/>
      <c r="O174" s="11"/>
      <c r="P174" s="11">
        <v>16500</v>
      </c>
      <c r="Q174" s="38"/>
      <c r="R174" s="38">
        <v>33000</v>
      </c>
      <c r="S174" s="39">
        <f t="shared" si="2"/>
        <v>88000</v>
      </c>
    </row>
    <row r="175" spans="1:19">
      <c r="A175" s="9">
        <v>173</v>
      </c>
      <c r="B175" s="13">
        <v>4971710489156</v>
      </c>
      <c r="C175" s="14" t="s">
        <v>84</v>
      </c>
      <c r="D175" s="73" t="s">
        <v>924</v>
      </c>
      <c r="E175" s="15" t="s">
        <v>85</v>
      </c>
      <c r="F175" s="11"/>
      <c r="G175" s="16"/>
      <c r="H175" s="11"/>
      <c r="I175" s="12"/>
      <c r="J175" s="11"/>
      <c r="K175" s="12">
        <v>11000</v>
      </c>
      <c r="L175" s="16">
        <v>38500</v>
      </c>
      <c r="M175" s="17"/>
      <c r="N175" s="16"/>
      <c r="O175" s="11">
        <v>11000</v>
      </c>
      <c r="P175" s="11">
        <v>16500</v>
      </c>
      <c r="Q175" s="38"/>
      <c r="R175" s="38">
        <v>11000</v>
      </c>
      <c r="S175" s="39">
        <f t="shared" si="2"/>
        <v>88000</v>
      </c>
    </row>
    <row r="176" spans="1:19">
      <c r="A176" s="9">
        <v>174</v>
      </c>
      <c r="B176" s="13">
        <v>4971710513844</v>
      </c>
      <c r="C176" s="14" t="s">
        <v>288</v>
      </c>
      <c r="D176" s="73" t="s">
        <v>920</v>
      </c>
      <c r="E176" s="15" t="s">
        <v>289</v>
      </c>
      <c r="F176" s="11"/>
      <c r="G176" s="16">
        <v>19800</v>
      </c>
      <c r="H176" s="11"/>
      <c r="I176" s="12"/>
      <c r="J176" s="11"/>
      <c r="K176" s="12">
        <v>19800</v>
      </c>
      <c r="L176" s="16">
        <v>19800</v>
      </c>
      <c r="M176" s="17">
        <v>21780</v>
      </c>
      <c r="N176" s="16"/>
      <c r="O176" s="11"/>
      <c r="P176" s="11"/>
      <c r="Q176" s="38"/>
      <c r="R176" s="38">
        <v>19800</v>
      </c>
      <c r="S176" s="39">
        <f t="shared" si="2"/>
        <v>100980</v>
      </c>
    </row>
    <row r="177" spans="1:19">
      <c r="A177" s="9">
        <v>175</v>
      </c>
      <c r="B177" s="13">
        <v>4971710566154</v>
      </c>
      <c r="C177" s="14" t="s">
        <v>520</v>
      </c>
      <c r="D177" s="73" t="s">
        <v>920</v>
      </c>
      <c r="E177" s="15" t="s">
        <v>521</v>
      </c>
      <c r="F177" s="11"/>
      <c r="G177" s="16"/>
      <c r="H177" s="11">
        <v>8250</v>
      </c>
      <c r="I177" s="12">
        <v>24750</v>
      </c>
      <c r="J177" s="11">
        <v>16500</v>
      </c>
      <c r="K177" s="12"/>
      <c r="L177" s="16">
        <v>6600</v>
      </c>
      <c r="M177" s="17"/>
      <c r="N177" s="16"/>
      <c r="O177" s="11"/>
      <c r="P177" s="11">
        <v>27500</v>
      </c>
      <c r="Q177" s="38"/>
      <c r="R177" s="38"/>
      <c r="S177" s="39">
        <f t="shared" si="2"/>
        <v>83600</v>
      </c>
    </row>
    <row r="178" spans="1:19">
      <c r="A178" s="9">
        <v>176</v>
      </c>
      <c r="B178" s="13">
        <v>4971710515824</v>
      </c>
      <c r="C178" s="14" t="s">
        <v>318</v>
      </c>
      <c r="D178" s="73" t="s">
        <v>924</v>
      </c>
      <c r="E178" s="15" t="s">
        <v>319</v>
      </c>
      <c r="F178" s="11"/>
      <c r="G178" s="16"/>
      <c r="H178" s="11"/>
      <c r="I178" s="12">
        <v>20880</v>
      </c>
      <c r="J178" s="11"/>
      <c r="K178" s="12"/>
      <c r="L178" s="16"/>
      <c r="M178" s="17">
        <v>11484</v>
      </c>
      <c r="N178" s="16"/>
      <c r="O178" s="11">
        <v>2088</v>
      </c>
      <c r="P178" s="11"/>
      <c r="Q178" s="38">
        <v>28188</v>
      </c>
      <c r="R178" s="38">
        <v>16704</v>
      </c>
      <c r="S178" s="39">
        <f t="shared" si="2"/>
        <v>79344</v>
      </c>
    </row>
    <row r="179" spans="1:19">
      <c r="A179" s="9">
        <v>177</v>
      </c>
      <c r="B179" s="13">
        <v>4971710578553</v>
      </c>
      <c r="C179" s="14" t="s">
        <v>627</v>
      </c>
      <c r="D179" s="73" t="s">
        <v>920</v>
      </c>
      <c r="E179" s="15" t="s">
        <v>628</v>
      </c>
      <c r="F179" s="11"/>
      <c r="G179" s="16">
        <v>19250</v>
      </c>
      <c r="H179" s="11">
        <v>8250</v>
      </c>
      <c r="I179" s="12"/>
      <c r="J179" s="11"/>
      <c r="K179" s="12">
        <v>11000</v>
      </c>
      <c r="L179" s="16">
        <v>13750</v>
      </c>
      <c r="M179" s="17">
        <v>1100</v>
      </c>
      <c r="N179" s="16"/>
      <c r="O179" s="11">
        <v>16500</v>
      </c>
      <c r="P179" s="11">
        <v>11000</v>
      </c>
      <c r="Q179" s="38">
        <v>2200</v>
      </c>
      <c r="R179" s="38"/>
      <c r="S179" s="39">
        <f t="shared" si="2"/>
        <v>83050</v>
      </c>
    </row>
    <row r="180" spans="1:19">
      <c r="A180" s="9">
        <v>178</v>
      </c>
      <c r="B180" s="13">
        <v>4971710494877</v>
      </c>
      <c r="C180" s="14" t="s">
        <v>128</v>
      </c>
      <c r="D180" s="73" t="s">
        <v>924</v>
      </c>
      <c r="E180" s="15" t="s">
        <v>129</v>
      </c>
      <c r="F180" s="11"/>
      <c r="G180" s="16"/>
      <c r="H180" s="11">
        <v>3025</v>
      </c>
      <c r="I180" s="12">
        <v>30250</v>
      </c>
      <c r="J180" s="11"/>
      <c r="K180" s="12"/>
      <c r="L180" s="16">
        <v>12100</v>
      </c>
      <c r="M180" s="17">
        <v>18150</v>
      </c>
      <c r="N180" s="16"/>
      <c r="O180" s="11">
        <v>15730</v>
      </c>
      <c r="P180" s="11">
        <v>12100</v>
      </c>
      <c r="Q180" s="38"/>
      <c r="R180" s="38"/>
      <c r="S180" s="39">
        <f t="shared" si="2"/>
        <v>91355</v>
      </c>
    </row>
    <row r="181" spans="1:19">
      <c r="A181" s="9">
        <v>179</v>
      </c>
      <c r="B181" s="13">
        <v>4971710485721</v>
      </c>
      <c r="C181" s="14" t="s">
        <v>42</v>
      </c>
      <c r="D181" s="73" t="s">
        <v>924</v>
      </c>
      <c r="E181" s="15" t="s">
        <v>43</v>
      </c>
      <c r="F181" s="11"/>
      <c r="G181" s="16"/>
      <c r="H181" s="11">
        <v>11000</v>
      </c>
      <c r="I181" s="12"/>
      <c r="J181" s="11"/>
      <c r="K181" s="12">
        <v>11000</v>
      </c>
      <c r="L181" s="16">
        <v>22000</v>
      </c>
      <c r="M181" s="17"/>
      <c r="N181" s="16"/>
      <c r="O181" s="11">
        <v>11000</v>
      </c>
      <c r="P181" s="11">
        <v>27500</v>
      </c>
      <c r="Q181" s="38"/>
      <c r="R181" s="38"/>
      <c r="S181" s="39">
        <f t="shared" si="2"/>
        <v>82500</v>
      </c>
    </row>
    <row r="182" spans="1:19">
      <c r="A182" s="9">
        <v>180</v>
      </c>
      <c r="B182" s="13">
        <v>4971710513394</v>
      </c>
      <c r="C182" s="14" t="s">
        <v>252</v>
      </c>
      <c r="D182" s="73" t="s">
        <v>920</v>
      </c>
      <c r="E182" s="15" t="s">
        <v>253</v>
      </c>
      <c r="F182" s="11"/>
      <c r="G182" s="16"/>
      <c r="H182" s="11"/>
      <c r="I182" s="12"/>
      <c r="J182" s="11"/>
      <c r="K182" s="12"/>
      <c r="L182" s="16">
        <v>90750</v>
      </c>
      <c r="M182" s="17"/>
      <c r="N182" s="16"/>
      <c r="O182" s="11"/>
      <c r="P182" s="11"/>
      <c r="Q182" s="38"/>
      <c r="R182" s="38"/>
      <c r="S182" s="39">
        <f t="shared" si="2"/>
        <v>90750</v>
      </c>
    </row>
    <row r="183" spans="1:19">
      <c r="A183" s="9">
        <v>181</v>
      </c>
      <c r="B183" s="13">
        <v>4971710513585</v>
      </c>
      <c r="C183" s="14" t="s">
        <v>254</v>
      </c>
      <c r="D183" s="73" t="s">
        <v>920</v>
      </c>
      <c r="E183" s="15" t="s">
        <v>255</v>
      </c>
      <c r="F183" s="11"/>
      <c r="G183" s="16"/>
      <c r="H183" s="11"/>
      <c r="I183" s="12"/>
      <c r="J183" s="11"/>
      <c r="K183" s="12"/>
      <c r="L183" s="16">
        <v>90750</v>
      </c>
      <c r="M183" s="17"/>
      <c r="N183" s="16"/>
      <c r="O183" s="11"/>
      <c r="P183" s="11"/>
      <c r="Q183" s="38"/>
      <c r="R183" s="38"/>
      <c r="S183" s="39">
        <f t="shared" si="2"/>
        <v>90750</v>
      </c>
    </row>
    <row r="184" spans="1:19">
      <c r="A184" s="9">
        <v>182</v>
      </c>
      <c r="B184" s="13">
        <v>4971710513592</v>
      </c>
      <c r="C184" s="14" t="s">
        <v>256</v>
      </c>
      <c r="D184" s="73" t="s">
        <v>920</v>
      </c>
      <c r="E184" s="15" t="s">
        <v>257</v>
      </c>
      <c r="F184" s="11"/>
      <c r="G184" s="16"/>
      <c r="H184" s="11"/>
      <c r="I184" s="12"/>
      <c r="J184" s="11"/>
      <c r="K184" s="12"/>
      <c r="L184" s="16">
        <v>90750</v>
      </c>
      <c r="M184" s="17"/>
      <c r="N184" s="16"/>
      <c r="O184" s="11"/>
      <c r="P184" s="11"/>
      <c r="Q184" s="38"/>
      <c r="R184" s="38"/>
      <c r="S184" s="39">
        <f t="shared" si="2"/>
        <v>90750</v>
      </c>
    </row>
    <row r="185" spans="1:19">
      <c r="A185" s="9">
        <v>183</v>
      </c>
      <c r="B185" s="13">
        <v>4971710579307</v>
      </c>
      <c r="C185" s="14" t="s">
        <v>651</v>
      </c>
      <c r="D185" s="73" t="s">
        <v>924</v>
      </c>
      <c r="E185" s="15" t="s">
        <v>652</v>
      </c>
      <c r="F185" s="11"/>
      <c r="G185" s="16"/>
      <c r="H185" s="11">
        <v>18480</v>
      </c>
      <c r="I185" s="12"/>
      <c r="J185" s="11"/>
      <c r="K185" s="12"/>
      <c r="L185" s="16">
        <v>10780</v>
      </c>
      <c r="M185" s="17">
        <v>40040</v>
      </c>
      <c r="N185" s="16">
        <v>4620</v>
      </c>
      <c r="O185" s="11"/>
      <c r="P185" s="11">
        <v>38500</v>
      </c>
      <c r="Q185" s="38"/>
      <c r="R185" s="38"/>
      <c r="S185" s="39">
        <f t="shared" si="2"/>
        <v>112420</v>
      </c>
    </row>
    <row r="186" spans="1:19">
      <c r="A186" s="9">
        <v>184</v>
      </c>
      <c r="B186" s="13">
        <v>4971710512243</v>
      </c>
      <c r="C186" s="14" t="s">
        <v>244</v>
      </c>
      <c r="D186" s="73" t="s">
        <v>924</v>
      </c>
      <c r="E186" s="15" t="s">
        <v>245</v>
      </c>
      <c r="F186" s="11">
        <v>4400</v>
      </c>
      <c r="G186" s="16"/>
      <c r="H186" s="11"/>
      <c r="I186" s="12">
        <v>8800</v>
      </c>
      <c r="J186" s="11"/>
      <c r="K186" s="12"/>
      <c r="L186" s="16">
        <v>17600</v>
      </c>
      <c r="M186" s="17">
        <v>1760</v>
      </c>
      <c r="N186" s="16"/>
      <c r="O186" s="11">
        <v>15840</v>
      </c>
      <c r="P186" s="11">
        <v>2640</v>
      </c>
      <c r="Q186" s="38"/>
      <c r="R186" s="38">
        <v>13200</v>
      </c>
      <c r="S186" s="39">
        <f t="shared" si="2"/>
        <v>64240</v>
      </c>
    </row>
    <row r="187" spans="1:19">
      <c r="A187" s="9">
        <v>185</v>
      </c>
      <c r="B187" s="13">
        <v>4971710578560</v>
      </c>
      <c r="C187" s="14" t="s">
        <v>629</v>
      </c>
      <c r="D187" s="73" t="s">
        <v>920</v>
      </c>
      <c r="E187" s="15" t="s">
        <v>630</v>
      </c>
      <c r="F187" s="11"/>
      <c r="G187" s="16">
        <v>16500</v>
      </c>
      <c r="H187" s="11">
        <v>22000</v>
      </c>
      <c r="I187" s="12"/>
      <c r="J187" s="11"/>
      <c r="K187" s="12">
        <v>2750</v>
      </c>
      <c r="L187" s="16"/>
      <c r="M187" s="17"/>
      <c r="N187" s="16"/>
      <c r="O187" s="11">
        <v>19250</v>
      </c>
      <c r="P187" s="11">
        <v>17600</v>
      </c>
      <c r="Q187" s="38"/>
      <c r="R187" s="38">
        <v>1100</v>
      </c>
      <c r="S187" s="39">
        <f t="shared" si="2"/>
        <v>79200</v>
      </c>
    </row>
    <row r="188" spans="1:19">
      <c r="A188" s="9">
        <v>186</v>
      </c>
      <c r="B188" s="13">
        <v>4971710578591</v>
      </c>
      <c r="C188" s="14" t="s">
        <v>635</v>
      </c>
      <c r="D188" s="73" t="s">
        <v>920</v>
      </c>
      <c r="E188" s="15" t="s">
        <v>636</v>
      </c>
      <c r="F188" s="11">
        <v>6050</v>
      </c>
      <c r="G188" s="16">
        <v>3025</v>
      </c>
      <c r="H188" s="11"/>
      <c r="I188" s="12"/>
      <c r="J188" s="11">
        <v>24200</v>
      </c>
      <c r="K188" s="12"/>
      <c r="L188" s="16">
        <v>3025</v>
      </c>
      <c r="M188" s="17">
        <v>7260</v>
      </c>
      <c r="N188" s="16"/>
      <c r="O188" s="11">
        <v>21780</v>
      </c>
      <c r="P188" s="11">
        <v>19360</v>
      </c>
      <c r="Q188" s="38"/>
      <c r="R188" s="38">
        <v>1210</v>
      </c>
      <c r="S188" s="39">
        <f t="shared" si="2"/>
        <v>85910</v>
      </c>
    </row>
    <row r="189" spans="1:19">
      <c r="A189" s="9">
        <v>187</v>
      </c>
      <c r="B189" s="13">
        <v>4971710485745</v>
      </c>
      <c r="C189" s="14" t="s">
        <v>44</v>
      </c>
      <c r="D189" s="73" t="s">
        <v>924</v>
      </c>
      <c r="E189" s="15" t="s">
        <v>45</v>
      </c>
      <c r="F189" s="11"/>
      <c r="G189" s="16"/>
      <c r="H189" s="11">
        <v>5500</v>
      </c>
      <c r="I189" s="12">
        <v>11000</v>
      </c>
      <c r="J189" s="11"/>
      <c r="K189" s="12">
        <v>5500</v>
      </c>
      <c r="L189" s="16">
        <v>5500</v>
      </c>
      <c r="M189" s="17"/>
      <c r="N189" s="16">
        <v>5500</v>
      </c>
      <c r="O189" s="11">
        <v>11000</v>
      </c>
      <c r="P189" s="11">
        <v>33000</v>
      </c>
      <c r="Q189" s="38"/>
      <c r="R189" s="38"/>
      <c r="S189" s="39">
        <f t="shared" si="2"/>
        <v>77000</v>
      </c>
    </row>
    <row r="190" spans="1:19">
      <c r="A190" s="9">
        <v>188</v>
      </c>
      <c r="B190" s="13">
        <v>4971710519266</v>
      </c>
      <c r="C190" s="14" t="s">
        <v>348</v>
      </c>
      <c r="D190" s="73" t="s">
        <v>920</v>
      </c>
      <c r="E190" s="15" t="s">
        <v>349</v>
      </c>
      <c r="F190" s="11"/>
      <c r="G190" s="16">
        <v>21450</v>
      </c>
      <c r="H190" s="11">
        <v>21450</v>
      </c>
      <c r="I190" s="12"/>
      <c r="J190" s="11">
        <v>21450</v>
      </c>
      <c r="K190" s="12"/>
      <c r="L190" s="16"/>
      <c r="M190" s="17"/>
      <c r="N190" s="16"/>
      <c r="O190" s="11"/>
      <c r="P190" s="11">
        <v>35750</v>
      </c>
      <c r="Q190" s="38"/>
      <c r="R190" s="38"/>
      <c r="S190" s="39">
        <f t="shared" si="2"/>
        <v>100100</v>
      </c>
    </row>
    <row r="191" spans="1:19">
      <c r="A191" s="9">
        <v>189</v>
      </c>
      <c r="B191" s="13">
        <v>4971710521498</v>
      </c>
      <c r="C191" s="14" t="s">
        <v>362</v>
      </c>
      <c r="D191" s="73" t="s">
        <v>924</v>
      </c>
      <c r="E191" s="15" t="s">
        <v>363</v>
      </c>
      <c r="F191" s="11"/>
      <c r="G191" s="16">
        <v>42900</v>
      </c>
      <c r="H191" s="11"/>
      <c r="I191" s="12"/>
      <c r="J191" s="11">
        <v>14300</v>
      </c>
      <c r="K191" s="12"/>
      <c r="L191" s="16"/>
      <c r="M191" s="17">
        <v>1430</v>
      </c>
      <c r="N191" s="16"/>
      <c r="O191" s="11">
        <v>2860</v>
      </c>
      <c r="P191" s="11">
        <v>1430</v>
      </c>
      <c r="Q191" s="38">
        <v>21450</v>
      </c>
      <c r="R191" s="38">
        <v>15730</v>
      </c>
      <c r="S191" s="39">
        <f t="shared" si="2"/>
        <v>100100</v>
      </c>
    </row>
    <row r="192" spans="1:19">
      <c r="A192" s="9">
        <v>190</v>
      </c>
      <c r="B192" s="13">
        <v>4971710513820</v>
      </c>
      <c r="C192" s="14" t="s">
        <v>284</v>
      </c>
      <c r="D192" s="73" t="s">
        <v>920</v>
      </c>
      <c r="E192" s="15" t="s">
        <v>285</v>
      </c>
      <c r="F192" s="11"/>
      <c r="G192" s="16"/>
      <c r="H192" s="11"/>
      <c r="I192" s="12">
        <v>33000</v>
      </c>
      <c r="J192" s="11"/>
      <c r="K192" s="12"/>
      <c r="L192" s="16">
        <v>39600</v>
      </c>
      <c r="M192" s="17"/>
      <c r="N192" s="16"/>
      <c r="O192" s="11"/>
      <c r="P192" s="11"/>
      <c r="Q192" s="38"/>
      <c r="R192" s="38">
        <v>19800</v>
      </c>
      <c r="S192" s="39">
        <f t="shared" si="2"/>
        <v>92400</v>
      </c>
    </row>
    <row r="193" spans="1:19">
      <c r="A193" s="9">
        <v>191</v>
      </c>
      <c r="B193" s="13">
        <v>4971710578577</v>
      </c>
      <c r="C193" s="14" t="s">
        <v>631</v>
      </c>
      <c r="D193" s="73" t="s">
        <v>920</v>
      </c>
      <c r="E193" s="15" t="s">
        <v>632</v>
      </c>
      <c r="F193" s="11"/>
      <c r="G193" s="16"/>
      <c r="H193" s="11">
        <v>11000</v>
      </c>
      <c r="I193" s="12"/>
      <c r="J193" s="11">
        <v>13200</v>
      </c>
      <c r="K193" s="12"/>
      <c r="L193" s="16">
        <v>11550</v>
      </c>
      <c r="M193" s="17">
        <v>1100</v>
      </c>
      <c r="N193" s="16">
        <v>16500</v>
      </c>
      <c r="O193" s="11">
        <v>2200</v>
      </c>
      <c r="P193" s="11">
        <v>16500</v>
      </c>
      <c r="Q193" s="38"/>
      <c r="R193" s="38"/>
      <c r="S193" s="39">
        <f t="shared" si="2"/>
        <v>72050</v>
      </c>
    </row>
    <row r="194" spans="1:19">
      <c r="A194" s="9">
        <v>192</v>
      </c>
      <c r="B194" s="13">
        <v>4971710571783</v>
      </c>
      <c r="C194" s="14" t="s">
        <v>554</v>
      </c>
      <c r="D194" s="73" t="s">
        <v>924</v>
      </c>
      <c r="E194" s="15" t="s">
        <v>555</v>
      </c>
      <c r="F194" s="11"/>
      <c r="G194" s="16"/>
      <c r="H194" s="11">
        <v>6600</v>
      </c>
      <c r="I194" s="12">
        <v>33000</v>
      </c>
      <c r="J194" s="11"/>
      <c r="K194" s="12"/>
      <c r="L194" s="16">
        <v>9900</v>
      </c>
      <c r="M194" s="17">
        <v>5280</v>
      </c>
      <c r="N194" s="16"/>
      <c r="O194" s="11">
        <v>10560</v>
      </c>
      <c r="P194" s="11">
        <v>19800</v>
      </c>
      <c r="Q194" s="38"/>
      <c r="R194" s="38">
        <v>1320</v>
      </c>
      <c r="S194" s="39">
        <f t="shared" si="2"/>
        <v>86460</v>
      </c>
    </row>
    <row r="195" spans="1:19">
      <c r="A195" s="9">
        <v>193</v>
      </c>
      <c r="B195" s="13">
        <v>4971710485714</v>
      </c>
      <c r="C195" s="14" t="s">
        <v>40</v>
      </c>
      <c r="D195" s="73" t="s">
        <v>924</v>
      </c>
      <c r="E195" s="15" t="s">
        <v>41</v>
      </c>
      <c r="F195" s="11"/>
      <c r="G195" s="16"/>
      <c r="H195" s="11">
        <v>11000</v>
      </c>
      <c r="I195" s="12">
        <v>11000</v>
      </c>
      <c r="J195" s="11"/>
      <c r="K195" s="12"/>
      <c r="L195" s="16">
        <v>16500</v>
      </c>
      <c r="M195" s="17"/>
      <c r="N195" s="16"/>
      <c r="O195" s="11"/>
      <c r="P195" s="11">
        <v>33000</v>
      </c>
      <c r="Q195" s="38"/>
      <c r="R195" s="38"/>
      <c r="S195" s="39">
        <f t="shared" ref="S195:S258" si="3">F195+G195+H195+I195+J195+K195+L195+M195+N195+ O195+P195+Q195+R195</f>
        <v>71500</v>
      </c>
    </row>
    <row r="196" spans="1:19">
      <c r="A196" s="9">
        <v>194</v>
      </c>
      <c r="B196" s="13">
        <v>4971710564891</v>
      </c>
      <c r="C196" s="14" t="s">
        <v>498</v>
      </c>
      <c r="D196" s="73" t="s">
        <v>920</v>
      </c>
      <c r="E196" s="15" t="s">
        <v>499</v>
      </c>
      <c r="F196" s="11"/>
      <c r="G196" s="16"/>
      <c r="H196" s="11">
        <v>11000</v>
      </c>
      <c r="I196" s="12"/>
      <c r="J196" s="11">
        <v>16500</v>
      </c>
      <c r="K196" s="12"/>
      <c r="L196" s="16">
        <v>3300</v>
      </c>
      <c r="M196" s="17"/>
      <c r="N196" s="16"/>
      <c r="O196" s="11">
        <v>18700</v>
      </c>
      <c r="P196" s="11">
        <v>16500</v>
      </c>
      <c r="Q196" s="38">
        <v>4400</v>
      </c>
      <c r="R196" s="38">
        <v>1100</v>
      </c>
      <c r="S196" s="39">
        <f t="shared" si="3"/>
        <v>71500</v>
      </c>
    </row>
    <row r="197" spans="1:19">
      <c r="A197" s="9">
        <v>195</v>
      </c>
      <c r="B197" s="13">
        <v>4971710288629</v>
      </c>
      <c r="C197" s="14" t="s">
        <v>771</v>
      </c>
      <c r="D197" s="73" t="s">
        <v>922</v>
      </c>
      <c r="E197" s="15" t="s">
        <v>772</v>
      </c>
      <c r="F197" s="11"/>
      <c r="G197" s="16"/>
      <c r="H197" s="11"/>
      <c r="I197" s="12">
        <v>140250</v>
      </c>
      <c r="J197" s="11">
        <v>140250</v>
      </c>
      <c r="K197" s="12"/>
      <c r="L197" s="16">
        <v>140250</v>
      </c>
      <c r="M197" s="17">
        <v>187000</v>
      </c>
      <c r="N197" s="16"/>
      <c r="O197" s="11"/>
      <c r="P197" s="11"/>
      <c r="Q197" s="38"/>
      <c r="R197" s="38"/>
      <c r="S197" s="39">
        <f t="shared" si="3"/>
        <v>607750</v>
      </c>
    </row>
    <row r="198" spans="1:19">
      <c r="A198" s="9">
        <v>196</v>
      </c>
      <c r="B198" s="13">
        <v>4971710578454</v>
      </c>
      <c r="C198" s="14" t="s">
        <v>625</v>
      </c>
      <c r="D198" s="73" t="s">
        <v>924</v>
      </c>
      <c r="E198" s="15" t="s">
        <v>626</v>
      </c>
      <c r="F198" s="11">
        <v>6600</v>
      </c>
      <c r="G198" s="16">
        <v>19800</v>
      </c>
      <c r="H198" s="11"/>
      <c r="I198" s="12"/>
      <c r="J198" s="11"/>
      <c r="K198" s="12">
        <v>19800</v>
      </c>
      <c r="L198" s="16">
        <v>19800</v>
      </c>
      <c r="M198" s="17"/>
      <c r="N198" s="16"/>
      <c r="O198" s="11">
        <v>19800</v>
      </c>
      <c r="P198" s="11"/>
      <c r="Q198" s="38"/>
      <c r="R198" s="38"/>
      <c r="S198" s="39">
        <f t="shared" si="3"/>
        <v>85800</v>
      </c>
    </row>
    <row r="199" spans="1:19">
      <c r="A199" s="9">
        <v>197</v>
      </c>
      <c r="B199" s="13">
        <v>4971710579802</v>
      </c>
      <c r="C199" s="14" t="s">
        <v>657</v>
      </c>
      <c r="D199" s="73" t="s">
        <v>924</v>
      </c>
      <c r="E199" s="15" t="s">
        <v>658</v>
      </c>
      <c r="F199" s="11">
        <v>6600</v>
      </c>
      <c r="G199" s="16">
        <v>19800</v>
      </c>
      <c r="H199" s="11"/>
      <c r="I199" s="12"/>
      <c r="J199" s="11"/>
      <c r="K199" s="12">
        <v>19800</v>
      </c>
      <c r="L199" s="16">
        <v>19800</v>
      </c>
      <c r="M199" s="17"/>
      <c r="N199" s="16"/>
      <c r="O199" s="11">
        <v>19800</v>
      </c>
      <c r="P199" s="11"/>
      <c r="Q199" s="38"/>
      <c r="R199" s="38"/>
      <c r="S199" s="39">
        <f t="shared" si="3"/>
        <v>85800</v>
      </c>
    </row>
    <row r="200" spans="1:19">
      <c r="A200" s="9">
        <v>198</v>
      </c>
      <c r="B200" s="13">
        <v>4971710579918</v>
      </c>
      <c r="C200" s="14" t="s">
        <v>669</v>
      </c>
      <c r="D200" s="73" t="s">
        <v>924</v>
      </c>
      <c r="E200" s="15" t="s">
        <v>670</v>
      </c>
      <c r="F200" s="11"/>
      <c r="G200" s="16"/>
      <c r="H200" s="11"/>
      <c r="I200" s="12">
        <v>41250</v>
      </c>
      <c r="J200" s="11">
        <v>1650</v>
      </c>
      <c r="K200" s="12"/>
      <c r="L200" s="16">
        <v>34650</v>
      </c>
      <c r="M200" s="17">
        <v>4950</v>
      </c>
      <c r="N200" s="16">
        <v>1650</v>
      </c>
      <c r="O200" s="11"/>
      <c r="P200" s="11">
        <v>1650</v>
      </c>
      <c r="Q200" s="38">
        <v>3300</v>
      </c>
      <c r="R200" s="38">
        <v>12375</v>
      </c>
      <c r="S200" s="39">
        <f t="shared" si="3"/>
        <v>101475</v>
      </c>
    </row>
    <row r="201" spans="1:19">
      <c r="A201" s="9">
        <v>199</v>
      </c>
      <c r="B201" s="13">
        <v>4971710584707</v>
      </c>
      <c r="C201" s="14" t="s">
        <v>709</v>
      </c>
      <c r="D201" s="73" t="s">
        <v>920</v>
      </c>
      <c r="E201" s="15" t="s">
        <v>710</v>
      </c>
      <c r="F201" s="11"/>
      <c r="G201" s="16"/>
      <c r="H201" s="11"/>
      <c r="I201" s="12"/>
      <c r="J201" s="11"/>
      <c r="K201" s="12"/>
      <c r="L201" s="16">
        <v>10710</v>
      </c>
      <c r="M201" s="17">
        <v>714</v>
      </c>
      <c r="N201" s="16"/>
      <c r="O201" s="11">
        <v>11424</v>
      </c>
      <c r="P201" s="11"/>
      <c r="Q201" s="38">
        <v>2142</v>
      </c>
      <c r="R201" s="38">
        <v>17850</v>
      </c>
      <c r="S201" s="39">
        <f t="shared" si="3"/>
        <v>42840</v>
      </c>
    </row>
    <row r="202" spans="1:19">
      <c r="A202" s="9">
        <v>200</v>
      </c>
      <c r="B202" s="13">
        <v>4971710579871</v>
      </c>
      <c r="C202" s="14" t="s">
        <v>661</v>
      </c>
      <c r="D202" s="73" t="s">
        <v>924</v>
      </c>
      <c r="E202" s="15" t="s">
        <v>662</v>
      </c>
      <c r="F202" s="11"/>
      <c r="G202" s="16"/>
      <c r="H202" s="11"/>
      <c r="I202" s="12">
        <v>41250</v>
      </c>
      <c r="J202" s="11"/>
      <c r="K202" s="12"/>
      <c r="L202" s="16">
        <v>34650</v>
      </c>
      <c r="M202" s="17">
        <v>4950</v>
      </c>
      <c r="N202" s="16">
        <v>1650</v>
      </c>
      <c r="O202" s="11"/>
      <c r="P202" s="11">
        <v>1650</v>
      </c>
      <c r="Q202" s="38"/>
      <c r="R202" s="38">
        <v>12375</v>
      </c>
      <c r="S202" s="39">
        <f t="shared" si="3"/>
        <v>96525</v>
      </c>
    </row>
    <row r="203" spans="1:19">
      <c r="A203" s="9">
        <v>201</v>
      </c>
      <c r="B203" s="13">
        <v>4971710512236</v>
      </c>
      <c r="C203" s="14" t="s">
        <v>242</v>
      </c>
      <c r="D203" s="73" t="s">
        <v>924</v>
      </c>
      <c r="E203" s="15" t="s">
        <v>243</v>
      </c>
      <c r="F203" s="11"/>
      <c r="G203" s="16"/>
      <c r="H203" s="11">
        <v>2200</v>
      </c>
      <c r="I203" s="12">
        <v>13200</v>
      </c>
      <c r="J203" s="11"/>
      <c r="K203" s="12"/>
      <c r="L203" s="16"/>
      <c r="M203" s="17">
        <v>2640</v>
      </c>
      <c r="N203" s="16"/>
      <c r="O203" s="11">
        <v>15840</v>
      </c>
      <c r="P203" s="11">
        <v>2640</v>
      </c>
      <c r="Q203" s="38"/>
      <c r="R203" s="38">
        <v>13200</v>
      </c>
      <c r="S203" s="39">
        <f t="shared" si="3"/>
        <v>49720</v>
      </c>
    </row>
    <row r="204" spans="1:19">
      <c r="A204" s="9">
        <v>202</v>
      </c>
      <c r="B204" s="13">
        <v>4971710565089</v>
      </c>
      <c r="C204" s="14" t="s">
        <v>508</v>
      </c>
      <c r="D204" s="73" t="s">
        <v>920</v>
      </c>
      <c r="E204" s="15" t="s">
        <v>509</v>
      </c>
      <c r="F204" s="11"/>
      <c r="G204" s="16">
        <v>19800</v>
      </c>
      <c r="H204" s="11">
        <v>6600</v>
      </c>
      <c r="I204" s="12"/>
      <c r="J204" s="11">
        <v>21120</v>
      </c>
      <c r="K204" s="12"/>
      <c r="L204" s="16">
        <v>7920</v>
      </c>
      <c r="M204" s="17"/>
      <c r="N204" s="16"/>
      <c r="O204" s="11"/>
      <c r="P204" s="11">
        <v>18480</v>
      </c>
      <c r="Q204" s="38"/>
      <c r="R204" s="38"/>
      <c r="S204" s="39">
        <f t="shared" si="3"/>
        <v>73920</v>
      </c>
    </row>
    <row r="205" spans="1:19">
      <c r="A205" s="9">
        <v>203</v>
      </c>
      <c r="B205" s="13">
        <v>4971710519440</v>
      </c>
      <c r="C205" s="14" t="s">
        <v>354</v>
      </c>
      <c r="D205" s="73" t="s">
        <v>924</v>
      </c>
      <c r="E205" s="15" t="s">
        <v>355</v>
      </c>
      <c r="F205" s="11">
        <v>5500</v>
      </c>
      <c r="G205" s="16">
        <v>13200</v>
      </c>
      <c r="H205" s="11">
        <v>13200</v>
      </c>
      <c r="I205" s="12"/>
      <c r="J205" s="11"/>
      <c r="K205" s="12"/>
      <c r="L205" s="16"/>
      <c r="M205" s="17"/>
      <c r="N205" s="16"/>
      <c r="O205" s="11"/>
      <c r="P205" s="11">
        <v>27500</v>
      </c>
      <c r="Q205" s="38"/>
      <c r="R205" s="38">
        <v>2200</v>
      </c>
      <c r="S205" s="39">
        <f t="shared" si="3"/>
        <v>61600</v>
      </c>
    </row>
    <row r="206" spans="1:19">
      <c r="A206" s="9">
        <v>204</v>
      </c>
      <c r="B206" s="13">
        <v>4971710521528</v>
      </c>
      <c r="C206" s="14" t="s">
        <v>368</v>
      </c>
      <c r="D206" s="73" t="s">
        <v>924</v>
      </c>
      <c r="E206" s="15" t="s">
        <v>369</v>
      </c>
      <c r="F206" s="11"/>
      <c r="G206" s="16">
        <v>17160</v>
      </c>
      <c r="H206" s="11">
        <v>17160</v>
      </c>
      <c r="I206" s="12">
        <v>1430</v>
      </c>
      <c r="J206" s="11">
        <v>14300</v>
      </c>
      <c r="K206" s="12"/>
      <c r="L206" s="16"/>
      <c r="M206" s="17">
        <v>2860</v>
      </c>
      <c r="N206" s="16">
        <v>2860</v>
      </c>
      <c r="O206" s="11">
        <v>17160</v>
      </c>
      <c r="P206" s="11"/>
      <c r="Q206" s="38">
        <v>5720</v>
      </c>
      <c r="R206" s="38"/>
      <c r="S206" s="39">
        <f t="shared" si="3"/>
        <v>78650</v>
      </c>
    </row>
    <row r="207" spans="1:19">
      <c r="A207" s="9">
        <v>205</v>
      </c>
      <c r="B207" s="13">
        <v>4971710580747</v>
      </c>
      <c r="C207" s="14" t="s">
        <v>687</v>
      </c>
      <c r="D207" s="73" t="s">
        <v>924</v>
      </c>
      <c r="E207" s="15" t="s">
        <v>688</v>
      </c>
      <c r="F207" s="11"/>
      <c r="G207" s="16"/>
      <c r="H207" s="11">
        <v>0</v>
      </c>
      <c r="I207" s="12">
        <v>19800</v>
      </c>
      <c r="J207" s="11">
        <v>33000</v>
      </c>
      <c r="K207" s="12"/>
      <c r="L207" s="16"/>
      <c r="M207" s="17"/>
      <c r="N207" s="16"/>
      <c r="O207" s="11"/>
      <c r="P207" s="11">
        <v>19800</v>
      </c>
      <c r="Q207" s="38"/>
      <c r="R207" s="38"/>
      <c r="S207" s="39">
        <f t="shared" si="3"/>
        <v>72600</v>
      </c>
    </row>
    <row r="208" spans="1:19">
      <c r="A208" s="9">
        <v>206</v>
      </c>
      <c r="B208" s="13">
        <v>4971710580464</v>
      </c>
      <c r="C208" s="14" t="s">
        <v>681</v>
      </c>
      <c r="D208" s="73" t="s">
        <v>920</v>
      </c>
      <c r="E208" s="15" t="s">
        <v>682</v>
      </c>
      <c r="F208" s="11"/>
      <c r="G208" s="16"/>
      <c r="H208" s="11"/>
      <c r="I208" s="12"/>
      <c r="J208" s="11">
        <v>19800</v>
      </c>
      <c r="K208" s="12"/>
      <c r="L208" s="16"/>
      <c r="M208" s="17">
        <v>22440</v>
      </c>
      <c r="N208" s="16"/>
      <c r="O208" s="11">
        <v>3960</v>
      </c>
      <c r="P208" s="11">
        <v>19800</v>
      </c>
      <c r="Q208" s="38"/>
      <c r="R208" s="38">
        <v>5280</v>
      </c>
      <c r="S208" s="39">
        <f t="shared" si="3"/>
        <v>71280</v>
      </c>
    </row>
    <row r="209" spans="1:19">
      <c r="A209" s="9">
        <v>207</v>
      </c>
      <c r="B209" s="13">
        <v>4971710579895</v>
      </c>
      <c r="C209" s="14" t="s">
        <v>665</v>
      </c>
      <c r="D209" s="73" t="s">
        <v>924</v>
      </c>
      <c r="E209" s="15" t="s">
        <v>666</v>
      </c>
      <c r="F209" s="11"/>
      <c r="G209" s="16"/>
      <c r="H209" s="11"/>
      <c r="I209" s="12">
        <v>41250</v>
      </c>
      <c r="J209" s="11">
        <v>1650</v>
      </c>
      <c r="K209" s="12"/>
      <c r="L209" s="16">
        <v>34650</v>
      </c>
      <c r="M209" s="17">
        <v>6600</v>
      </c>
      <c r="N209" s="16">
        <v>1650</v>
      </c>
      <c r="O209" s="11"/>
      <c r="P209" s="11">
        <v>1650</v>
      </c>
      <c r="Q209" s="38"/>
      <c r="R209" s="38"/>
      <c r="S209" s="39">
        <f t="shared" si="3"/>
        <v>87450</v>
      </c>
    </row>
    <row r="210" spans="1:19">
      <c r="A210" s="9">
        <v>208</v>
      </c>
      <c r="B210" s="13">
        <v>4971710516692</v>
      </c>
      <c r="C210" s="14" t="s">
        <v>320</v>
      </c>
      <c r="D210" s="73" t="s">
        <v>920</v>
      </c>
      <c r="E210" s="15" t="s">
        <v>321</v>
      </c>
      <c r="F210" s="11"/>
      <c r="G210" s="16"/>
      <c r="H210" s="11"/>
      <c r="I210" s="12"/>
      <c r="J210" s="11">
        <v>11000</v>
      </c>
      <c r="K210" s="12"/>
      <c r="L210" s="16"/>
      <c r="M210" s="17">
        <v>27500</v>
      </c>
      <c r="N210" s="16"/>
      <c r="O210" s="11">
        <v>3300</v>
      </c>
      <c r="P210" s="11">
        <v>16500</v>
      </c>
      <c r="Q210" s="38"/>
      <c r="R210" s="38"/>
      <c r="S210" s="39">
        <f t="shared" si="3"/>
        <v>58300</v>
      </c>
    </row>
    <row r="211" spans="1:19">
      <c r="A211" s="9">
        <v>209</v>
      </c>
      <c r="B211" s="13">
        <v>4971710579796</v>
      </c>
      <c r="C211" s="14" t="s">
        <v>655</v>
      </c>
      <c r="D211" s="73" t="s">
        <v>924</v>
      </c>
      <c r="E211" s="15" t="s">
        <v>656</v>
      </c>
      <c r="F211" s="11">
        <v>6600</v>
      </c>
      <c r="G211" s="16">
        <v>19800</v>
      </c>
      <c r="H211" s="11"/>
      <c r="I211" s="12"/>
      <c r="J211" s="11"/>
      <c r="K211" s="12"/>
      <c r="L211" s="16">
        <v>42900</v>
      </c>
      <c r="M211" s="17"/>
      <c r="N211" s="16"/>
      <c r="O211" s="11"/>
      <c r="P211" s="11"/>
      <c r="Q211" s="38"/>
      <c r="R211" s="38"/>
      <c r="S211" s="39">
        <f t="shared" si="3"/>
        <v>69300</v>
      </c>
    </row>
    <row r="212" spans="1:19">
      <c r="A212" s="9">
        <v>210</v>
      </c>
      <c r="B212" s="13">
        <v>4971710579901</v>
      </c>
      <c r="C212" s="14" t="s">
        <v>667</v>
      </c>
      <c r="D212" s="73" t="s">
        <v>924</v>
      </c>
      <c r="E212" s="15" t="s">
        <v>668</v>
      </c>
      <c r="F212" s="11"/>
      <c r="G212" s="16"/>
      <c r="H212" s="11"/>
      <c r="I212" s="12">
        <v>41250</v>
      </c>
      <c r="J212" s="11">
        <v>2475</v>
      </c>
      <c r="K212" s="12"/>
      <c r="L212" s="16">
        <v>34650</v>
      </c>
      <c r="M212" s="17">
        <v>4950</v>
      </c>
      <c r="N212" s="16">
        <v>1650</v>
      </c>
      <c r="O212" s="11"/>
      <c r="P212" s="11">
        <v>1650</v>
      </c>
      <c r="Q212" s="38"/>
      <c r="R212" s="38"/>
      <c r="S212" s="39">
        <f t="shared" si="3"/>
        <v>86625</v>
      </c>
    </row>
    <row r="213" spans="1:19">
      <c r="A213" s="9">
        <v>211</v>
      </c>
      <c r="B213" s="13">
        <v>4971710579888</v>
      </c>
      <c r="C213" s="14" t="s">
        <v>663</v>
      </c>
      <c r="D213" s="73" t="s">
        <v>924</v>
      </c>
      <c r="E213" s="15" t="s">
        <v>664</v>
      </c>
      <c r="F213" s="11"/>
      <c r="G213" s="16"/>
      <c r="H213" s="11"/>
      <c r="I213" s="12">
        <v>41250</v>
      </c>
      <c r="J213" s="11">
        <v>1650</v>
      </c>
      <c r="K213" s="12"/>
      <c r="L213" s="16">
        <v>34650</v>
      </c>
      <c r="M213" s="17">
        <v>4950</v>
      </c>
      <c r="N213" s="16">
        <v>1650</v>
      </c>
      <c r="O213" s="11"/>
      <c r="P213" s="11">
        <v>1650</v>
      </c>
      <c r="Q213" s="38"/>
      <c r="R213" s="38"/>
      <c r="S213" s="39">
        <f t="shared" si="3"/>
        <v>85800</v>
      </c>
    </row>
    <row r="214" spans="1:19">
      <c r="A214" s="9">
        <v>212</v>
      </c>
      <c r="B214" s="13">
        <v>4971710579925</v>
      </c>
      <c r="C214" s="14" t="s">
        <v>671</v>
      </c>
      <c r="D214" s="73" t="s">
        <v>924</v>
      </c>
      <c r="E214" s="15" t="s">
        <v>672</v>
      </c>
      <c r="F214" s="11"/>
      <c r="G214" s="16"/>
      <c r="H214" s="11"/>
      <c r="I214" s="12">
        <v>41250</v>
      </c>
      <c r="J214" s="11">
        <v>1650</v>
      </c>
      <c r="K214" s="12"/>
      <c r="L214" s="16">
        <v>34650</v>
      </c>
      <c r="M214" s="17">
        <v>4950</v>
      </c>
      <c r="N214" s="16">
        <v>1650</v>
      </c>
      <c r="O214" s="11"/>
      <c r="P214" s="11">
        <v>1650</v>
      </c>
      <c r="Q214" s="38"/>
      <c r="R214" s="38"/>
      <c r="S214" s="39">
        <f t="shared" si="3"/>
        <v>85800</v>
      </c>
    </row>
    <row r="215" spans="1:19">
      <c r="A215" s="9">
        <v>213</v>
      </c>
      <c r="B215" s="13">
        <v>4971710521511</v>
      </c>
      <c r="C215" s="14" t="s">
        <v>366</v>
      </c>
      <c r="D215" s="73" t="s">
        <v>924</v>
      </c>
      <c r="E215" s="15" t="s">
        <v>367</v>
      </c>
      <c r="F215" s="11"/>
      <c r="G215" s="16">
        <v>17160</v>
      </c>
      <c r="H215" s="11">
        <v>17160</v>
      </c>
      <c r="I215" s="12">
        <v>1430</v>
      </c>
      <c r="J215" s="11">
        <v>14300</v>
      </c>
      <c r="K215" s="12">
        <v>1430</v>
      </c>
      <c r="L215" s="16"/>
      <c r="M215" s="17">
        <v>1430</v>
      </c>
      <c r="N215" s="16"/>
      <c r="O215" s="11">
        <v>14300</v>
      </c>
      <c r="P215" s="11">
        <v>1430</v>
      </c>
      <c r="Q215" s="38">
        <v>2860</v>
      </c>
      <c r="R215" s="38">
        <v>1430</v>
      </c>
      <c r="S215" s="39">
        <f t="shared" si="3"/>
        <v>72930</v>
      </c>
    </row>
    <row r="216" spans="1:19">
      <c r="A216" s="9">
        <v>214</v>
      </c>
      <c r="B216" s="13">
        <v>4971710565119</v>
      </c>
      <c r="C216" s="14" t="s">
        <v>514</v>
      </c>
      <c r="D216" s="73" t="s">
        <v>920</v>
      </c>
      <c r="E216" s="15" t="s">
        <v>515</v>
      </c>
      <c r="F216" s="11"/>
      <c r="G216" s="16"/>
      <c r="H216" s="11">
        <v>6600</v>
      </c>
      <c r="I216" s="12"/>
      <c r="J216" s="11">
        <v>13200</v>
      </c>
      <c r="K216" s="12"/>
      <c r="L216" s="16">
        <v>13200</v>
      </c>
      <c r="M216" s="17">
        <v>1320</v>
      </c>
      <c r="N216" s="16"/>
      <c r="O216" s="11"/>
      <c r="P216" s="11">
        <v>33000</v>
      </c>
      <c r="Q216" s="38"/>
      <c r="R216" s="38"/>
      <c r="S216" s="39">
        <f t="shared" si="3"/>
        <v>67320</v>
      </c>
    </row>
    <row r="217" spans="1:19">
      <c r="A217" s="9">
        <v>215</v>
      </c>
      <c r="B217" s="13">
        <v>4971710576016</v>
      </c>
      <c r="C217" s="14" t="s">
        <v>607</v>
      </c>
      <c r="D217" s="73" t="s">
        <v>924</v>
      </c>
      <c r="E217" s="15" t="s">
        <v>608</v>
      </c>
      <c r="F217" s="11"/>
      <c r="G217" s="16"/>
      <c r="H217" s="11">
        <v>6600</v>
      </c>
      <c r="I217" s="12"/>
      <c r="J217" s="11"/>
      <c r="K217" s="12"/>
      <c r="L217" s="16">
        <v>59400</v>
      </c>
      <c r="M217" s="17"/>
      <c r="N217" s="16"/>
      <c r="O217" s="11"/>
      <c r="P217" s="11"/>
      <c r="Q217" s="38"/>
      <c r="R217" s="38"/>
      <c r="S217" s="39">
        <f t="shared" si="3"/>
        <v>66000</v>
      </c>
    </row>
    <row r="218" spans="1:19">
      <c r="A218" s="9">
        <v>216</v>
      </c>
      <c r="B218" s="13">
        <v>4971710513738</v>
      </c>
      <c r="C218" s="14" t="s">
        <v>282</v>
      </c>
      <c r="D218" s="73" t="s">
        <v>920</v>
      </c>
      <c r="E218" s="15" t="s">
        <v>283</v>
      </c>
      <c r="F218" s="11"/>
      <c r="G218" s="16"/>
      <c r="H218" s="11"/>
      <c r="I218" s="12">
        <v>27500</v>
      </c>
      <c r="J218" s="11">
        <v>27500</v>
      </c>
      <c r="K218" s="12"/>
      <c r="L218" s="16"/>
      <c r="M218" s="17"/>
      <c r="N218" s="16"/>
      <c r="O218" s="11"/>
      <c r="P218" s="11"/>
      <c r="Q218" s="38"/>
      <c r="R218" s="38"/>
      <c r="S218" s="39">
        <f t="shared" si="3"/>
        <v>55000</v>
      </c>
    </row>
    <row r="219" spans="1:19">
      <c r="A219" s="9">
        <v>217</v>
      </c>
      <c r="B219" s="13">
        <v>4971710511765</v>
      </c>
      <c r="C219" s="14" t="s">
        <v>214</v>
      </c>
      <c r="D219" s="73" t="s">
        <v>924</v>
      </c>
      <c r="E219" s="15" t="s">
        <v>215</v>
      </c>
      <c r="F219" s="11"/>
      <c r="G219" s="16"/>
      <c r="H219" s="11"/>
      <c r="I219" s="12">
        <v>11000</v>
      </c>
      <c r="J219" s="11"/>
      <c r="K219" s="12"/>
      <c r="L219" s="16">
        <v>11000</v>
      </c>
      <c r="M219" s="17"/>
      <c r="N219" s="16"/>
      <c r="O219" s="11">
        <v>16500</v>
      </c>
      <c r="P219" s="11">
        <v>16500</v>
      </c>
      <c r="Q219" s="38"/>
      <c r="R219" s="38"/>
      <c r="S219" s="39">
        <f t="shared" si="3"/>
        <v>55000</v>
      </c>
    </row>
    <row r="220" spans="1:19">
      <c r="A220" s="9">
        <v>218</v>
      </c>
      <c r="B220" s="13">
        <v>4971710597707</v>
      </c>
      <c r="C220" s="14" t="s">
        <v>842</v>
      </c>
      <c r="D220" s="72" t="s">
        <v>942</v>
      </c>
      <c r="E220" s="15" t="s">
        <v>849</v>
      </c>
      <c r="F220" s="11"/>
      <c r="G220" s="16"/>
      <c r="H220" s="11"/>
      <c r="I220" s="12"/>
      <c r="J220" s="11"/>
      <c r="K220" s="12"/>
      <c r="L220" s="16"/>
      <c r="M220" s="17"/>
      <c r="N220" s="16"/>
      <c r="O220" s="11"/>
      <c r="P220" s="11"/>
      <c r="Q220" s="38">
        <v>24700</v>
      </c>
      <c r="R220" s="38"/>
      <c r="S220" s="39">
        <f t="shared" si="3"/>
        <v>24700</v>
      </c>
    </row>
    <row r="221" spans="1:19">
      <c r="A221" s="9">
        <v>219</v>
      </c>
      <c r="B221" s="13">
        <v>4971710578584</v>
      </c>
      <c r="C221" s="14" t="s">
        <v>633</v>
      </c>
      <c r="D221" s="73" t="s">
        <v>920</v>
      </c>
      <c r="E221" s="15" t="s">
        <v>634</v>
      </c>
      <c r="F221" s="11">
        <v>6050</v>
      </c>
      <c r="G221" s="16">
        <v>3025</v>
      </c>
      <c r="H221" s="11"/>
      <c r="I221" s="12"/>
      <c r="J221" s="11">
        <v>6050</v>
      </c>
      <c r="K221" s="12"/>
      <c r="L221" s="16">
        <v>36300</v>
      </c>
      <c r="M221" s="17">
        <v>1210</v>
      </c>
      <c r="N221" s="16"/>
      <c r="O221" s="11">
        <v>4840</v>
      </c>
      <c r="P221" s="11"/>
      <c r="Q221" s="38">
        <v>2420</v>
      </c>
      <c r="R221" s="38"/>
      <c r="S221" s="39">
        <f t="shared" si="3"/>
        <v>59895</v>
      </c>
    </row>
    <row r="222" spans="1:19">
      <c r="A222" s="9">
        <v>220</v>
      </c>
      <c r="B222" s="13">
        <v>4971710541199</v>
      </c>
      <c r="C222" s="14" t="s">
        <v>430</v>
      </c>
      <c r="D222" s="73" t="s">
        <v>924</v>
      </c>
      <c r="E222" s="15" t="s">
        <v>431</v>
      </c>
      <c r="F222" s="11">
        <v>6600</v>
      </c>
      <c r="G222" s="16"/>
      <c r="H222" s="11"/>
      <c r="I222" s="12">
        <v>13200</v>
      </c>
      <c r="J222" s="11">
        <v>1320</v>
      </c>
      <c r="K222" s="12"/>
      <c r="L222" s="16"/>
      <c r="M222" s="17">
        <v>14520</v>
      </c>
      <c r="N222" s="16"/>
      <c r="O222" s="11">
        <v>13200</v>
      </c>
      <c r="P222" s="11"/>
      <c r="Q222" s="38">
        <v>2640</v>
      </c>
      <c r="R222" s="38">
        <v>13200</v>
      </c>
      <c r="S222" s="39">
        <f t="shared" si="3"/>
        <v>64680</v>
      </c>
    </row>
    <row r="223" spans="1:19">
      <c r="A223" s="9">
        <v>221</v>
      </c>
      <c r="B223" s="13">
        <v>4971710524819</v>
      </c>
      <c r="C223" s="14" t="s">
        <v>402</v>
      </c>
      <c r="D223" s="73" t="s">
        <v>920</v>
      </c>
      <c r="E223" s="15" t="s">
        <v>403</v>
      </c>
      <c r="F223" s="11"/>
      <c r="G223" s="16">
        <v>19800</v>
      </c>
      <c r="H223" s="11">
        <v>6600</v>
      </c>
      <c r="I223" s="12"/>
      <c r="J223" s="11">
        <v>34320</v>
      </c>
      <c r="K223" s="12">
        <v>0</v>
      </c>
      <c r="L223" s="16"/>
      <c r="M223" s="17"/>
      <c r="N223" s="16"/>
      <c r="O223" s="11"/>
      <c r="P223" s="11"/>
      <c r="Q223" s="38"/>
      <c r="R223" s="38"/>
      <c r="S223" s="39">
        <f t="shared" si="3"/>
        <v>60720</v>
      </c>
    </row>
    <row r="224" spans="1:19">
      <c r="A224" s="9">
        <v>222</v>
      </c>
      <c r="B224" s="13">
        <v>4971710508833</v>
      </c>
      <c r="C224" s="14" t="s">
        <v>200</v>
      </c>
      <c r="D224" s="73" t="s">
        <v>924</v>
      </c>
      <c r="E224" s="15" t="s">
        <v>201</v>
      </c>
      <c r="F224" s="11"/>
      <c r="G224" s="16"/>
      <c r="H224" s="11"/>
      <c r="I224" s="12"/>
      <c r="J224" s="11"/>
      <c r="K224" s="12"/>
      <c r="L224" s="16">
        <v>5280</v>
      </c>
      <c r="M224" s="17"/>
      <c r="N224" s="16"/>
      <c r="O224" s="11">
        <v>44000</v>
      </c>
      <c r="P224" s="11"/>
      <c r="Q224" s="38"/>
      <c r="R224" s="38">
        <v>30800</v>
      </c>
      <c r="S224" s="39">
        <f t="shared" si="3"/>
        <v>80080</v>
      </c>
    </row>
    <row r="225" spans="1:19">
      <c r="A225" s="9">
        <v>223</v>
      </c>
      <c r="B225" s="13">
        <v>4971710579819</v>
      </c>
      <c r="C225" s="14" t="s">
        <v>659</v>
      </c>
      <c r="D225" s="73" t="s">
        <v>924</v>
      </c>
      <c r="E225" s="15" t="s">
        <v>660</v>
      </c>
      <c r="F225" s="11">
        <v>6600</v>
      </c>
      <c r="G225" s="16">
        <v>19800</v>
      </c>
      <c r="H225" s="11"/>
      <c r="I225" s="12"/>
      <c r="J225" s="11"/>
      <c r="K225" s="12"/>
      <c r="L225" s="16">
        <v>33000</v>
      </c>
      <c r="M225" s="17"/>
      <c r="N225" s="16"/>
      <c r="O225" s="11"/>
      <c r="P225" s="11"/>
      <c r="Q225" s="38"/>
      <c r="R225" s="38"/>
      <c r="S225" s="39">
        <f t="shared" si="3"/>
        <v>59400</v>
      </c>
    </row>
    <row r="226" spans="1:19">
      <c r="A226" s="9">
        <v>224</v>
      </c>
      <c r="B226" s="13">
        <v>4971710519273</v>
      </c>
      <c r="C226" s="14" t="s">
        <v>350</v>
      </c>
      <c r="D226" s="73" t="s">
        <v>920</v>
      </c>
      <c r="E226" s="15" t="s">
        <v>351</v>
      </c>
      <c r="F226" s="11"/>
      <c r="G226" s="16">
        <v>21450</v>
      </c>
      <c r="H226" s="11"/>
      <c r="I226" s="12"/>
      <c r="J226" s="11">
        <v>21450</v>
      </c>
      <c r="K226" s="12"/>
      <c r="L226" s="16"/>
      <c r="M226" s="17"/>
      <c r="N226" s="16"/>
      <c r="O226" s="11"/>
      <c r="P226" s="11">
        <v>21450</v>
      </c>
      <c r="Q226" s="38"/>
      <c r="R226" s="38"/>
      <c r="S226" s="39">
        <f t="shared" si="3"/>
        <v>64350</v>
      </c>
    </row>
    <row r="227" spans="1:19">
      <c r="A227" s="9">
        <v>225</v>
      </c>
      <c r="B227" s="13">
        <v>4971710591545</v>
      </c>
      <c r="C227" s="14" t="s">
        <v>818</v>
      </c>
      <c r="D227" s="73" t="s">
        <v>920</v>
      </c>
      <c r="E227" s="15" t="s">
        <v>825</v>
      </c>
      <c r="F227" s="11"/>
      <c r="G227" s="16"/>
      <c r="H227" s="11"/>
      <c r="I227" s="12"/>
      <c r="J227" s="11"/>
      <c r="K227" s="12"/>
      <c r="L227" s="16"/>
      <c r="M227" s="17"/>
      <c r="N227" s="16"/>
      <c r="O227" s="11"/>
      <c r="P227" s="11">
        <v>59400</v>
      </c>
      <c r="Q227" s="38"/>
      <c r="R227" s="38"/>
      <c r="S227" s="39">
        <f t="shared" si="3"/>
        <v>59400</v>
      </c>
    </row>
    <row r="228" spans="1:19">
      <c r="A228" s="9">
        <v>226</v>
      </c>
      <c r="B228" s="13">
        <v>4971710512267</v>
      </c>
      <c r="C228" s="14" t="s">
        <v>248</v>
      </c>
      <c r="D228" s="73" t="s">
        <v>924</v>
      </c>
      <c r="E228" s="15" t="s">
        <v>249</v>
      </c>
      <c r="F228" s="11"/>
      <c r="G228" s="16"/>
      <c r="H228" s="11"/>
      <c r="I228" s="12">
        <v>13200</v>
      </c>
      <c r="J228" s="11"/>
      <c r="K228" s="12"/>
      <c r="L228" s="16"/>
      <c r="M228" s="17">
        <v>1760</v>
      </c>
      <c r="N228" s="16"/>
      <c r="O228" s="11">
        <v>11440</v>
      </c>
      <c r="P228" s="11"/>
      <c r="Q228" s="38"/>
      <c r="R228" s="38">
        <v>13200</v>
      </c>
      <c r="S228" s="39">
        <f t="shared" si="3"/>
        <v>39600</v>
      </c>
    </row>
    <row r="229" spans="1:19">
      <c r="A229" s="9">
        <v>227</v>
      </c>
      <c r="B229" s="13">
        <v>4971710517842</v>
      </c>
      <c r="C229" s="14" t="s">
        <v>336</v>
      </c>
      <c r="D229" s="73" t="s">
        <v>924</v>
      </c>
      <c r="E229" s="15" t="s">
        <v>337</v>
      </c>
      <c r="F229" s="11"/>
      <c r="G229" s="16"/>
      <c r="H229" s="11"/>
      <c r="I229" s="12"/>
      <c r="J229" s="11"/>
      <c r="K229" s="12"/>
      <c r="L229" s="16"/>
      <c r="M229" s="17"/>
      <c r="N229" s="16"/>
      <c r="O229" s="11">
        <v>9900</v>
      </c>
      <c r="P229" s="11"/>
      <c r="Q229" s="38">
        <v>48840</v>
      </c>
      <c r="R229" s="38"/>
      <c r="S229" s="39">
        <f t="shared" si="3"/>
        <v>58740</v>
      </c>
    </row>
    <row r="230" spans="1:19">
      <c r="A230" s="9">
        <v>228</v>
      </c>
      <c r="B230" s="13">
        <v>4971710512250</v>
      </c>
      <c r="C230" s="14" t="s">
        <v>246</v>
      </c>
      <c r="D230" s="73" t="s">
        <v>924</v>
      </c>
      <c r="E230" s="15" t="s">
        <v>247</v>
      </c>
      <c r="F230" s="11">
        <v>4400</v>
      </c>
      <c r="G230" s="16"/>
      <c r="H230" s="11">
        <v>2200</v>
      </c>
      <c r="I230" s="12">
        <v>8800</v>
      </c>
      <c r="J230" s="11"/>
      <c r="K230" s="12"/>
      <c r="L230" s="16"/>
      <c r="M230" s="17">
        <v>880</v>
      </c>
      <c r="N230" s="16">
        <v>5280</v>
      </c>
      <c r="O230" s="11">
        <v>2640</v>
      </c>
      <c r="P230" s="11">
        <v>14960</v>
      </c>
      <c r="Q230" s="38"/>
      <c r="R230" s="38"/>
      <c r="S230" s="39">
        <f t="shared" si="3"/>
        <v>39160</v>
      </c>
    </row>
    <row r="231" spans="1:19">
      <c r="A231" s="9">
        <v>229</v>
      </c>
      <c r="B231" s="13">
        <v>4971710515794</v>
      </c>
      <c r="C231" s="14" t="s">
        <v>312</v>
      </c>
      <c r="D231" s="73" t="s">
        <v>924</v>
      </c>
      <c r="E231" s="15" t="s">
        <v>313</v>
      </c>
      <c r="F231" s="11"/>
      <c r="G231" s="16">
        <v>2610</v>
      </c>
      <c r="H231" s="11">
        <v>2610</v>
      </c>
      <c r="I231" s="12">
        <v>18270</v>
      </c>
      <c r="J231" s="11"/>
      <c r="K231" s="12"/>
      <c r="L231" s="16"/>
      <c r="M231" s="17">
        <v>1044</v>
      </c>
      <c r="N231" s="16">
        <v>2088</v>
      </c>
      <c r="O231" s="11">
        <v>2088</v>
      </c>
      <c r="P231" s="11"/>
      <c r="Q231" s="38"/>
      <c r="R231" s="38">
        <v>16704</v>
      </c>
      <c r="S231" s="39">
        <f t="shared" si="3"/>
        <v>45414</v>
      </c>
    </row>
    <row r="232" spans="1:19">
      <c r="A232" s="9">
        <v>230</v>
      </c>
      <c r="B232" s="13">
        <v>4971710513707</v>
      </c>
      <c r="C232" s="14" t="s">
        <v>276</v>
      </c>
      <c r="D232" s="73" t="s">
        <v>920</v>
      </c>
      <c r="E232" s="15" t="s">
        <v>277</v>
      </c>
      <c r="F232" s="11"/>
      <c r="G232" s="16"/>
      <c r="H232" s="11"/>
      <c r="I232" s="12">
        <v>27500</v>
      </c>
      <c r="J232" s="11">
        <v>16500</v>
      </c>
      <c r="K232" s="12"/>
      <c r="L232" s="16"/>
      <c r="M232" s="17"/>
      <c r="N232" s="16"/>
      <c r="O232" s="11">
        <v>3300</v>
      </c>
      <c r="P232" s="11"/>
      <c r="Q232" s="38"/>
      <c r="R232" s="38"/>
      <c r="S232" s="39">
        <f t="shared" si="3"/>
        <v>47300</v>
      </c>
    </row>
    <row r="233" spans="1:19">
      <c r="A233" s="9">
        <v>231</v>
      </c>
      <c r="B233" s="13">
        <v>4971710584714</v>
      </c>
      <c r="C233" s="14" t="s">
        <v>711</v>
      </c>
      <c r="D233" s="73" t="s">
        <v>920</v>
      </c>
      <c r="E233" s="15" t="s">
        <v>712</v>
      </c>
      <c r="F233" s="11"/>
      <c r="G233" s="16"/>
      <c r="H233" s="11"/>
      <c r="I233" s="12"/>
      <c r="J233" s="11"/>
      <c r="K233" s="12"/>
      <c r="L233" s="16">
        <v>10710</v>
      </c>
      <c r="M233" s="17">
        <v>714</v>
      </c>
      <c r="N233" s="16"/>
      <c r="O233" s="11"/>
      <c r="P233" s="11">
        <v>18564</v>
      </c>
      <c r="Q233" s="38"/>
      <c r="R233" s="38">
        <v>714</v>
      </c>
      <c r="S233" s="39">
        <f t="shared" si="3"/>
        <v>30702</v>
      </c>
    </row>
    <row r="234" spans="1:19">
      <c r="A234" s="9">
        <v>232</v>
      </c>
      <c r="B234" s="13">
        <v>4971710507652</v>
      </c>
      <c r="C234" s="14" t="s">
        <v>186</v>
      </c>
      <c r="D234" s="73" t="s">
        <v>924</v>
      </c>
      <c r="E234" s="15" t="s">
        <v>187</v>
      </c>
      <c r="F234" s="11"/>
      <c r="G234" s="16"/>
      <c r="H234" s="11">
        <v>12375</v>
      </c>
      <c r="I234" s="12">
        <v>8250</v>
      </c>
      <c r="J234" s="11"/>
      <c r="K234" s="12"/>
      <c r="L234" s="16">
        <v>24750</v>
      </c>
      <c r="M234" s="17">
        <v>1650</v>
      </c>
      <c r="N234" s="16"/>
      <c r="O234" s="11"/>
      <c r="P234" s="11">
        <v>3300</v>
      </c>
      <c r="Q234" s="38"/>
      <c r="R234" s="38">
        <v>19800</v>
      </c>
      <c r="S234" s="39">
        <f t="shared" si="3"/>
        <v>70125</v>
      </c>
    </row>
    <row r="235" spans="1:19">
      <c r="A235" s="9">
        <v>233</v>
      </c>
      <c r="B235" s="13">
        <v>4971710507614</v>
      </c>
      <c r="C235" s="14" t="s">
        <v>184</v>
      </c>
      <c r="D235" s="73" t="s">
        <v>924</v>
      </c>
      <c r="E235" s="15" t="s">
        <v>185</v>
      </c>
      <c r="F235" s="11"/>
      <c r="G235" s="16">
        <v>15840</v>
      </c>
      <c r="H235" s="11">
        <v>15840</v>
      </c>
      <c r="I235" s="12"/>
      <c r="J235" s="11"/>
      <c r="K235" s="12"/>
      <c r="L235" s="16"/>
      <c r="M235" s="17">
        <v>2640</v>
      </c>
      <c r="N235" s="16">
        <v>3960</v>
      </c>
      <c r="O235" s="11">
        <v>3960</v>
      </c>
      <c r="P235" s="11"/>
      <c r="Q235" s="38"/>
      <c r="R235" s="38">
        <v>13860</v>
      </c>
      <c r="S235" s="39">
        <f t="shared" si="3"/>
        <v>56100</v>
      </c>
    </row>
    <row r="236" spans="1:19">
      <c r="A236" s="9">
        <v>234</v>
      </c>
      <c r="B236" s="13">
        <v>4971710494921</v>
      </c>
      <c r="C236" s="14" t="s">
        <v>134</v>
      </c>
      <c r="D236" s="73" t="s">
        <v>924</v>
      </c>
      <c r="E236" s="15" t="s">
        <v>135</v>
      </c>
      <c r="F236" s="11"/>
      <c r="G236" s="16"/>
      <c r="H236" s="11"/>
      <c r="I236" s="12"/>
      <c r="J236" s="11"/>
      <c r="K236" s="12"/>
      <c r="L236" s="16"/>
      <c r="M236" s="17">
        <v>2640</v>
      </c>
      <c r="N236" s="16"/>
      <c r="O236" s="11">
        <v>2640</v>
      </c>
      <c r="P236" s="11">
        <v>13200</v>
      </c>
      <c r="Q236" s="38">
        <v>36960</v>
      </c>
      <c r="R236" s="38"/>
      <c r="S236" s="39">
        <f t="shared" si="3"/>
        <v>55440</v>
      </c>
    </row>
    <row r="237" spans="1:19">
      <c r="A237" s="9">
        <v>235</v>
      </c>
      <c r="B237" s="13">
        <v>4971710541151</v>
      </c>
      <c r="C237" s="14" t="s">
        <v>422</v>
      </c>
      <c r="D237" s="73" t="s">
        <v>924</v>
      </c>
      <c r="E237" s="15" t="s">
        <v>423</v>
      </c>
      <c r="F237" s="11">
        <v>6600</v>
      </c>
      <c r="G237" s="16"/>
      <c r="H237" s="11"/>
      <c r="I237" s="12"/>
      <c r="J237" s="11"/>
      <c r="K237" s="12"/>
      <c r="L237" s="16">
        <v>33000</v>
      </c>
      <c r="M237" s="17">
        <v>2640</v>
      </c>
      <c r="N237" s="16"/>
      <c r="O237" s="11"/>
      <c r="P237" s="11"/>
      <c r="Q237" s="38"/>
      <c r="R237" s="38">
        <v>13200</v>
      </c>
      <c r="S237" s="39">
        <f t="shared" si="3"/>
        <v>55440</v>
      </c>
    </row>
    <row r="238" spans="1:19">
      <c r="A238" s="9">
        <v>236</v>
      </c>
      <c r="B238" s="13">
        <v>4971710519464</v>
      </c>
      <c r="C238" s="14" t="s">
        <v>358</v>
      </c>
      <c r="D238" s="73" t="s">
        <v>924</v>
      </c>
      <c r="E238" s="15" t="s">
        <v>359</v>
      </c>
      <c r="F238" s="11"/>
      <c r="G238" s="16"/>
      <c r="H238" s="11">
        <v>0</v>
      </c>
      <c r="I238" s="12">
        <v>16500</v>
      </c>
      <c r="J238" s="11"/>
      <c r="K238" s="12"/>
      <c r="L238" s="16"/>
      <c r="M238" s="17">
        <v>1100</v>
      </c>
      <c r="N238" s="16"/>
      <c r="O238" s="11">
        <v>16500</v>
      </c>
      <c r="P238" s="11">
        <v>11000</v>
      </c>
      <c r="Q238" s="38"/>
      <c r="R238" s="38"/>
      <c r="S238" s="39">
        <f t="shared" si="3"/>
        <v>45100</v>
      </c>
    </row>
    <row r="239" spans="1:19">
      <c r="A239" s="9">
        <v>237</v>
      </c>
      <c r="B239" s="13">
        <v>4971710519129</v>
      </c>
      <c r="C239" s="14" t="s">
        <v>338</v>
      </c>
      <c r="D239" s="73" t="s">
        <v>924</v>
      </c>
      <c r="E239" s="15" t="s">
        <v>339</v>
      </c>
      <c r="F239" s="11"/>
      <c r="G239" s="16"/>
      <c r="H239" s="11"/>
      <c r="I239" s="12">
        <v>33000</v>
      </c>
      <c r="J239" s="11">
        <v>11000</v>
      </c>
      <c r="K239" s="12"/>
      <c r="L239" s="16"/>
      <c r="M239" s="17"/>
      <c r="N239" s="16"/>
      <c r="O239" s="11"/>
      <c r="P239" s="11"/>
      <c r="Q239" s="38"/>
      <c r="R239" s="38"/>
      <c r="S239" s="39">
        <f t="shared" si="3"/>
        <v>44000</v>
      </c>
    </row>
    <row r="240" spans="1:19">
      <c r="A240" s="9">
        <v>238</v>
      </c>
      <c r="B240" s="13">
        <v>4971710519242</v>
      </c>
      <c r="C240" s="14" t="s">
        <v>344</v>
      </c>
      <c r="D240" s="73" t="s">
        <v>920</v>
      </c>
      <c r="E240" s="15" t="s">
        <v>345</v>
      </c>
      <c r="F240" s="11"/>
      <c r="G240" s="16"/>
      <c r="H240" s="11"/>
      <c r="I240" s="12">
        <v>35750</v>
      </c>
      <c r="J240" s="11">
        <v>21450</v>
      </c>
      <c r="K240" s="12"/>
      <c r="L240" s="16"/>
      <c r="M240" s="17"/>
      <c r="N240" s="16"/>
      <c r="O240" s="11"/>
      <c r="P240" s="11"/>
      <c r="Q240" s="38"/>
      <c r="R240" s="38"/>
      <c r="S240" s="39">
        <f t="shared" si="3"/>
        <v>57200</v>
      </c>
    </row>
    <row r="241" spans="1:19">
      <c r="A241" s="9">
        <v>239</v>
      </c>
      <c r="B241" s="13">
        <v>4971710519259</v>
      </c>
      <c r="C241" s="14" t="s">
        <v>346</v>
      </c>
      <c r="D241" s="73" t="s">
        <v>920</v>
      </c>
      <c r="E241" s="15" t="s">
        <v>347</v>
      </c>
      <c r="F241" s="11"/>
      <c r="G241" s="16"/>
      <c r="H241" s="11"/>
      <c r="I241" s="12">
        <v>35750</v>
      </c>
      <c r="J241" s="11">
        <v>21450</v>
      </c>
      <c r="K241" s="12"/>
      <c r="L241" s="16"/>
      <c r="M241" s="17"/>
      <c r="N241" s="16"/>
      <c r="O241" s="11"/>
      <c r="P241" s="11"/>
      <c r="Q241" s="38"/>
      <c r="R241" s="38"/>
      <c r="S241" s="39">
        <f t="shared" si="3"/>
        <v>57200</v>
      </c>
    </row>
    <row r="242" spans="1:19">
      <c r="A242" s="9">
        <v>240</v>
      </c>
      <c r="B242" s="13">
        <v>4971710513837</v>
      </c>
      <c r="C242" s="14" t="s">
        <v>286</v>
      </c>
      <c r="D242" s="73" t="s">
        <v>920</v>
      </c>
      <c r="E242" s="15" t="s">
        <v>287</v>
      </c>
      <c r="F242" s="11"/>
      <c r="G242" s="16"/>
      <c r="H242" s="11"/>
      <c r="I242" s="12">
        <v>33000</v>
      </c>
      <c r="J242" s="11"/>
      <c r="K242" s="12"/>
      <c r="L242" s="16"/>
      <c r="M242" s="17"/>
      <c r="N242" s="16"/>
      <c r="O242" s="11"/>
      <c r="P242" s="11"/>
      <c r="Q242" s="38"/>
      <c r="R242" s="38">
        <v>19800</v>
      </c>
      <c r="S242" s="39">
        <f t="shared" si="3"/>
        <v>52800</v>
      </c>
    </row>
    <row r="243" spans="1:19">
      <c r="A243" s="9">
        <v>241</v>
      </c>
      <c r="B243" s="13">
        <v>4971710513851</v>
      </c>
      <c r="C243" s="14" t="s">
        <v>290</v>
      </c>
      <c r="D243" s="73" t="s">
        <v>920</v>
      </c>
      <c r="E243" s="15" t="s">
        <v>291</v>
      </c>
      <c r="F243" s="11"/>
      <c r="G243" s="16"/>
      <c r="H243" s="11"/>
      <c r="I243" s="12">
        <v>33000</v>
      </c>
      <c r="J243" s="11"/>
      <c r="K243" s="12"/>
      <c r="L243" s="16"/>
      <c r="M243" s="17"/>
      <c r="N243" s="16"/>
      <c r="O243" s="11"/>
      <c r="P243" s="11"/>
      <c r="Q243" s="38"/>
      <c r="R243" s="38">
        <v>19800</v>
      </c>
      <c r="S243" s="39">
        <f t="shared" si="3"/>
        <v>52800</v>
      </c>
    </row>
    <row r="244" spans="1:19">
      <c r="A244" s="9">
        <v>242</v>
      </c>
      <c r="B244" s="13">
        <v>4971710496468</v>
      </c>
      <c r="C244" s="14" t="s">
        <v>170</v>
      </c>
      <c r="D244" s="73" t="s">
        <v>924</v>
      </c>
      <c r="E244" s="15" t="s">
        <v>171</v>
      </c>
      <c r="F244" s="11"/>
      <c r="G244" s="16"/>
      <c r="H244" s="11"/>
      <c r="I244" s="12">
        <v>8250</v>
      </c>
      <c r="J244" s="11">
        <v>16500</v>
      </c>
      <c r="K244" s="12"/>
      <c r="L244" s="16">
        <v>33000</v>
      </c>
      <c r="M244" s="17"/>
      <c r="N244" s="16"/>
      <c r="O244" s="11"/>
      <c r="P244" s="11"/>
      <c r="Q244" s="38"/>
      <c r="R244" s="38">
        <v>5775</v>
      </c>
      <c r="S244" s="39">
        <f t="shared" si="3"/>
        <v>63525</v>
      </c>
    </row>
    <row r="245" spans="1:19">
      <c r="A245" s="9">
        <v>243</v>
      </c>
      <c r="B245" s="13">
        <v>4971710598575</v>
      </c>
      <c r="C245" s="14" t="s">
        <v>836</v>
      </c>
      <c r="D245" s="73" t="s">
        <v>924</v>
      </c>
      <c r="E245" s="15" t="s">
        <v>856</v>
      </c>
      <c r="F245" s="11"/>
      <c r="G245" s="16"/>
      <c r="H245" s="11"/>
      <c r="I245" s="12"/>
      <c r="J245" s="11"/>
      <c r="K245" s="12"/>
      <c r="L245" s="16"/>
      <c r="M245" s="17"/>
      <c r="N245" s="16"/>
      <c r="O245" s="11"/>
      <c r="P245" s="11"/>
      <c r="Q245" s="38">
        <v>35750</v>
      </c>
      <c r="R245" s="38">
        <v>6600</v>
      </c>
      <c r="S245" s="39">
        <f t="shared" si="3"/>
        <v>42350</v>
      </c>
    </row>
    <row r="246" spans="1:19">
      <c r="A246" s="9">
        <v>244</v>
      </c>
      <c r="B246" s="13">
        <v>4971710571905</v>
      </c>
      <c r="C246" s="14" t="str">
        <f>VLOOKUP(B246,[3]SEK!$E:$F,2,0)</f>
        <v>MTSF</v>
      </c>
      <c r="D246" s="73" t="s">
        <v>925</v>
      </c>
      <c r="E246" s="15" t="s">
        <v>898</v>
      </c>
      <c r="F246" s="11"/>
      <c r="G246" s="16"/>
      <c r="H246" s="11"/>
      <c r="I246" s="12"/>
      <c r="J246" s="11"/>
      <c r="K246" s="12"/>
      <c r="L246" s="16"/>
      <c r="M246" s="17"/>
      <c r="N246" s="16"/>
      <c r="O246" s="11"/>
      <c r="P246" s="11">
        <v>22275</v>
      </c>
      <c r="Q246" s="38"/>
      <c r="R246" s="38"/>
      <c r="S246" s="39">
        <f t="shared" si="3"/>
        <v>22275</v>
      </c>
    </row>
    <row r="247" spans="1:19">
      <c r="A247" s="9">
        <v>245</v>
      </c>
      <c r="B247" s="13">
        <v>4971710496437</v>
      </c>
      <c r="C247" s="14" t="s">
        <v>166</v>
      </c>
      <c r="D247" s="73" t="s">
        <v>924</v>
      </c>
      <c r="E247" s="15" t="s">
        <v>167</v>
      </c>
      <c r="F247" s="11"/>
      <c r="G247" s="16"/>
      <c r="H247" s="11"/>
      <c r="I247" s="12">
        <v>8250</v>
      </c>
      <c r="J247" s="11"/>
      <c r="K247" s="12">
        <v>8250</v>
      </c>
      <c r="L247" s="16">
        <v>8250</v>
      </c>
      <c r="M247" s="17"/>
      <c r="N247" s="16"/>
      <c r="O247" s="11">
        <v>8250</v>
      </c>
      <c r="P247" s="11"/>
      <c r="Q247" s="38">
        <v>24750</v>
      </c>
      <c r="R247" s="38">
        <v>2475</v>
      </c>
      <c r="S247" s="39">
        <f t="shared" si="3"/>
        <v>60225</v>
      </c>
    </row>
    <row r="248" spans="1:19">
      <c r="A248" s="9">
        <v>246</v>
      </c>
      <c r="B248" s="13">
        <v>4971710598544</v>
      </c>
      <c r="C248" s="14" t="s">
        <v>839</v>
      </c>
      <c r="D248" s="73" t="s">
        <v>924</v>
      </c>
      <c r="E248" s="15" t="s">
        <v>859</v>
      </c>
      <c r="F248" s="11"/>
      <c r="G248" s="16"/>
      <c r="H248" s="11"/>
      <c r="I248" s="12"/>
      <c r="J248" s="11"/>
      <c r="K248" s="12"/>
      <c r="L248" s="16"/>
      <c r="M248" s="17"/>
      <c r="N248" s="16"/>
      <c r="O248" s="11"/>
      <c r="P248" s="11"/>
      <c r="Q248" s="38">
        <v>46200</v>
      </c>
      <c r="R248" s="38">
        <v>1320</v>
      </c>
      <c r="S248" s="39">
        <f t="shared" si="3"/>
        <v>47520</v>
      </c>
    </row>
    <row r="249" spans="1:19">
      <c r="A249" s="9">
        <v>247</v>
      </c>
      <c r="B249" s="13">
        <v>4971710521535</v>
      </c>
      <c r="C249" s="14" t="s">
        <v>370</v>
      </c>
      <c r="D249" s="73" t="s">
        <v>924</v>
      </c>
      <c r="E249" s="15" t="s">
        <v>371</v>
      </c>
      <c r="F249" s="11"/>
      <c r="G249" s="16">
        <v>17160</v>
      </c>
      <c r="H249" s="11">
        <v>17160</v>
      </c>
      <c r="I249" s="12">
        <v>1430</v>
      </c>
      <c r="J249" s="11">
        <v>14300</v>
      </c>
      <c r="K249" s="12"/>
      <c r="L249" s="16"/>
      <c r="M249" s="17"/>
      <c r="N249" s="16"/>
      <c r="O249" s="11"/>
      <c r="P249" s="11"/>
      <c r="Q249" s="38"/>
      <c r="R249" s="38"/>
      <c r="S249" s="39">
        <f t="shared" si="3"/>
        <v>50050</v>
      </c>
    </row>
    <row r="250" spans="1:19">
      <c r="A250" s="9">
        <v>248</v>
      </c>
      <c r="B250" s="13">
        <v>4971710509038</v>
      </c>
      <c r="C250" s="14" t="s">
        <v>206</v>
      </c>
      <c r="D250" s="73" t="s">
        <v>924</v>
      </c>
      <c r="E250" s="15" t="s">
        <v>207</v>
      </c>
      <c r="F250" s="11"/>
      <c r="G250" s="16"/>
      <c r="H250" s="11"/>
      <c r="I250" s="12"/>
      <c r="J250" s="11"/>
      <c r="K250" s="12"/>
      <c r="L250" s="16">
        <v>16500</v>
      </c>
      <c r="M250" s="17">
        <v>5500</v>
      </c>
      <c r="N250" s="16">
        <v>16500</v>
      </c>
      <c r="O250" s="11"/>
      <c r="P250" s="11"/>
      <c r="Q250" s="38"/>
      <c r="R250" s="38"/>
      <c r="S250" s="39">
        <f t="shared" si="3"/>
        <v>38500</v>
      </c>
    </row>
    <row r="251" spans="1:19">
      <c r="A251" s="9">
        <v>249</v>
      </c>
      <c r="B251" s="13">
        <v>4971710598599</v>
      </c>
      <c r="C251" s="14" t="s">
        <v>832</v>
      </c>
      <c r="D251" s="73" t="s">
        <v>924</v>
      </c>
      <c r="E251" s="15" t="s">
        <v>854</v>
      </c>
      <c r="F251" s="11"/>
      <c r="G251" s="16"/>
      <c r="H251" s="11"/>
      <c r="I251" s="12"/>
      <c r="J251" s="11"/>
      <c r="K251" s="12"/>
      <c r="L251" s="16"/>
      <c r="M251" s="17"/>
      <c r="N251" s="16"/>
      <c r="O251" s="11"/>
      <c r="P251" s="11"/>
      <c r="Q251" s="38">
        <v>37400</v>
      </c>
      <c r="R251" s="38">
        <v>1100</v>
      </c>
      <c r="S251" s="39">
        <f t="shared" si="3"/>
        <v>38500</v>
      </c>
    </row>
    <row r="252" spans="1:19">
      <c r="A252" s="9">
        <v>250</v>
      </c>
      <c r="B252" s="13">
        <v>4971710513653</v>
      </c>
      <c r="C252" s="14" t="s">
        <v>266</v>
      </c>
      <c r="D252" s="73" t="s">
        <v>920</v>
      </c>
      <c r="E252" s="15" t="s">
        <v>267</v>
      </c>
      <c r="F252" s="11"/>
      <c r="G252" s="16"/>
      <c r="H252" s="11"/>
      <c r="I252" s="12"/>
      <c r="J252" s="11">
        <v>9340</v>
      </c>
      <c r="K252" s="12"/>
      <c r="L252" s="16"/>
      <c r="M252" s="17"/>
      <c r="N252" s="16"/>
      <c r="O252" s="11"/>
      <c r="P252" s="11"/>
      <c r="Q252" s="38"/>
      <c r="R252" s="38">
        <v>23350</v>
      </c>
      <c r="S252" s="39">
        <f t="shared" si="3"/>
        <v>32690</v>
      </c>
    </row>
    <row r="253" spans="1:19">
      <c r="A253" s="9">
        <v>251</v>
      </c>
      <c r="B253" s="13">
        <v>4971710585063</v>
      </c>
      <c r="C253" s="14" t="s">
        <v>822</v>
      </c>
      <c r="D253" s="72" t="s">
        <v>942</v>
      </c>
      <c r="E253" s="15" t="s">
        <v>824</v>
      </c>
      <c r="F253" s="11"/>
      <c r="G253" s="16"/>
      <c r="H253" s="11"/>
      <c r="I253" s="12"/>
      <c r="J253" s="11"/>
      <c r="K253" s="12"/>
      <c r="L253" s="16"/>
      <c r="M253" s="17"/>
      <c r="N253" s="16"/>
      <c r="O253" s="11"/>
      <c r="P253" s="11">
        <v>45540</v>
      </c>
      <c r="Q253" s="38"/>
      <c r="R253" s="38"/>
      <c r="S253" s="39">
        <f t="shared" si="3"/>
        <v>45540</v>
      </c>
    </row>
    <row r="254" spans="1:19">
      <c r="A254" s="9">
        <v>252</v>
      </c>
      <c r="B254" s="13">
        <v>4971710584691</v>
      </c>
      <c r="C254" s="14" t="s">
        <v>707</v>
      </c>
      <c r="D254" s="73" t="s">
        <v>920</v>
      </c>
      <c r="E254" s="15" t="s">
        <v>708</v>
      </c>
      <c r="F254" s="11"/>
      <c r="G254" s="16"/>
      <c r="H254" s="11"/>
      <c r="I254" s="12"/>
      <c r="J254" s="11"/>
      <c r="K254" s="12"/>
      <c r="L254" s="16">
        <v>10710</v>
      </c>
      <c r="M254" s="17"/>
      <c r="N254" s="16">
        <v>714</v>
      </c>
      <c r="O254" s="11"/>
      <c r="P254" s="11">
        <v>10710</v>
      </c>
      <c r="Q254" s="38">
        <v>2142</v>
      </c>
      <c r="R254" s="38"/>
      <c r="S254" s="39">
        <f t="shared" si="3"/>
        <v>24276</v>
      </c>
    </row>
    <row r="255" spans="1:19">
      <c r="A255" s="9">
        <v>253</v>
      </c>
      <c r="B255" s="13">
        <v>4971710571820</v>
      </c>
      <c r="C255" s="14" t="s">
        <v>562</v>
      </c>
      <c r="D255" s="73" t="s">
        <v>924</v>
      </c>
      <c r="E255" s="15" t="s">
        <v>563</v>
      </c>
      <c r="F255" s="11"/>
      <c r="G255" s="16">
        <v>15840</v>
      </c>
      <c r="H255" s="11">
        <v>15840</v>
      </c>
      <c r="I255" s="12"/>
      <c r="J255" s="11"/>
      <c r="K255" s="12"/>
      <c r="L255" s="16">
        <v>3300</v>
      </c>
      <c r="M255" s="17">
        <v>5280</v>
      </c>
      <c r="N255" s="16"/>
      <c r="O255" s="11">
        <v>3960</v>
      </c>
      <c r="P255" s="11"/>
      <c r="Q255" s="38"/>
      <c r="R255" s="38"/>
      <c r="S255" s="39">
        <f t="shared" si="3"/>
        <v>44220</v>
      </c>
    </row>
    <row r="256" spans="1:19">
      <c r="A256" s="9">
        <v>254</v>
      </c>
      <c r="B256" s="13">
        <v>4971710514155</v>
      </c>
      <c r="C256" s="14" t="s">
        <v>296</v>
      </c>
      <c r="D256" s="73" t="s">
        <v>920</v>
      </c>
      <c r="E256" s="15" t="s">
        <v>297</v>
      </c>
      <c r="F256" s="11"/>
      <c r="G256" s="16"/>
      <c r="H256" s="11"/>
      <c r="I256" s="12"/>
      <c r="J256" s="11"/>
      <c r="K256" s="12">
        <v>29700</v>
      </c>
      <c r="L256" s="16"/>
      <c r="M256" s="17"/>
      <c r="N256" s="16"/>
      <c r="O256" s="11">
        <v>2970</v>
      </c>
      <c r="P256" s="11"/>
      <c r="Q256" s="38"/>
      <c r="R256" s="38"/>
      <c r="S256" s="39">
        <f t="shared" si="3"/>
        <v>32670</v>
      </c>
    </row>
    <row r="257" spans="1:19">
      <c r="A257" s="9">
        <v>255</v>
      </c>
      <c r="B257" s="13">
        <v>4971710598582</v>
      </c>
      <c r="C257" s="14" t="s">
        <v>834</v>
      </c>
      <c r="D257" s="73" t="s">
        <v>924</v>
      </c>
      <c r="E257" s="15" t="s">
        <v>855</v>
      </c>
      <c r="F257" s="11"/>
      <c r="G257" s="16"/>
      <c r="H257" s="11"/>
      <c r="I257" s="12"/>
      <c r="J257" s="11"/>
      <c r="K257" s="12"/>
      <c r="L257" s="16"/>
      <c r="M257" s="17"/>
      <c r="N257" s="16"/>
      <c r="O257" s="11"/>
      <c r="P257" s="11"/>
      <c r="Q257" s="38">
        <v>32450</v>
      </c>
      <c r="R257" s="38">
        <v>3850</v>
      </c>
      <c r="S257" s="39">
        <f t="shared" si="3"/>
        <v>36300</v>
      </c>
    </row>
    <row r="258" spans="1:19">
      <c r="A258" s="9">
        <v>256</v>
      </c>
      <c r="B258" s="13">
        <v>4971710584684</v>
      </c>
      <c r="C258" s="14" t="s">
        <v>795</v>
      </c>
      <c r="D258" s="73" t="s">
        <v>920</v>
      </c>
      <c r="E258" s="15" t="s">
        <v>796</v>
      </c>
      <c r="F258" s="11"/>
      <c r="G258" s="16"/>
      <c r="H258" s="11"/>
      <c r="I258" s="12"/>
      <c r="J258" s="11"/>
      <c r="K258" s="12"/>
      <c r="L258" s="16"/>
      <c r="M258" s="17"/>
      <c r="N258" s="16"/>
      <c r="O258" s="11">
        <v>19800</v>
      </c>
      <c r="P258" s="11"/>
      <c r="Q258" s="38"/>
      <c r="R258" s="38">
        <v>16500</v>
      </c>
      <c r="S258" s="39">
        <f t="shared" si="3"/>
        <v>36300</v>
      </c>
    </row>
    <row r="259" spans="1:19">
      <c r="A259" s="9">
        <v>257</v>
      </c>
      <c r="B259" s="13">
        <v>4971710513578</v>
      </c>
      <c r="C259" s="14" t="s">
        <v>867</v>
      </c>
      <c r="D259" s="73" t="s">
        <v>920</v>
      </c>
      <c r="E259" s="15" t="s">
        <v>872</v>
      </c>
      <c r="F259" s="11"/>
      <c r="G259" s="16"/>
      <c r="H259" s="11"/>
      <c r="I259" s="12"/>
      <c r="J259" s="11"/>
      <c r="K259" s="12"/>
      <c r="L259" s="16"/>
      <c r="M259" s="17"/>
      <c r="N259" s="16"/>
      <c r="O259" s="11"/>
      <c r="P259" s="11"/>
      <c r="Q259" s="38"/>
      <c r="R259" s="38">
        <v>38720</v>
      </c>
      <c r="S259" s="39">
        <f t="shared" ref="S259:S322" si="4">F259+G259+H259+I259+J259+K259+L259+M259+N259+ O259+P259+Q259+R259</f>
        <v>38720</v>
      </c>
    </row>
    <row r="260" spans="1:19">
      <c r="A260" s="9">
        <v>258</v>
      </c>
      <c r="B260" s="13">
        <v>4971710598551</v>
      </c>
      <c r="C260" s="14" t="s">
        <v>838</v>
      </c>
      <c r="D260" s="73" t="s">
        <v>924</v>
      </c>
      <c r="E260" s="15" t="s">
        <v>858</v>
      </c>
      <c r="F260" s="11"/>
      <c r="G260" s="16"/>
      <c r="H260" s="11"/>
      <c r="I260" s="12"/>
      <c r="J260" s="11"/>
      <c r="K260" s="12"/>
      <c r="L260" s="16"/>
      <c r="M260" s="17"/>
      <c r="N260" s="16"/>
      <c r="O260" s="11"/>
      <c r="P260" s="11"/>
      <c r="Q260" s="38">
        <v>39600</v>
      </c>
      <c r="R260" s="38">
        <v>1320</v>
      </c>
      <c r="S260" s="39">
        <f t="shared" si="4"/>
        <v>40920</v>
      </c>
    </row>
    <row r="261" spans="1:19">
      <c r="A261" s="9">
        <v>259</v>
      </c>
      <c r="B261" s="13">
        <v>4971710598537</v>
      </c>
      <c r="C261" s="14" t="s">
        <v>840</v>
      </c>
      <c r="D261" s="73" t="s">
        <v>924</v>
      </c>
      <c r="E261" s="15" t="s">
        <v>860</v>
      </c>
      <c r="F261" s="11"/>
      <c r="G261" s="16"/>
      <c r="H261" s="11"/>
      <c r="I261" s="12"/>
      <c r="J261" s="11"/>
      <c r="K261" s="12"/>
      <c r="L261" s="16"/>
      <c r="M261" s="17"/>
      <c r="N261" s="16"/>
      <c r="O261" s="11"/>
      <c r="P261" s="11"/>
      <c r="Q261" s="38">
        <v>39600</v>
      </c>
      <c r="R261" s="38">
        <v>1320</v>
      </c>
      <c r="S261" s="39">
        <f t="shared" si="4"/>
        <v>40920</v>
      </c>
    </row>
    <row r="262" spans="1:19">
      <c r="A262" s="9">
        <v>260</v>
      </c>
      <c r="B262" s="13">
        <v>4971710522396</v>
      </c>
      <c r="C262" s="14" t="s">
        <v>378</v>
      </c>
      <c r="D262" s="73" t="s">
        <v>920</v>
      </c>
      <c r="E262" s="15" t="s">
        <v>379</v>
      </c>
      <c r="F262" s="11"/>
      <c r="G262" s="16"/>
      <c r="H262" s="11">
        <v>4950</v>
      </c>
      <c r="I262" s="12"/>
      <c r="J262" s="11"/>
      <c r="K262" s="12"/>
      <c r="L262" s="16">
        <v>4950</v>
      </c>
      <c r="M262" s="17"/>
      <c r="N262" s="16">
        <v>9900</v>
      </c>
      <c r="O262" s="11">
        <v>10395</v>
      </c>
      <c r="P262" s="11"/>
      <c r="Q262" s="38"/>
      <c r="R262" s="38"/>
      <c r="S262" s="39">
        <f t="shared" si="4"/>
        <v>30195</v>
      </c>
    </row>
    <row r="263" spans="1:19">
      <c r="A263" s="9">
        <v>261</v>
      </c>
      <c r="B263" s="13">
        <v>4971710598520</v>
      </c>
      <c r="C263" s="14" t="s">
        <v>841</v>
      </c>
      <c r="D263" s="73" t="s">
        <v>924</v>
      </c>
      <c r="E263" s="15" t="s">
        <v>861</v>
      </c>
      <c r="F263" s="11"/>
      <c r="G263" s="16"/>
      <c r="H263" s="11"/>
      <c r="I263" s="12"/>
      <c r="J263" s="11"/>
      <c r="K263" s="12"/>
      <c r="L263" s="16"/>
      <c r="M263" s="17"/>
      <c r="N263" s="16"/>
      <c r="O263" s="11"/>
      <c r="P263" s="11"/>
      <c r="Q263" s="38">
        <v>38940</v>
      </c>
      <c r="R263" s="38">
        <v>1320</v>
      </c>
      <c r="S263" s="39">
        <f t="shared" si="4"/>
        <v>40260</v>
      </c>
    </row>
    <row r="264" spans="1:19">
      <c r="A264" s="9">
        <v>262</v>
      </c>
      <c r="B264" s="13">
        <v>4971710513929</v>
      </c>
      <c r="C264" s="14" t="s">
        <v>292</v>
      </c>
      <c r="D264" s="73" t="s">
        <v>920</v>
      </c>
      <c r="E264" s="15" t="s">
        <v>293</v>
      </c>
      <c r="F264" s="11"/>
      <c r="G264" s="16"/>
      <c r="H264" s="11"/>
      <c r="I264" s="12"/>
      <c r="J264" s="11">
        <v>12100</v>
      </c>
      <c r="K264" s="12"/>
      <c r="L264" s="16"/>
      <c r="M264" s="17"/>
      <c r="N264" s="16"/>
      <c r="O264" s="11"/>
      <c r="P264" s="11">
        <v>24200</v>
      </c>
      <c r="Q264" s="38"/>
      <c r="R264" s="38"/>
      <c r="S264" s="39">
        <f t="shared" si="4"/>
        <v>36300</v>
      </c>
    </row>
    <row r="265" spans="1:19">
      <c r="A265" s="9">
        <v>263</v>
      </c>
      <c r="B265" s="13">
        <v>4971710591521</v>
      </c>
      <c r="C265" s="14" t="s">
        <v>816</v>
      </c>
      <c r="D265" s="73" t="s">
        <v>920</v>
      </c>
      <c r="E265" s="15" t="s">
        <v>825</v>
      </c>
      <c r="F265" s="11"/>
      <c r="G265" s="16"/>
      <c r="H265" s="11"/>
      <c r="I265" s="12"/>
      <c r="J265" s="11"/>
      <c r="K265" s="12"/>
      <c r="L265" s="16"/>
      <c r="M265" s="17"/>
      <c r="N265" s="16"/>
      <c r="O265" s="11"/>
      <c r="P265" s="11">
        <v>39600</v>
      </c>
      <c r="Q265" s="38"/>
      <c r="R265" s="38"/>
      <c r="S265" s="39">
        <f t="shared" si="4"/>
        <v>39600</v>
      </c>
    </row>
    <row r="266" spans="1:19">
      <c r="A266" s="9">
        <v>264</v>
      </c>
      <c r="B266" s="13">
        <v>4971710591538</v>
      </c>
      <c r="C266" s="14" t="s">
        <v>817</v>
      </c>
      <c r="D266" s="73" t="s">
        <v>920</v>
      </c>
      <c r="E266" s="15" t="s">
        <v>825</v>
      </c>
      <c r="F266" s="11"/>
      <c r="G266" s="16"/>
      <c r="H266" s="11"/>
      <c r="I266" s="12"/>
      <c r="J266" s="11"/>
      <c r="K266" s="12"/>
      <c r="L266" s="16"/>
      <c r="M266" s="17"/>
      <c r="N266" s="16"/>
      <c r="O266" s="11"/>
      <c r="P266" s="11">
        <v>39600</v>
      </c>
      <c r="Q266" s="38"/>
      <c r="R266" s="38"/>
      <c r="S266" s="39">
        <f t="shared" si="4"/>
        <v>39600</v>
      </c>
    </row>
    <row r="267" spans="1:19">
      <c r="A267" s="9">
        <v>265</v>
      </c>
      <c r="B267" s="13">
        <v>4971710589580</v>
      </c>
      <c r="C267" s="14" t="s">
        <v>723</v>
      </c>
      <c r="D267" s="73" t="s">
        <v>924</v>
      </c>
      <c r="E267" s="15" t="s">
        <v>724</v>
      </c>
      <c r="F267" s="11"/>
      <c r="G267" s="16"/>
      <c r="H267" s="11"/>
      <c r="I267" s="12"/>
      <c r="J267" s="11">
        <v>0</v>
      </c>
      <c r="K267" s="12"/>
      <c r="L267" s="16">
        <v>6050</v>
      </c>
      <c r="M267" s="17">
        <v>1210</v>
      </c>
      <c r="N267" s="16"/>
      <c r="O267" s="11">
        <v>25410</v>
      </c>
      <c r="P267" s="11"/>
      <c r="Q267" s="38">
        <v>3630</v>
      </c>
      <c r="R267" s="38"/>
      <c r="S267" s="39">
        <f t="shared" si="4"/>
        <v>36300</v>
      </c>
    </row>
    <row r="268" spans="1:19">
      <c r="A268" s="9">
        <v>266</v>
      </c>
      <c r="B268" s="13">
        <v>4971710589597</v>
      </c>
      <c r="C268" s="14" t="s">
        <v>725</v>
      </c>
      <c r="D268" s="73" t="s">
        <v>924</v>
      </c>
      <c r="E268" s="15" t="s">
        <v>726</v>
      </c>
      <c r="F268" s="11"/>
      <c r="G268" s="16"/>
      <c r="H268" s="11"/>
      <c r="I268" s="12"/>
      <c r="J268" s="11">
        <v>0</v>
      </c>
      <c r="K268" s="12"/>
      <c r="L268" s="16">
        <v>6050</v>
      </c>
      <c r="M268" s="17">
        <v>1210</v>
      </c>
      <c r="N268" s="16"/>
      <c r="O268" s="11">
        <v>21780</v>
      </c>
      <c r="P268" s="11"/>
      <c r="Q268" s="38">
        <v>7260</v>
      </c>
      <c r="R268" s="38"/>
      <c r="S268" s="39">
        <f t="shared" si="4"/>
        <v>36300</v>
      </c>
    </row>
    <row r="269" spans="1:19">
      <c r="A269" s="9">
        <v>267</v>
      </c>
      <c r="B269" s="13">
        <v>4971710598568</v>
      </c>
      <c r="C269" s="14" t="s">
        <v>837</v>
      </c>
      <c r="D269" s="73" t="s">
        <v>924</v>
      </c>
      <c r="E269" s="15" t="s">
        <v>857</v>
      </c>
      <c r="F269" s="11"/>
      <c r="G269" s="16"/>
      <c r="H269" s="11"/>
      <c r="I269" s="12"/>
      <c r="J269" s="11"/>
      <c r="K269" s="12"/>
      <c r="L269" s="16"/>
      <c r="M269" s="17"/>
      <c r="N269" s="16"/>
      <c r="O269" s="11"/>
      <c r="P269" s="11"/>
      <c r="Q269" s="38">
        <v>29700</v>
      </c>
      <c r="R269" s="38">
        <v>3300</v>
      </c>
      <c r="S269" s="39">
        <f t="shared" si="4"/>
        <v>33000</v>
      </c>
    </row>
    <row r="270" spans="1:19">
      <c r="A270" s="9">
        <v>268</v>
      </c>
      <c r="B270" s="13">
        <v>4971710568103</v>
      </c>
      <c r="C270" s="14" t="str">
        <f>VLOOKUP(B270,[2]OBK!$E:$F,2,0)</f>
        <v>MSYZ</v>
      </c>
      <c r="D270" s="73" t="s">
        <v>922</v>
      </c>
      <c r="E270" s="15" t="s">
        <v>903</v>
      </c>
      <c r="F270" s="11"/>
      <c r="G270" s="16"/>
      <c r="H270" s="11"/>
      <c r="I270" s="12">
        <v>13750</v>
      </c>
      <c r="J270" s="11"/>
      <c r="K270" s="12"/>
      <c r="L270" s="16"/>
      <c r="M270" s="17">
        <v>82500</v>
      </c>
      <c r="N270" s="16"/>
      <c r="O270" s="11"/>
      <c r="P270" s="11">
        <v>60500</v>
      </c>
      <c r="Q270" s="38"/>
      <c r="R270" s="38">
        <v>5500</v>
      </c>
      <c r="S270" s="39">
        <f t="shared" si="4"/>
        <v>162250</v>
      </c>
    </row>
    <row r="271" spans="1:19">
      <c r="A271" s="9">
        <v>269</v>
      </c>
      <c r="B271" s="13">
        <v>4971710516739</v>
      </c>
      <c r="C271" s="14" t="s">
        <v>322</v>
      </c>
      <c r="D271" s="73" t="s">
        <v>920</v>
      </c>
      <c r="E271" s="15" t="s">
        <v>323</v>
      </c>
      <c r="F271" s="11"/>
      <c r="G271" s="16"/>
      <c r="H271" s="11"/>
      <c r="I271" s="12"/>
      <c r="J271" s="11">
        <v>15400</v>
      </c>
      <c r="K271" s="12"/>
      <c r="L271" s="16"/>
      <c r="M271" s="17"/>
      <c r="N271" s="16"/>
      <c r="O271" s="11">
        <v>4620</v>
      </c>
      <c r="P271" s="11">
        <v>23100</v>
      </c>
      <c r="Q271" s="38"/>
      <c r="R271" s="38"/>
      <c r="S271" s="39">
        <f t="shared" si="4"/>
        <v>43120</v>
      </c>
    </row>
    <row r="272" spans="1:19">
      <c r="A272" s="9">
        <v>270</v>
      </c>
      <c r="B272" s="13">
        <v>4971710516753</v>
      </c>
      <c r="C272" s="14" t="s">
        <v>326</v>
      </c>
      <c r="D272" s="73" t="s">
        <v>920</v>
      </c>
      <c r="E272" s="15" t="s">
        <v>323</v>
      </c>
      <c r="F272" s="11"/>
      <c r="G272" s="16"/>
      <c r="H272" s="11"/>
      <c r="I272" s="12"/>
      <c r="J272" s="11">
        <v>12100</v>
      </c>
      <c r="K272" s="12"/>
      <c r="L272" s="16"/>
      <c r="M272" s="17"/>
      <c r="N272" s="16"/>
      <c r="O272" s="11">
        <v>3630</v>
      </c>
      <c r="P272" s="11">
        <v>18150</v>
      </c>
      <c r="Q272" s="38"/>
      <c r="R272" s="38"/>
      <c r="S272" s="39">
        <f t="shared" si="4"/>
        <v>33880</v>
      </c>
    </row>
    <row r="273" spans="1:19">
      <c r="A273" s="9">
        <v>271</v>
      </c>
      <c r="B273" s="13">
        <v>4971710516760</v>
      </c>
      <c r="C273" s="14" t="s">
        <v>327</v>
      </c>
      <c r="D273" s="73" t="s">
        <v>920</v>
      </c>
      <c r="E273" s="15" t="s">
        <v>325</v>
      </c>
      <c r="F273" s="11"/>
      <c r="G273" s="16"/>
      <c r="H273" s="11"/>
      <c r="I273" s="12"/>
      <c r="J273" s="11">
        <v>12100</v>
      </c>
      <c r="K273" s="12"/>
      <c r="L273" s="16"/>
      <c r="M273" s="17"/>
      <c r="N273" s="16"/>
      <c r="O273" s="11">
        <v>3630</v>
      </c>
      <c r="P273" s="11">
        <v>18150</v>
      </c>
      <c r="Q273" s="38"/>
      <c r="R273" s="38"/>
      <c r="S273" s="39">
        <f t="shared" si="4"/>
        <v>33880</v>
      </c>
    </row>
    <row r="274" spans="1:19">
      <c r="A274" s="9">
        <v>272</v>
      </c>
      <c r="B274" s="13">
        <v>4971710516852</v>
      </c>
      <c r="C274" s="14" t="s">
        <v>330</v>
      </c>
      <c r="D274" s="73" t="s">
        <v>920</v>
      </c>
      <c r="E274" s="15" t="s">
        <v>331</v>
      </c>
      <c r="F274" s="11"/>
      <c r="G274" s="16"/>
      <c r="H274" s="11"/>
      <c r="I274" s="12"/>
      <c r="J274" s="11">
        <v>17600</v>
      </c>
      <c r="K274" s="12"/>
      <c r="L274" s="16"/>
      <c r="M274" s="17"/>
      <c r="N274" s="16"/>
      <c r="O274" s="11">
        <v>5280</v>
      </c>
      <c r="P274" s="11">
        <v>26400</v>
      </c>
      <c r="Q274" s="38"/>
      <c r="R274" s="38"/>
      <c r="S274" s="39">
        <f t="shared" si="4"/>
        <v>49280</v>
      </c>
    </row>
    <row r="275" spans="1:19">
      <c r="A275" s="9">
        <v>273</v>
      </c>
      <c r="B275" s="13">
        <v>4971710494938</v>
      </c>
      <c r="C275" s="14" t="s">
        <v>136</v>
      </c>
      <c r="D275" s="73" t="s">
        <v>924</v>
      </c>
      <c r="E275" s="15" t="s">
        <v>137</v>
      </c>
      <c r="F275" s="11"/>
      <c r="G275" s="16"/>
      <c r="H275" s="11"/>
      <c r="I275" s="12"/>
      <c r="J275" s="11"/>
      <c r="K275" s="12"/>
      <c r="L275" s="16"/>
      <c r="M275" s="17"/>
      <c r="N275" s="16">
        <v>3300</v>
      </c>
      <c r="O275" s="11">
        <v>13200</v>
      </c>
      <c r="P275" s="11">
        <v>13200</v>
      </c>
      <c r="Q275" s="38">
        <v>6600</v>
      </c>
      <c r="R275" s="38"/>
      <c r="S275" s="39">
        <f t="shared" si="4"/>
        <v>36300</v>
      </c>
    </row>
    <row r="276" spans="1:19">
      <c r="A276" s="9">
        <v>274</v>
      </c>
      <c r="B276" s="13">
        <v>4971710586565</v>
      </c>
      <c r="C276" s="14" t="s">
        <v>831</v>
      </c>
      <c r="D276" s="73" t="s">
        <v>920</v>
      </c>
      <c r="E276" s="15" t="s">
        <v>850</v>
      </c>
      <c r="F276" s="11"/>
      <c r="G276" s="16"/>
      <c r="H276" s="11"/>
      <c r="I276" s="12"/>
      <c r="J276" s="11"/>
      <c r="K276" s="12"/>
      <c r="L276" s="16"/>
      <c r="M276" s="17"/>
      <c r="N276" s="16"/>
      <c r="O276" s="11"/>
      <c r="P276" s="11"/>
      <c r="Q276" s="38">
        <v>35640</v>
      </c>
      <c r="R276" s="38"/>
      <c r="S276" s="39">
        <f t="shared" si="4"/>
        <v>35640</v>
      </c>
    </row>
    <row r="277" spans="1:19">
      <c r="A277" s="9">
        <v>275</v>
      </c>
      <c r="B277" s="13">
        <v>4971710494952</v>
      </c>
      <c r="C277" s="14" t="s">
        <v>140</v>
      </c>
      <c r="D277" s="73" t="s">
        <v>924</v>
      </c>
      <c r="E277" s="15" t="s">
        <v>141</v>
      </c>
      <c r="F277" s="11"/>
      <c r="G277" s="16"/>
      <c r="H277" s="11"/>
      <c r="I277" s="12"/>
      <c r="J277" s="11"/>
      <c r="K277" s="12"/>
      <c r="L277" s="16"/>
      <c r="M277" s="17">
        <v>2640</v>
      </c>
      <c r="N277" s="16"/>
      <c r="O277" s="11">
        <v>9240</v>
      </c>
      <c r="P277" s="11">
        <v>6600</v>
      </c>
      <c r="Q277" s="38">
        <v>14520</v>
      </c>
      <c r="R277" s="38"/>
      <c r="S277" s="39">
        <f t="shared" si="4"/>
        <v>33000</v>
      </c>
    </row>
    <row r="278" spans="1:19">
      <c r="A278" s="9">
        <v>276</v>
      </c>
      <c r="B278" s="13">
        <v>4971710513660</v>
      </c>
      <c r="C278" s="14" t="s">
        <v>268</v>
      </c>
      <c r="D278" s="73" t="s">
        <v>920</v>
      </c>
      <c r="E278" s="15" t="s">
        <v>269</v>
      </c>
      <c r="F278" s="11"/>
      <c r="G278" s="16"/>
      <c r="H278" s="11"/>
      <c r="I278" s="12"/>
      <c r="J278" s="11">
        <v>9340</v>
      </c>
      <c r="K278" s="12"/>
      <c r="L278" s="16"/>
      <c r="M278" s="17"/>
      <c r="N278" s="16">
        <v>14010</v>
      </c>
      <c r="O278" s="11"/>
      <c r="P278" s="11"/>
      <c r="Q278" s="38"/>
      <c r="R278" s="38"/>
      <c r="S278" s="39">
        <f t="shared" si="4"/>
        <v>23350</v>
      </c>
    </row>
    <row r="279" spans="1:19">
      <c r="A279" s="9">
        <v>277</v>
      </c>
      <c r="B279" s="13">
        <v>4971710288605</v>
      </c>
      <c r="C279" s="14" t="s">
        <v>7</v>
      </c>
      <c r="D279" s="73" t="s">
        <v>922</v>
      </c>
      <c r="E279" s="15" t="s">
        <v>8</v>
      </c>
      <c r="F279" s="11"/>
      <c r="G279" s="16"/>
      <c r="H279" s="11">
        <v>27500</v>
      </c>
      <c r="I279" s="12">
        <v>27500</v>
      </c>
      <c r="J279" s="11"/>
      <c r="K279" s="12"/>
      <c r="L279" s="16"/>
      <c r="M279" s="17">
        <v>55000</v>
      </c>
      <c r="N279" s="16"/>
      <c r="O279" s="11"/>
      <c r="P279" s="11">
        <v>27500</v>
      </c>
      <c r="Q279" s="38"/>
      <c r="R279" s="38"/>
      <c r="S279" s="39">
        <f t="shared" si="4"/>
        <v>137500</v>
      </c>
    </row>
    <row r="280" spans="1:19">
      <c r="A280" s="9">
        <v>278</v>
      </c>
      <c r="B280" s="13">
        <v>4971710541168</v>
      </c>
      <c r="C280" s="14" t="s">
        <v>424</v>
      </c>
      <c r="D280" s="73" t="s">
        <v>924</v>
      </c>
      <c r="E280" s="15" t="s">
        <v>425</v>
      </c>
      <c r="F280" s="11">
        <v>6600</v>
      </c>
      <c r="G280" s="16"/>
      <c r="H280" s="11"/>
      <c r="I280" s="12"/>
      <c r="J280" s="11"/>
      <c r="K280" s="12"/>
      <c r="L280" s="16">
        <v>13200</v>
      </c>
      <c r="M280" s="17"/>
      <c r="N280" s="16"/>
      <c r="O280" s="11"/>
      <c r="P280" s="11">
        <v>9900</v>
      </c>
      <c r="Q280" s="38">
        <v>2640</v>
      </c>
      <c r="R280" s="38"/>
      <c r="S280" s="39">
        <f t="shared" si="4"/>
        <v>32340</v>
      </c>
    </row>
    <row r="281" spans="1:19">
      <c r="A281" s="9">
        <v>279</v>
      </c>
      <c r="B281" s="13">
        <v>4971710514490</v>
      </c>
      <c r="C281" s="14" t="s">
        <v>300</v>
      </c>
      <c r="D281" s="73" t="s">
        <v>924</v>
      </c>
      <c r="E281" s="15" t="s">
        <v>301</v>
      </c>
      <c r="F281" s="11"/>
      <c r="G281" s="16">
        <v>13200</v>
      </c>
      <c r="H281" s="11">
        <v>13200</v>
      </c>
      <c r="I281" s="12"/>
      <c r="J281" s="11"/>
      <c r="K281" s="12"/>
      <c r="L281" s="16"/>
      <c r="M281" s="17"/>
      <c r="N281" s="16"/>
      <c r="O281" s="11"/>
      <c r="P281" s="11"/>
      <c r="Q281" s="38"/>
      <c r="R281" s="38"/>
      <c r="S281" s="39">
        <f t="shared" si="4"/>
        <v>26400</v>
      </c>
    </row>
    <row r="282" spans="1:19">
      <c r="A282" s="9">
        <v>280</v>
      </c>
      <c r="B282" s="13">
        <v>4971710514506</v>
      </c>
      <c r="C282" s="14" t="s">
        <v>302</v>
      </c>
      <c r="D282" s="73" t="s">
        <v>924</v>
      </c>
      <c r="E282" s="15" t="s">
        <v>303</v>
      </c>
      <c r="F282" s="11"/>
      <c r="G282" s="16">
        <v>13200</v>
      </c>
      <c r="H282" s="11">
        <v>13200</v>
      </c>
      <c r="I282" s="12"/>
      <c r="J282" s="11"/>
      <c r="K282" s="12"/>
      <c r="L282" s="16"/>
      <c r="M282" s="17"/>
      <c r="N282" s="16"/>
      <c r="O282" s="11"/>
      <c r="P282" s="11"/>
      <c r="Q282" s="38"/>
      <c r="R282" s="38"/>
      <c r="S282" s="39">
        <f t="shared" si="4"/>
        <v>26400</v>
      </c>
    </row>
    <row r="283" spans="1:19">
      <c r="A283" s="9">
        <v>281</v>
      </c>
      <c r="B283" s="13">
        <v>4971710516845</v>
      </c>
      <c r="C283" s="14" t="s">
        <v>328</v>
      </c>
      <c r="D283" s="73" t="s">
        <v>920</v>
      </c>
      <c r="E283" s="15" t="s">
        <v>329</v>
      </c>
      <c r="F283" s="11"/>
      <c r="G283" s="16"/>
      <c r="H283" s="11"/>
      <c r="I283" s="12"/>
      <c r="J283" s="11">
        <v>17600</v>
      </c>
      <c r="K283" s="12"/>
      <c r="L283" s="16"/>
      <c r="M283" s="17"/>
      <c r="N283" s="16"/>
      <c r="O283" s="11">
        <v>5280</v>
      </c>
      <c r="P283" s="11">
        <v>17600</v>
      </c>
      <c r="Q283" s="38"/>
      <c r="R283" s="38"/>
      <c r="S283" s="39">
        <f t="shared" si="4"/>
        <v>40480</v>
      </c>
    </row>
    <row r="284" spans="1:19">
      <c r="A284" s="9">
        <v>282</v>
      </c>
      <c r="B284" s="13">
        <v>4971710589573</v>
      </c>
      <c r="C284" s="14" t="s">
        <v>721</v>
      </c>
      <c r="D284" s="73" t="s">
        <v>924</v>
      </c>
      <c r="E284" s="15" t="s">
        <v>722</v>
      </c>
      <c r="F284" s="11"/>
      <c r="G284" s="16"/>
      <c r="H284" s="11"/>
      <c r="I284" s="12"/>
      <c r="J284" s="11">
        <v>0</v>
      </c>
      <c r="K284" s="12"/>
      <c r="L284" s="16">
        <v>6050</v>
      </c>
      <c r="M284" s="17">
        <v>1210</v>
      </c>
      <c r="N284" s="16"/>
      <c r="O284" s="11">
        <v>19360</v>
      </c>
      <c r="P284" s="11"/>
      <c r="Q284" s="38">
        <v>1210</v>
      </c>
      <c r="R284" s="38"/>
      <c r="S284" s="39">
        <f t="shared" si="4"/>
        <v>27830</v>
      </c>
    </row>
    <row r="285" spans="1:19">
      <c r="A285" s="9">
        <v>283</v>
      </c>
      <c r="B285" s="13">
        <v>4971710522372</v>
      </c>
      <c r="C285" s="14" t="s">
        <v>374</v>
      </c>
      <c r="D285" s="73" t="s">
        <v>920</v>
      </c>
      <c r="E285" s="15" t="s">
        <v>375</v>
      </c>
      <c r="F285" s="11"/>
      <c r="G285" s="16"/>
      <c r="H285" s="11">
        <v>0</v>
      </c>
      <c r="I285" s="12">
        <v>4950</v>
      </c>
      <c r="J285" s="11"/>
      <c r="K285" s="12"/>
      <c r="L285" s="16"/>
      <c r="M285" s="17"/>
      <c r="N285" s="16">
        <v>9900</v>
      </c>
      <c r="O285" s="11">
        <v>7425</v>
      </c>
      <c r="P285" s="11"/>
      <c r="Q285" s="38"/>
      <c r="R285" s="38"/>
      <c r="S285" s="39">
        <f t="shared" si="4"/>
        <v>22275</v>
      </c>
    </row>
    <row r="286" spans="1:19">
      <c r="A286" s="9">
        <v>284</v>
      </c>
      <c r="B286" s="13">
        <v>4971710507607</v>
      </c>
      <c r="C286" s="14" t="s">
        <v>182</v>
      </c>
      <c r="D286" s="73" t="s">
        <v>924</v>
      </c>
      <c r="E286" s="15" t="s">
        <v>183</v>
      </c>
      <c r="F286" s="11"/>
      <c r="G286" s="16"/>
      <c r="H286" s="11"/>
      <c r="I286" s="12"/>
      <c r="J286" s="11"/>
      <c r="K286" s="12">
        <v>3300</v>
      </c>
      <c r="L286" s="16"/>
      <c r="M286" s="17">
        <v>5280</v>
      </c>
      <c r="N286" s="16"/>
      <c r="O286" s="11">
        <v>11880</v>
      </c>
      <c r="P286" s="11"/>
      <c r="Q286" s="38"/>
      <c r="R286" s="38">
        <v>7920</v>
      </c>
      <c r="S286" s="39">
        <f t="shared" si="4"/>
        <v>28380</v>
      </c>
    </row>
    <row r="287" spans="1:19">
      <c r="A287" s="9">
        <v>285</v>
      </c>
      <c r="B287" s="13">
        <v>4971710519433</v>
      </c>
      <c r="C287" s="14" t="s">
        <v>352</v>
      </c>
      <c r="D287" s="73" t="s">
        <v>924</v>
      </c>
      <c r="E287" s="15" t="s">
        <v>353</v>
      </c>
      <c r="F287" s="11"/>
      <c r="G287" s="16"/>
      <c r="H287" s="11"/>
      <c r="I287" s="12"/>
      <c r="J287" s="11"/>
      <c r="K287" s="12">
        <v>11000</v>
      </c>
      <c r="L287" s="16">
        <v>11000</v>
      </c>
      <c r="M287" s="17">
        <v>1100</v>
      </c>
      <c r="N287" s="16"/>
      <c r="O287" s="11"/>
      <c r="P287" s="11"/>
      <c r="Q287" s="38"/>
      <c r="R287" s="38"/>
      <c r="S287" s="39">
        <f t="shared" si="4"/>
        <v>23100</v>
      </c>
    </row>
    <row r="288" spans="1:19">
      <c r="A288" s="9">
        <v>286</v>
      </c>
      <c r="B288" s="13">
        <v>4971710489170</v>
      </c>
      <c r="C288" s="14" t="s">
        <v>86</v>
      </c>
      <c r="D288" s="73" t="s">
        <v>924</v>
      </c>
      <c r="E288" s="15" t="s">
        <v>87</v>
      </c>
      <c r="F288" s="11"/>
      <c r="G288" s="16"/>
      <c r="H288" s="11"/>
      <c r="I288" s="12"/>
      <c r="J288" s="11"/>
      <c r="K288" s="12">
        <v>5500</v>
      </c>
      <c r="L288" s="16">
        <v>16500</v>
      </c>
      <c r="M288" s="17"/>
      <c r="N288" s="16"/>
      <c r="O288" s="11"/>
      <c r="P288" s="11"/>
      <c r="Q288" s="38"/>
      <c r="R288" s="38"/>
      <c r="S288" s="39">
        <f t="shared" si="4"/>
        <v>22000</v>
      </c>
    </row>
    <row r="289" spans="1:19">
      <c r="A289" s="9">
        <v>287</v>
      </c>
      <c r="B289" s="13">
        <v>4971710513646</v>
      </c>
      <c r="C289" s="14" t="s">
        <v>264</v>
      </c>
      <c r="D289" s="73" t="s">
        <v>920</v>
      </c>
      <c r="E289" s="15" t="s">
        <v>265</v>
      </c>
      <c r="F289" s="11"/>
      <c r="G289" s="16"/>
      <c r="H289" s="11"/>
      <c r="I289" s="12"/>
      <c r="J289" s="11">
        <v>9340</v>
      </c>
      <c r="K289" s="12"/>
      <c r="L289" s="16"/>
      <c r="M289" s="17"/>
      <c r="N289" s="16"/>
      <c r="O289" s="11"/>
      <c r="P289" s="11">
        <v>9340</v>
      </c>
      <c r="Q289" s="38"/>
      <c r="R289" s="38"/>
      <c r="S289" s="39">
        <f t="shared" si="4"/>
        <v>18680</v>
      </c>
    </row>
    <row r="290" spans="1:19">
      <c r="A290" s="9">
        <v>288</v>
      </c>
      <c r="B290" s="13">
        <v>4971710475036</v>
      </c>
      <c r="C290" s="14" t="s">
        <v>775</v>
      </c>
      <c r="D290" s="73" t="s">
        <v>924</v>
      </c>
      <c r="E290" s="15" t="s">
        <v>781</v>
      </c>
      <c r="F290" s="11"/>
      <c r="G290" s="16"/>
      <c r="H290" s="11"/>
      <c r="I290" s="12"/>
      <c r="J290" s="11"/>
      <c r="K290" s="12"/>
      <c r="L290" s="16"/>
      <c r="M290" s="17"/>
      <c r="N290" s="16">
        <v>8800</v>
      </c>
      <c r="O290" s="11"/>
      <c r="P290" s="11"/>
      <c r="Q290" s="38">
        <v>8800</v>
      </c>
      <c r="R290" s="38"/>
      <c r="S290" s="39">
        <f t="shared" si="4"/>
        <v>17600</v>
      </c>
    </row>
    <row r="291" spans="1:19">
      <c r="A291" s="9">
        <v>289</v>
      </c>
      <c r="B291" s="13">
        <v>4971710508840</v>
      </c>
      <c r="C291" s="14" t="s">
        <v>801</v>
      </c>
      <c r="D291" s="73" t="s">
        <v>924</v>
      </c>
      <c r="E291" s="15" t="s">
        <v>802</v>
      </c>
      <c r="F291" s="11"/>
      <c r="G291" s="16"/>
      <c r="H291" s="11"/>
      <c r="I291" s="12"/>
      <c r="J291" s="11"/>
      <c r="K291" s="12"/>
      <c r="L291" s="16"/>
      <c r="M291" s="17"/>
      <c r="N291" s="16"/>
      <c r="O291" s="11">
        <v>22000</v>
      </c>
      <c r="P291" s="11"/>
      <c r="Q291" s="38"/>
      <c r="R291" s="38">
        <v>13200</v>
      </c>
      <c r="S291" s="39">
        <f t="shared" si="4"/>
        <v>35200</v>
      </c>
    </row>
    <row r="292" spans="1:19">
      <c r="A292" s="9">
        <v>290</v>
      </c>
      <c r="B292" s="13">
        <v>4971710506730</v>
      </c>
      <c r="C292" s="14" t="s">
        <v>782</v>
      </c>
      <c r="D292" s="73" t="s">
        <v>924</v>
      </c>
      <c r="E292" s="15" t="s">
        <v>783</v>
      </c>
      <c r="F292" s="11"/>
      <c r="G292" s="16"/>
      <c r="H292" s="11"/>
      <c r="I292" s="12">
        <v>8250</v>
      </c>
      <c r="J292" s="11"/>
      <c r="K292" s="12"/>
      <c r="L292" s="16"/>
      <c r="M292" s="17">
        <v>9900</v>
      </c>
      <c r="N292" s="16"/>
      <c r="O292" s="11">
        <v>8250</v>
      </c>
      <c r="P292" s="11"/>
      <c r="Q292" s="38"/>
      <c r="R292" s="38">
        <v>5775</v>
      </c>
      <c r="S292" s="39">
        <f t="shared" si="4"/>
        <v>32175</v>
      </c>
    </row>
    <row r="293" spans="1:19">
      <c r="A293" s="9">
        <v>291</v>
      </c>
      <c r="B293" s="13">
        <v>4971710579314</v>
      </c>
      <c r="C293" s="14" t="s">
        <v>653</v>
      </c>
      <c r="D293" s="73" t="s">
        <v>924</v>
      </c>
      <c r="E293" s="15" t="s">
        <v>654</v>
      </c>
      <c r="F293" s="11"/>
      <c r="G293" s="16"/>
      <c r="H293" s="11">
        <v>18480</v>
      </c>
      <c r="I293" s="12"/>
      <c r="J293" s="11"/>
      <c r="K293" s="12"/>
      <c r="L293" s="16">
        <v>9240</v>
      </c>
      <c r="M293" s="17"/>
      <c r="N293" s="16"/>
      <c r="O293" s="11"/>
      <c r="P293" s="11"/>
      <c r="Q293" s="38"/>
      <c r="R293" s="38"/>
      <c r="S293" s="39">
        <f t="shared" si="4"/>
        <v>27720</v>
      </c>
    </row>
    <row r="294" spans="1:19">
      <c r="A294" s="9">
        <v>292</v>
      </c>
      <c r="B294" s="13">
        <v>4971710508864</v>
      </c>
      <c r="C294" s="14" t="s">
        <v>202</v>
      </c>
      <c r="D294" s="73" t="s">
        <v>924</v>
      </c>
      <c r="E294" s="15" t="s">
        <v>203</v>
      </c>
      <c r="F294" s="11"/>
      <c r="G294" s="16"/>
      <c r="H294" s="11"/>
      <c r="I294" s="12"/>
      <c r="J294" s="11"/>
      <c r="K294" s="12"/>
      <c r="L294" s="16">
        <v>5280</v>
      </c>
      <c r="M294" s="17"/>
      <c r="N294" s="16"/>
      <c r="O294" s="11">
        <v>26400</v>
      </c>
      <c r="P294" s="11"/>
      <c r="Q294" s="38"/>
      <c r="R294" s="38"/>
      <c r="S294" s="39">
        <f t="shared" si="4"/>
        <v>31680</v>
      </c>
    </row>
    <row r="295" spans="1:19">
      <c r="A295" s="9">
        <v>293</v>
      </c>
      <c r="B295" s="13">
        <v>4971710568677</v>
      </c>
      <c r="C295" s="14" t="s">
        <v>530</v>
      </c>
      <c r="D295" s="73" t="s">
        <v>924</v>
      </c>
      <c r="E295" s="15" t="s">
        <v>531</v>
      </c>
      <c r="F295" s="11">
        <v>8250</v>
      </c>
      <c r="G295" s="16"/>
      <c r="H295" s="11"/>
      <c r="I295" s="12"/>
      <c r="J295" s="11"/>
      <c r="K295" s="12"/>
      <c r="L295" s="16"/>
      <c r="M295" s="17"/>
      <c r="N295" s="16">
        <v>1650</v>
      </c>
      <c r="O295" s="11">
        <v>16500</v>
      </c>
      <c r="P295" s="11">
        <v>3300</v>
      </c>
      <c r="Q295" s="38"/>
      <c r="R295" s="38"/>
      <c r="S295" s="39">
        <f t="shared" si="4"/>
        <v>29700</v>
      </c>
    </row>
    <row r="296" spans="1:19">
      <c r="A296" s="9">
        <v>294</v>
      </c>
      <c r="B296" s="13">
        <v>4971710597035</v>
      </c>
      <c r="C296" s="14" t="s">
        <v>845</v>
      </c>
      <c r="D296" s="73" t="s">
        <v>920</v>
      </c>
      <c r="E296" s="15" t="s">
        <v>864</v>
      </c>
      <c r="F296" s="11"/>
      <c r="G296" s="16"/>
      <c r="H296" s="11"/>
      <c r="I296" s="12"/>
      <c r="J296" s="11"/>
      <c r="K296" s="12"/>
      <c r="L296" s="16"/>
      <c r="M296" s="17"/>
      <c r="N296" s="16"/>
      <c r="O296" s="11"/>
      <c r="P296" s="11"/>
      <c r="Q296" s="38">
        <v>31680</v>
      </c>
      <c r="R296" s="38"/>
      <c r="S296" s="39">
        <f t="shared" si="4"/>
        <v>31680</v>
      </c>
    </row>
    <row r="297" spans="1:19">
      <c r="A297" s="9">
        <v>295</v>
      </c>
      <c r="B297" s="13">
        <v>4971710508918</v>
      </c>
      <c r="C297" s="14" t="s">
        <v>204</v>
      </c>
      <c r="D297" s="73" t="s">
        <v>924</v>
      </c>
      <c r="E297" s="15" t="s">
        <v>205</v>
      </c>
      <c r="F297" s="11"/>
      <c r="G297" s="16"/>
      <c r="H297" s="11"/>
      <c r="I297" s="12"/>
      <c r="J297" s="11"/>
      <c r="K297" s="12"/>
      <c r="L297" s="16">
        <v>1980</v>
      </c>
      <c r="M297" s="17"/>
      <c r="N297" s="16"/>
      <c r="O297" s="11">
        <v>6600</v>
      </c>
      <c r="P297" s="11"/>
      <c r="Q297" s="38"/>
      <c r="R297" s="38">
        <v>3300</v>
      </c>
      <c r="S297" s="39">
        <f t="shared" si="4"/>
        <v>11880</v>
      </c>
    </row>
    <row r="298" spans="1:19">
      <c r="A298" s="9">
        <v>296</v>
      </c>
      <c r="B298" s="13">
        <v>4971710496475</v>
      </c>
      <c r="C298" s="14" t="s">
        <v>172</v>
      </c>
      <c r="D298" s="73" t="s">
        <v>924</v>
      </c>
      <c r="E298" s="15" t="s">
        <v>173</v>
      </c>
      <c r="F298" s="11"/>
      <c r="G298" s="16"/>
      <c r="H298" s="11"/>
      <c r="I298" s="12"/>
      <c r="J298" s="11"/>
      <c r="K298" s="12"/>
      <c r="L298" s="16">
        <v>24750</v>
      </c>
      <c r="M298" s="17"/>
      <c r="N298" s="16"/>
      <c r="O298" s="11"/>
      <c r="P298" s="11"/>
      <c r="Q298" s="38"/>
      <c r="R298" s="38">
        <v>4125</v>
      </c>
      <c r="S298" s="39">
        <f t="shared" si="4"/>
        <v>28875</v>
      </c>
    </row>
    <row r="299" spans="1:19">
      <c r="A299" s="9">
        <v>297</v>
      </c>
      <c r="B299" s="13">
        <v>4971710471953</v>
      </c>
      <c r="C299" s="14" t="s">
        <v>18</v>
      </c>
      <c r="D299" s="73" t="s">
        <v>924</v>
      </c>
      <c r="E299" s="15" t="s">
        <v>19</v>
      </c>
      <c r="F299" s="11"/>
      <c r="G299" s="16"/>
      <c r="H299" s="11"/>
      <c r="I299" s="12"/>
      <c r="J299" s="11">
        <v>19800</v>
      </c>
      <c r="K299" s="12">
        <v>3300</v>
      </c>
      <c r="L299" s="16"/>
      <c r="M299" s="17"/>
      <c r="N299" s="16"/>
      <c r="O299" s="11"/>
      <c r="P299" s="11"/>
      <c r="Q299" s="38"/>
      <c r="R299" s="38"/>
      <c r="S299" s="39">
        <f t="shared" si="4"/>
        <v>23100</v>
      </c>
    </row>
    <row r="300" spans="1:19">
      <c r="A300" s="9">
        <v>298</v>
      </c>
      <c r="B300" s="13">
        <v>4971710484281</v>
      </c>
      <c r="C300" s="14" t="s">
        <v>38</v>
      </c>
      <c r="D300" s="73" t="s">
        <v>924</v>
      </c>
      <c r="E300" s="15" t="s">
        <v>39</v>
      </c>
      <c r="F300" s="11"/>
      <c r="G300" s="16"/>
      <c r="H300" s="11">
        <v>3300</v>
      </c>
      <c r="I300" s="12"/>
      <c r="J300" s="11">
        <v>19800</v>
      </c>
      <c r="K300" s="12"/>
      <c r="L300" s="16"/>
      <c r="M300" s="17"/>
      <c r="N300" s="16"/>
      <c r="O300" s="11"/>
      <c r="P300" s="11"/>
      <c r="Q300" s="38"/>
      <c r="R300" s="38"/>
      <c r="S300" s="39">
        <f t="shared" si="4"/>
        <v>23100</v>
      </c>
    </row>
    <row r="301" spans="1:19">
      <c r="A301" s="9">
        <v>299</v>
      </c>
      <c r="B301" s="13">
        <v>4971710522389</v>
      </c>
      <c r="C301" s="14" t="s">
        <v>376</v>
      </c>
      <c r="D301" s="73" t="s">
        <v>920</v>
      </c>
      <c r="E301" s="15" t="s">
        <v>377</v>
      </c>
      <c r="F301" s="11"/>
      <c r="G301" s="16"/>
      <c r="H301" s="11">
        <v>4950</v>
      </c>
      <c r="I301" s="12"/>
      <c r="J301" s="11"/>
      <c r="K301" s="12"/>
      <c r="L301" s="16"/>
      <c r="M301" s="17">
        <v>2475</v>
      </c>
      <c r="N301" s="16">
        <v>9900</v>
      </c>
      <c r="O301" s="11"/>
      <c r="P301" s="11"/>
      <c r="Q301" s="38"/>
      <c r="R301" s="38"/>
      <c r="S301" s="39">
        <f t="shared" si="4"/>
        <v>17325</v>
      </c>
    </row>
    <row r="302" spans="1:19">
      <c r="A302" s="9">
        <v>300</v>
      </c>
      <c r="B302" s="13">
        <v>4971710519471</v>
      </c>
      <c r="C302" s="14" t="s">
        <v>360</v>
      </c>
      <c r="D302" s="73" t="s">
        <v>924</v>
      </c>
      <c r="E302" s="15" t="s">
        <v>361</v>
      </c>
      <c r="F302" s="11"/>
      <c r="G302" s="16"/>
      <c r="H302" s="11">
        <v>0</v>
      </c>
      <c r="I302" s="12">
        <v>16500</v>
      </c>
      <c r="J302" s="11"/>
      <c r="K302" s="12"/>
      <c r="L302" s="16"/>
      <c r="M302" s="17">
        <v>2200</v>
      </c>
      <c r="N302" s="16"/>
      <c r="O302" s="11"/>
      <c r="P302" s="11"/>
      <c r="Q302" s="38"/>
      <c r="R302" s="38"/>
      <c r="S302" s="39">
        <f t="shared" si="4"/>
        <v>18700</v>
      </c>
    </row>
    <row r="303" spans="1:19">
      <c r="A303" s="9">
        <v>301</v>
      </c>
      <c r="B303" s="13">
        <v>4971710541182</v>
      </c>
      <c r="C303" s="14" t="s">
        <v>428</v>
      </c>
      <c r="D303" s="73" t="s">
        <v>924</v>
      </c>
      <c r="E303" s="15" t="s">
        <v>429</v>
      </c>
      <c r="F303" s="11">
        <v>6600</v>
      </c>
      <c r="G303" s="16"/>
      <c r="H303" s="11"/>
      <c r="I303" s="12">
        <v>13200</v>
      </c>
      <c r="J303" s="11"/>
      <c r="K303" s="12"/>
      <c r="L303" s="16"/>
      <c r="M303" s="17"/>
      <c r="N303" s="16"/>
      <c r="O303" s="11"/>
      <c r="P303" s="11"/>
      <c r="Q303" s="38"/>
      <c r="R303" s="38">
        <v>2640</v>
      </c>
      <c r="S303" s="39">
        <f t="shared" si="4"/>
        <v>22440</v>
      </c>
    </row>
    <row r="304" spans="1:19">
      <c r="A304" s="9">
        <v>302</v>
      </c>
      <c r="B304" s="13">
        <v>4971710563443</v>
      </c>
      <c r="C304" s="14" t="s">
        <v>486</v>
      </c>
      <c r="D304" s="73" t="s">
        <v>920</v>
      </c>
      <c r="E304" s="15" t="s">
        <v>487</v>
      </c>
      <c r="F304" s="11"/>
      <c r="G304" s="16"/>
      <c r="H304" s="11"/>
      <c r="I304" s="12"/>
      <c r="J304" s="11">
        <v>11440</v>
      </c>
      <c r="K304" s="12">
        <v>11440</v>
      </c>
      <c r="L304" s="16"/>
      <c r="M304" s="17"/>
      <c r="N304" s="16"/>
      <c r="O304" s="11"/>
      <c r="P304" s="11"/>
      <c r="Q304" s="38"/>
      <c r="R304" s="38"/>
      <c r="S304" s="39">
        <f t="shared" si="4"/>
        <v>22880</v>
      </c>
    </row>
    <row r="305" spans="1:19">
      <c r="A305" s="9">
        <v>303</v>
      </c>
      <c r="B305" s="13">
        <v>4971710573237</v>
      </c>
      <c r="C305" s="14" t="s">
        <v>572</v>
      </c>
      <c r="D305" s="73" t="s">
        <v>920</v>
      </c>
      <c r="E305" s="15" t="s">
        <v>573</v>
      </c>
      <c r="F305" s="11"/>
      <c r="G305" s="16"/>
      <c r="H305" s="11"/>
      <c r="I305" s="12">
        <v>13200</v>
      </c>
      <c r="J305" s="11"/>
      <c r="K305" s="12"/>
      <c r="L305" s="16"/>
      <c r="M305" s="17"/>
      <c r="N305" s="16"/>
      <c r="O305" s="11">
        <v>6600</v>
      </c>
      <c r="P305" s="11"/>
      <c r="Q305" s="38"/>
      <c r="R305" s="38"/>
      <c r="S305" s="39">
        <f t="shared" si="4"/>
        <v>19800</v>
      </c>
    </row>
    <row r="306" spans="1:19">
      <c r="A306" s="9">
        <v>304</v>
      </c>
      <c r="B306" s="13">
        <v>4971710573244</v>
      </c>
      <c r="C306" s="14" t="s">
        <v>574</v>
      </c>
      <c r="D306" s="73" t="s">
        <v>920</v>
      </c>
      <c r="E306" s="15" t="s">
        <v>575</v>
      </c>
      <c r="F306" s="11"/>
      <c r="G306" s="16"/>
      <c r="H306" s="11"/>
      <c r="I306" s="12">
        <v>13200</v>
      </c>
      <c r="J306" s="11"/>
      <c r="K306" s="12"/>
      <c r="L306" s="16"/>
      <c r="M306" s="17"/>
      <c r="N306" s="16"/>
      <c r="O306" s="11">
        <v>6600</v>
      </c>
      <c r="P306" s="11"/>
      <c r="Q306" s="38"/>
      <c r="R306" s="38"/>
      <c r="S306" s="39">
        <f t="shared" si="4"/>
        <v>19800</v>
      </c>
    </row>
    <row r="307" spans="1:19">
      <c r="A307" s="9">
        <v>305</v>
      </c>
      <c r="B307" s="13">
        <v>4971710484267</v>
      </c>
      <c r="C307" s="14" t="s">
        <v>34</v>
      </c>
      <c r="D307" s="73" t="s">
        <v>924</v>
      </c>
      <c r="E307" s="15" t="s">
        <v>35</v>
      </c>
      <c r="F307" s="11"/>
      <c r="G307" s="16"/>
      <c r="H307" s="11"/>
      <c r="I307" s="12"/>
      <c r="J307" s="11">
        <v>19800</v>
      </c>
      <c r="K307" s="12"/>
      <c r="L307" s="16"/>
      <c r="M307" s="17"/>
      <c r="N307" s="16"/>
      <c r="O307" s="11"/>
      <c r="P307" s="11"/>
      <c r="Q307" s="38"/>
      <c r="R307" s="38"/>
      <c r="S307" s="39">
        <f t="shared" si="4"/>
        <v>19800</v>
      </c>
    </row>
    <row r="308" spans="1:19">
      <c r="A308" s="9">
        <v>306</v>
      </c>
      <c r="B308" s="13">
        <v>4971710522402</v>
      </c>
      <c r="C308" s="14" t="s">
        <v>380</v>
      </c>
      <c r="D308" s="73" t="s">
        <v>920</v>
      </c>
      <c r="E308" s="15" t="s">
        <v>381</v>
      </c>
      <c r="F308" s="11"/>
      <c r="G308" s="16"/>
      <c r="H308" s="11">
        <v>0</v>
      </c>
      <c r="I308" s="12">
        <v>4950</v>
      </c>
      <c r="J308" s="11"/>
      <c r="K308" s="12"/>
      <c r="L308" s="16"/>
      <c r="M308" s="17"/>
      <c r="N308" s="16">
        <v>9900</v>
      </c>
      <c r="O308" s="11"/>
      <c r="P308" s="11"/>
      <c r="Q308" s="38"/>
      <c r="R308" s="38"/>
      <c r="S308" s="39">
        <f t="shared" si="4"/>
        <v>14850</v>
      </c>
    </row>
    <row r="309" spans="1:19">
      <c r="A309" s="9">
        <v>307</v>
      </c>
      <c r="B309" s="13">
        <v>4971710522419</v>
      </c>
      <c r="C309" s="14" t="s">
        <v>382</v>
      </c>
      <c r="D309" s="73" t="s">
        <v>920</v>
      </c>
      <c r="E309" s="15" t="s">
        <v>383</v>
      </c>
      <c r="F309" s="11"/>
      <c r="G309" s="16"/>
      <c r="H309" s="11">
        <v>0</v>
      </c>
      <c r="I309" s="12">
        <v>4950</v>
      </c>
      <c r="J309" s="11"/>
      <c r="K309" s="12"/>
      <c r="L309" s="16"/>
      <c r="M309" s="17"/>
      <c r="N309" s="16">
        <v>9900</v>
      </c>
      <c r="O309" s="11"/>
      <c r="P309" s="11"/>
      <c r="Q309" s="38"/>
      <c r="R309" s="38"/>
      <c r="S309" s="39">
        <f t="shared" si="4"/>
        <v>14850</v>
      </c>
    </row>
    <row r="310" spans="1:19">
      <c r="A310" s="9">
        <v>308</v>
      </c>
      <c r="B310" s="13">
        <v>4971710541175</v>
      </c>
      <c r="C310" s="14" t="s">
        <v>426</v>
      </c>
      <c r="D310" s="73" t="s">
        <v>924</v>
      </c>
      <c r="E310" s="15" t="s">
        <v>427</v>
      </c>
      <c r="F310" s="11">
        <v>6600</v>
      </c>
      <c r="G310" s="16"/>
      <c r="H310" s="11"/>
      <c r="I310" s="12"/>
      <c r="J310" s="11"/>
      <c r="K310" s="12"/>
      <c r="L310" s="16">
        <v>13200</v>
      </c>
      <c r="M310" s="17"/>
      <c r="N310" s="16"/>
      <c r="O310" s="11"/>
      <c r="P310" s="11"/>
      <c r="Q310" s="38"/>
      <c r="R310" s="38"/>
      <c r="S310" s="39">
        <f t="shared" si="4"/>
        <v>19800</v>
      </c>
    </row>
    <row r="311" spans="1:19">
      <c r="A311" s="9">
        <v>309</v>
      </c>
      <c r="B311" s="13">
        <v>4971710589566</v>
      </c>
      <c r="C311" s="14" t="s">
        <v>799</v>
      </c>
      <c r="D311" s="73" t="s">
        <v>924</v>
      </c>
      <c r="E311" s="15" t="s">
        <v>800</v>
      </c>
      <c r="F311" s="11"/>
      <c r="G311" s="16"/>
      <c r="H311" s="11"/>
      <c r="I311" s="12"/>
      <c r="J311" s="11"/>
      <c r="K311" s="12"/>
      <c r="L311" s="16"/>
      <c r="M311" s="17"/>
      <c r="N311" s="16"/>
      <c r="O311" s="11">
        <v>13200</v>
      </c>
      <c r="P311" s="11"/>
      <c r="Q311" s="38"/>
      <c r="R311" s="38"/>
      <c r="S311" s="39">
        <f t="shared" si="4"/>
        <v>13200</v>
      </c>
    </row>
    <row r="312" spans="1:19">
      <c r="A312" s="9">
        <v>310</v>
      </c>
      <c r="B312" s="13">
        <v>4971710575743</v>
      </c>
      <c r="C312" s="14" t="s">
        <v>585</v>
      </c>
      <c r="D312" s="73" t="s">
        <v>924</v>
      </c>
      <c r="E312" s="15" t="s">
        <v>586</v>
      </c>
      <c r="F312" s="11"/>
      <c r="G312" s="16"/>
      <c r="H312" s="11">
        <v>9900</v>
      </c>
      <c r="I312" s="12"/>
      <c r="J312" s="11"/>
      <c r="K312" s="12"/>
      <c r="L312" s="16"/>
      <c r="M312" s="17"/>
      <c r="N312" s="16"/>
      <c r="O312" s="11"/>
      <c r="P312" s="11">
        <v>4950</v>
      </c>
      <c r="Q312" s="38"/>
      <c r="R312" s="38"/>
      <c r="S312" s="39">
        <f t="shared" si="4"/>
        <v>14850</v>
      </c>
    </row>
    <row r="313" spans="1:19">
      <c r="A313" s="9">
        <v>311</v>
      </c>
      <c r="B313" s="13">
        <v>4971710560961</v>
      </c>
      <c r="C313" s="14" t="s">
        <v>820</v>
      </c>
      <c r="D313" s="73" t="s">
        <v>924</v>
      </c>
      <c r="E313" s="15" t="s">
        <v>828</v>
      </c>
      <c r="F313" s="11"/>
      <c r="G313" s="16"/>
      <c r="H313" s="11"/>
      <c r="I313" s="12"/>
      <c r="J313" s="11"/>
      <c r="K313" s="12"/>
      <c r="L313" s="16"/>
      <c r="M313" s="17"/>
      <c r="N313" s="16"/>
      <c r="O313" s="11"/>
      <c r="P313" s="11">
        <v>24750</v>
      </c>
      <c r="Q313" s="38"/>
      <c r="R313" s="38"/>
      <c r="S313" s="39">
        <f t="shared" si="4"/>
        <v>24750</v>
      </c>
    </row>
    <row r="314" spans="1:19">
      <c r="A314" s="9">
        <v>312</v>
      </c>
      <c r="B314" s="13">
        <v>4971710487732</v>
      </c>
      <c r="C314" s="14" t="s">
        <v>58</v>
      </c>
      <c r="D314" s="73" t="s">
        <v>924</v>
      </c>
      <c r="E314" s="15" t="s">
        <v>59</v>
      </c>
      <c r="F314" s="11"/>
      <c r="G314" s="16"/>
      <c r="H314" s="11">
        <v>21120</v>
      </c>
      <c r="I314" s="12"/>
      <c r="J314" s="11"/>
      <c r="K314" s="12"/>
      <c r="L314" s="16"/>
      <c r="M314" s="17"/>
      <c r="N314" s="16">
        <v>3520</v>
      </c>
      <c r="O314" s="11"/>
      <c r="P314" s="11"/>
      <c r="Q314" s="38"/>
      <c r="R314" s="38"/>
      <c r="S314" s="39">
        <f t="shared" si="4"/>
        <v>24640</v>
      </c>
    </row>
    <row r="315" spans="1:19">
      <c r="A315" s="9">
        <v>313</v>
      </c>
      <c r="B315" s="13">
        <v>4971710507584</v>
      </c>
      <c r="C315" s="14" t="s">
        <v>178</v>
      </c>
      <c r="D315" s="73" t="s">
        <v>924</v>
      </c>
      <c r="E315" s="15" t="s">
        <v>179</v>
      </c>
      <c r="F315" s="11"/>
      <c r="G315" s="16"/>
      <c r="H315" s="11"/>
      <c r="I315" s="12"/>
      <c r="J315" s="11">
        <v>1980</v>
      </c>
      <c r="K315" s="12"/>
      <c r="L315" s="16"/>
      <c r="M315" s="17"/>
      <c r="N315" s="16">
        <v>2640</v>
      </c>
      <c r="O315" s="11">
        <v>7260</v>
      </c>
      <c r="P315" s="11">
        <v>6600</v>
      </c>
      <c r="Q315" s="38"/>
      <c r="R315" s="38"/>
      <c r="S315" s="39">
        <f t="shared" si="4"/>
        <v>18480</v>
      </c>
    </row>
    <row r="316" spans="1:19">
      <c r="A316" s="9">
        <v>314</v>
      </c>
      <c r="B316" s="13">
        <v>4971710516746</v>
      </c>
      <c r="C316" s="14" t="s">
        <v>324</v>
      </c>
      <c r="D316" s="73" t="s">
        <v>920</v>
      </c>
      <c r="E316" s="15" t="s">
        <v>325</v>
      </c>
      <c r="F316" s="11"/>
      <c r="G316" s="16"/>
      <c r="H316" s="11"/>
      <c r="I316" s="12"/>
      <c r="J316" s="11">
        <v>15400</v>
      </c>
      <c r="K316" s="12"/>
      <c r="L316" s="16"/>
      <c r="M316" s="17"/>
      <c r="N316" s="16"/>
      <c r="O316" s="11">
        <v>4620</v>
      </c>
      <c r="P316" s="11"/>
      <c r="Q316" s="38"/>
      <c r="R316" s="38"/>
      <c r="S316" s="39">
        <f t="shared" si="4"/>
        <v>20020</v>
      </c>
    </row>
    <row r="317" spans="1:19">
      <c r="A317" s="9">
        <v>315</v>
      </c>
      <c r="B317" s="13">
        <v>4971710516869</v>
      </c>
      <c r="C317" s="14" t="s">
        <v>332</v>
      </c>
      <c r="D317" s="73" t="s">
        <v>920</v>
      </c>
      <c r="E317" s="15" t="s">
        <v>333</v>
      </c>
      <c r="F317" s="11"/>
      <c r="G317" s="16"/>
      <c r="H317" s="11"/>
      <c r="I317" s="12"/>
      <c r="J317" s="11">
        <v>17600</v>
      </c>
      <c r="K317" s="12"/>
      <c r="L317" s="16"/>
      <c r="M317" s="17"/>
      <c r="N317" s="16"/>
      <c r="O317" s="11">
        <v>5280</v>
      </c>
      <c r="P317" s="11"/>
      <c r="Q317" s="38"/>
      <c r="R317" s="38"/>
      <c r="S317" s="39">
        <f t="shared" si="4"/>
        <v>22880</v>
      </c>
    </row>
    <row r="318" spans="1:19">
      <c r="A318" s="9">
        <v>316</v>
      </c>
      <c r="B318" s="13">
        <v>4971710507560</v>
      </c>
      <c r="C318" s="14" t="s">
        <v>174</v>
      </c>
      <c r="D318" s="73" t="s">
        <v>924</v>
      </c>
      <c r="E318" s="15" t="s">
        <v>175</v>
      </c>
      <c r="F318" s="11"/>
      <c r="G318" s="16"/>
      <c r="H318" s="11">
        <v>3300</v>
      </c>
      <c r="I318" s="12"/>
      <c r="J318" s="11"/>
      <c r="K318" s="12">
        <v>3300</v>
      </c>
      <c r="L318" s="16"/>
      <c r="M318" s="17">
        <v>1320</v>
      </c>
      <c r="N318" s="16">
        <v>3960</v>
      </c>
      <c r="O318" s="11">
        <v>3960</v>
      </c>
      <c r="P318" s="11"/>
      <c r="Q318" s="38"/>
      <c r="R318" s="38">
        <v>1320</v>
      </c>
      <c r="S318" s="39">
        <f t="shared" si="4"/>
        <v>17160</v>
      </c>
    </row>
    <row r="319" spans="1:19">
      <c r="A319" s="9">
        <v>317</v>
      </c>
      <c r="B319" s="13">
        <v>4971710487725</v>
      </c>
      <c r="C319" s="14" t="s">
        <v>56</v>
      </c>
      <c r="D319" s="73" t="s">
        <v>924</v>
      </c>
      <c r="E319" s="15" t="s">
        <v>57</v>
      </c>
      <c r="F319" s="11"/>
      <c r="G319" s="16"/>
      <c r="H319" s="11">
        <v>12320</v>
      </c>
      <c r="I319" s="12"/>
      <c r="J319" s="11">
        <v>880</v>
      </c>
      <c r="K319" s="12"/>
      <c r="L319" s="16"/>
      <c r="M319" s="17"/>
      <c r="N319" s="16"/>
      <c r="O319" s="11"/>
      <c r="P319" s="11">
        <v>8800</v>
      </c>
      <c r="Q319" s="38"/>
      <c r="R319" s="38"/>
      <c r="S319" s="39">
        <f t="shared" si="4"/>
        <v>22000</v>
      </c>
    </row>
    <row r="320" spans="1:19">
      <c r="A320" s="9">
        <v>318</v>
      </c>
      <c r="B320" s="13">
        <v>4971710508857</v>
      </c>
      <c r="C320" s="14" t="s">
        <v>803</v>
      </c>
      <c r="D320" s="73" t="s">
        <v>924</v>
      </c>
      <c r="E320" s="15" t="s">
        <v>802</v>
      </c>
      <c r="F320" s="11"/>
      <c r="G320" s="16"/>
      <c r="H320" s="11"/>
      <c r="I320" s="12"/>
      <c r="J320" s="11"/>
      <c r="K320" s="12"/>
      <c r="L320" s="16"/>
      <c r="M320" s="17"/>
      <c r="N320" s="16"/>
      <c r="O320" s="11">
        <v>8800</v>
      </c>
      <c r="P320" s="11"/>
      <c r="Q320" s="38"/>
      <c r="R320" s="38">
        <v>13200</v>
      </c>
      <c r="S320" s="39">
        <f t="shared" si="4"/>
        <v>22000</v>
      </c>
    </row>
    <row r="321" spans="1:19">
      <c r="A321" s="9">
        <v>319</v>
      </c>
      <c r="B321" s="13">
        <v>4971710511833</v>
      </c>
      <c r="C321" s="14" t="s">
        <v>222</v>
      </c>
      <c r="D321" s="73" t="s">
        <v>924</v>
      </c>
      <c r="E321" s="15" t="s">
        <v>223</v>
      </c>
      <c r="F321" s="11"/>
      <c r="G321" s="16"/>
      <c r="H321" s="11"/>
      <c r="I321" s="12"/>
      <c r="J321" s="11"/>
      <c r="K321" s="12"/>
      <c r="L321" s="16"/>
      <c r="M321" s="17"/>
      <c r="N321" s="16"/>
      <c r="O321" s="11"/>
      <c r="P321" s="11">
        <v>2640</v>
      </c>
      <c r="Q321" s="38">
        <v>13200</v>
      </c>
      <c r="R321" s="38"/>
      <c r="S321" s="39">
        <f t="shared" si="4"/>
        <v>15840</v>
      </c>
    </row>
    <row r="322" spans="1:19">
      <c r="A322" s="9">
        <v>320</v>
      </c>
      <c r="B322" s="13">
        <v>4971710479560</v>
      </c>
      <c r="C322" s="14" t="s">
        <v>30</v>
      </c>
      <c r="D322" s="73" t="s">
        <v>924</v>
      </c>
      <c r="E322" s="15" t="s">
        <v>31</v>
      </c>
      <c r="F322" s="11"/>
      <c r="G322" s="16"/>
      <c r="H322" s="11">
        <v>23760</v>
      </c>
      <c r="I322" s="12"/>
      <c r="J322" s="11"/>
      <c r="K322" s="12"/>
      <c r="L322" s="16"/>
      <c r="M322" s="17"/>
      <c r="N322" s="16"/>
      <c r="O322" s="11"/>
      <c r="P322" s="11"/>
      <c r="Q322" s="38"/>
      <c r="R322" s="38"/>
      <c r="S322" s="39">
        <f t="shared" si="4"/>
        <v>23760</v>
      </c>
    </row>
    <row r="323" spans="1:19">
      <c r="A323" s="9">
        <v>321</v>
      </c>
      <c r="B323" s="13">
        <v>4971710487688</v>
      </c>
      <c r="C323" s="14" t="s">
        <v>50</v>
      </c>
      <c r="D323" s="73" t="s">
        <v>924</v>
      </c>
      <c r="E323" s="15" t="s">
        <v>51</v>
      </c>
      <c r="F323" s="11"/>
      <c r="G323" s="16"/>
      <c r="H323" s="11">
        <v>21120</v>
      </c>
      <c r="I323" s="12"/>
      <c r="J323" s="11"/>
      <c r="K323" s="12"/>
      <c r="L323" s="16"/>
      <c r="M323" s="17"/>
      <c r="N323" s="16"/>
      <c r="O323" s="11"/>
      <c r="P323" s="11"/>
      <c r="Q323" s="38"/>
      <c r="R323" s="38"/>
      <c r="S323" s="39">
        <f t="shared" ref="S323:S386" si="5">F323+G323+H323+I323+J323+K323+L323+M323+N323+ O323+P323+Q323+R323</f>
        <v>21120</v>
      </c>
    </row>
    <row r="324" spans="1:19">
      <c r="A324" s="9">
        <v>322</v>
      </c>
      <c r="B324" s="13">
        <v>4971710487855</v>
      </c>
      <c r="C324" s="14" t="s">
        <v>78</v>
      </c>
      <c r="D324" s="73" t="s">
        <v>924</v>
      </c>
      <c r="E324" s="15" t="s">
        <v>79</v>
      </c>
      <c r="F324" s="11"/>
      <c r="G324" s="16"/>
      <c r="H324" s="11">
        <v>21120</v>
      </c>
      <c r="I324" s="12"/>
      <c r="J324" s="11"/>
      <c r="K324" s="12"/>
      <c r="L324" s="16"/>
      <c r="M324" s="17"/>
      <c r="N324" s="16"/>
      <c r="O324" s="11"/>
      <c r="P324" s="11"/>
      <c r="Q324" s="38"/>
      <c r="R324" s="38"/>
      <c r="S324" s="39">
        <f t="shared" si="5"/>
        <v>21120</v>
      </c>
    </row>
    <row r="325" spans="1:19">
      <c r="A325" s="9">
        <v>323</v>
      </c>
      <c r="B325" s="13">
        <v>4971710495386</v>
      </c>
      <c r="C325" s="14" t="s">
        <v>160</v>
      </c>
      <c r="D325" s="73" t="s">
        <v>924</v>
      </c>
      <c r="E325" s="15" t="s">
        <v>161</v>
      </c>
      <c r="F325" s="11"/>
      <c r="G325" s="16"/>
      <c r="H325" s="11">
        <v>21120</v>
      </c>
      <c r="I325" s="12"/>
      <c r="J325" s="11"/>
      <c r="K325" s="12"/>
      <c r="L325" s="16"/>
      <c r="M325" s="17"/>
      <c r="N325" s="16"/>
      <c r="O325" s="11"/>
      <c r="P325" s="11"/>
      <c r="Q325" s="38"/>
      <c r="R325" s="38"/>
      <c r="S325" s="39">
        <f t="shared" si="5"/>
        <v>21120</v>
      </c>
    </row>
    <row r="326" spans="1:19">
      <c r="A326" s="9">
        <v>324</v>
      </c>
      <c r="B326" s="13">
        <v>4971710511895</v>
      </c>
      <c r="C326" s="14" t="s">
        <v>230</v>
      </c>
      <c r="D326" s="73" t="s">
        <v>924</v>
      </c>
      <c r="E326" s="15" t="s">
        <v>231</v>
      </c>
      <c r="F326" s="11"/>
      <c r="G326" s="16"/>
      <c r="H326" s="11">
        <v>21120</v>
      </c>
      <c r="I326" s="12"/>
      <c r="J326" s="11"/>
      <c r="K326" s="12"/>
      <c r="L326" s="16"/>
      <c r="M326" s="17"/>
      <c r="N326" s="16"/>
      <c r="O326" s="11"/>
      <c r="P326" s="11"/>
      <c r="Q326" s="38"/>
      <c r="R326" s="38"/>
      <c r="S326" s="39">
        <f t="shared" si="5"/>
        <v>21120</v>
      </c>
    </row>
    <row r="327" spans="1:19">
      <c r="A327" s="9">
        <v>325</v>
      </c>
      <c r="B327" s="13">
        <v>4971710519457</v>
      </c>
      <c r="C327" s="14" t="s">
        <v>356</v>
      </c>
      <c r="D327" s="73" t="s">
        <v>924</v>
      </c>
      <c r="E327" s="15" t="s">
        <v>357</v>
      </c>
      <c r="F327" s="11"/>
      <c r="G327" s="16"/>
      <c r="H327" s="11">
        <v>0</v>
      </c>
      <c r="I327" s="12">
        <v>5500</v>
      </c>
      <c r="J327" s="11"/>
      <c r="K327" s="12"/>
      <c r="L327" s="16"/>
      <c r="M327" s="17">
        <v>2200</v>
      </c>
      <c r="N327" s="16">
        <v>5500</v>
      </c>
      <c r="O327" s="11"/>
      <c r="P327" s="11"/>
      <c r="Q327" s="38"/>
      <c r="R327" s="38"/>
      <c r="S327" s="39">
        <f t="shared" si="5"/>
        <v>13200</v>
      </c>
    </row>
    <row r="328" spans="1:19">
      <c r="A328" s="9">
        <v>326</v>
      </c>
      <c r="B328" s="13">
        <v>4971710522495</v>
      </c>
      <c r="C328" s="14" t="s">
        <v>388</v>
      </c>
      <c r="D328" s="73" t="s">
        <v>924</v>
      </c>
      <c r="E328" s="15" t="s">
        <v>389</v>
      </c>
      <c r="F328" s="11"/>
      <c r="G328" s="16"/>
      <c r="H328" s="11">
        <v>17160</v>
      </c>
      <c r="I328" s="12"/>
      <c r="J328" s="11"/>
      <c r="K328" s="12"/>
      <c r="L328" s="16"/>
      <c r="M328" s="17"/>
      <c r="N328" s="16"/>
      <c r="O328" s="11"/>
      <c r="P328" s="11"/>
      <c r="Q328" s="38"/>
      <c r="R328" s="38"/>
      <c r="S328" s="39">
        <f t="shared" si="5"/>
        <v>17160</v>
      </c>
    </row>
    <row r="329" spans="1:19">
      <c r="A329" s="9">
        <v>327</v>
      </c>
      <c r="B329" s="13">
        <v>4971710597042</v>
      </c>
      <c r="C329" s="14" t="s">
        <v>844</v>
      </c>
      <c r="D329" s="73" t="s">
        <v>920</v>
      </c>
      <c r="E329" s="15" t="s">
        <v>863</v>
      </c>
      <c r="F329" s="11"/>
      <c r="G329" s="16"/>
      <c r="H329" s="11"/>
      <c r="I329" s="12"/>
      <c r="J329" s="11"/>
      <c r="K329" s="12"/>
      <c r="L329" s="16"/>
      <c r="M329" s="17"/>
      <c r="N329" s="16"/>
      <c r="O329" s="11"/>
      <c r="P329" s="11"/>
      <c r="Q329" s="38">
        <v>21120</v>
      </c>
      <c r="R329" s="38"/>
      <c r="S329" s="39">
        <f t="shared" si="5"/>
        <v>21120</v>
      </c>
    </row>
    <row r="330" spans="1:19">
      <c r="A330" s="9">
        <v>328</v>
      </c>
      <c r="B330" s="13">
        <v>4971710507591</v>
      </c>
      <c r="C330" s="14" t="s">
        <v>180</v>
      </c>
      <c r="D330" s="73" t="s">
        <v>924</v>
      </c>
      <c r="E330" s="15" t="s">
        <v>181</v>
      </c>
      <c r="F330" s="11"/>
      <c r="G330" s="16"/>
      <c r="H330" s="11"/>
      <c r="I330" s="12"/>
      <c r="J330" s="11"/>
      <c r="K330" s="12">
        <v>1320</v>
      </c>
      <c r="L330" s="16"/>
      <c r="M330" s="17">
        <v>1320</v>
      </c>
      <c r="N330" s="16"/>
      <c r="O330" s="11">
        <v>7920</v>
      </c>
      <c r="P330" s="11"/>
      <c r="Q330" s="38"/>
      <c r="R330" s="38">
        <v>3960</v>
      </c>
      <c r="S330" s="39">
        <f t="shared" si="5"/>
        <v>14520</v>
      </c>
    </row>
    <row r="331" spans="1:19">
      <c r="A331" s="9">
        <v>329</v>
      </c>
      <c r="B331" s="13">
        <v>4971710568707</v>
      </c>
      <c r="C331" s="14" t="s">
        <v>536</v>
      </c>
      <c r="D331" s="73" t="s">
        <v>924</v>
      </c>
      <c r="E331" s="15" t="s">
        <v>537</v>
      </c>
      <c r="F331" s="11">
        <v>8250</v>
      </c>
      <c r="G331" s="16"/>
      <c r="H331" s="11"/>
      <c r="I331" s="12"/>
      <c r="J331" s="11"/>
      <c r="K331" s="12"/>
      <c r="L331" s="16"/>
      <c r="M331" s="17">
        <v>1650</v>
      </c>
      <c r="N331" s="16"/>
      <c r="O331" s="11"/>
      <c r="P331" s="11"/>
      <c r="Q331" s="38"/>
      <c r="R331" s="38">
        <v>8250</v>
      </c>
      <c r="S331" s="39">
        <f t="shared" si="5"/>
        <v>18150</v>
      </c>
    </row>
    <row r="332" spans="1:19">
      <c r="A332" s="9">
        <v>330</v>
      </c>
      <c r="B332" s="13">
        <v>4971710580037</v>
      </c>
      <c r="C332" s="14" t="s">
        <v>673</v>
      </c>
      <c r="D332" s="72" t="s">
        <v>942</v>
      </c>
      <c r="E332" s="15" t="s">
        <v>674</v>
      </c>
      <c r="F332" s="11"/>
      <c r="G332" s="16"/>
      <c r="H332" s="11">
        <v>13200</v>
      </c>
      <c r="I332" s="12"/>
      <c r="J332" s="11"/>
      <c r="K332" s="12"/>
      <c r="L332" s="16"/>
      <c r="M332" s="17"/>
      <c r="N332" s="16"/>
      <c r="O332" s="11"/>
      <c r="P332" s="11"/>
      <c r="Q332" s="38"/>
      <c r="R332" s="38"/>
      <c r="S332" s="39">
        <f t="shared" si="5"/>
        <v>13200</v>
      </c>
    </row>
    <row r="333" spans="1:19">
      <c r="A333" s="9">
        <v>331</v>
      </c>
      <c r="B333" s="13">
        <v>4971710575828</v>
      </c>
      <c r="C333" s="14" t="s">
        <v>591</v>
      </c>
      <c r="D333" s="73" t="s">
        <v>924</v>
      </c>
      <c r="E333" s="15" t="s">
        <v>592</v>
      </c>
      <c r="F333" s="11"/>
      <c r="G333" s="16"/>
      <c r="H333" s="11">
        <v>9900</v>
      </c>
      <c r="I333" s="12"/>
      <c r="J333" s="11"/>
      <c r="K333" s="12"/>
      <c r="L333" s="16"/>
      <c r="M333" s="17"/>
      <c r="N333" s="16"/>
      <c r="O333" s="11"/>
      <c r="P333" s="11"/>
      <c r="Q333" s="38"/>
      <c r="R333" s="38"/>
      <c r="S333" s="39">
        <f t="shared" si="5"/>
        <v>9900</v>
      </c>
    </row>
    <row r="334" spans="1:19">
      <c r="A334" s="9">
        <v>332</v>
      </c>
      <c r="B334" s="13">
        <v>4971710575835</v>
      </c>
      <c r="C334" s="14" t="s">
        <v>593</v>
      </c>
      <c r="D334" s="73" t="s">
        <v>924</v>
      </c>
      <c r="E334" s="15" t="s">
        <v>594</v>
      </c>
      <c r="F334" s="11"/>
      <c r="G334" s="16"/>
      <c r="H334" s="11">
        <v>4950</v>
      </c>
      <c r="I334" s="12"/>
      <c r="J334" s="11"/>
      <c r="K334" s="12"/>
      <c r="L334" s="16"/>
      <c r="M334" s="17"/>
      <c r="N334" s="16">
        <v>4950</v>
      </c>
      <c r="O334" s="11"/>
      <c r="P334" s="11"/>
      <c r="Q334" s="38"/>
      <c r="R334" s="38"/>
      <c r="S334" s="39">
        <f t="shared" si="5"/>
        <v>9900</v>
      </c>
    </row>
    <row r="335" spans="1:19">
      <c r="A335" s="9">
        <v>333</v>
      </c>
      <c r="B335" s="13">
        <v>4971710575910</v>
      </c>
      <c r="C335" s="14" t="s">
        <v>599</v>
      </c>
      <c r="D335" s="73" t="s">
        <v>924</v>
      </c>
      <c r="E335" s="15" t="s">
        <v>600</v>
      </c>
      <c r="F335" s="11"/>
      <c r="G335" s="16"/>
      <c r="H335" s="11">
        <v>4950</v>
      </c>
      <c r="I335" s="12"/>
      <c r="J335" s="11"/>
      <c r="K335" s="12"/>
      <c r="L335" s="16"/>
      <c r="M335" s="17"/>
      <c r="N335" s="16"/>
      <c r="O335" s="11">
        <v>4950</v>
      </c>
      <c r="P335" s="11"/>
      <c r="Q335" s="38"/>
      <c r="R335" s="38"/>
      <c r="S335" s="39">
        <f t="shared" si="5"/>
        <v>9900</v>
      </c>
    </row>
    <row r="336" spans="1:19">
      <c r="A336" s="9">
        <v>334</v>
      </c>
      <c r="B336" s="13">
        <v>4971710572520</v>
      </c>
      <c r="C336" s="14" t="s">
        <v>815</v>
      </c>
      <c r="D336" s="73" t="s">
        <v>922</v>
      </c>
      <c r="E336" s="15" t="s">
        <v>826</v>
      </c>
      <c r="F336" s="11"/>
      <c r="G336" s="16"/>
      <c r="H336" s="11"/>
      <c r="I336" s="12"/>
      <c r="J336" s="11"/>
      <c r="K336" s="12"/>
      <c r="L336" s="16"/>
      <c r="M336" s="17"/>
      <c r="N336" s="16"/>
      <c r="O336" s="11"/>
      <c r="P336" s="11">
        <v>79200</v>
      </c>
      <c r="Q336" s="38"/>
      <c r="R336" s="38"/>
      <c r="S336" s="39">
        <f t="shared" si="5"/>
        <v>79200</v>
      </c>
    </row>
    <row r="337" spans="1:19">
      <c r="A337" s="9">
        <v>335</v>
      </c>
      <c r="B337" s="13">
        <v>4971710487701</v>
      </c>
      <c r="C337" s="14" t="s">
        <v>54</v>
      </c>
      <c r="D337" s="73" t="s">
        <v>924</v>
      </c>
      <c r="E337" s="15" t="s">
        <v>55</v>
      </c>
      <c r="F337" s="11"/>
      <c r="G337" s="16"/>
      <c r="H337" s="11"/>
      <c r="I337" s="12"/>
      <c r="J337" s="11">
        <v>2640</v>
      </c>
      <c r="K337" s="12"/>
      <c r="L337" s="16"/>
      <c r="M337" s="17">
        <v>4400</v>
      </c>
      <c r="N337" s="16">
        <v>3520</v>
      </c>
      <c r="O337" s="11">
        <v>3520</v>
      </c>
      <c r="P337" s="11"/>
      <c r="Q337" s="38"/>
      <c r="R337" s="38"/>
      <c r="S337" s="39">
        <f t="shared" si="5"/>
        <v>14080</v>
      </c>
    </row>
    <row r="338" spans="1:19">
      <c r="A338" s="9">
        <v>336</v>
      </c>
      <c r="B338" s="13">
        <v>4971710568691</v>
      </c>
      <c r="C338" s="14" t="s">
        <v>534</v>
      </c>
      <c r="D338" s="73" t="s">
        <v>924</v>
      </c>
      <c r="E338" s="15" t="s">
        <v>535</v>
      </c>
      <c r="F338" s="11">
        <v>8250</v>
      </c>
      <c r="G338" s="16"/>
      <c r="H338" s="11"/>
      <c r="I338" s="12"/>
      <c r="J338" s="11"/>
      <c r="K338" s="12"/>
      <c r="L338" s="16"/>
      <c r="M338" s="17">
        <v>1650</v>
      </c>
      <c r="N338" s="16"/>
      <c r="O338" s="11">
        <v>1650</v>
      </c>
      <c r="P338" s="11"/>
      <c r="Q338" s="38"/>
      <c r="R338" s="38">
        <v>1650</v>
      </c>
      <c r="S338" s="39">
        <f t="shared" si="5"/>
        <v>13200</v>
      </c>
    </row>
    <row r="339" spans="1:19">
      <c r="A339" s="9">
        <v>337</v>
      </c>
      <c r="B339" s="13">
        <v>4971710578782</v>
      </c>
      <c r="C339" s="14" t="s">
        <v>643</v>
      </c>
      <c r="D339" s="73" t="s">
        <v>924</v>
      </c>
      <c r="E339" s="15" t="s">
        <v>644</v>
      </c>
      <c r="F339" s="11"/>
      <c r="G339" s="16"/>
      <c r="H339" s="11">
        <v>4950</v>
      </c>
      <c r="I339" s="12"/>
      <c r="J339" s="11">
        <v>495</v>
      </c>
      <c r="K339" s="12"/>
      <c r="L339" s="16"/>
      <c r="M339" s="17"/>
      <c r="N339" s="16"/>
      <c r="O339" s="11">
        <v>1980</v>
      </c>
      <c r="P339" s="11"/>
      <c r="Q339" s="38"/>
      <c r="R339" s="38"/>
      <c r="S339" s="39">
        <f t="shared" si="5"/>
        <v>7425</v>
      </c>
    </row>
    <row r="340" spans="1:19">
      <c r="A340" s="9">
        <v>338</v>
      </c>
      <c r="B340" s="13">
        <v>4971710568684</v>
      </c>
      <c r="C340" s="14" t="s">
        <v>532</v>
      </c>
      <c r="D340" s="73" t="s">
        <v>924</v>
      </c>
      <c r="E340" s="15" t="s">
        <v>533</v>
      </c>
      <c r="F340" s="11">
        <v>8250</v>
      </c>
      <c r="G340" s="16"/>
      <c r="H340" s="11"/>
      <c r="I340" s="12"/>
      <c r="J340" s="11"/>
      <c r="K340" s="12"/>
      <c r="L340" s="16"/>
      <c r="M340" s="17"/>
      <c r="N340" s="16"/>
      <c r="O340" s="11"/>
      <c r="P340" s="11"/>
      <c r="Q340" s="38"/>
      <c r="R340" s="38">
        <v>4125</v>
      </c>
      <c r="S340" s="39">
        <f t="shared" si="5"/>
        <v>12375</v>
      </c>
    </row>
    <row r="341" spans="1:19">
      <c r="A341" s="9">
        <v>339</v>
      </c>
      <c r="B341" s="13">
        <v>4971710487671</v>
      </c>
      <c r="C341" s="14" t="s">
        <v>48</v>
      </c>
      <c r="D341" s="73" t="s">
        <v>924</v>
      </c>
      <c r="E341" s="15" t="s">
        <v>49</v>
      </c>
      <c r="F341" s="11"/>
      <c r="G341" s="16"/>
      <c r="H341" s="11">
        <v>12320</v>
      </c>
      <c r="I341" s="12"/>
      <c r="J341" s="11"/>
      <c r="K341" s="12"/>
      <c r="L341" s="16"/>
      <c r="M341" s="17"/>
      <c r="N341" s="16"/>
      <c r="O341" s="11"/>
      <c r="P341" s="11"/>
      <c r="Q341" s="38"/>
      <c r="R341" s="38"/>
      <c r="S341" s="39">
        <f t="shared" si="5"/>
        <v>12320</v>
      </c>
    </row>
    <row r="342" spans="1:19">
      <c r="A342" s="9">
        <v>340</v>
      </c>
      <c r="B342" s="13">
        <v>4971710487749</v>
      </c>
      <c r="C342" s="14" t="s">
        <v>60</v>
      </c>
      <c r="D342" s="73" t="s">
        <v>924</v>
      </c>
      <c r="E342" s="15" t="s">
        <v>61</v>
      </c>
      <c r="F342" s="11"/>
      <c r="G342" s="16"/>
      <c r="H342" s="11">
        <v>12320</v>
      </c>
      <c r="I342" s="12"/>
      <c r="J342" s="11"/>
      <c r="K342" s="12"/>
      <c r="L342" s="16"/>
      <c r="M342" s="17"/>
      <c r="N342" s="16"/>
      <c r="O342" s="11"/>
      <c r="P342" s="11"/>
      <c r="Q342" s="38"/>
      <c r="R342" s="38"/>
      <c r="S342" s="39">
        <f t="shared" si="5"/>
        <v>12320</v>
      </c>
    </row>
    <row r="343" spans="1:19">
      <c r="A343" s="9">
        <v>341</v>
      </c>
      <c r="B343" s="13">
        <v>4971710495393</v>
      </c>
      <c r="C343" s="14" t="s">
        <v>162</v>
      </c>
      <c r="D343" s="73" t="s">
        <v>924</v>
      </c>
      <c r="E343" s="15" t="s">
        <v>163</v>
      </c>
      <c r="F343" s="11"/>
      <c r="G343" s="16"/>
      <c r="H343" s="11">
        <v>12320</v>
      </c>
      <c r="I343" s="12"/>
      <c r="J343" s="11"/>
      <c r="K343" s="12"/>
      <c r="L343" s="16"/>
      <c r="M343" s="17"/>
      <c r="N343" s="16"/>
      <c r="O343" s="11"/>
      <c r="P343" s="11"/>
      <c r="Q343" s="38"/>
      <c r="R343" s="38"/>
      <c r="S343" s="39">
        <f t="shared" si="5"/>
        <v>12320</v>
      </c>
    </row>
    <row r="344" spans="1:19">
      <c r="A344" s="9">
        <v>342</v>
      </c>
      <c r="B344" s="13">
        <v>4971710495409</v>
      </c>
      <c r="C344" s="14" t="s">
        <v>164</v>
      </c>
      <c r="D344" s="73" t="s">
        <v>924</v>
      </c>
      <c r="E344" s="15" t="s">
        <v>165</v>
      </c>
      <c r="F344" s="11"/>
      <c r="G344" s="16"/>
      <c r="H344" s="11">
        <v>12320</v>
      </c>
      <c r="I344" s="12"/>
      <c r="J344" s="11"/>
      <c r="K344" s="12"/>
      <c r="L344" s="16"/>
      <c r="M344" s="17"/>
      <c r="N344" s="16"/>
      <c r="O344" s="11"/>
      <c r="P344" s="11"/>
      <c r="Q344" s="38"/>
      <c r="R344" s="38"/>
      <c r="S344" s="39">
        <f t="shared" si="5"/>
        <v>12320</v>
      </c>
    </row>
    <row r="345" spans="1:19">
      <c r="A345" s="9">
        <v>343</v>
      </c>
      <c r="B345" s="13">
        <v>4971710511871</v>
      </c>
      <c r="C345" s="14" t="s">
        <v>226</v>
      </c>
      <c r="D345" s="73" t="s">
        <v>924</v>
      </c>
      <c r="E345" s="15" t="s">
        <v>227</v>
      </c>
      <c r="F345" s="11"/>
      <c r="G345" s="16"/>
      <c r="H345" s="11">
        <v>12320</v>
      </c>
      <c r="I345" s="12"/>
      <c r="J345" s="11"/>
      <c r="K345" s="12"/>
      <c r="L345" s="16"/>
      <c r="M345" s="17"/>
      <c r="N345" s="16"/>
      <c r="O345" s="11"/>
      <c r="P345" s="11"/>
      <c r="Q345" s="38"/>
      <c r="R345" s="38"/>
      <c r="S345" s="39">
        <f t="shared" si="5"/>
        <v>12320</v>
      </c>
    </row>
    <row r="346" spans="1:19">
      <c r="A346" s="9">
        <v>344</v>
      </c>
      <c r="B346" s="13">
        <v>4971710511918</v>
      </c>
      <c r="C346" s="14" t="s">
        <v>234</v>
      </c>
      <c r="D346" s="73" t="s">
        <v>924</v>
      </c>
      <c r="E346" s="15" t="s">
        <v>235</v>
      </c>
      <c r="F346" s="11"/>
      <c r="G346" s="16"/>
      <c r="H346" s="11">
        <v>12320</v>
      </c>
      <c r="I346" s="12"/>
      <c r="J346" s="11"/>
      <c r="K346" s="12"/>
      <c r="L346" s="16"/>
      <c r="M346" s="17"/>
      <c r="N346" s="16"/>
      <c r="O346" s="11"/>
      <c r="P346" s="11"/>
      <c r="Q346" s="38"/>
      <c r="R346" s="38"/>
      <c r="S346" s="39">
        <f t="shared" si="5"/>
        <v>12320</v>
      </c>
    </row>
    <row r="347" spans="1:19">
      <c r="A347" s="9">
        <v>345</v>
      </c>
      <c r="B347" s="13">
        <v>4971710511932</v>
      </c>
      <c r="C347" s="14" t="s">
        <v>238</v>
      </c>
      <c r="D347" s="73" t="s">
        <v>924</v>
      </c>
      <c r="E347" s="15" t="s">
        <v>239</v>
      </c>
      <c r="F347" s="11"/>
      <c r="G347" s="16"/>
      <c r="H347" s="11">
        <v>12320</v>
      </c>
      <c r="I347" s="12"/>
      <c r="J347" s="11"/>
      <c r="K347" s="12"/>
      <c r="L347" s="16"/>
      <c r="M347" s="17"/>
      <c r="N347" s="16"/>
      <c r="O347" s="11"/>
      <c r="P347" s="11"/>
      <c r="Q347" s="38"/>
      <c r="R347" s="38"/>
      <c r="S347" s="39">
        <f t="shared" si="5"/>
        <v>12320</v>
      </c>
    </row>
    <row r="348" spans="1:19">
      <c r="A348" s="9">
        <v>346</v>
      </c>
      <c r="B348" s="13">
        <v>4971710514674</v>
      </c>
      <c r="C348" s="14" t="s">
        <v>306</v>
      </c>
      <c r="D348" s="73" t="s">
        <v>924</v>
      </c>
      <c r="E348" s="15" t="s">
        <v>307</v>
      </c>
      <c r="F348" s="11"/>
      <c r="G348" s="16"/>
      <c r="H348" s="11">
        <v>12320</v>
      </c>
      <c r="I348" s="12"/>
      <c r="J348" s="11"/>
      <c r="K348" s="12"/>
      <c r="L348" s="16"/>
      <c r="M348" s="17"/>
      <c r="N348" s="16"/>
      <c r="O348" s="11"/>
      <c r="P348" s="11"/>
      <c r="Q348" s="38"/>
      <c r="R348" s="38"/>
      <c r="S348" s="39">
        <f t="shared" si="5"/>
        <v>12320</v>
      </c>
    </row>
    <row r="349" spans="1:19">
      <c r="A349" s="9">
        <v>347</v>
      </c>
      <c r="B349" s="13">
        <v>4971710575767</v>
      </c>
      <c r="C349" s="14" t="s">
        <v>587</v>
      </c>
      <c r="D349" s="73" t="s">
        <v>924</v>
      </c>
      <c r="E349" s="15" t="s">
        <v>588</v>
      </c>
      <c r="F349" s="11"/>
      <c r="G349" s="16"/>
      <c r="H349" s="11">
        <v>4950</v>
      </c>
      <c r="I349" s="12"/>
      <c r="J349" s="11"/>
      <c r="K349" s="12"/>
      <c r="L349" s="16"/>
      <c r="M349" s="17"/>
      <c r="N349" s="16"/>
      <c r="O349" s="11"/>
      <c r="P349" s="11"/>
      <c r="Q349" s="38"/>
      <c r="R349" s="38">
        <v>1980</v>
      </c>
      <c r="S349" s="39">
        <f t="shared" si="5"/>
        <v>6930</v>
      </c>
    </row>
    <row r="350" spans="1:19">
      <c r="A350" s="9">
        <v>348</v>
      </c>
      <c r="B350" s="13">
        <v>4971710578768</v>
      </c>
      <c r="C350" s="14" t="s">
        <v>639</v>
      </c>
      <c r="D350" s="73" t="s">
        <v>924</v>
      </c>
      <c r="E350" s="15" t="s">
        <v>640</v>
      </c>
      <c r="F350" s="11"/>
      <c r="G350" s="16"/>
      <c r="H350" s="11">
        <v>4950</v>
      </c>
      <c r="I350" s="12">
        <v>1485</v>
      </c>
      <c r="J350" s="11"/>
      <c r="K350" s="12"/>
      <c r="L350" s="16"/>
      <c r="M350" s="17"/>
      <c r="N350" s="16"/>
      <c r="O350" s="11"/>
      <c r="P350" s="11"/>
      <c r="Q350" s="38"/>
      <c r="R350" s="38"/>
      <c r="S350" s="39">
        <f t="shared" si="5"/>
        <v>6435</v>
      </c>
    </row>
    <row r="351" spans="1:19">
      <c r="A351" s="9">
        <v>349</v>
      </c>
      <c r="B351" s="13">
        <v>4971710519228</v>
      </c>
      <c r="C351" s="14" t="s">
        <v>342</v>
      </c>
      <c r="D351" s="73" t="s">
        <v>924</v>
      </c>
      <c r="E351" s="15" t="s">
        <v>343</v>
      </c>
      <c r="F351" s="11"/>
      <c r="G351" s="16"/>
      <c r="H351" s="11"/>
      <c r="I351" s="12"/>
      <c r="J351" s="11">
        <v>10560</v>
      </c>
      <c r="K351" s="12"/>
      <c r="L351" s="16"/>
      <c r="M351" s="17"/>
      <c r="N351" s="16"/>
      <c r="O351" s="11"/>
      <c r="P351" s="11"/>
      <c r="Q351" s="38"/>
      <c r="R351" s="38"/>
      <c r="S351" s="39">
        <f t="shared" si="5"/>
        <v>10560</v>
      </c>
    </row>
    <row r="352" spans="1:19">
      <c r="A352" s="9">
        <v>350</v>
      </c>
      <c r="B352" s="13">
        <v>4971710573947</v>
      </c>
      <c r="C352" s="14" t="s">
        <v>576</v>
      </c>
      <c r="D352" s="73" t="s">
        <v>924</v>
      </c>
      <c r="E352" s="15" t="s">
        <v>577</v>
      </c>
      <c r="F352" s="11"/>
      <c r="G352" s="16"/>
      <c r="H352" s="11"/>
      <c r="I352" s="12"/>
      <c r="J352" s="11"/>
      <c r="K352" s="12">
        <v>7700</v>
      </c>
      <c r="L352" s="16"/>
      <c r="M352" s="17">
        <v>9240</v>
      </c>
      <c r="N352" s="16"/>
      <c r="O352" s="11"/>
      <c r="P352" s="11"/>
      <c r="Q352" s="38"/>
      <c r="R352" s="38"/>
      <c r="S352" s="39">
        <f t="shared" si="5"/>
        <v>16940</v>
      </c>
    </row>
    <row r="353" spans="1:19">
      <c r="A353" s="9">
        <v>351</v>
      </c>
      <c r="B353" s="13">
        <v>4971710571776</v>
      </c>
      <c r="C353" s="14" t="s">
        <v>552</v>
      </c>
      <c r="D353" s="73" t="s">
        <v>924</v>
      </c>
      <c r="E353" s="15" t="s">
        <v>553</v>
      </c>
      <c r="F353" s="11"/>
      <c r="G353" s="16"/>
      <c r="H353" s="11"/>
      <c r="I353" s="12"/>
      <c r="J353" s="11">
        <v>6600</v>
      </c>
      <c r="K353" s="12"/>
      <c r="L353" s="16"/>
      <c r="M353" s="17"/>
      <c r="N353" s="16"/>
      <c r="O353" s="11"/>
      <c r="P353" s="11"/>
      <c r="Q353" s="38"/>
      <c r="R353" s="38"/>
      <c r="S353" s="39">
        <f t="shared" si="5"/>
        <v>6600</v>
      </c>
    </row>
    <row r="354" spans="1:19">
      <c r="A354" s="9">
        <v>352</v>
      </c>
      <c r="B354" s="13">
        <v>4971710517835</v>
      </c>
      <c r="C354" s="14" t="s">
        <v>334</v>
      </c>
      <c r="D354" s="73" t="s">
        <v>924</v>
      </c>
      <c r="E354" s="15" t="s">
        <v>335</v>
      </c>
      <c r="F354" s="11"/>
      <c r="G354" s="16"/>
      <c r="H354" s="11"/>
      <c r="I354" s="12"/>
      <c r="J354" s="11"/>
      <c r="K354" s="12"/>
      <c r="L354" s="16"/>
      <c r="M354" s="17">
        <v>3960</v>
      </c>
      <c r="N354" s="16"/>
      <c r="O354" s="11"/>
      <c r="P354" s="11">
        <v>2640</v>
      </c>
      <c r="Q354" s="38"/>
      <c r="R354" s="38"/>
      <c r="S354" s="39">
        <f t="shared" si="5"/>
        <v>6600</v>
      </c>
    </row>
    <row r="355" spans="1:19">
      <c r="A355" s="9">
        <v>353</v>
      </c>
      <c r="B355" s="13">
        <v>4971710522280</v>
      </c>
      <c r="C355" s="14" t="s">
        <v>372</v>
      </c>
      <c r="D355" s="72" t="s">
        <v>942</v>
      </c>
      <c r="E355" s="15" t="s">
        <v>373</v>
      </c>
      <c r="F355" s="11"/>
      <c r="G355" s="16"/>
      <c r="H355" s="11">
        <v>0</v>
      </c>
      <c r="I355" s="12">
        <v>5500</v>
      </c>
      <c r="J355" s="11"/>
      <c r="K355" s="12"/>
      <c r="L355" s="16"/>
      <c r="M355" s="17"/>
      <c r="N355" s="16"/>
      <c r="O355" s="11"/>
      <c r="P355" s="11"/>
      <c r="Q355" s="38"/>
      <c r="R355" s="38"/>
      <c r="S355" s="39">
        <f t="shared" si="5"/>
        <v>5500</v>
      </c>
    </row>
    <row r="356" spans="1:19">
      <c r="A356" s="9">
        <v>354</v>
      </c>
      <c r="B356" s="13">
        <v>4971710540000</v>
      </c>
      <c r="C356" s="14" t="s">
        <v>410</v>
      </c>
      <c r="D356" s="73" t="s">
        <v>924</v>
      </c>
      <c r="E356" s="15" t="s">
        <v>411</v>
      </c>
      <c r="F356" s="11">
        <v>7700</v>
      </c>
      <c r="G356" s="16"/>
      <c r="H356" s="11"/>
      <c r="I356" s="12"/>
      <c r="J356" s="11"/>
      <c r="K356" s="12"/>
      <c r="L356" s="16"/>
      <c r="M356" s="17"/>
      <c r="N356" s="16"/>
      <c r="O356" s="11"/>
      <c r="P356" s="11"/>
      <c r="Q356" s="38"/>
      <c r="R356" s="38"/>
      <c r="S356" s="39">
        <f t="shared" si="5"/>
        <v>7700</v>
      </c>
    </row>
    <row r="357" spans="1:19">
      <c r="A357" s="9">
        <v>355</v>
      </c>
      <c r="B357" s="13">
        <v>4971710540017</v>
      </c>
      <c r="C357" s="14" t="s">
        <v>412</v>
      </c>
      <c r="D357" s="73" t="s">
        <v>924</v>
      </c>
      <c r="E357" s="15" t="s">
        <v>413</v>
      </c>
      <c r="F357" s="11">
        <v>7700</v>
      </c>
      <c r="G357" s="16"/>
      <c r="H357" s="11"/>
      <c r="I357" s="12"/>
      <c r="J357" s="11"/>
      <c r="K357" s="12"/>
      <c r="L357" s="16"/>
      <c r="M357" s="17"/>
      <c r="N357" s="16"/>
      <c r="O357" s="11"/>
      <c r="P357" s="11"/>
      <c r="Q357" s="38"/>
      <c r="R357" s="38"/>
      <c r="S357" s="39">
        <f t="shared" si="5"/>
        <v>7700</v>
      </c>
    </row>
    <row r="358" spans="1:19">
      <c r="A358" s="9">
        <v>356</v>
      </c>
      <c r="B358" s="13">
        <v>4971710540024</v>
      </c>
      <c r="C358" s="14" t="s">
        <v>414</v>
      </c>
      <c r="D358" s="73" t="s">
        <v>924</v>
      </c>
      <c r="E358" s="15" t="s">
        <v>415</v>
      </c>
      <c r="F358" s="11">
        <v>7700</v>
      </c>
      <c r="G358" s="16"/>
      <c r="H358" s="11"/>
      <c r="I358" s="12"/>
      <c r="J358" s="11"/>
      <c r="K358" s="12"/>
      <c r="L358" s="16"/>
      <c r="M358" s="17"/>
      <c r="N358" s="16"/>
      <c r="O358" s="11"/>
      <c r="P358" s="11"/>
      <c r="Q358" s="38"/>
      <c r="R358" s="38"/>
      <c r="S358" s="39">
        <f t="shared" si="5"/>
        <v>7700</v>
      </c>
    </row>
    <row r="359" spans="1:19">
      <c r="A359" s="9">
        <v>357</v>
      </c>
      <c r="B359" s="13">
        <v>4971710540031</v>
      </c>
      <c r="C359" s="14" t="s">
        <v>416</v>
      </c>
      <c r="D359" s="73" t="s">
        <v>924</v>
      </c>
      <c r="E359" s="15" t="s">
        <v>417</v>
      </c>
      <c r="F359" s="11">
        <v>7700</v>
      </c>
      <c r="G359" s="16"/>
      <c r="H359" s="11"/>
      <c r="I359" s="12"/>
      <c r="J359" s="11"/>
      <c r="K359" s="12"/>
      <c r="L359" s="16"/>
      <c r="M359" s="17"/>
      <c r="N359" s="16"/>
      <c r="O359" s="11"/>
      <c r="P359" s="11"/>
      <c r="Q359" s="38"/>
      <c r="R359" s="38"/>
      <c r="S359" s="39">
        <f t="shared" si="5"/>
        <v>7700</v>
      </c>
    </row>
    <row r="360" spans="1:19">
      <c r="A360" s="9">
        <v>358</v>
      </c>
      <c r="B360" s="13">
        <v>4971710540048</v>
      </c>
      <c r="C360" s="14" t="s">
        <v>418</v>
      </c>
      <c r="D360" s="73" t="s">
        <v>924</v>
      </c>
      <c r="E360" s="15" t="s">
        <v>419</v>
      </c>
      <c r="F360" s="11">
        <v>7700</v>
      </c>
      <c r="G360" s="16"/>
      <c r="H360" s="11"/>
      <c r="I360" s="12"/>
      <c r="J360" s="11"/>
      <c r="K360" s="12"/>
      <c r="L360" s="16"/>
      <c r="M360" s="17"/>
      <c r="N360" s="16"/>
      <c r="O360" s="11"/>
      <c r="P360" s="11"/>
      <c r="Q360" s="38"/>
      <c r="R360" s="38"/>
      <c r="S360" s="39">
        <f t="shared" si="5"/>
        <v>7700</v>
      </c>
    </row>
    <row r="361" spans="1:19">
      <c r="A361" s="9">
        <v>359</v>
      </c>
      <c r="B361" s="13">
        <v>4971710540055</v>
      </c>
      <c r="C361" s="14" t="s">
        <v>420</v>
      </c>
      <c r="D361" s="73" t="s">
        <v>924</v>
      </c>
      <c r="E361" s="15" t="s">
        <v>421</v>
      </c>
      <c r="F361" s="11">
        <v>7700</v>
      </c>
      <c r="G361" s="16"/>
      <c r="H361" s="11"/>
      <c r="I361" s="12"/>
      <c r="J361" s="11"/>
      <c r="K361" s="12"/>
      <c r="L361" s="16"/>
      <c r="M361" s="17"/>
      <c r="N361" s="16"/>
      <c r="O361" s="11"/>
      <c r="P361" s="11"/>
      <c r="Q361" s="38"/>
      <c r="R361" s="38"/>
      <c r="S361" s="39">
        <f t="shared" si="5"/>
        <v>7700</v>
      </c>
    </row>
    <row r="362" spans="1:19">
      <c r="A362" s="9">
        <v>360</v>
      </c>
      <c r="B362" s="13">
        <v>4971710575781</v>
      </c>
      <c r="C362" s="14" t="s">
        <v>589</v>
      </c>
      <c r="D362" s="73" t="s">
        <v>924</v>
      </c>
      <c r="E362" s="15" t="s">
        <v>590</v>
      </c>
      <c r="F362" s="11"/>
      <c r="G362" s="16"/>
      <c r="H362" s="11">
        <v>4950</v>
      </c>
      <c r="I362" s="12"/>
      <c r="J362" s="11"/>
      <c r="K362" s="12"/>
      <c r="L362" s="16"/>
      <c r="M362" s="17"/>
      <c r="N362" s="16"/>
      <c r="O362" s="11"/>
      <c r="P362" s="11"/>
      <c r="Q362" s="38"/>
      <c r="R362" s="38"/>
      <c r="S362" s="39">
        <f t="shared" si="5"/>
        <v>4950</v>
      </c>
    </row>
    <row r="363" spans="1:19">
      <c r="A363" s="9">
        <v>361</v>
      </c>
      <c r="B363" s="13">
        <v>4971710575866</v>
      </c>
      <c r="C363" s="14" t="s">
        <v>595</v>
      </c>
      <c r="D363" s="73" t="s">
        <v>924</v>
      </c>
      <c r="E363" s="15" t="s">
        <v>596</v>
      </c>
      <c r="F363" s="11"/>
      <c r="G363" s="16"/>
      <c r="H363" s="11">
        <v>4950</v>
      </c>
      <c r="I363" s="12"/>
      <c r="J363" s="11"/>
      <c r="K363" s="12"/>
      <c r="L363" s="16"/>
      <c r="M363" s="17"/>
      <c r="N363" s="16"/>
      <c r="O363" s="11"/>
      <c r="P363" s="11"/>
      <c r="Q363" s="38"/>
      <c r="R363" s="38"/>
      <c r="S363" s="39">
        <f t="shared" si="5"/>
        <v>4950</v>
      </c>
    </row>
    <row r="364" spans="1:19">
      <c r="A364" s="9">
        <v>362</v>
      </c>
      <c r="B364" s="13">
        <v>4971710575903</v>
      </c>
      <c r="C364" s="14" t="s">
        <v>597</v>
      </c>
      <c r="D364" s="73" t="s">
        <v>924</v>
      </c>
      <c r="E364" s="15" t="s">
        <v>598</v>
      </c>
      <c r="F364" s="11"/>
      <c r="G364" s="16"/>
      <c r="H364" s="11">
        <v>4950</v>
      </c>
      <c r="I364" s="12"/>
      <c r="J364" s="11"/>
      <c r="K364" s="12"/>
      <c r="L364" s="16"/>
      <c r="M364" s="17"/>
      <c r="N364" s="16"/>
      <c r="O364" s="11"/>
      <c r="P364" s="11"/>
      <c r="Q364" s="38"/>
      <c r="R364" s="38"/>
      <c r="S364" s="39">
        <f t="shared" si="5"/>
        <v>4950</v>
      </c>
    </row>
    <row r="365" spans="1:19">
      <c r="A365" s="9">
        <v>363</v>
      </c>
      <c r="B365" s="13">
        <v>4971710578751</v>
      </c>
      <c r="C365" s="14" t="s">
        <v>637</v>
      </c>
      <c r="D365" s="73" t="s">
        <v>924</v>
      </c>
      <c r="E365" s="15" t="s">
        <v>638</v>
      </c>
      <c r="F365" s="11"/>
      <c r="G365" s="16"/>
      <c r="H365" s="11">
        <v>4950</v>
      </c>
      <c r="I365" s="12"/>
      <c r="J365" s="11"/>
      <c r="K365" s="12"/>
      <c r="L365" s="16"/>
      <c r="M365" s="17"/>
      <c r="N365" s="16"/>
      <c r="O365" s="11"/>
      <c r="P365" s="11"/>
      <c r="Q365" s="38"/>
      <c r="R365" s="38"/>
      <c r="S365" s="39">
        <f t="shared" si="5"/>
        <v>4950</v>
      </c>
    </row>
    <row r="366" spans="1:19">
      <c r="A366" s="9">
        <v>364</v>
      </c>
      <c r="B366" s="13">
        <v>4971710578775</v>
      </c>
      <c r="C366" s="14" t="s">
        <v>641</v>
      </c>
      <c r="D366" s="73" t="s">
        <v>924</v>
      </c>
      <c r="E366" s="15" t="s">
        <v>642</v>
      </c>
      <c r="F366" s="11"/>
      <c r="G366" s="16"/>
      <c r="H366" s="11">
        <v>4950</v>
      </c>
      <c r="I366" s="12"/>
      <c r="J366" s="11"/>
      <c r="K366" s="12"/>
      <c r="L366" s="16"/>
      <c r="M366" s="17"/>
      <c r="N366" s="16"/>
      <c r="O366" s="11"/>
      <c r="P366" s="11"/>
      <c r="Q366" s="38"/>
      <c r="R366" s="38"/>
      <c r="S366" s="39">
        <f t="shared" si="5"/>
        <v>4950</v>
      </c>
    </row>
    <row r="367" spans="1:19">
      <c r="A367" s="9">
        <v>365</v>
      </c>
      <c r="B367" s="13">
        <v>4971710578799</v>
      </c>
      <c r="C367" s="14" t="s">
        <v>645</v>
      </c>
      <c r="D367" s="73" t="s">
        <v>924</v>
      </c>
      <c r="E367" s="15" t="s">
        <v>646</v>
      </c>
      <c r="F367" s="11"/>
      <c r="G367" s="16"/>
      <c r="H367" s="11">
        <v>4950</v>
      </c>
      <c r="I367" s="12"/>
      <c r="J367" s="11"/>
      <c r="K367" s="12"/>
      <c r="L367" s="16"/>
      <c r="M367" s="17"/>
      <c r="N367" s="16"/>
      <c r="O367" s="11"/>
      <c r="P367" s="11"/>
      <c r="Q367" s="38"/>
      <c r="R367" s="38"/>
      <c r="S367" s="39">
        <f t="shared" si="5"/>
        <v>4950</v>
      </c>
    </row>
    <row r="368" spans="1:19">
      <c r="A368" s="9">
        <v>366</v>
      </c>
      <c r="B368" s="13">
        <v>4971710578805</v>
      </c>
      <c r="C368" s="14" t="s">
        <v>647</v>
      </c>
      <c r="D368" s="73" t="s">
        <v>924</v>
      </c>
      <c r="E368" s="15" t="s">
        <v>648</v>
      </c>
      <c r="F368" s="11"/>
      <c r="G368" s="16"/>
      <c r="H368" s="11">
        <v>4950</v>
      </c>
      <c r="I368" s="12"/>
      <c r="J368" s="11"/>
      <c r="K368" s="12"/>
      <c r="L368" s="16"/>
      <c r="M368" s="17"/>
      <c r="N368" s="16"/>
      <c r="O368" s="11"/>
      <c r="P368" s="11"/>
      <c r="Q368" s="38"/>
      <c r="R368" s="38"/>
      <c r="S368" s="39">
        <f t="shared" si="5"/>
        <v>4950</v>
      </c>
    </row>
    <row r="369" spans="1:19">
      <c r="A369" s="9">
        <v>367</v>
      </c>
      <c r="B369" s="13">
        <v>4971710578812</v>
      </c>
      <c r="C369" s="14" t="s">
        <v>649</v>
      </c>
      <c r="D369" s="73" t="s">
        <v>924</v>
      </c>
      <c r="E369" s="15" t="s">
        <v>650</v>
      </c>
      <c r="F369" s="11"/>
      <c r="G369" s="16"/>
      <c r="H369" s="11">
        <v>4950</v>
      </c>
      <c r="I369" s="12"/>
      <c r="J369" s="11"/>
      <c r="K369" s="12"/>
      <c r="L369" s="16"/>
      <c r="M369" s="17"/>
      <c r="N369" s="16"/>
      <c r="O369" s="11"/>
      <c r="P369" s="11"/>
      <c r="Q369" s="38"/>
      <c r="R369" s="38"/>
      <c r="S369" s="39">
        <f t="shared" si="5"/>
        <v>4950</v>
      </c>
    </row>
    <row r="370" spans="1:19">
      <c r="A370" s="9">
        <v>368</v>
      </c>
      <c r="B370" s="13">
        <v>4971710507577</v>
      </c>
      <c r="C370" s="14" t="s">
        <v>176</v>
      </c>
      <c r="D370" s="73" t="s">
        <v>924</v>
      </c>
      <c r="E370" s="15" t="s">
        <v>177</v>
      </c>
      <c r="F370" s="11"/>
      <c r="G370" s="16"/>
      <c r="H370" s="11"/>
      <c r="I370" s="12"/>
      <c r="J370" s="11"/>
      <c r="K370" s="12">
        <v>1320</v>
      </c>
      <c r="L370" s="16">
        <v>1320</v>
      </c>
      <c r="M370" s="17"/>
      <c r="N370" s="16"/>
      <c r="O370" s="11">
        <v>3960</v>
      </c>
      <c r="P370" s="11"/>
      <c r="Q370" s="38"/>
      <c r="R370" s="38"/>
      <c r="S370" s="39">
        <f t="shared" si="5"/>
        <v>6600</v>
      </c>
    </row>
    <row r="371" spans="1:19">
      <c r="A371" s="9">
        <v>369</v>
      </c>
      <c r="B371" s="13">
        <v>4971710491852</v>
      </c>
      <c r="C371" s="14" t="s">
        <v>830</v>
      </c>
      <c r="D371" s="73" t="s">
        <v>924</v>
      </c>
      <c r="E371" s="15" t="s">
        <v>851</v>
      </c>
      <c r="F371" s="11"/>
      <c r="G371" s="16"/>
      <c r="H371" s="11"/>
      <c r="I371" s="12"/>
      <c r="J371" s="11"/>
      <c r="K371" s="12"/>
      <c r="L371" s="16"/>
      <c r="M371" s="17"/>
      <c r="N371" s="16"/>
      <c r="O371" s="11"/>
      <c r="P371" s="11"/>
      <c r="Q371" s="38">
        <v>4400</v>
      </c>
      <c r="R371" s="38"/>
      <c r="S371" s="39">
        <f t="shared" si="5"/>
        <v>4400</v>
      </c>
    </row>
    <row r="372" spans="1:19">
      <c r="A372" s="9">
        <v>370</v>
      </c>
      <c r="B372" s="13">
        <v>4971710463729</v>
      </c>
      <c r="C372" s="14" t="s">
        <v>833</v>
      </c>
      <c r="D372" s="73" t="s">
        <v>924</v>
      </c>
      <c r="E372" s="15" t="s">
        <v>852</v>
      </c>
      <c r="F372" s="11"/>
      <c r="G372" s="16"/>
      <c r="H372" s="11"/>
      <c r="I372" s="12"/>
      <c r="J372" s="11"/>
      <c r="K372" s="12"/>
      <c r="L372" s="16"/>
      <c r="M372" s="17"/>
      <c r="N372" s="16"/>
      <c r="O372" s="11"/>
      <c r="P372" s="11"/>
      <c r="Q372" s="38">
        <v>4400</v>
      </c>
      <c r="R372" s="38"/>
      <c r="S372" s="39">
        <f t="shared" si="5"/>
        <v>4400</v>
      </c>
    </row>
    <row r="373" spans="1:19">
      <c r="A373" s="9">
        <v>371</v>
      </c>
      <c r="B373" s="13">
        <v>4971710463712</v>
      </c>
      <c r="C373" s="14" t="s">
        <v>835</v>
      </c>
      <c r="D373" s="73" t="s">
        <v>924</v>
      </c>
      <c r="E373" s="15" t="s">
        <v>853</v>
      </c>
      <c r="F373" s="11"/>
      <c r="G373" s="16"/>
      <c r="H373" s="11"/>
      <c r="I373" s="12"/>
      <c r="J373" s="11"/>
      <c r="K373" s="12"/>
      <c r="L373" s="16"/>
      <c r="M373" s="17"/>
      <c r="N373" s="16"/>
      <c r="O373" s="11"/>
      <c r="P373" s="11"/>
      <c r="Q373" s="38">
        <v>4400</v>
      </c>
      <c r="R373" s="38"/>
      <c r="S373" s="39">
        <f t="shared" si="5"/>
        <v>4400</v>
      </c>
    </row>
    <row r="374" spans="1:19">
      <c r="A374" s="9">
        <v>372</v>
      </c>
      <c r="B374" s="13">
        <v>4971710563399</v>
      </c>
      <c r="C374" s="14" t="s">
        <v>482</v>
      </c>
      <c r="D374" s="73" t="s">
        <v>920</v>
      </c>
      <c r="E374" s="15" t="s">
        <v>483</v>
      </c>
      <c r="F374" s="11"/>
      <c r="G374" s="16"/>
      <c r="H374" s="11"/>
      <c r="I374" s="12"/>
      <c r="J374" s="11">
        <v>715</v>
      </c>
      <c r="K374" s="12"/>
      <c r="L374" s="16"/>
      <c r="M374" s="17">
        <v>1430</v>
      </c>
      <c r="N374" s="16"/>
      <c r="O374" s="11"/>
      <c r="P374" s="11">
        <v>1430</v>
      </c>
      <c r="Q374" s="38"/>
      <c r="R374" s="38">
        <v>2860</v>
      </c>
      <c r="S374" s="39">
        <f t="shared" si="5"/>
        <v>6435</v>
      </c>
    </row>
    <row r="375" spans="1:19">
      <c r="A375" s="9">
        <v>373</v>
      </c>
      <c r="B375" s="13">
        <v>4971710495027</v>
      </c>
      <c r="C375" s="14" t="s">
        <v>154</v>
      </c>
      <c r="D375" s="73" t="s">
        <v>924</v>
      </c>
      <c r="E375" s="15" t="s">
        <v>155</v>
      </c>
      <c r="F375" s="11"/>
      <c r="G375" s="16"/>
      <c r="H375" s="11"/>
      <c r="I375" s="12"/>
      <c r="J375" s="11"/>
      <c r="K375" s="12"/>
      <c r="L375" s="16"/>
      <c r="M375" s="17"/>
      <c r="N375" s="16">
        <v>2640</v>
      </c>
      <c r="O375" s="11"/>
      <c r="P375" s="11">
        <v>2640</v>
      </c>
      <c r="Q375" s="38"/>
      <c r="R375" s="38"/>
      <c r="S375" s="39">
        <f t="shared" si="5"/>
        <v>5280</v>
      </c>
    </row>
    <row r="376" spans="1:19">
      <c r="A376" s="9">
        <v>374</v>
      </c>
      <c r="B376" s="13">
        <v>4971710494990</v>
      </c>
      <c r="C376" s="14" t="s">
        <v>148</v>
      </c>
      <c r="D376" s="73" t="s">
        <v>924</v>
      </c>
      <c r="E376" s="15" t="s">
        <v>149</v>
      </c>
      <c r="F376" s="11"/>
      <c r="G376" s="16"/>
      <c r="H376" s="11"/>
      <c r="I376" s="12"/>
      <c r="J376" s="11"/>
      <c r="K376" s="12"/>
      <c r="L376" s="16"/>
      <c r="M376" s="17"/>
      <c r="N376" s="16"/>
      <c r="O376" s="11">
        <v>2640</v>
      </c>
      <c r="P376" s="11">
        <v>2640</v>
      </c>
      <c r="Q376" s="38"/>
      <c r="R376" s="38"/>
      <c r="S376" s="39">
        <f t="shared" si="5"/>
        <v>5280</v>
      </c>
    </row>
    <row r="377" spans="1:19">
      <c r="A377" s="9">
        <v>375</v>
      </c>
      <c r="B377" s="13">
        <v>4971710507751</v>
      </c>
      <c r="C377" s="14" t="s">
        <v>198</v>
      </c>
      <c r="D377" s="73" t="s">
        <v>924</v>
      </c>
      <c r="E377" s="15" t="s">
        <v>199</v>
      </c>
      <c r="F377" s="11"/>
      <c r="G377" s="16"/>
      <c r="H377" s="11"/>
      <c r="I377" s="12"/>
      <c r="J377" s="11"/>
      <c r="K377" s="12"/>
      <c r="L377" s="16"/>
      <c r="M377" s="17">
        <v>3960</v>
      </c>
      <c r="N377" s="16"/>
      <c r="O377" s="11"/>
      <c r="P377" s="11"/>
      <c r="Q377" s="38"/>
      <c r="R377" s="38"/>
      <c r="S377" s="39">
        <f t="shared" si="5"/>
        <v>3960</v>
      </c>
    </row>
    <row r="378" spans="1:19">
      <c r="A378" s="9">
        <v>376</v>
      </c>
      <c r="B378" s="13">
        <v>4971710474435</v>
      </c>
      <c r="C378" s="14" t="s">
        <v>22</v>
      </c>
      <c r="D378" s="73" t="s">
        <v>924</v>
      </c>
      <c r="E378" s="15" t="s">
        <v>23</v>
      </c>
      <c r="F378" s="11"/>
      <c r="G378" s="16"/>
      <c r="H378" s="11"/>
      <c r="I378" s="12"/>
      <c r="J378" s="11"/>
      <c r="K378" s="12">
        <v>4950</v>
      </c>
      <c r="L378" s="16"/>
      <c r="M378" s="17"/>
      <c r="N378" s="16"/>
      <c r="O378" s="11"/>
      <c r="P378" s="11"/>
      <c r="Q378" s="38"/>
      <c r="R378" s="38"/>
      <c r="S378" s="39">
        <f t="shared" si="5"/>
        <v>4950</v>
      </c>
    </row>
    <row r="379" spans="1:19">
      <c r="A379" s="9">
        <v>377</v>
      </c>
      <c r="B379" s="13">
        <v>4971710513998</v>
      </c>
      <c r="C379" s="14" t="s">
        <v>804</v>
      </c>
      <c r="D379" s="73" t="s">
        <v>920</v>
      </c>
      <c r="E379" s="15" t="s">
        <v>805</v>
      </c>
      <c r="F379" s="11"/>
      <c r="G379" s="16"/>
      <c r="H379" s="11"/>
      <c r="I379" s="12"/>
      <c r="J379" s="11"/>
      <c r="K379" s="12"/>
      <c r="L379" s="16"/>
      <c r="M379" s="17"/>
      <c r="N379" s="16"/>
      <c r="O379" s="11">
        <v>2970</v>
      </c>
      <c r="P379" s="11"/>
      <c r="Q379" s="38"/>
      <c r="R379" s="38"/>
      <c r="S379" s="39">
        <f t="shared" si="5"/>
        <v>2970</v>
      </c>
    </row>
    <row r="380" spans="1:19">
      <c r="A380" s="9">
        <v>378</v>
      </c>
      <c r="B380" s="13">
        <v>4971710518962</v>
      </c>
      <c r="C380" s="14" t="s">
        <v>806</v>
      </c>
      <c r="D380" s="73" t="s">
        <v>920</v>
      </c>
      <c r="E380" s="15" t="s">
        <v>805</v>
      </c>
      <c r="F380" s="11"/>
      <c r="G380" s="16"/>
      <c r="H380" s="11"/>
      <c r="I380" s="12"/>
      <c r="J380" s="11"/>
      <c r="K380" s="12"/>
      <c r="L380" s="16"/>
      <c r="M380" s="17"/>
      <c r="N380" s="16"/>
      <c r="O380" s="11">
        <v>2970</v>
      </c>
      <c r="P380" s="11"/>
      <c r="Q380" s="38"/>
      <c r="R380" s="38"/>
      <c r="S380" s="39">
        <f t="shared" si="5"/>
        <v>2970</v>
      </c>
    </row>
    <row r="381" spans="1:19">
      <c r="A381" s="9">
        <v>379</v>
      </c>
      <c r="B381" s="13">
        <v>4971710514261</v>
      </c>
      <c r="C381" s="14" t="s">
        <v>807</v>
      </c>
      <c r="D381" s="73" t="s">
        <v>920</v>
      </c>
      <c r="E381" s="15" t="s">
        <v>805</v>
      </c>
      <c r="F381" s="11"/>
      <c r="G381" s="16"/>
      <c r="H381" s="11"/>
      <c r="I381" s="12"/>
      <c r="J381" s="11"/>
      <c r="K381" s="12"/>
      <c r="L381" s="16"/>
      <c r="M381" s="17"/>
      <c r="N381" s="16"/>
      <c r="O381" s="11">
        <v>2970</v>
      </c>
      <c r="P381" s="11"/>
      <c r="Q381" s="38"/>
      <c r="R381" s="38"/>
      <c r="S381" s="39">
        <f t="shared" si="5"/>
        <v>2970</v>
      </c>
    </row>
    <row r="382" spans="1:19">
      <c r="A382" s="9">
        <v>380</v>
      </c>
      <c r="B382" s="13">
        <v>4971710514209</v>
      </c>
      <c r="C382" s="14" t="s">
        <v>808</v>
      </c>
      <c r="D382" s="73" t="s">
        <v>920</v>
      </c>
      <c r="E382" s="15" t="s">
        <v>805</v>
      </c>
      <c r="F382" s="11"/>
      <c r="G382" s="16"/>
      <c r="H382" s="11"/>
      <c r="I382" s="12"/>
      <c r="J382" s="11"/>
      <c r="K382" s="12"/>
      <c r="L382" s="16"/>
      <c r="M382" s="17"/>
      <c r="N382" s="16"/>
      <c r="O382" s="11">
        <v>2970</v>
      </c>
      <c r="P382" s="11"/>
      <c r="Q382" s="38"/>
      <c r="R382" s="38"/>
      <c r="S382" s="39">
        <f t="shared" si="5"/>
        <v>2970</v>
      </c>
    </row>
    <row r="383" spans="1:19">
      <c r="A383" s="9">
        <v>381</v>
      </c>
      <c r="B383" s="13">
        <v>4971710514193</v>
      </c>
      <c r="C383" s="14" t="s">
        <v>809</v>
      </c>
      <c r="D383" s="73" t="s">
        <v>920</v>
      </c>
      <c r="E383" s="15" t="s">
        <v>805</v>
      </c>
      <c r="F383" s="11"/>
      <c r="G383" s="16"/>
      <c r="H383" s="11"/>
      <c r="I383" s="12"/>
      <c r="J383" s="11"/>
      <c r="K383" s="12"/>
      <c r="L383" s="16"/>
      <c r="M383" s="17"/>
      <c r="N383" s="16"/>
      <c r="O383" s="11">
        <v>2970</v>
      </c>
      <c r="P383" s="11"/>
      <c r="Q383" s="38"/>
      <c r="R383" s="38"/>
      <c r="S383" s="39">
        <f t="shared" si="5"/>
        <v>2970</v>
      </c>
    </row>
    <row r="384" spans="1:19">
      <c r="A384" s="9">
        <v>382</v>
      </c>
      <c r="B384" s="13">
        <v>4971710514186</v>
      </c>
      <c r="C384" s="14" t="s">
        <v>810</v>
      </c>
      <c r="D384" s="73" t="s">
        <v>920</v>
      </c>
      <c r="E384" s="15" t="s">
        <v>805</v>
      </c>
      <c r="F384" s="11"/>
      <c r="G384" s="16"/>
      <c r="H384" s="11"/>
      <c r="I384" s="12"/>
      <c r="J384" s="11"/>
      <c r="K384" s="12"/>
      <c r="L384" s="16"/>
      <c r="M384" s="17"/>
      <c r="N384" s="16"/>
      <c r="O384" s="11">
        <v>2970</v>
      </c>
      <c r="P384" s="11"/>
      <c r="Q384" s="38"/>
      <c r="R384" s="38"/>
      <c r="S384" s="39">
        <f t="shared" si="5"/>
        <v>2970</v>
      </c>
    </row>
    <row r="385" spans="1:19">
      <c r="A385" s="9">
        <v>383</v>
      </c>
      <c r="B385" s="13">
        <v>4971710514148</v>
      </c>
      <c r="C385" s="14" t="s">
        <v>811</v>
      </c>
      <c r="D385" s="73" t="s">
        <v>920</v>
      </c>
      <c r="E385" s="15" t="s">
        <v>805</v>
      </c>
      <c r="F385" s="11"/>
      <c r="G385" s="16"/>
      <c r="H385" s="11"/>
      <c r="I385" s="12"/>
      <c r="J385" s="11"/>
      <c r="K385" s="12"/>
      <c r="L385" s="16"/>
      <c r="M385" s="17"/>
      <c r="N385" s="16"/>
      <c r="O385" s="11">
        <v>2970</v>
      </c>
      <c r="P385" s="11"/>
      <c r="Q385" s="38"/>
      <c r="R385" s="38"/>
      <c r="S385" s="39">
        <f t="shared" si="5"/>
        <v>2970</v>
      </c>
    </row>
    <row r="386" spans="1:19">
      <c r="A386" s="9">
        <v>384</v>
      </c>
      <c r="B386" s="13">
        <v>4971710597059</v>
      </c>
      <c r="C386" s="14" t="s">
        <v>843</v>
      </c>
      <c r="D386" s="73" t="s">
        <v>920</v>
      </c>
      <c r="E386" s="15" t="s">
        <v>862</v>
      </c>
      <c r="F386" s="11"/>
      <c r="G386" s="16"/>
      <c r="H386" s="11"/>
      <c r="I386" s="12"/>
      <c r="J386" s="11"/>
      <c r="K386" s="12"/>
      <c r="L386" s="16"/>
      <c r="M386" s="17"/>
      <c r="N386" s="16"/>
      <c r="O386" s="11"/>
      <c r="P386" s="11"/>
      <c r="Q386" s="38">
        <v>5280</v>
      </c>
      <c r="R386" s="38"/>
      <c r="S386" s="39">
        <f t="shared" si="5"/>
        <v>5280</v>
      </c>
    </row>
    <row r="387" spans="1:19">
      <c r="A387" s="9">
        <v>385</v>
      </c>
      <c r="B387" s="13">
        <v>4971710494983</v>
      </c>
      <c r="C387" s="14" t="s">
        <v>146</v>
      </c>
      <c r="D387" s="73" t="s">
        <v>924</v>
      </c>
      <c r="E387" s="15" t="s">
        <v>147</v>
      </c>
      <c r="F387" s="11"/>
      <c r="G387" s="16"/>
      <c r="H387" s="11"/>
      <c r="I387" s="12"/>
      <c r="J387" s="11">
        <v>660</v>
      </c>
      <c r="K387" s="12"/>
      <c r="L387" s="16"/>
      <c r="M387" s="17"/>
      <c r="N387" s="16"/>
      <c r="O387" s="11"/>
      <c r="P387" s="11">
        <v>2640</v>
      </c>
      <c r="Q387" s="38"/>
      <c r="R387" s="38"/>
      <c r="S387" s="39">
        <f t="shared" ref="S387:S450" si="6">F387+G387+H387+I387+J387+K387+L387+M387+N387+ O387+P387+Q387+R387</f>
        <v>3300</v>
      </c>
    </row>
    <row r="388" spans="1:19">
      <c r="A388" s="9">
        <v>386</v>
      </c>
      <c r="B388" s="13">
        <v>4971710495034</v>
      </c>
      <c r="C388" s="14" t="s">
        <v>156</v>
      </c>
      <c r="D388" s="73" t="s">
        <v>924</v>
      </c>
      <c r="E388" s="15" t="s">
        <v>157</v>
      </c>
      <c r="F388" s="11"/>
      <c r="G388" s="16"/>
      <c r="H388" s="11"/>
      <c r="I388" s="12"/>
      <c r="J388" s="11">
        <v>660</v>
      </c>
      <c r="K388" s="12"/>
      <c r="L388" s="16"/>
      <c r="M388" s="17"/>
      <c r="N388" s="16"/>
      <c r="O388" s="11"/>
      <c r="P388" s="11">
        <v>2640</v>
      </c>
      <c r="Q388" s="38"/>
      <c r="R388" s="38"/>
      <c r="S388" s="39">
        <f t="shared" si="6"/>
        <v>3300</v>
      </c>
    </row>
    <row r="389" spans="1:19">
      <c r="A389" s="9">
        <v>387</v>
      </c>
      <c r="B389" s="13">
        <v>4971710494945</v>
      </c>
      <c r="C389" s="14" t="s">
        <v>138</v>
      </c>
      <c r="D389" s="73" t="s">
        <v>924</v>
      </c>
      <c r="E389" s="15" t="s">
        <v>139</v>
      </c>
      <c r="F389" s="11"/>
      <c r="G389" s="16"/>
      <c r="H389" s="11"/>
      <c r="I389" s="12"/>
      <c r="J389" s="11"/>
      <c r="K389" s="12"/>
      <c r="L389" s="16"/>
      <c r="M389" s="17"/>
      <c r="N389" s="16"/>
      <c r="O389" s="11"/>
      <c r="P389" s="11">
        <v>3300</v>
      </c>
      <c r="Q389" s="38"/>
      <c r="R389" s="38"/>
      <c r="S389" s="39">
        <f t="shared" si="6"/>
        <v>3300</v>
      </c>
    </row>
    <row r="390" spans="1:19">
      <c r="A390" s="9">
        <v>388</v>
      </c>
      <c r="B390" s="13">
        <v>4971710563436</v>
      </c>
      <c r="C390" s="14" t="s">
        <v>484</v>
      </c>
      <c r="D390" s="73" t="s">
        <v>920</v>
      </c>
      <c r="E390" s="15" t="s">
        <v>485</v>
      </c>
      <c r="F390" s="11"/>
      <c r="G390" s="16"/>
      <c r="H390" s="11">
        <v>3575</v>
      </c>
      <c r="I390" s="12"/>
      <c r="J390" s="11"/>
      <c r="K390" s="12"/>
      <c r="L390" s="16"/>
      <c r="M390" s="17"/>
      <c r="N390" s="16"/>
      <c r="O390" s="11"/>
      <c r="P390" s="11"/>
      <c r="Q390" s="38"/>
      <c r="R390" s="38"/>
      <c r="S390" s="39">
        <f t="shared" si="6"/>
        <v>3575</v>
      </c>
    </row>
    <row r="391" spans="1:19">
      <c r="A391" s="9">
        <v>389</v>
      </c>
      <c r="B391" s="13">
        <v>4971710495010</v>
      </c>
      <c r="C391" s="14" t="s">
        <v>152</v>
      </c>
      <c r="D391" s="73" t="s">
        <v>924</v>
      </c>
      <c r="E391" s="15" t="s">
        <v>153</v>
      </c>
      <c r="F391" s="11"/>
      <c r="G391" s="16"/>
      <c r="H391" s="11"/>
      <c r="I391" s="12"/>
      <c r="J391" s="11"/>
      <c r="K391" s="12"/>
      <c r="L391" s="16"/>
      <c r="M391" s="17"/>
      <c r="N391" s="16"/>
      <c r="O391" s="11">
        <v>2640</v>
      </c>
      <c r="P391" s="11"/>
      <c r="Q391" s="38"/>
      <c r="R391" s="38"/>
      <c r="S391" s="39">
        <f t="shared" si="6"/>
        <v>2640</v>
      </c>
    </row>
    <row r="392" spans="1:19">
      <c r="A392" s="9">
        <v>390</v>
      </c>
      <c r="B392" s="13">
        <v>4971710495003</v>
      </c>
      <c r="C392" s="14" t="s">
        <v>150</v>
      </c>
      <c r="D392" s="73" t="s">
        <v>924</v>
      </c>
      <c r="E392" s="15" t="s">
        <v>151</v>
      </c>
      <c r="F392" s="11"/>
      <c r="G392" s="16"/>
      <c r="H392" s="11"/>
      <c r="I392" s="12"/>
      <c r="J392" s="11"/>
      <c r="K392" s="12"/>
      <c r="L392" s="16"/>
      <c r="M392" s="17"/>
      <c r="N392" s="16"/>
      <c r="O392" s="11"/>
      <c r="P392" s="11">
        <v>2640</v>
      </c>
      <c r="Q392" s="38"/>
      <c r="R392" s="38"/>
      <c r="S392" s="39">
        <f t="shared" si="6"/>
        <v>2640</v>
      </c>
    </row>
    <row r="393" spans="1:19">
      <c r="A393" s="9">
        <v>391</v>
      </c>
      <c r="B393" s="13">
        <v>4971710494907</v>
      </c>
      <c r="C393" s="14" t="s">
        <v>130</v>
      </c>
      <c r="D393" s="73" t="s">
        <v>924</v>
      </c>
      <c r="E393" s="15" t="s">
        <v>131</v>
      </c>
      <c r="F393" s="11"/>
      <c r="G393" s="16"/>
      <c r="H393" s="11"/>
      <c r="I393" s="12"/>
      <c r="J393" s="11"/>
      <c r="K393" s="12"/>
      <c r="L393" s="16"/>
      <c r="M393" s="17"/>
      <c r="N393" s="16"/>
      <c r="O393" s="11"/>
      <c r="P393" s="11"/>
      <c r="Q393" s="38"/>
      <c r="R393" s="38">
        <v>2640</v>
      </c>
      <c r="S393" s="39">
        <f t="shared" si="6"/>
        <v>2640</v>
      </c>
    </row>
    <row r="394" spans="1:19">
      <c r="A394" s="9">
        <v>392</v>
      </c>
      <c r="B394" s="13">
        <v>4971710584745</v>
      </c>
      <c r="C394" s="14" t="s">
        <v>713</v>
      </c>
      <c r="D394" s="73" t="s">
        <v>920</v>
      </c>
      <c r="E394" s="15" t="s">
        <v>714</v>
      </c>
      <c r="F394" s="11"/>
      <c r="G394" s="16"/>
      <c r="H394" s="11"/>
      <c r="I394" s="12"/>
      <c r="J394" s="11"/>
      <c r="K394" s="12"/>
      <c r="L394" s="16"/>
      <c r="M394" s="17">
        <v>1100</v>
      </c>
      <c r="N394" s="16"/>
      <c r="O394" s="11"/>
      <c r="P394" s="11">
        <v>1100</v>
      </c>
      <c r="Q394" s="38"/>
      <c r="R394" s="38"/>
      <c r="S394" s="39">
        <f t="shared" si="6"/>
        <v>2200</v>
      </c>
    </row>
    <row r="395" spans="1:19">
      <c r="A395" s="9">
        <v>393</v>
      </c>
      <c r="B395" s="13">
        <v>4971710571769</v>
      </c>
      <c r="C395" s="14" t="s">
        <v>550</v>
      </c>
      <c r="D395" s="73" t="s">
        <v>924</v>
      </c>
      <c r="E395" s="15" t="s">
        <v>551</v>
      </c>
      <c r="F395" s="11"/>
      <c r="G395" s="16"/>
      <c r="H395" s="11"/>
      <c r="I395" s="12"/>
      <c r="J395" s="11">
        <v>1980</v>
      </c>
      <c r="K395" s="12"/>
      <c r="L395" s="16"/>
      <c r="M395" s="17"/>
      <c r="N395" s="16"/>
      <c r="O395" s="11"/>
      <c r="P395" s="11"/>
      <c r="Q395" s="38"/>
      <c r="R395" s="38"/>
      <c r="S395" s="39">
        <f t="shared" si="6"/>
        <v>1980</v>
      </c>
    </row>
    <row r="396" spans="1:19">
      <c r="A396" s="9">
        <v>394</v>
      </c>
      <c r="B396" s="13">
        <v>4971710495379</v>
      </c>
      <c r="C396" s="14" t="s">
        <v>158</v>
      </c>
      <c r="D396" s="73" t="s">
        <v>924</v>
      </c>
      <c r="E396" s="15" t="s">
        <v>159</v>
      </c>
      <c r="F396" s="11"/>
      <c r="G396" s="16"/>
      <c r="H396" s="11"/>
      <c r="I396" s="12"/>
      <c r="J396" s="11">
        <v>1760</v>
      </c>
      <c r="K396" s="12"/>
      <c r="L396" s="16"/>
      <c r="M396" s="17"/>
      <c r="N396" s="16"/>
      <c r="O396" s="11"/>
      <c r="P396" s="11"/>
      <c r="Q396" s="38"/>
      <c r="R396" s="38"/>
      <c r="S396" s="39">
        <f t="shared" si="6"/>
        <v>1760</v>
      </c>
    </row>
    <row r="397" spans="1:19">
      <c r="A397" s="9">
        <v>395</v>
      </c>
      <c r="B397" s="13">
        <v>4971710550962</v>
      </c>
      <c r="C397" s="14" t="s">
        <v>440</v>
      </c>
      <c r="D397" s="73" t="s">
        <v>924</v>
      </c>
      <c r="E397" s="15" t="s">
        <v>441</v>
      </c>
      <c r="F397" s="11"/>
      <c r="G397" s="16"/>
      <c r="H397" s="11"/>
      <c r="I397" s="12"/>
      <c r="J397" s="11"/>
      <c r="K397" s="12">
        <v>1320</v>
      </c>
      <c r="L397" s="16"/>
      <c r="M397" s="17"/>
      <c r="N397" s="16"/>
      <c r="O397" s="11"/>
      <c r="P397" s="11"/>
      <c r="Q397" s="38"/>
      <c r="R397" s="38"/>
      <c r="S397" s="39">
        <f t="shared" si="6"/>
        <v>1320</v>
      </c>
    </row>
    <row r="398" spans="1:19">
      <c r="A398" s="9">
        <v>396</v>
      </c>
      <c r="B398" s="13">
        <v>4971710573985</v>
      </c>
      <c r="C398" s="14" t="s">
        <v>582</v>
      </c>
      <c r="D398" s="73" t="s">
        <v>924</v>
      </c>
      <c r="E398" s="15" t="s">
        <v>583</v>
      </c>
      <c r="F398" s="11"/>
      <c r="G398" s="16"/>
      <c r="H398" s="11"/>
      <c r="I398" s="12"/>
      <c r="J398" s="11"/>
      <c r="K398" s="12"/>
      <c r="L398" s="16"/>
      <c r="M398" s="17">
        <v>1540</v>
      </c>
      <c r="N398" s="16"/>
      <c r="O398" s="11"/>
      <c r="P398" s="11"/>
      <c r="Q398" s="38"/>
      <c r="R398" s="38"/>
      <c r="S398" s="39">
        <f t="shared" si="6"/>
        <v>1540</v>
      </c>
    </row>
    <row r="399" spans="1:19">
      <c r="A399" s="9">
        <v>397</v>
      </c>
      <c r="B399" s="13">
        <v>4971710487640</v>
      </c>
      <c r="C399" s="14" t="s">
        <v>46</v>
      </c>
      <c r="D399" s="73" t="s">
        <v>924</v>
      </c>
      <c r="E399" s="15" t="s">
        <v>47</v>
      </c>
      <c r="F399" s="11"/>
      <c r="G399" s="16"/>
      <c r="H399" s="11"/>
      <c r="I399" s="12"/>
      <c r="J399" s="11"/>
      <c r="K399" s="12">
        <v>1650</v>
      </c>
      <c r="L399" s="16"/>
      <c r="M399" s="17"/>
      <c r="N399" s="16"/>
      <c r="O399" s="11"/>
      <c r="P399" s="11"/>
      <c r="Q399" s="38"/>
      <c r="R399" s="38"/>
      <c r="S399" s="39">
        <f t="shared" si="6"/>
        <v>1650</v>
      </c>
    </row>
    <row r="400" spans="1:19">
      <c r="A400" s="9">
        <v>398</v>
      </c>
      <c r="B400" s="13">
        <v>4971710584738</v>
      </c>
      <c r="C400" s="14" t="s">
        <v>812</v>
      </c>
      <c r="D400" s="73" t="s">
        <v>920</v>
      </c>
      <c r="E400" s="27" t="s">
        <v>813</v>
      </c>
      <c r="F400" s="11"/>
      <c r="G400" s="16"/>
      <c r="H400" s="11"/>
      <c r="I400" s="12"/>
      <c r="J400" s="11"/>
      <c r="K400" s="12"/>
      <c r="L400" s="16"/>
      <c r="M400" s="17"/>
      <c r="N400" s="16"/>
      <c r="O400" s="11">
        <v>1100</v>
      </c>
      <c r="P400" s="11"/>
      <c r="Q400" s="38"/>
      <c r="R400" s="38"/>
      <c r="S400" s="39">
        <f t="shared" si="6"/>
        <v>1100</v>
      </c>
    </row>
    <row r="401" spans="1:19">
      <c r="A401" s="9">
        <v>399</v>
      </c>
      <c r="B401" s="13">
        <v>4971710584721</v>
      </c>
      <c r="C401" s="14" t="s">
        <v>814</v>
      </c>
      <c r="D401" s="73" t="s">
        <v>920</v>
      </c>
      <c r="E401" s="27" t="s">
        <v>813</v>
      </c>
      <c r="F401" s="11"/>
      <c r="G401" s="16"/>
      <c r="H401" s="11"/>
      <c r="I401" s="12"/>
      <c r="J401" s="11"/>
      <c r="K401" s="12"/>
      <c r="L401" s="16"/>
      <c r="M401" s="17"/>
      <c r="N401" s="16"/>
      <c r="O401" s="11">
        <v>1100</v>
      </c>
      <c r="P401" s="11"/>
      <c r="Q401" s="38"/>
      <c r="R401" s="38"/>
      <c r="S401" s="39">
        <f t="shared" si="6"/>
        <v>1100</v>
      </c>
    </row>
    <row r="402" spans="1:19">
      <c r="A402" s="9">
        <v>400</v>
      </c>
      <c r="B402" s="13">
        <v>4971710515831</v>
      </c>
      <c r="C402" s="14" t="s">
        <v>868</v>
      </c>
      <c r="D402" s="73" t="s">
        <v>924</v>
      </c>
      <c r="E402" s="27" t="s">
        <v>873</v>
      </c>
      <c r="F402" s="11"/>
      <c r="G402" s="16"/>
      <c r="H402" s="11"/>
      <c r="I402" s="12"/>
      <c r="J402" s="11"/>
      <c r="K402" s="12"/>
      <c r="L402" s="16"/>
      <c r="M402" s="17"/>
      <c r="N402" s="16"/>
      <c r="O402" s="11"/>
      <c r="P402" s="11"/>
      <c r="Q402" s="38"/>
      <c r="R402" s="38">
        <v>1044</v>
      </c>
      <c r="S402" s="39">
        <f t="shared" si="6"/>
        <v>1044</v>
      </c>
    </row>
    <row r="403" spans="1:19">
      <c r="A403" s="9">
        <v>401</v>
      </c>
      <c r="B403" s="18">
        <v>4971710592528</v>
      </c>
      <c r="C403" s="14" t="s">
        <v>869</v>
      </c>
      <c r="D403" s="73" t="s">
        <v>920</v>
      </c>
      <c r="E403" s="27" t="s">
        <v>871</v>
      </c>
      <c r="F403" s="11"/>
      <c r="G403" s="19"/>
      <c r="H403" s="11"/>
      <c r="I403" s="12"/>
      <c r="J403" s="11"/>
      <c r="K403" s="12"/>
      <c r="L403" s="19"/>
      <c r="M403" s="20"/>
      <c r="N403" s="19"/>
      <c r="O403" s="11"/>
      <c r="P403" s="11"/>
      <c r="Q403" s="38"/>
      <c r="R403" s="38">
        <v>1210</v>
      </c>
      <c r="S403" s="39">
        <f t="shared" si="6"/>
        <v>1210</v>
      </c>
    </row>
    <row r="404" spans="1:19">
      <c r="A404" s="9">
        <v>402</v>
      </c>
      <c r="B404" s="23">
        <v>4971710592535</v>
      </c>
      <c r="C404" s="14" t="s">
        <v>870</v>
      </c>
      <c r="D404" s="73" t="s">
        <v>920</v>
      </c>
      <c r="E404" s="27" t="s">
        <v>871</v>
      </c>
      <c r="F404" s="11"/>
      <c r="G404" s="19"/>
      <c r="H404" s="11"/>
      <c r="I404" s="12"/>
      <c r="J404" s="11"/>
      <c r="K404" s="12"/>
      <c r="L404" s="19"/>
      <c r="M404" s="19"/>
      <c r="N404" s="19"/>
      <c r="O404" s="11"/>
      <c r="P404" s="11"/>
      <c r="Q404" s="38"/>
      <c r="R404" s="38">
        <v>1210</v>
      </c>
      <c r="S404" s="39">
        <f t="shared" si="6"/>
        <v>1210</v>
      </c>
    </row>
    <row r="405" spans="1:19">
      <c r="A405" s="9">
        <v>403</v>
      </c>
      <c r="B405" s="23">
        <v>4971710550955</v>
      </c>
      <c r="C405" s="14" t="s">
        <v>438</v>
      </c>
      <c r="D405" s="73" t="s">
        <v>924</v>
      </c>
      <c r="E405" s="27" t="s">
        <v>439</v>
      </c>
      <c r="F405" s="11"/>
      <c r="G405" s="19"/>
      <c r="H405" s="11"/>
      <c r="I405" s="12"/>
      <c r="J405" s="11">
        <v>660</v>
      </c>
      <c r="K405" s="12"/>
      <c r="L405" s="19"/>
      <c r="M405" s="19"/>
      <c r="N405" s="19"/>
      <c r="O405" s="11"/>
      <c r="P405" s="11"/>
      <c r="Q405" s="38"/>
      <c r="R405" s="38"/>
      <c r="S405" s="39">
        <f t="shared" si="6"/>
        <v>660</v>
      </c>
    </row>
    <row r="406" spans="1:19">
      <c r="A406" s="9">
        <v>404</v>
      </c>
      <c r="B406" s="23">
        <v>4971710493559</v>
      </c>
      <c r="C406" s="14" t="s">
        <v>110</v>
      </c>
      <c r="D406" s="73" t="s">
        <v>924</v>
      </c>
      <c r="E406" s="27" t="s">
        <v>111</v>
      </c>
      <c r="F406" s="11"/>
      <c r="G406" s="19"/>
      <c r="H406" s="11"/>
      <c r="I406" s="12"/>
      <c r="J406" s="11">
        <v>550</v>
      </c>
      <c r="K406" s="12"/>
      <c r="L406" s="19"/>
      <c r="M406" s="19"/>
      <c r="N406" s="19"/>
      <c r="O406" s="11"/>
      <c r="P406" s="11"/>
      <c r="Q406" s="38"/>
      <c r="R406" s="38"/>
      <c r="S406" s="39">
        <f t="shared" si="6"/>
        <v>550</v>
      </c>
    </row>
    <row r="407" spans="1:19">
      <c r="A407" s="9">
        <v>405</v>
      </c>
      <c r="B407" s="23">
        <v>4971710471946</v>
      </c>
      <c r="C407" s="14" t="s">
        <v>16</v>
      </c>
      <c r="D407" s="14" t="s">
        <v>926</v>
      </c>
      <c r="E407" s="27" t="s">
        <v>17</v>
      </c>
      <c r="F407" s="11"/>
      <c r="G407" s="19"/>
      <c r="H407" s="11"/>
      <c r="I407" s="12"/>
      <c r="J407" s="11"/>
      <c r="K407" s="12"/>
      <c r="L407" s="19"/>
      <c r="M407" s="19"/>
      <c r="N407" s="19"/>
      <c r="O407" s="11"/>
      <c r="P407" s="11"/>
      <c r="Q407" s="38"/>
      <c r="R407" s="38"/>
      <c r="S407" s="39">
        <f t="shared" si="6"/>
        <v>0</v>
      </c>
    </row>
    <row r="408" spans="1:19">
      <c r="A408" s="9">
        <v>406</v>
      </c>
      <c r="B408" s="23">
        <v>4971710472103</v>
      </c>
      <c r="C408" s="14" t="s">
        <v>773</v>
      </c>
      <c r="D408" s="73" t="s">
        <v>924</v>
      </c>
      <c r="E408" s="27" t="s">
        <v>774</v>
      </c>
      <c r="F408" s="11"/>
      <c r="G408" s="19"/>
      <c r="H408" s="11"/>
      <c r="I408" s="12"/>
      <c r="J408" s="11"/>
      <c r="K408" s="12"/>
      <c r="L408" s="19"/>
      <c r="M408" s="19"/>
      <c r="N408" s="19"/>
      <c r="O408" s="11"/>
      <c r="P408" s="11"/>
      <c r="Q408" s="38"/>
      <c r="R408" s="38"/>
      <c r="S408" s="39">
        <f t="shared" si="6"/>
        <v>0</v>
      </c>
    </row>
    <row r="409" spans="1:19">
      <c r="A409" s="9">
        <v>407</v>
      </c>
      <c r="B409" s="23">
        <v>4971710472110</v>
      </c>
      <c r="C409" s="14" t="s">
        <v>773</v>
      </c>
      <c r="D409" s="73" t="s">
        <v>924</v>
      </c>
      <c r="E409" s="27" t="s">
        <v>774</v>
      </c>
      <c r="F409" s="11"/>
      <c r="G409" s="19"/>
      <c r="H409" s="11"/>
      <c r="I409" s="12"/>
      <c r="J409" s="11"/>
      <c r="K409" s="12"/>
      <c r="L409" s="19"/>
      <c r="M409" s="19"/>
      <c r="N409" s="19"/>
      <c r="O409" s="11"/>
      <c r="P409" s="11"/>
      <c r="Q409" s="38"/>
      <c r="R409" s="38"/>
      <c r="S409" s="39">
        <f t="shared" si="6"/>
        <v>0</v>
      </c>
    </row>
    <row r="410" spans="1:19">
      <c r="A410" s="9">
        <v>408</v>
      </c>
      <c r="B410" s="23">
        <v>4971710472127</v>
      </c>
      <c r="C410" s="14" t="s">
        <v>776</v>
      </c>
      <c r="D410" s="73" t="s">
        <v>924</v>
      </c>
      <c r="E410" s="27" t="s">
        <v>774</v>
      </c>
      <c r="F410" s="11"/>
      <c r="G410" s="19"/>
      <c r="H410" s="11"/>
      <c r="I410" s="12"/>
      <c r="J410" s="11"/>
      <c r="K410" s="12"/>
      <c r="L410" s="19"/>
      <c r="M410" s="19"/>
      <c r="N410" s="19"/>
      <c r="O410" s="11"/>
      <c r="P410" s="11"/>
      <c r="Q410" s="38"/>
      <c r="R410" s="38"/>
      <c r="S410" s="39">
        <f t="shared" si="6"/>
        <v>0</v>
      </c>
    </row>
    <row r="411" spans="1:19">
      <c r="A411" s="9">
        <v>409</v>
      </c>
      <c r="B411" s="23">
        <v>4971710472134</v>
      </c>
      <c r="C411" s="14" t="s">
        <v>777</v>
      </c>
      <c r="D411" s="73" t="s">
        <v>924</v>
      </c>
      <c r="E411" s="27" t="s">
        <v>774</v>
      </c>
      <c r="F411" s="11"/>
      <c r="G411" s="19"/>
      <c r="H411" s="11"/>
      <c r="I411" s="12"/>
      <c r="J411" s="11"/>
      <c r="K411" s="12"/>
      <c r="L411" s="19"/>
      <c r="M411" s="19"/>
      <c r="N411" s="19"/>
      <c r="O411" s="11"/>
      <c r="P411" s="11"/>
      <c r="Q411" s="38"/>
      <c r="R411" s="38"/>
      <c r="S411" s="39">
        <f t="shared" si="6"/>
        <v>0</v>
      </c>
    </row>
    <row r="412" spans="1:19">
      <c r="A412" s="9">
        <v>410</v>
      </c>
      <c r="B412" s="23">
        <v>4971710472141</v>
      </c>
      <c r="C412" s="14" t="s">
        <v>778</v>
      </c>
      <c r="D412" s="73" t="s">
        <v>924</v>
      </c>
      <c r="E412" s="27" t="s">
        <v>774</v>
      </c>
      <c r="F412" s="11"/>
      <c r="G412" s="19"/>
      <c r="H412" s="11"/>
      <c r="I412" s="12"/>
      <c r="J412" s="11"/>
      <c r="K412" s="12"/>
      <c r="L412" s="19"/>
      <c r="M412" s="19"/>
      <c r="N412" s="19"/>
      <c r="O412" s="11"/>
      <c r="P412" s="11"/>
      <c r="Q412" s="38"/>
      <c r="R412" s="38"/>
      <c r="S412" s="39">
        <f t="shared" si="6"/>
        <v>0</v>
      </c>
    </row>
    <row r="413" spans="1:19">
      <c r="A413" s="9">
        <v>411</v>
      </c>
      <c r="B413" s="23">
        <v>4971710472158</v>
      </c>
      <c r="C413" s="14" t="s">
        <v>779</v>
      </c>
      <c r="D413" s="73" t="s">
        <v>924</v>
      </c>
      <c r="E413" s="27" t="s">
        <v>780</v>
      </c>
      <c r="F413" s="11"/>
      <c r="G413" s="19"/>
      <c r="H413" s="11"/>
      <c r="I413" s="12"/>
      <c r="J413" s="11"/>
      <c r="K413" s="12"/>
      <c r="L413" s="19"/>
      <c r="M413" s="19"/>
      <c r="N413" s="19"/>
      <c r="O413" s="11"/>
      <c r="P413" s="11"/>
      <c r="Q413" s="38"/>
      <c r="R413" s="38"/>
      <c r="S413" s="39">
        <f t="shared" si="6"/>
        <v>0</v>
      </c>
    </row>
    <row r="414" spans="1:19">
      <c r="A414" s="9">
        <v>412</v>
      </c>
      <c r="B414" s="23">
        <v>4971710479539</v>
      </c>
      <c r="C414" s="14" t="s">
        <v>24</v>
      </c>
      <c r="D414" s="73" t="s">
        <v>924</v>
      </c>
      <c r="E414" s="27" t="s">
        <v>25</v>
      </c>
      <c r="F414" s="11"/>
      <c r="G414" s="19"/>
      <c r="H414" s="11"/>
      <c r="I414" s="12"/>
      <c r="J414" s="11"/>
      <c r="K414" s="12"/>
      <c r="L414" s="19"/>
      <c r="M414" s="19"/>
      <c r="N414" s="19"/>
      <c r="O414" s="11"/>
      <c r="P414" s="11"/>
      <c r="Q414" s="38"/>
      <c r="R414" s="38"/>
      <c r="S414" s="39">
        <f t="shared" si="6"/>
        <v>0</v>
      </c>
    </row>
    <row r="415" spans="1:19">
      <c r="A415" s="9">
        <v>413</v>
      </c>
      <c r="B415" s="23">
        <v>4971710479546</v>
      </c>
      <c r="C415" s="14" t="s">
        <v>26</v>
      </c>
      <c r="D415" s="73" t="s">
        <v>924</v>
      </c>
      <c r="E415" s="27" t="s">
        <v>27</v>
      </c>
      <c r="F415" s="11"/>
      <c r="G415" s="19"/>
      <c r="H415" s="11"/>
      <c r="I415" s="12"/>
      <c r="J415" s="11"/>
      <c r="K415" s="12"/>
      <c r="L415" s="19"/>
      <c r="M415" s="19"/>
      <c r="N415" s="19"/>
      <c r="O415" s="11"/>
      <c r="P415" s="11"/>
      <c r="Q415" s="38"/>
      <c r="R415" s="38"/>
      <c r="S415" s="39">
        <f t="shared" si="6"/>
        <v>0</v>
      </c>
    </row>
    <row r="416" spans="1:19">
      <c r="A416" s="9">
        <v>414</v>
      </c>
      <c r="B416" s="23">
        <v>4971710479553</v>
      </c>
      <c r="C416" s="14" t="s">
        <v>28</v>
      </c>
      <c r="D416" s="73" t="s">
        <v>924</v>
      </c>
      <c r="E416" s="27" t="s">
        <v>29</v>
      </c>
      <c r="F416" s="11"/>
      <c r="G416" s="19"/>
      <c r="H416" s="11"/>
      <c r="I416" s="12"/>
      <c r="J416" s="11"/>
      <c r="K416" s="12"/>
      <c r="L416" s="19"/>
      <c r="M416" s="19"/>
      <c r="N416" s="19"/>
      <c r="O416" s="11"/>
      <c r="P416" s="11"/>
      <c r="Q416" s="38"/>
      <c r="R416" s="38"/>
      <c r="S416" s="39">
        <f t="shared" si="6"/>
        <v>0</v>
      </c>
    </row>
    <row r="417" spans="1:19">
      <c r="A417" s="9">
        <v>415</v>
      </c>
      <c r="B417" s="23">
        <v>4971710487695</v>
      </c>
      <c r="C417" s="14" t="s">
        <v>52</v>
      </c>
      <c r="D417" s="73" t="s">
        <v>924</v>
      </c>
      <c r="E417" s="27" t="s">
        <v>53</v>
      </c>
      <c r="F417" s="11"/>
      <c r="G417" s="19"/>
      <c r="H417" s="11"/>
      <c r="I417" s="12"/>
      <c r="J417" s="11"/>
      <c r="K417" s="12"/>
      <c r="L417" s="19"/>
      <c r="M417" s="19"/>
      <c r="N417" s="19"/>
      <c r="O417" s="11"/>
      <c r="P417" s="11"/>
      <c r="Q417" s="38"/>
      <c r="R417" s="38"/>
      <c r="S417" s="39">
        <f t="shared" si="6"/>
        <v>0</v>
      </c>
    </row>
    <row r="418" spans="1:19">
      <c r="A418" s="9">
        <v>416</v>
      </c>
      <c r="B418" s="23">
        <v>4971710487756</v>
      </c>
      <c r="C418" s="14" t="s">
        <v>62</v>
      </c>
      <c r="D418" s="73" t="s">
        <v>924</v>
      </c>
      <c r="E418" s="27" t="s">
        <v>63</v>
      </c>
      <c r="F418" s="11"/>
      <c r="G418" s="19"/>
      <c r="H418" s="11"/>
      <c r="I418" s="12"/>
      <c r="J418" s="11"/>
      <c r="K418" s="12"/>
      <c r="L418" s="19"/>
      <c r="M418" s="19"/>
      <c r="N418" s="19"/>
      <c r="O418" s="11"/>
      <c r="P418" s="11"/>
      <c r="Q418" s="38"/>
      <c r="R418" s="38"/>
      <c r="S418" s="39">
        <f t="shared" si="6"/>
        <v>0</v>
      </c>
    </row>
    <row r="419" spans="1:19">
      <c r="A419" s="9">
        <v>417</v>
      </c>
      <c r="B419" s="23">
        <v>4971710487770</v>
      </c>
      <c r="C419" s="14" t="s">
        <v>64</v>
      </c>
      <c r="D419" s="73" t="s">
        <v>924</v>
      </c>
      <c r="E419" s="27" t="s">
        <v>65</v>
      </c>
      <c r="F419" s="11"/>
      <c r="G419" s="19"/>
      <c r="H419" s="11"/>
      <c r="I419" s="12"/>
      <c r="J419" s="11"/>
      <c r="K419" s="12"/>
      <c r="L419" s="19"/>
      <c r="M419" s="19"/>
      <c r="N419" s="19"/>
      <c r="O419" s="11"/>
      <c r="P419" s="11"/>
      <c r="Q419" s="38"/>
      <c r="R419" s="38"/>
      <c r="S419" s="39">
        <f t="shared" si="6"/>
        <v>0</v>
      </c>
    </row>
    <row r="420" spans="1:19">
      <c r="A420" s="9">
        <v>418</v>
      </c>
      <c r="B420" s="23">
        <v>4971710487787</v>
      </c>
      <c r="C420" s="14" t="s">
        <v>66</v>
      </c>
      <c r="D420" s="73" t="s">
        <v>924</v>
      </c>
      <c r="E420" s="27" t="s">
        <v>67</v>
      </c>
      <c r="F420" s="11"/>
      <c r="G420" s="19"/>
      <c r="H420" s="11"/>
      <c r="I420" s="12"/>
      <c r="J420" s="11"/>
      <c r="K420" s="12"/>
      <c r="L420" s="19"/>
      <c r="M420" s="19"/>
      <c r="N420" s="19"/>
      <c r="O420" s="11"/>
      <c r="P420" s="11"/>
      <c r="Q420" s="38"/>
      <c r="R420" s="38"/>
      <c r="S420" s="39">
        <f t="shared" si="6"/>
        <v>0</v>
      </c>
    </row>
    <row r="421" spans="1:19">
      <c r="A421" s="9">
        <v>419</v>
      </c>
      <c r="B421" s="23">
        <v>4971710487800</v>
      </c>
      <c r="C421" s="14" t="s">
        <v>70</v>
      </c>
      <c r="D421" s="73" t="s">
        <v>924</v>
      </c>
      <c r="E421" s="27" t="s">
        <v>71</v>
      </c>
      <c r="F421" s="11"/>
      <c r="G421" s="19"/>
      <c r="H421" s="11"/>
      <c r="I421" s="12"/>
      <c r="J421" s="11"/>
      <c r="K421" s="12"/>
      <c r="L421" s="19"/>
      <c r="M421" s="19"/>
      <c r="N421" s="19"/>
      <c r="O421" s="11"/>
      <c r="P421" s="11"/>
      <c r="Q421" s="38"/>
      <c r="R421" s="38"/>
      <c r="S421" s="39">
        <f t="shared" si="6"/>
        <v>0</v>
      </c>
    </row>
    <row r="422" spans="1:19">
      <c r="A422" s="9">
        <v>420</v>
      </c>
      <c r="B422" s="23">
        <v>4971710487817</v>
      </c>
      <c r="C422" s="14" t="s">
        <v>72</v>
      </c>
      <c r="D422" s="73" t="s">
        <v>924</v>
      </c>
      <c r="E422" s="27" t="s">
        <v>73</v>
      </c>
      <c r="F422" s="11"/>
      <c r="G422" s="19"/>
      <c r="H422" s="11"/>
      <c r="I422" s="12"/>
      <c r="J422" s="11"/>
      <c r="K422" s="12"/>
      <c r="L422" s="19"/>
      <c r="M422" s="19"/>
      <c r="N422" s="19"/>
      <c r="O422" s="11"/>
      <c r="P422" s="11"/>
      <c r="Q422" s="38"/>
      <c r="R422" s="38"/>
      <c r="S422" s="39">
        <f t="shared" si="6"/>
        <v>0</v>
      </c>
    </row>
    <row r="423" spans="1:19">
      <c r="A423" s="9">
        <v>421</v>
      </c>
      <c r="B423" s="23">
        <v>4971710487824</v>
      </c>
      <c r="C423" s="14" t="s">
        <v>74</v>
      </c>
      <c r="D423" s="73" t="s">
        <v>924</v>
      </c>
      <c r="E423" s="27" t="s">
        <v>75</v>
      </c>
      <c r="F423" s="11"/>
      <c r="G423" s="19"/>
      <c r="H423" s="11"/>
      <c r="I423" s="12"/>
      <c r="J423" s="11"/>
      <c r="K423" s="12"/>
      <c r="L423" s="19"/>
      <c r="M423" s="19"/>
      <c r="N423" s="19"/>
      <c r="O423" s="11"/>
      <c r="P423" s="11"/>
      <c r="Q423" s="38"/>
      <c r="R423" s="38"/>
      <c r="S423" s="39">
        <f t="shared" si="6"/>
        <v>0</v>
      </c>
    </row>
    <row r="424" spans="1:19">
      <c r="A424" s="9">
        <v>422</v>
      </c>
      <c r="B424" s="23">
        <v>4971710487848</v>
      </c>
      <c r="C424" s="14" t="s">
        <v>76</v>
      </c>
      <c r="D424" s="73" t="s">
        <v>924</v>
      </c>
      <c r="E424" s="27" t="s">
        <v>77</v>
      </c>
      <c r="F424" s="11"/>
      <c r="G424" s="19"/>
      <c r="H424" s="11"/>
      <c r="I424" s="12"/>
      <c r="J424" s="11"/>
      <c r="K424" s="12"/>
      <c r="L424" s="19"/>
      <c r="M424" s="19"/>
      <c r="N424" s="19"/>
      <c r="O424" s="11"/>
      <c r="P424" s="11"/>
      <c r="Q424" s="38"/>
      <c r="R424" s="38"/>
      <c r="S424" s="39">
        <f t="shared" si="6"/>
        <v>0</v>
      </c>
    </row>
    <row r="425" spans="1:19">
      <c r="A425" s="9">
        <v>423</v>
      </c>
      <c r="B425" s="23">
        <v>4971710487862</v>
      </c>
      <c r="C425" s="14" t="s">
        <v>80</v>
      </c>
      <c r="D425" s="73" t="s">
        <v>924</v>
      </c>
      <c r="E425" s="27" t="s">
        <v>81</v>
      </c>
      <c r="F425" s="11"/>
      <c r="G425" s="19"/>
      <c r="H425" s="11"/>
      <c r="I425" s="12"/>
      <c r="J425" s="11"/>
      <c r="K425" s="12"/>
      <c r="L425" s="19"/>
      <c r="M425" s="19"/>
      <c r="N425" s="19"/>
      <c r="O425" s="11"/>
      <c r="P425" s="11"/>
      <c r="Q425" s="38"/>
      <c r="R425" s="38"/>
      <c r="S425" s="39">
        <f t="shared" si="6"/>
        <v>0</v>
      </c>
    </row>
    <row r="426" spans="1:19">
      <c r="A426" s="9">
        <v>424</v>
      </c>
      <c r="B426" s="23">
        <v>4971710488081</v>
      </c>
      <c r="C426" s="14" t="s">
        <v>82</v>
      </c>
      <c r="D426" s="73" t="s">
        <v>924</v>
      </c>
      <c r="E426" s="27" t="s">
        <v>83</v>
      </c>
      <c r="F426" s="11"/>
      <c r="G426" s="19"/>
      <c r="H426" s="11"/>
      <c r="I426" s="12"/>
      <c r="J426" s="11"/>
      <c r="K426" s="12"/>
      <c r="L426" s="19"/>
      <c r="M426" s="19"/>
      <c r="N426" s="19"/>
      <c r="O426" s="11"/>
      <c r="P426" s="11"/>
      <c r="Q426" s="38"/>
      <c r="R426" s="38"/>
      <c r="S426" s="39">
        <f t="shared" si="6"/>
        <v>0</v>
      </c>
    </row>
    <row r="427" spans="1:19">
      <c r="A427" s="9">
        <v>425</v>
      </c>
      <c r="B427" s="23">
        <v>4971710491135</v>
      </c>
      <c r="C427" s="14" t="s">
        <v>96</v>
      </c>
      <c r="D427" s="73" t="s">
        <v>924</v>
      </c>
      <c r="E427" s="27" t="s">
        <v>97</v>
      </c>
      <c r="F427" s="11"/>
      <c r="G427" s="19"/>
      <c r="H427" s="11"/>
      <c r="I427" s="12"/>
      <c r="J427" s="11"/>
      <c r="K427" s="12"/>
      <c r="L427" s="19"/>
      <c r="M427" s="19"/>
      <c r="N427" s="19"/>
      <c r="O427" s="11"/>
      <c r="P427" s="11"/>
      <c r="Q427" s="38"/>
      <c r="R427" s="38"/>
      <c r="S427" s="39">
        <f t="shared" si="6"/>
        <v>0</v>
      </c>
    </row>
    <row r="428" spans="1:19">
      <c r="A428" s="9">
        <v>426</v>
      </c>
      <c r="B428" s="23">
        <v>4971710491142</v>
      </c>
      <c r="C428" s="14" t="s">
        <v>98</v>
      </c>
      <c r="D428" s="73" t="s">
        <v>924</v>
      </c>
      <c r="E428" s="27" t="s">
        <v>99</v>
      </c>
      <c r="F428" s="11"/>
      <c r="G428" s="33"/>
      <c r="H428" s="11"/>
      <c r="I428" s="12"/>
      <c r="J428" s="11"/>
      <c r="K428" s="12"/>
      <c r="L428" s="19"/>
      <c r="M428" s="19"/>
      <c r="N428" s="19"/>
      <c r="O428" s="11"/>
      <c r="P428" s="11"/>
      <c r="Q428" s="38"/>
      <c r="R428" s="38"/>
      <c r="S428" s="39">
        <f t="shared" si="6"/>
        <v>0</v>
      </c>
    </row>
    <row r="429" spans="1:19">
      <c r="A429" s="9">
        <v>427</v>
      </c>
      <c r="B429" s="23">
        <v>4971710491159</v>
      </c>
      <c r="C429" s="14" t="s">
        <v>100</v>
      </c>
      <c r="D429" s="73" t="s">
        <v>924</v>
      </c>
      <c r="E429" s="27" t="s">
        <v>101</v>
      </c>
      <c r="F429" s="11"/>
      <c r="G429" s="19"/>
      <c r="H429" s="11"/>
      <c r="I429" s="12"/>
      <c r="J429" s="11"/>
      <c r="K429" s="12"/>
      <c r="L429" s="19"/>
      <c r="M429" s="19"/>
      <c r="N429" s="19"/>
      <c r="O429" s="11"/>
      <c r="P429" s="11"/>
      <c r="Q429" s="38"/>
      <c r="R429" s="38"/>
      <c r="S429" s="39">
        <f t="shared" si="6"/>
        <v>0</v>
      </c>
    </row>
    <row r="430" spans="1:19">
      <c r="A430" s="9">
        <v>428</v>
      </c>
      <c r="B430" s="23">
        <v>4971710491166</v>
      </c>
      <c r="C430" s="14" t="s">
        <v>102</v>
      </c>
      <c r="D430" s="73" t="s">
        <v>924</v>
      </c>
      <c r="E430" s="27" t="s">
        <v>103</v>
      </c>
      <c r="F430" s="11"/>
      <c r="G430" s="19"/>
      <c r="H430" s="11"/>
      <c r="I430" s="12"/>
      <c r="J430" s="11"/>
      <c r="K430" s="12"/>
      <c r="L430" s="19"/>
      <c r="M430" s="19"/>
      <c r="N430" s="19"/>
      <c r="O430" s="11"/>
      <c r="P430" s="11"/>
      <c r="Q430" s="38"/>
      <c r="R430" s="38"/>
      <c r="S430" s="39">
        <f t="shared" si="6"/>
        <v>0</v>
      </c>
    </row>
    <row r="431" spans="1:19">
      <c r="A431" s="9">
        <v>429</v>
      </c>
      <c r="B431" s="23">
        <v>4971710491173</v>
      </c>
      <c r="C431" s="14" t="s">
        <v>104</v>
      </c>
      <c r="D431" s="73" t="s">
        <v>924</v>
      </c>
      <c r="E431" s="27" t="s">
        <v>105</v>
      </c>
      <c r="F431" s="11"/>
      <c r="G431" s="19"/>
      <c r="H431" s="11"/>
      <c r="I431" s="12"/>
      <c r="J431" s="11"/>
      <c r="K431" s="12"/>
      <c r="L431" s="19"/>
      <c r="M431" s="19"/>
      <c r="N431" s="19"/>
      <c r="O431" s="11"/>
      <c r="P431" s="11"/>
      <c r="Q431" s="38"/>
      <c r="R431" s="38"/>
      <c r="S431" s="39">
        <f t="shared" si="6"/>
        <v>0</v>
      </c>
    </row>
    <row r="432" spans="1:19">
      <c r="A432" s="9">
        <v>430</v>
      </c>
      <c r="B432" s="23">
        <v>4971710491609</v>
      </c>
      <c r="C432" s="14" t="s">
        <v>106</v>
      </c>
      <c r="D432" s="73" t="s">
        <v>924</v>
      </c>
      <c r="E432" s="27" t="s">
        <v>107</v>
      </c>
      <c r="F432" s="11"/>
      <c r="G432" s="19"/>
      <c r="H432" s="11"/>
      <c r="I432" s="12"/>
      <c r="J432" s="11"/>
      <c r="K432" s="12"/>
      <c r="L432" s="19"/>
      <c r="M432" s="19"/>
      <c r="N432" s="19"/>
      <c r="O432" s="11"/>
      <c r="P432" s="11"/>
      <c r="Q432" s="38"/>
      <c r="R432" s="38"/>
      <c r="S432" s="39">
        <f t="shared" si="6"/>
        <v>0</v>
      </c>
    </row>
    <row r="433" spans="1:19">
      <c r="A433" s="9">
        <v>431</v>
      </c>
      <c r="B433" s="23">
        <v>4971710494969</v>
      </c>
      <c r="C433" s="14" t="s">
        <v>142</v>
      </c>
      <c r="D433" s="73" t="s">
        <v>924</v>
      </c>
      <c r="E433" s="27" t="s">
        <v>143</v>
      </c>
      <c r="F433" s="11"/>
      <c r="G433" s="19"/>
      <c r="H433" s="11"/>
      <c r="I433" s="12"/>
      <c r="J433" s="11"/>
      <c r="K433" s="12"/>
      <c r="L433" s="19"/>
      <c r="M433" s="19"/>
      <c r="N433" s="19"/>
      <c r="O433" s="11"/>
      <c r="P433" s="11"/>
      <c r="Q433" s="38"/>
      <c r="R433" s="38"/>
      <c r="S433" s="39">
        <f t="shared" si="6"/>
        <v>0</v>
      </c>
    </row>
    <row r="434" spans="1:19">
      <c r="A434" s="9">
        <v>432</v>
      </c>
      <c r="B434" s="23">
        <v>4971710494976</v>
      </c>
      <c r="C434" s="14" t="s">
        <v>144</v>
      </c>
      <c r="D434" s="73" t="s">
        <v>924</v>
      </c>
      <c r="E434" s="27" t="s">
        <v>145</v>
      </c>
      <c r="F434" s="11"/>
      <c r="G434" s="19"/>
      <c r="H434" s="11"/>
      <c r="I434" s="12"/>
      <c r="J434" s="11"/>
      <c r="K434" s="12"/>
      <c r="L434" s="19"/>
      <c r="M434" s="19"/>
      <c r="N434" s="19"/>
      <c r="O434" s="11"/>
      <c r="P434" s="11"/>
      <c r="Q434" s="38"/>
      <c r="R434" s="38"/>
      <c r="S434" s="39">
        <f t="shared" si="6"/>
        <v>0</v>
      </c>
    </row>
    <row r="435" spans="1:19">
      <c r="A435" s="9">
        <v>433</v>
      </c>
      <c r="B435" s="23">
        <v>4971710507706</v>
      </c>
      <c r="C435" s="14" t="s">
        <v>188</v>
      </c>
      <c r="D435" s="73" t="s">
        <v>924</v>
      </c>
      <c r="E435" s="27" t="s">
        <v>189</v>
      </c>
      <c r="F435" s="11"/>
      <c r="G435" s="19"/>
      <c r="H435" s="11"/>
      <c r="I435" s="12"/>
      <c r="J435" s="11"/>
      <c r="K435" s="12"/>
      <c r="L435" s="19"/>
      <c r="M435" s="19"/>
      <c r="N435" s="19"/>
      <c r="O435" s="11"/>
      <c r="P435" s="11"/>
      <c r="Q435" s="38"/>
      <c r="R435" s="38"/>
      <c r="S435" s="39">
        <f t="shared" si="6"/>
        <v>0</v>
      </c>
    </row>
    <row r="436" spans="1:19">
      <c r="A436" s="9">
        <v>434</v>
      </c>
      <c r="B436" s="23">
        <v>4971710507713</v>
      </c>
      <c r="C436" s="14" t="s">
        <v>190</v>
      </c>
      <c r="D436" s="73" t="s">
        <v>924</v>
      </c>
      <c r="E436" s="27" t="s">
        <v>191</v>
      </c>
      <c r="F436" s="11"/>
      <c r="G436" s="19"/>
      <c r="H436" s="11"/>
      <c r="I436" s="12"/>
      <c r="J436" s="11"/>
      <c r="K436" s="12"/>
      <c r="L436" s="19"/>
      <c r="M436" s="19"/>
      <c r="N436" s="19"/>
      <c r="O436" s="11"/>
      <c r="P436" s="11"/>
      <c r="Q436" s="38"/>
      <c r="R436" s="38"/>
      <c r="S436" s="39">
        <f t="shared" si="6"/>
        <v>0</v>
      </c>
    </row>
    <row r="437" spans="1:19">
      <c r="A437" s="9">
        <v>435</v>
      </c>
      <c r="B437" s="23">
        <v>4971710507720</v>
      </c>
      <c r="C437" s="14" t="s">
        <v>192</v>
      </c>
      <c r="D437" s="73" t="s">
        <v>924</v>
      </c>
      <c r="E437" s="27" t="s">
        <v>193</v>
      </c>
      <c r="F437" s="11"/>
      <c r="G437" s="19"/>
      <c r="H437" s="11"/>
      <c r="I437" s="12"/>
      <c r="J437" s="11"/>
      <c r="K437" s="12"/>
      <c r="L437" s="19"/>
      <c r="M437" s="19"/>
      <c r="N437" s="19"/>
      <c r="O437" s="11"/>
      <c r="P437" s="11"/>
      <c r="Q437" s="38"/>
      <c r="R437" s="38"/>
      <c r="S437" s="39">
        <f t="shared" si="6"/>
        <v>0</v>
      </c>
    </row>
    <row r="438" spans="1:19">
      <c r="A438" s="9">
        <v>436</v>
      </c>
      <c r="B438" s="23">
        <v>4971710507737</v>
      </c>
      <c r="C438" s="14" t="s">
        <v>194</v>
      </c>
      <c r="D438" s="73" t="s">
        <v>924</v>
      </c>
      <c r="E438" s="27" t="s">
        <v>195</v>
      </c>
      <c r="F438" s="11"/>
      <c r="G438" s="19"/>
      <c r="H438" s="11"/>
      <c r="I438" s="12"/>
      <c r="J438" s="11"/>
      <c r="K438" s="12"/>
      <c r="L438" s="19"/>
      <c r="M438" s="19"/>
      <c r="N438" s="19"/>
      <c r="O438" s="11"/>
      <c r="P438" s="11"/>
      <c r="Q438" s="38"/>
      <c r="R438" s="38"/>
      <c r="S438" s="39">
        <f t="shared" si="6"/>
        <v>0</v>
      </c>
    </row>
    <row r="439" spans="1:19">
      <c r="A439" s="9">
        <v>437</v>
      </c>
      <c r="B439" s="23">
        <v>4971710507744</v>
      </c>
      <c r="C439" s="14" t="s">
        <v>196</v>
      </c>
      <c r="D439" s="73" t="s">
        <v>924</v>
      </c>
      <c r="E439" s="27" t="s">
        <v>197</v>
      </c>
      <c r="F439" s="11"/>
      <c r="G439" s="19"/>
      <c r="H439" s="11"/>
      <c r="I439" s="12"/>
      <c r="J439" s="11"/>
      <c r="K439" s="12"/>
      <c r="L439" s="19"/>
      <c r="M439" s="19"/>
      <c r="N439" s="19"/>
      <c r="O439" s="11"/>
      <c r="P439" s="11"/>
      <c r="Q439" s="38"/>
      <c r="R439" s="38"/>
      <c r="S439" s="39">
        <f t="shared" si="6"/>
        <v>0</v>
      </c>
    </row>
    <row r="440" spans="1:19">
      <c r="A440" s="9">
        <v>438</v>
      </c>
      <c r="B440" s="23">
        <v>4971710510225</v>
      </c>
      <c r="C440" s="14" t="s">
        <v>208</v>
      </c>
      <c r="D440" s="73" t="s">
        <v>924</v>
      </c>
      <c r="E440" s="27" t="s">
        <v>209</v>
      </c>
      <c r="F440" s="11"/>
      <c r="G440" s="19"/>
      <c r="H440" s="11"/>
      <c r="I440" s="12"/>
      <c r="J440" s="11"/>
      <c r="K440" s="12"/>
      <c r="L440" s="19"/>
      <c r="M440" s="19"/>
      <c r="N440" s="19"/>
      <c r="O440" s="11"/>
      <c r="P440" s="11"/>
      <c r="Q440" s="38"/>
      <c r="R440" s="38"/>
      <c r="S440" s="39">
        <f t="shared" si="6"/>
        <v>0</v>
      </c>
    </row>
    <row r="441" spans="1:19">
      <c r="A441" s="9">
        <v>439</v>
      </c>
      <c r="B441" s="23">
        <v>4971710510232</v>
      </c>
      <c r="C441" s="14" t="s">
        <v>210</v>
      </c>
      <c r="D441" s="73" t="s">
        <v>924</v>
      </c>
      <c r="E441" s="27" t="s">
        <v>211</v>
      </c>
      <c r="F441" s="11"/>
      <c r="G441" s="19"/>
      <c r="H441" s="11"/>
      <c r="I441" s="12"/>
      <c r="J441" s="11"/>
      <c r="K441" s="12"/>
      <c r="L441" s="19"/>
      <c r="M441" s="19"/>
      <c r="N441" s="19"/>
      <c r="O441" s="11"/>
      <c r="P441" s="11"/>
      <c r="Q441" s="38"/>
      <c r="R441" s="38"/>
      <c r="S441" s="39">
        <f t="shared" si="6"/>
        <v>0</v>
      </c>
    </row>
    <row r="442" spans="1:19">
      <c r="A442" s="9">
        <v>440</v>
      </c>
      <c r="B442" s="23">
        <v>4971710511802</v>
      </c>
      <c r="C442" s="14" t="s">
        <v>216</v>
      </c>
      <c r="D442" s="73" t="s">
        <v>924</v>
      </c>
      <c r="E442" s="27" t="s">
        <v>217</v>
      </c>
      <c r="F442" s="11"/>
      <c r="G442" s="19"/>
      <c r="H442" s="11"/>
      <c r="I442" s="12"/>
      <c r="J442" s="11"/>
      <c r="K442" s="12"/>
      <c r="L442" s="19"/>
      <c r="M442" s="19"/>
      <c r="N442" s="19"/>
      <c r="O442" s="11"/>
      <c r="P442" s="11"/>
      <c r="Q442" s="38"/>
      <c r="R442" s="38"/>
      <c r="S442" s="39">
        <f t="shared" si="6"/>
        <v>0</v>
      </c>
    </row>
    <row r="443" spans="1:19">
      <c r="A443" s="8">
        <v>441</v>
      </c>
      <c r="B443" s="36">
        <v>4971710511819</v>
      </c>
      <c r="C443" s="36" t="s">
        <v>218</v>
      </c>
      <c r="D443" s="73" t="s">
        <v>924</v>
      </c>
      <c r="E443" s="37" t="s">
        <v>219</v>
      </c>
      <c r="F443" s="11"/>
      <c r="G443" s="33"/>
      <c r="H443" s="11"/>
      <c r="I443" s="12"/>
      <c r="J443" s="11"/>
      <c r="K443" s="12"/>
      <c r="L443" s="33"/>
      <c r="M443" s="33"/>
      <c r="N443" s="33"/>
      <c r="O443" s="33"/>
      <c r="P443" s="33"/>
      <c r="Q443" s="38"/>
      <c r="R443" s="38"/>
      <c r="S443" s="39">
        <f t="shared" si="6"/>
        <v>0</v>
      </c>
    </row>
    <row r="444" spans="1:19">
      <c r="A444" s="8">
        <v>442</v>
      </c>
      <c r="B444" s="36">
        <v>4971710511826</v>
      </c>
      <c r="C444" s="36" t="s">
        <v>220</v>
      </c>
      <c r="D444" s="73" t="s">
        <v>924</v>
      </c>
      <c r="E444" s="37" t="s">
        <v>221</v>
      </c>
      <c r="F444" s="11"/>
      <c r="G444" s="33"/>
      <c r="H444" s="11"/>
      <c r="I444" s="12"/>
      <c r="J444" s="11"/>
      <c r="K444" s="12"/>
      <c r="L444" s="33"/>
      <c r="M444" s="33"/>
      <c r="N444" s="33"/>
      <c r="O444" s="33"/>
      <c r="P444" s="33"/>
      <c r="Q444" s="38"/>
      <c r="R444" s="38"/>
      <c r="S444" s="39">
        <f t="shared" si="6"/>
        <v>0</v>
      </c>
    </row>
    <row r="445" spans="1:19">
      <c r="A445" s="8">
        <v>443</v>
      </c>
      <c r="B445" s="36">
        <v>4971710511888</v>
      </c>
      <c r="C445" s="36" t="s">
        <v>228</v>
      </c>
      <c r="D445" s="73" t="s">
        <v>924</v>
      </c>
      <c r="E445" s="37" t="s">
        <v>229</v>
      </c>
      <c r="F445" s="11"/>
      <c r="G445" s="33"/>
      <c r="H445" s="11"/>
      <c r="I445" s="12"/>
      <c r="J445" s="11"/>
      <c r="K445" s="12"/>
      <c r="L445" s="33"/>
      <c r="M445" s="33"/>
      <c r="N445" s="33"/>
      <c r="O445" s="33"/>
      <c r="P445" s="33"/>
      <c r="Q445" s="38"/>
      <c r="R445" s="38"/>
      <c r="S445" s="39">
        <f t="shared" si="6"/>
        <v>0</v>
      </c>
    </row>
    <row r="446" spans="1:19">
      <c r="A446" s="8">
        <v>444</v>
      </c>
      <c r="B446" s="36">
        <v>4971710511901</v>
      </c>
      <c r="C446" s="36" t="s">
        <v>232</v>
      </c>
      <c r="D446" s="73" t="s">
        <v>924</v>
      </c>
      <c r="E446" s="37" t="s">
        <v>233</v>
      </c>
      <c r="F446" s="11"/>
      <c r="G446" s="33"/>
      <c r="H446" s="11"/>
      <c r="I446" s="12"/>
      <c r="J446" s="11"/>
      <c r="K446" s="12"/>
      <c r="L446" s="33"/>
      <c r="M446" s="33"/>
      <c r="N446" s="33"/>
      <c r="O446" s="33"/>
      <c r="P446" s="33"/>
      <c r="Q446" s="38"/>
      <c r="R446" s="38"/>
      <c r="S446" s="39">
        <f t="shared" si="6"/>
        <v>0</v>
      </c>
    </row>
    <row r="447" spans="1:19">
      <c r="A447" s="8">
        <v>445</v>
      </c>
      <c r="B447" s="36">
        <v>4971710511925</v>
      </c>
      <c r="C447" s="36" t="s">
        <v>236</v>
      </c>
      <c r="D447" s="73" t="s">
        <v>924</v>
      </c>
      <c r="E447" s="37" t="s">
        <v>237</v>
      </c>
      <c r="F447" s="11"/>
      <c r="G447" s="33"/>
      <c r="H447" s="11"/>
      <c r="I447" s="12"/>
      <c r="J447" s="11"/>
      <c r="K447" s="12"/>
      <c r="L447" s="33"/>
      <c r="M447" s="33"/>
      <c r="N447" s="33"/>
      <c r="O447" s="33"/>
      <c r="P447" s="33"/>
      <c r="Q447" s="38"/>
      <c r="R447" s="38"/>
      <c r="S447" s="39">
        <f t="shared" si="6"/>
        <v>0</v>
      </c>
    </row>
    <row r="448" spans="1:19">
      <c r="A448" s="8">
        <v>446</v>
      </c>
      <c r="B448" s="36">
        <v>4971710511949</v>
      </c>
      <c r="C448" s="36" t="s">
        <v>240</v>
      </c>
      <c r="D448" s="73" t="s">
        <v>924</v>
      </c>
      <c r="E448" s="37" t="s">
        <v>241</v>
      </c>
      <c r="F448" s="11"/>
      <c r="G448" s="33"/>
      <c r="H448" s="11"/>
      <c r="I448" s="12"/>
      <c r="J448" s="11"/>
      <c r="K448" s="12"/>
      <c r="L448" s="33"/>
      <c r="M448" s="33"/>
      <c r="N448" s="33"/>
      <c r="O448" s="33"/>
      <c r="P448" s="33"/>
      <c r="Q448" s="38"/>
      <c r="R448" s="38"/>
      <c r="S448" s="39">
        <f t="shared" si="6"/>
        <v>0</v>
      </c>
    </row>
    <row r="449" spans="1:19">
      <c r="A449" s="8">
        <v>447</v>
      </c>
      <c r="B449" s="36">
        <v>4971710514681</v>
      </c>
      <c r="C449" s="36" t="s">
        <v>308</v>
      </c>
      <c r="D449" s="73" t="s">
        <v>924</v>
      </c>
      <c r="E449" s="37" t="s">
        <v>309</v>
      </c>
      <c r="F449" s="11"/>
      <c r="G449" s="33"/>
      <c r="H449" s="11"/>
      <c r="I449" s="12"/>
      <c r="J449" s="11"/>
      <c r="K449" s="12"/>
      <c r="L449" s="33"/>
      <c r="M449" s="33"/>
      <c r="N449" s="33"/>
      <c r="O449" s="33"/>
      <c r="P449" s="33"/>
      <c r="Q449" s="38"/>
      <c r="R449" s="38"/>
      <c r="S449" s="39">
        <f t="shared" si="6"/>
        <v>0</v>
      </c>
    </row>
    <row r="450" spans="1:19">
      <c r="A450" s="8">
        <v>448</v>
      </c>
      <c r="B450" s="36">
        <v>4971710519143</v>
      </c>
      <c r="C450" s="36" t="s">
        <v>340</v>
      </c>
      <c r="D450" s="73" t="s">
        <v>924</v>
      </c>
      <c r="E450" s="37" t="s">
        <v>341</v>
      </c>
      <c r="F450" s="11"/>
      <c r="G450" s="33"/>
      <c r="H450" s="11"/>
      <c r="I450" s="12"/>
      <c r="J450" s="11"/>
      <c r="K450" s="12"/>
      <c r="L450" s="33"/>
      <c r="M450" s="33"/>
      <c r="N450" s="33"/>
      <c r="O450" s="33"/>
      <c r="P450" s="33"/>
      <c r="Q450" s="38"/>
      <c r="R450" s="38"/>
      <c r="S450" s="39">
        <f t="shared" si="6"/>
        <v>0</v>
      </c>
    </row>
    <row r="451" spans="1:19">
      <c r="A451" s="8">
        <v>449</v>
      </c>
      <c r="B451" s="36">
        <v>4971710522457</v>
      </c>
      <c r="C451" s="36" t="s">
        <v>386</v>
      </c>
      <c r="D451" s="73" t="s">
        <v>924</v>
      </c>
      <c r="E451" s="37" t="s">
        <v>387</v>
      </c>
      <c r="F451" s="11"/>
      <c r="G451" s="33"/>
      <c r="H451" s="11"/>
      <c r="I451" s="12"/>
      <c r="J451" s="11"/>
      <c r="K451" s="12"/>
      <c r="L451" s="33"/>
      <c r="M451" s="33"/>
      <c r="N451" s="33"/>
      <c r="O451" s="33"/>
      <c r="P451" s="33"/>
      <c r="Q451" s="38"/>
      <c r="R451" s="38"/>
      <c r="S451" s="39">
        <f t="shared" ref="S451:S465" si="7">F451+G451+H451+I451+J451+K451+L451+M451+N451+ O451+P451+Q451+R451</f>
        <v>0</v>
      </c>
    </row>
    <row r="452" spans="1:19">
      <c r="A452" s="8">
        <v>450</v>
      </c>
      <c r="B452" s="36">
        <v>4971710524871</v>
      </c>
      <c r="C452" s="36" t="s">
        <v>404</v>
      </c>
      <c r="D452" s="73" t="s">
        <v>924</v>
      </c>
      <c r="E452" s="37" t="s">
        <v>405</v>
      </c>
      <c r="F452" s="11"/>
      <c r="G452" s="33"/>
      <c r="H452" s="11"/>
      <c r="I452" s="12"/>
      <c r="J452" s="11"/>
      <c r="K452" s="12"/>
      <c r="L452" s="33"/>
      <c r="M452" s="33"/>
      <c r="N452" s="33"/>
      <c r="O452" s="33"/>
      <c r="P452" s="33"/>
      <c r="Q452" s="38"/>
      <c r="R452" s="38"/>
      <c r="S452" s="39">
        <f t="shared" si="7"/>
        <v>0</v>
      </c>
    </row>
    <row r="453" spans="1:19">
      <c r="A453" s="8">
        <v>451</v>
      </c>
      <c r="B453" s="36">
        <v>4971710524888</v>
      </c>
      <c r="C453" s="36" t="s">
        <v>406</v>
      </c>
      <c r="D453" s="73" t="s">
        <v>924</v>
      </c>
      <c r="E453" s="37" t="s">
        <v>407</v>
      </c>
      <c r="F453" s="11"/>
      <c r="G453" s="33"/>
      <c r="H453" s="11"/>
      <c r="I453" s="12"/>
      <c r="J453" s="11"/>
      <c r="K453" s="12"/>
      <c r="L453" s="33"/>
      <c r="M453" s="33"/>
      <c r="N453" s="33"/>
      <c r="O453" s="33"/>
      <c r="P453" s="33"/>
      <c r="Q453" s="38"/>
      <c r="R453" s="38"/>
      <c r="S453" s="39">
        <f t="shared" si="7"/>
        <v>0</v>
      </c>
    </row>
    <row r="454" spans="1:19">
      <c r="A454" s="8">
        <v>452</v>
      </c>
      <c r="B454" s="36">
        <v>4971710561319</v>
      </c>
      <c r="C454" s="36" t="s">
        <v>476</v>
      </c>
      <c r="D454" s="73" t="s">
        <v>924</v>
      </c>
      <c r="E454" s="37" t="s">
        <v>477</v>
      </c>
      <c r="F454" s="11"/>
      <c r="G454" s="33"/>
      <c r="H454" s="11"/>
      <c r="I454" s="12"/>
      <c r="J454" s="11"/>
      <c r="K454" s="12"/>
      <c r="L454" s="33"/>
      <c r="M454" s="33"/>
      <c r="N454" s="33"/>
      <c r="O454" s="33"/>
      <c r="P454" s="33"/>
      <c r="Q454" s="38"/>
      <c r="R454" s="38"/>
      <c r="S454" s="39">
        <f t="shared" si="7"/>
        <v>0</v>
      </c>
    </row>
    <row r="455" spans="1:19">
      <c r="A455" s="8">
        <v>453</v>
      </c>
      <c r="B455" s="36">
        <v>4971710564792</v>
      </c>
      <c r="C455" s="36" t="s">
        <v>494</v>
      </c>
      <c r="D455" s="73" t="s">
        <v>924</v>
      </c>
      <c r="E455" s="37" t="s">
        <v>495</v>
      </c>
      <c r="F455" s="11"/>
      <c r="G455" s="33"/>
      <c r="H455" s="11"/>
      <c r="I455" s="12"/>
      <c r="J455" s="11"/>
      <c r="K455" s="12"/>
      <c r="L455" s="33"/>
      <c r="M455" s="33"/>
      <c r="N455" s="33"/>
      <c r="O455" s="33"/>
      <c r="P455" s="33"/>
      <c r="Q455" s="38"/>
      <c r="R455" s="38"/>
      <c r="S455" s="39">
        <f t="shared" si="7"/>
        <v>0</v>
      </c>
    </row>
    <row r="456" spans="1:19">
      <c r="A456" s="8">
        <v>454</v>
      </c>
      <c r="B456" s="36">
        <v>4971710568653</v>
      </c>
      <c r="C456" s="36" t="s">
        <v>528</v>
      </c>
      <c r="D456" s="73" t="s">
        <v>924</v>
      </c>
      <c r="E456" s="37" t="s">
        <v>529</v>
      </c>
      <c r="F456" s="11"/>
      <c r="G456" s="33"/>
      <c r="H456" s="11"/>
      <c r="I456" s="12"/>
      <c r="J456" s="11"/>
      <c r="K456" s="12"/>
      <c r="L456" s="33"/>
      <c r="M456" s="33"/>
      <c r="N456" s="33"/>
      <c r="O456" s="33"/>
      <c r="P456" s="33"/>
      <c r="Q456" s="38"/>
      <c r="R456" s="38"/>
      <c r="S456" s="39">
        <f t="shared" si="7"/>
        <v>0</v>
      </c>
    </row>
    <row r="457" spans="1:19">
      <c r="A457" s="8">
        <v>455</v>
      </c>
      <c r="B457" s="36">
        <v>4971710570717</v>
      </c>
      <c r="C457" s="36" t="s">
        <v>546</v>
      </c>
      <c r="D457" s="73" t="s">
        <v>924</v>
      </c>
      <c r="E457" s="37" t="s">
        <v>547</v>
      </c>
      <c r="F457" s="11"/>
      <c r="G457" s="33"/>
      <c r="H457" s="11"/>
      <c r="I457" s="12"/>
      <c r="J457" s="11"/>
      <c r="K457" s="12"/>
      <c r="L457" s="33"/>
      <c r="M457" s="33"/>
      <c r="N457" s="33"/>
      <c r="O457" s="33"/>
      <c r="P457" s="33"/>
      <c r="Q457" s="38"/>
      <c r="R457" s="38"/>
      <c r="S457" s="39">
        <f t="shared" si="7"/>
        <v>0</v>
      </c>
    </row>
    <row r="458" spans="1:19">
      <c r="A458" s="8">
        <v>456</v>
      </c>
      <c r="B458" s="36">
        <v>4971710570724</v>
      </c>
      <c r="C458" s="36" t="s">
        <v>548</v>
      </c>
      <c r="D458" s="73" t="s">
        <v>924</v>
      </c>
      <c r="E458" s="37" t="s">
        <v>549</v>
      </c>
      <c r="F458" s="11"/>
      <c r="G458" s="33"/>
      <c r="H458" s="11"/>
      <c r="I458" s="12"/>
      <c r="J458" s="11"/>
      <c r="K458" s="12"/>
      <c r="L458" s="33"/>
      <c r="M458" s="33"/>
      <c r="N458" s="33"/>
      <c r="O458" s="33"/>
      <c r="P458" s="33"/>
      <c r="Q458" s="38"/>
      <c r="R458" s="38"/>
      <c r="S458" s="39">
        <f t="shared" si="7"/>
        <v>0</v>
      </c>
    </row>
    <row r="459" spans="1:19">
      <c r="A459" s="8">
        <v>457</v>
      </c>
      <c r="B459" s="36">
        <v>4971710573954</v>
      </c>
      <c r="C459" s="36" t="s">
        <v>578</v>
      </c>
      <c r="D459" s="73" t="s">
        <v>924</v>
      </c>
      <c r="E459" s="37" t="s">
        <v>579</v>
      </c>
      <c r="F459" s="11"/>
      <c r="G459" s="33"/>
      <c r="H459" s="11"/>
      <c r="I459" s="12"/>
      <c r="J459" s="11"/>
      <c r="K459" s="12"/>
      <c r="L459" s="33"/>
      <c r="M459" s="33"/>
      <c r="N459" s="33"/>
      <c r="O459" s="33"/>
      <c r="P459" s="33"/>
      <c r="Q459" s="38"/>
      <c r="R459" s="38"/>
      <c r="S459" s="39">
        <f t="shared" si="7"/>
        <v>0</v>
      </c>
    </row>
    <row r="460" spans="1:19">
      <c r="A460" s="8">
        <v>458</v>
      </c>
      <c r="B460" s="36">
        <v>4971710573961</v>
      </c>
      <c r="C460" s="36" t="s">
        <v>580</v>
      </c>
      <c r="D460" s="73" t="s">
        <v>924</v>
      </c>
      <c r="E460" s="37" t="s">
        <v>581</v>
      </c>
      <c r="F460" s="11"/>
      <c r="G460" s="33"/>
      <c r="H460" s="11"/>
      <c r="I460" s="12"/>
      <c r="J460" s="11"/>
      <c r="K460" s="12"/>
      <c r="L460" s="33"/>
      <c r="M460" s="33"/>
      <c r="N460" s="33"/>
      <c r="O460" s="33"/>
      <c r="P460" s="33"/>
      <c r="Q460" s="38"/>
      <c r="R460" s="38"/>
      <c r="S460" s="39">
        <f t="shared" si="7"/>
        <v>0</v>
      </c>
    </row>
    <row r="461" spans="1:19">
      <c r="A461" s="8">
        <v>459</v>
      </c>
      <c r="B461" s="36">
        <v>4971710577358</v>
      </c>
      <c r="C461" s="36" t="s">
        <v>621</v>
      </c>
      <c r="D461" s="73" t="s">
        <v>924</v>
      </c>
      <c r="E461" s="37" t="s">
        <v>622</v>
      </c>
      <c r="F461" s="11"/>
      <c r="G461" s="33"/>
      <c r="H461" s="11"/>
      <c r="I461" s="12"/>
      <c r="J461" s="11"/>
      <c r="K461" s="12"/>
      <c r="L461" s="33"/>
      <c r="M461" s="33"/>
      <c r="N461" s="33"/>
      <c r="O461" s="33"/>
      <c r="P461" s="33"/>
      <c r="Q461" s="38"/>
      <c r="R461" s="38"/>
      <c r="S461" s="39">
        <f t="shared" si="7"/>
        <v>0</v>
      </c>
    </row>
    <row r="462" spans="1:19">
      <c r="A462" s="8">
        <v>460</v>
      </c>
      <c r="B462" s="36">
        <v>4971710487794</v>
      </c>
      <c r="C462" s="36" t="s">
        <v>68</v>
      </c>
      <c r="D462" s="73" t="s">
        <v>924</v>
      </c>
      <c r="E462" s="37" t="s">
        <v>69</v>
      </c>
      <c r="F462" s="11"/>
      <c r="G462" s="33"/>
      <c r="H462" s="11">
        <v>0</v>
      </c>
      <c r="I462" s="12"/>
      <c r="J462" s="11"/>
      <c r="K462" s="12"/>
      <c r="L462" s="33"/>
      <c r="M462" s="33"/>
      <c r="N462" s="33"/>
      <c r="O462" s="33"/>
      <c r="P462" s="33"/>
      <c r="Q462" s="38"/>
      <c r="R462" s="38"/>
      <c r="S462" s="39">
        <f t="shared" si="7"/>
        <v>0</v>
      </c>
    </row>
    <row r="463" spans="1:19">
      <c r="A463" s="8">
        <v>461</v>
      </c>
      <c r="B463" s="36">
        <v>4971710491647</v>
      </c>
      <c r="C463" s="36" t="s">
        <v>108</v>
      </c>
      <c r="D463" s="73" t="s">
        <v>924</v>
      </c>
      <c r="E463" s="37" t="s">
        <v>109</v>
      </c>
      <c r="F463" s="11"/>
      <c r="G463" s="33"/>
      <c r="H463" s="11">
        <v>0</v>
      </c>
      <c r="I463" s="12"/>
      <c r="J463" s="11"/>
      <c r="K463" s="12"/>
      <c r="L463" s="33"/>
      <c r="M463" s="33"/>
      <c r="N463" s="33"/>
      <c r="O463" s="33"/>
      <c r="P463" s="33"/>
      <c r="Q463" s="38"/>
      <c r="R463" s="38"/>
      <c r="S463" s="39">
        <f t="shared" si="7"/>
        <v>0</v>
      </c>
    </row>
    <row r="464" spans="1:19">
      <c r="A464" s="8">
        <v>462</v>
      </c>
      <c r="B464" s="36">
        <v>4971710511864</v>
      </c>
      <c r="C464" s="36" t="s">
        <v>224</v>
      </c>
      <c r="D464" s="73" t="s">
        <v>924</v>
      </c>
      <c r="E464" s="37" t="s">
        <v>225</v>
      </c>
      <c r="F464" s="11"/>
      <c r="G464" s="33"/>
      <c r="H464" s="11">
        <v>0</v>
      </c>
      <c r="I464" s="12"/>
      <c r="J464" s="11"/>
      <c r="K464" s="12"/>
      <c r="L464" s="33"/>
      <c r="M464" s="33"/>
      <c r="N464" s="33"/>
      <c r="O464" s="33"/>
      <c r="P464" s="33"/>
      <c r="Q464" s="38"/>
      <c r="R464" s="38"/>
      <c r="S464" s="39">
        <f t="shared" si="7"/>
        <v>0</v>
      </c>
    </row>
    <row r="465" spans="1:19">
      <c r="A465" s="8">
        <v>463</v>
      </c>
      <c r="B465" s="36">
        <v>4971710573220</v>
      </c>
      <c r="C465" s="36" t="s">
        <v>570</v>
      </c>
      <c r="D465" s="73" t="s">
        <v>920</v>
      </c>
      <c r="E465" s="37" t="s">
        <v>571</v>
      </c>
      <c r="F465" s="11"/>
      <c r="G465" s="33"/>
      <c r="H465" s="11"/>
      <c r="I465" s="12"/>
      <c r="J465" s="11"/>
      <c r="K465" s="12"/>
      <c r="L465" s="33"/>
      <c r="M465" s="33"/>
      <c r="N465" s="33"/>
      <c r="O465" s="33"/>
      <c r="P465" s="33"/>
      <c r="Q465" s="38"/>
      <c r="R465" s="38"/>
      <c r="S465" s="39">
        <f t="shared" si="7"/>
        <v>0</v>
      </c>
    </row>
  </sheetData>
  <autoFilter ref="A1:L465" xr:uid="{00000000-0009-0000-0000-000006000000}"/>
  <mergeCells count="4">
    <mergeCell ref="A1:A2"/>
    <mergeCell ref="C1:C2"/>
    <mergeCell ref="D1:D2"/>
    <mergeCell ref="E1:E2"/>
  </mergeCells>
  <phoneticPr fontId="3"/>
  <conditionalFormatting sqref="B439:B454 B1:B433 B461:B1048576">
    <cfRule type="duplicateValues" dxfId="115" priority="35"/>
  </conditionalFormatting>
  <conditionalFormatting sqref="B434:B438">
    <cfRule type="duplicateValues" dxfId="114" priority="32"/>
  </conditionalFormatting>
  <conditionalFormatting sqref="B459:B460">
    <cfRule type="duplicateValues" dxfId="113" priority="26"/>
  </conditionalFormatting>
  <conditionalFormatting sqref="B457:B458">
    <cfRule type="duplicateValues" dxfId="112" priority="22"/>
  </conditionalFormatting>
  <conditionalFormatting sqref="B455:B456">
    <cfRule type="duplicateValues" dxfId="111" priority="18"/>
  </conditionalFormatting>
  <conditionalFormatting sqref="B1:B1048576">
    <cfRule type="duplicateValues" dxfId="110" priority="17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4"/>
  <sheetViews>
    <sheetView zoomScale="60" zoomScaleNormal="60" workbookViewId="0">
      <selection activeCell="Q25" sqref="Q25"/>
    </sheetView>
  </sheetViews>
  <sheetFormatPr defaultRowHeight="12"/>
  <cols>
    <col min="1" max="1" width="4.6328125" style="1" customWidth="1"/>
    <col min="2" max="2" width="19.7265625" style="1" customWidth="1"/>
    <col min="3" max="3" width="10.1796875" style="1" customWidth="1"/>
    <col min="4" max="4" width="42.36328125" style="1" customWidth="1"/>
    <col min="5" max="11" width="13.26953125" style="2" customWidth="1"/>
    <col min="12" max="12" width="13.6328125" style="1" customWidth="1"/>
    <col min="13" max="13" width="14" style="1" customWidth="1"/>
    <col min="14" max="16384" width="8.7265625" style="1"/>
  </cols>
  <sheetData>
    <row r="1" spans="1:13" ht="14.5" customHeight="1">
      <c r="A1" s="26" t="s">
        <v>784</v>
      </c>
      <c r="B1" s="28" t="s">
        <v>787</v>
      </c>
      <c r="C1" s="26" t="s">
        <v>3</v>
      </c>
      <c r="D1" s="26" t="s">
        <v>4</v>
      </c>
      <c r="E1" s="35">
        <v>45658</v>
      </c>
      <c r="F1" s="35">
        <v>45690</v>
      </c>
      <c r="G1" s="35">
        <v>45722</v>
      </c>
      <c r="H1" s="35">
        <v>45754</v>
      </c>
      <c r="I1" s="35">
        <v>45786</v>
      </c>
      <c r="J1" s="35">
        <v>45818</v>
      </c>
      <c r="K1" s="35">
        <v>45848</v>
      </c>
      <c r="L1" s="35">
        <v>45880</v>
      </c>
      <c r="M1" s="35">
        <v>45912</v>
      </c>
    </row>
    <row r="2" spans="1:13" s="22" customFormat="1">
      <c r="A2" s="24" t="s">
        <v>0</v>
      </c>
      <c r="B2" s="25"/>
      <c r="C2" s="25"/>
      <c r="D2" s="34" t="s">
        <v>0</v>
      </c>
      <c r="E2" s="21">
        <v>30890.606000000003</v>
      </c>
      <c r="F2" s="21">
        <v>20628.739999999998</v>
      </c>
      <c r="G2" s="21">
        <v>17188.097000000002</v>
      </c>
      <c r="H2" s="21">
        <v>28318.053</v>
      </c>
      <c r="I2" s="21">
        <v>66469.657999999996</v>
      </c>
      <c r="J2" s="21">
        <v>21138.327000000001</v>
      </c>
      <c r="K2" s="21">
        <v>50492.853000000003</v>
      </c>
      <c r="L2" s="21">
        <v>39510.953999999998</v>
      </c>
      <c r="M2" s="21">
        <v>165876.90100000001</v>
      </c>
    </row>
    <row r="3" spans="1:13">
      <c r="A3" s="7">
        <v>1</v>
      </c>
      <c r="B3" s="8">
        <v>4971710576306</v>
      </c>
      <c r="C3" s="9" t="s">
        <v>609</v>
      </c>
      <c r="D3" s="10" t="s">
        <v>610</v>
      </c>
      <c r="E3" s="11">
        <v>1333.2</v>
      </c>
      <c r="F3" s="12">
        <v>2360.8200000000002</v>
      </c>
      <c r="G3" s="11">
        <v>5488.56</v>
      </c>
      <c r="H3" s="11">
        <v>8102.16</v>
      </c>
      <c r="I3" s="11">
        <v>13332.66</v>
      </c>
      <c r="J3" s="11">
        <v>9139.68</v>
      </c>
      <c r="K3" s="11">
        <v>20606.52</v>
      </c>
      <c r="L3" s="22">
        <v>6600</v>
      </c>
      <c r="M3" s="22">
        <v>42472.32</v>
      </c>
    </row>
    <row r="4" spans="1:13">
      <c r="A4" s="9">
        <v>2</v>
      </c>
      <c r="B4" s="13">
        <v>4971710565065</v>
      </c>
      <c r="C4" s="14" t="s">
        <v>504</v>
      </c>
      <c r="D4" s="15" t="s">
        <v>505</v>
      </c>
      <c r="E4" s="16">
        <v>9190.5</v>
      </c>
      <c r="F4" s="17">
        <v>7312.25</v>
      </c>
      <c r="G4" s="16">
        <v>2546.5</v>
      </c>
      <c r="H4" s="11">
        <v>6083</v>
      </c>
      <c r="I4" s="11">
        <v>16464.25</v>
      </c>
      <c r="J4" s="11">
        <v>3080</v>
      </c>
      <c r="K4" s="11">
        <v>7144.5</v>
      </c>
      <c r="L4" s="1">
        <v>4675</v>
      </c>
      <c r="M4" s="22">
        <v>45254</v>
      </c>
    </row>
  </sheetData>
  <phoneticPr fontId="3"/>
  <conditionalFormatting sqref="B2">
    <cfRule type="duplicateValues" dxfId="109" priority="1"/>
  </conditionalFormatting>
  <conditionalFormatting sqref="B1 B3:B1048576">
    <cfRule type="duplicateValues" dxfId="108" priority="67"/>
  </conditionalFormatting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13"/>
  <sheetViews>
    <sheetView workbookViewId="0">
      <selection activeCell="Q25" sqref="Q25"/>
    </sheetView>
  </sheetViews>
  <sheetFormatPr defaultRowHeight="13"/>
  <cols>
    <col min="1" max="1" width="2.26953125" style="57" customWidth="1"/>
    <col min="2" max="2" width="6.90625" style="57" customWidth="1"/>
    <col min="3" max="3" width="24" style="57" customWidth="1"/>
    <col min="4" max="6" width="8.7265625" style="57"/>
    <col min="7" max="12" width="7.6328125" style="57" customWidth="1"/>
    <col min="13" max="13" width="7.1796875" style="57" customWidth="1"/>
    <col min="14" max="16384" width="8.7265625" style="57"/>
  </cols>
  <sheetData>
    <row r="1" spans="1:12">
      <c r="K1" s="58" t="s">
        <v>913</v>
      </c>
    </row>
    <row r="2" spans="1:12" ht="15" customHeight="1">
      <c r="A2" s="179" t="s">
        <v>908</v>
      </c>
      <c r="B2" s="178" t="s">
        <v>3</v>
      </c>
      <c r="C2" s="178" t="s">
        <v>4</v>
      </c>
      <c r="D2" s="180" t="s">
        <v>918</v>
      </c>
      <c r="E2" s="176" t="s">
        <v>915</v>
      </c>
      <c r="F2" s="177"/>
      <c r="G2" s="176" t="s">
        <v>909</v>
      </c>
      <c r="H2" s="177"/>
      <c r="I2" s="176" t="s">
        <v>912</v>
      </c>
      <c r="J2" s="177"/>
      <c r="K2" s="176" t="s">
        <v>874</v>
      </c>
      <c r="L2" s="177"/>
    </row>
    <row r="3" spans="1:12">
      <c r="A3" s="179"/>
      <c r="B3" s="178"/>
      <c r="C3" s="178"/>
      <c r="D3" s="181"/>
      <c r="E3" s="59" t="s">
        <v>914</v>
      </c>
      <c r="F3" s="59" t="s">
        <v>911</v>
      </c>
      <c r="G3" s="59" t="s">
        <v>914</v>
      </c>
      <c r="H3" s="59" t="s">
        <v>911</v>
      </c>
      <c r="I3" s="59" t="s">
        <v>914</v>
      </c>
      <c r="J3" s="59" t="s">
        <v>911</v>
      </c>
      <c r="K3" s="59" t="s">
        <v>910</v>
      </c>
      <c r="L3" s="59" t="s">
        <v>911</v>
      </c>
    </row>
    <row r="4" spans="1:12">
      <c r="A4" s="60">
        <v>1</v>
      </c>
      <c r="B4" s="60" t="s">
        <v>609</v>
      </c>
      <c r="C4" s="61" t="s">
        <v>917</v>
      </c>
      <c r="D4" s="62">
        <v>1200</v>
      </c>
      <c r="E4" s="62">
        <v>89</v>
      </c>
      <c r="F4" s="62">
        <v>55</v>
      </c>
      <c r="G4" s="63">
        <v>89</v>
      </c>
      <c r="H4" s="62">
        <v>69</v>
      </c>
      <c r="I4" s="63">
        <v>89</v>
      </c>
      <c r="J4" s="62">
        <v>69</v>
      </c>
      <c r="K4" s="62">
        <v>82</v>
      </c>
      <c r="L4" s="62">
        <v>69</v>
      </c>
    </row>
    <row r="5" spans="1:12">
      <c r="A5" s="64">
        <v>2</v>
      </c>
      <c r="B5" s="64" t="s">
        <v>504</v>
      </c>
      <c r="C5" s="65" t="s">
        <v>505</v>
      </c>
      <c r="D5" s="62">
        <v>5000</v>
      </c>
      <c r="E5" s="66">
        <v>280</v>
      </c>
      <c r="F5" s="67" t="s">
        <v>916</v>
      </c>
      <c r="G5" s="68">
        <v>279</v>
      </c>
      <c r="H5" s="69">
        <v>199</v>
      </c>
      <c r="I5" s="68">
        <v>279</v>
      </c>
      <c r="J5" s="69">
        <v>199</v>
      </c>
      <c r="K5" s="70">
        <v>259</v>
      </c>
      <c r="L5" s="66">
        <v>239</v>
      </c>
    </row>
    <row r="13" spans="1:12">
      <c r="C13" s="71"/>
    </row>
  </sheetData>
  <mergeCells count="8">
    <mergeCell ref="G2:H2"/>
    <mergeCell ref="I2:J2"/>
    <mergeCell ref="K2:L2"/>
    <mergeCell ref="C2:C3"/>
    <mergeCell ref="A2:A3"/>
    <mergeCell ref="B2:B3"/>
    <mergeCell ref="D2:D3"/>
    <mergeCell ref="E2:F2"/>
  </mergeCells>
  <phoneticPr fontId="3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2026累計</vt:lpstr>
      <vt:lpstr>ブランド別実績</vt:lpstr>
      <vt:lpstr>ブランド別売上推移</vt:lpstr>
      <vt:lpstr>アイテム別売上推移</vt:lpstr>
      <vt:lpstr>月別実績</vt:lpstr>
      <vt:lpstr>top10</vt:lpstr>
      <vt:lpstr>Sheet5</vt:lpstr>
      <vt:lpstr>グラフ作成用</vt:lpstr>
      <vt:lpstr>価格設定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李 暁晴</cp:lastModifiedBy>
  <dcterms:created xsi:type="dcterms:W3CDTF">2025-04-11T08:53:58Z</dcterms:created>
  <dcterms:modified xsi:type="dcterms:W3CDTF">2026-06-11T04:12:59Z</dcterms:modified>
</cp:coreProperties>
</file>