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30.事業推進課\★★直轄事業チーム\越境EC\UNQ\★売上・費用管理\売上・店消\➂出荷実績\2025\"/>
    </mc:Choice>
  </mc:AlternateContent>
  <xr:revisionPtr revIDLastSave="0" documentId="13_ncr:1_{7F507E79-5887-4EAE-A275-D2E942FA2669}" xr6:coauthVersionLast="36" xr6:coauthVersionMax="36" xr10:uidLastSave="{00000000-0000-0000-0000-000000000000}"/>
  <bookViews>
    <workbookView xWindow="240" yWindow="20" windowWidth="16100" windowHeight="9660" xr2:uid="{00000000-000D-0000-FFFF-FFFF00000000}"/>
  </bookViews>
  <sheets>
    <sheet name="2025累計" sheetId="2" r:id="rId1"/>
    <sheet name="2407から" sheetId="13" r:id="rId2"/>
    <sheet name="金額" sheetId="11" r:id="rId3"/>
    <sheet name="ブランド別売上推移" sheetId="10" r:id="rId4"/>
    <sheet name="アイテム別売上推移" sheetId="8" r:id="rId5"/>
    <sheet name="top10" sheetId="6" r:id="rId6"/>
    <sheet name="ブランド別実績" sheetId="12" r:id="rId7"/>
    <sheet name="月別実績" sheetId="7" r:id="rId8"/>
    <sheet name="グラフ作成用" sheetId="3" state="hidden" r:id="rId9"/>
    <sheet name="価格設定" sheetId="9" state="hidden" r:id="rId10"/>
  </sheets>
  <externalReferences>
    <externalReference r:id="rId11"/>
    <externalReference r:id="rId12"/>
  </externalReferences>
  <definedNames>
    <definedName name="_xlnm._FilterDatabase" localSheetId="0" hidden="1">'2025累計'!$A$1:$AE$426</definedName>
    <definedName name="_xlnm._FilterDatabase" localSheetId="1" hidden="1">'2407から'!$A$1:$AQ$548</definedName>
    <definedName name="_xlnm._FilterDatabase" localSheetId="2" hidden="1">金額!$A$1:$W$548</definedName>
  </definedNames>
  <calcPr calcId="191029"/>
</workbook>
</file>

<file path=xl/calcChain.xml><?xml version="1.0" encoding="utf-8"?>
<calcChain xmlns="http://schemas.openxmlformats.org/spreadsheetml/2006/main">
  <c r="G427" i="2" l="1"/>
  <c r="H427" i="2"/>
  <c r="I427" i="2"/>
  <c r="J427" i="2"/>
  <c r="K427" i="2"/>
  <c r="L427" i="2"/>
  <c r="M427" i="2"/>
  <c r="N427" i="2"/>
  <c r="O427" i="2"/>
  <c r="P427" i="2"/>
  <c r="Q427" i="2"/>
  <c r="R427" i="2"/>
  <c r="S427" i="2"/>
  <c r="T427" i="2"/>
  <c r="U427" i="2"/>
  <c r="V427" i="2"/>
  <c r="W427" i="2"/>
  <c r="X427" i="2"/>
  <c r="Y427" i="2"/>
  <c r="Z427" i="2"/>
  <c r="AA427" i="2"/>
  <c r="AB427" i="2"/>
  <c r="AC427" i="2"/>
  <c r="F427" i="2"/>
  <c r="O7" i="7" l="1"/>
  <c r="P7" i="7"/>
  <c r="Q7" i="7"/>
  <c r="R7" i="7"/>
  <c r="S7" i="7"/>
  <c r="T5" i="7" l="1"/>
  <c r="T4" i="7"/>
  <c r="F13" i="8"/>
  <c r="F5" i="6"/>
  <c r="F6" i="6"/>
  <c r="F7" i="6"/>
  <c r="F8" i="6"/>
  <c r="F9" i="6"/>
  <c r="F10" i="6"/>
  <c r="F11" i="6"/>
  <c r="F12" i="6"/>
  <c r="F13" i="6"/>
  <c r="F4" i="6"/>
  <c r="E3" i="8"/>
  <c r="AP3" i="13"/>
  <c r="AP548" i="13" s="1"/>
  <c r="Q548" i="13"/>
  <c r="AQ4" i="13"/>
  <c r="AQ5" i="13"/>
  <c r="AQ6" i="13"/>
  <c r="AQ7" i="13"/>
  <c r="AQ9" i="13"/>
  <c r="AQ10" i="13"/>
  <c r="AQ11" i="13"/>
  <c r="AQ8" i="13"/>
  <c r="AQ13" i="13"/>
  <c r="AQ12" i="13"/>
  <c r="AQ15" i="13"/>
  <c r="AQ16" i="13"/>
  <c r="AQ18" i="13"/>
  <c r="AQ19" i="13"/>
  <c r="AQ20" i="13"/>
  <c r="AQ14" i="13"/>
  <c r="AQ17" i="13"/>
  <c r="AQ22" i="13"/>
  <c r="AQ21" i="13"/>
  <c r="AQ23" i="13"/>
  <c r="AQ24" i="13"/>
  <c r="AQ28" i="13"/>
  <c r="AQ26" i="13"/>
  <c r="AQ25" i="13"/>
  <c r="AQ29" i="13"/>
  <c r="AQ30" i="13"/>
  <c r="AQ32" i="13"/>
  <c r="AQ35" i="13"/>
  <c r="AQ31" i="13"/>
  <c r="AQ36" i="13"/>
  <c r="AQ27" i="13"/>
  <c r="AQ34" i="13"/>
  <c r="AQ37" i="13"/>
  <c r="AQ43" i="13"/>
  <c r="AQ40" i="13"/>
  <c r="AQ41" i="13"/>
  <c r="AQ46" i="13"/>
  <c r="AQ39" i="13"/>
  <c r="AQ38" i="13"/>
  <c r="AQ44" i="13"/>
  <c r="AQ47" i="13"/>
  <c r="AQ51" i="13"/>
  <c r="AQ53" i="13"/>
  <c r="AQ50" i="13"/>
  <c r="AQ49" i="13"/>
  <c r="AQ60" i="13"/>
  <c r="AQ52" i="13"/>
  <c r="AQ62" i="13"/>
  <c r="AQ56" i="13"/>
  <c r="AQ67" i="13"/>
  <c r="AQ59" i="13"/>
  <c r="AQ64" i="13"/>
  <c r="AQ48" i="13"/>
  <c r="AQ45" i="13"/>
  <c r="AQ55" i="13"/>
  <c r="AQ73" i="13"/>
  <c r="AQ33" i="13"/>
  <c r="AQ58" i="13"/>
  <c r="AQ71" i="13"/>
  <c r="AQ76" i="13"/>
  <c r="AQ61" i="13"/>
  <c r="AQ65" i="13"/>
  <c r="AQ78" i="13"/>
  <c r="AQ77" i="13"/>
  <c r="AQ74" i="13"/>
  <c r="AQ82" i="13"/>
  <c r="AQ85" i="13"/>
  <c r="AQ87" i="13"/>
  <c r="AQ86" i="13"/>
  <c r="AQ69" i="13"/>
  <c r="AQ79" i="13"/>
  <c r="AQ63" i="13"/>
  <c r="AQ75" i="13"/>
  <c r="AQ54" i="13"/>
  <c r="AQ80" i="13"/>
  <c r="AQ93" i="13"/>
  <c r="AQ98" i="13"/>
  <c r="AQ102" i="13"/>
  <c r="AQ81" i="13"/>
  <c r="AQ99" i="13"/>
  <c r="AQ106" i="13"/>
  <c r="AQ72" i="13"/>
  <c r="AQ96" i="13"/>
  <c r="AQ92" i="13"/>
  <c r="AQ88" i="13"/>
  <c r="AQ89" i="13"/>
  <c r="AQ68" i="13"/>
  <c r="AQ95" i="13"/>
  <c r="AQ94" i="13"/>
  <c r="AQ100" i="13"/>
  <c r="AQ90" i="13"/>
  <c r="AQ105" i="13"/>
  <c r="AQ107" i="13"/>
  <c r="AQ117" i="13"/>
  <c r="AQ70" i="13"/>
  <c r="AQ57" i="13"/>
  <c r="AQ108" i="13"/>
  <c r="AQ101" i="13"/>
  <c r="AQ114" i="13"/>
  <c r="AQ116" i="13"/>
  <c r="AQ127" i="13"/>
  <c r="AQ103" i="13"/>
  <c r="AQ109" i="13"/>
  <c r="AQ111" i="13"/>
  <c r="AQ83" i="13"/>
  <c r="AQ84" i="13"/>
  <c r="AQ128" i="13"/>
  <c r="AQ115" i="13"/>
  <c r="AQ119" i="13"/>
  <c r="AQ120" i="13"/>
  <c r="AQ147" i="13"/>
  <c r="AQ148" i="13"/>
  <c r="AQ149" i="13"/>
  <c r="AQ113" i="13"/>
  <c r="AQ123" i="13"/>
  <c r="AQ122" i="13"/>
  <c r="AQ131" i="13"/>
  <c r="AQ118" i="13"/>
  <c r="AQ112" i="13"/>
  <c r="AQ159" i="13"/>
  <c r="AQ126" i="13"/>
  <c r="AQ138" i="13"/>
  <c r="AQ165" i="13"/>
  <c r="AQ121" i="13"/>
  <c r="AQ142" i="13"/>
  <c r="AQ146" i="13"/>
  <c r="AQ125" i="13"/>
  <c r="AQ143" i="13"/>
  <c r="AQ132" i="13"/>
  <c r="AQ175" i="13"/>
  <c r="AQ174" i="13"/>
  <c r="AQ130" i="13"/>
  <c r="AQ144" i="13"/>
  <c r="AQ124" i="13"/>
  <c r="AQ154" i="13"/>
  <c r="AQ156" i="13"/>
  <c r="AQ178" i="13"/>
  <c r="AQ179" i="13"/>
  <c r="AQ172" i="13"/>
  <c r="AQ158" i="13"/>
  <c r="AQ186" i="13"/>
  <c r="AQ150" i="13"/>
  <c r="AQ187" i="13"/>
  <c r="AQ133" i="13"/>
  <c r="AQ151" i="13"/>
  <c r="AQ167" i="13"/>
  <c r="AQ169" i="13"/>
  <c r="AQ189" i="13"/>
  <c r="AQ104" i="13"/>
  <c r="AQ162" i="13"/>
  <c r="AQ160" i="13"/>
  <c r="AQ171" i="13"/>
  <c r="AQ91" i="13"/>
  <c r="AQ168" i="13"/>
  <c r="AQ137" i="13"/>
  <c r="AQ155" i="13"/>
  <c r="AQ193" i="13"/>
  <c r="AQ180" i="13"/>
  <c r="AQ190" i="13"/>
  <c r="AQ177" i="13"/>
  <c r="AQ152" i="13"/>
  <c r="AQ153" i="13"/>
  <c r="AQ173" i="13"/>
  <c r="AQ170" i="13"/>
  <c r="AQ157" i="13"/>
  <c r="AQ207" i="13"/>
  <c r="AQ176" i="13"/>
  <c r="AQ208" i="13"/>
  <c r="AQ166" i="13"/>
  <c r="AQ210" i="13"/>
  <c r="AQ211" i="13"/>
  <c r="AQ66" i="13"/>
  <c r="AQ212" i="13"/>
  <c r="AQ182" i="13"/>
  <c r="AQ217" i="13"/>
  <c r="AQ185" i="13"/>
  <c r="AQ183" i="13"/>
  <c r="AQ129" i="13"/>
  <c r="AQ181" i="13"/>
  <c r="AQ221" i="13"/>
  <c r="AQ222" i="13"/>
  <c r="AQ136" i="13"/>
  <c r="AQ223" i="13"/>
  <c r="AQ199" i="13"/>
  <c r="AQ225" i="13"/>
  <c r="AQ226" i="13"/>
  <c r="AQ227" i="13"/>
  <c r="AQ196" i="13"/>
  <c r="AQ191" i="13"/>
  <c r="AQ228" i="13"/>
  <c r="AQ192" i="13"/>
  <c r="AQ229" i="13"/>
  <c r="AQ230" i="13"/>
  <c r="AQ231" i="13"/>
  <c r="AQ233" i="13"/>
  <c r="AQ234" i="13"/>
  <c r="AQ204" i="13"/>
  <c r="AQ235" i="13"/>
  <c r="AQ236" i="13"/>
  <c r="AQ188" i="13"/>
  <c r="AQ205" i="13"/>
  <c r="AQ242" i="13"/>
  <c r="AQ197" i="13"/>
  <c r="AQ163" i="13"/>
  <c r="AQ161" i="13"/>
  <c r="AQ244" i="13"/>
  <c r="AQ246" i="13"/>
  <c r="AQ245" i="13"/>
  <c r="AQ232" i="13"/>
  <c r="AQ220" i="13"/>
  <c r="AQ195" i="13"/>
  <c r="AQ97" i="13"/>
  <c r="AQ198" i="13"/>
  <c r="AQ201" i="13"/>
  <c r="AQ194" i="13"/>
  <c r="AQ252" i="13"/>
  <c r="AQ213" i="13"/>
  <c r="AQ247" i="13"/>
  <c r="AQ224" i="13"/>
  <c r="AQ240" i="13"/>
  <c r="AQ206" i="13"/>
  <c r="AQ253" i="13"/>
  <c r="AQ200" i="13"/>
  <c r="AQ214" i="13"/>
  <c r="AQ209" i="13"/>
  <c r="AQ243" i="13"/>
  <c r="AQ237" i="13"/>
  <c r="AQ202" i="13"/>
  <c r="AQ218" i="13"/>
  <c r="AQ271" i="13"/>
  <c r="AQ251" i="13"/>
  <c r="AQ164" i="13"/>
  <c r="AQ265" i="13"/>
  <c r="AQ272" i="13"/>
  <c r="AQ241" i="13"/>
  <c r="AQ276" i="13"/>
  <c r="AQ219" i="13"/>
  <c r="AQ254" i="13"/>
  <c r="AQ281" i="13"/>
  <c r="AQ249" i="13"/>
  <c r="AQ238" i="13"/>
  <c r="AQ277" i="13"/>
  <c r="AQ264" i="13"/>
  <c r="AQ283" i="13"/>
  <c r="AQ284" i="13"/>
  <c r="AQ266" i="13"/>
  <c r="AQ215" i="13"/>
  <c r="AQ267" i="13"/>
  <c r="AQ262" i="13"/>
  <c r="AQ290" i="13"/>
  <c r="AQ291" i="13"/>
  <c r="AQ293" i="13"/>
  <c r="AQ263" i="13"/>
  <c r="AQ295" i="13"/>
  <c r="AQ296" i="13"/>
  <c r="AQ248" i="13"/>
  <c r="AQ239" i="13"/>
  <c r="AQ216" i="13"/>
  <c r="AQ285" i="13"/>
  <c r="AQ300" i="13"/>
  <c r="AQ250" i="13"/>
  <c r="AQ289" i="13"/>
  <c r="AQ301" i="13"/>
  <c r="AQ203" i="13"/>
  <c r="AQ110" i="13"/>
  <c r="AQ278" i="13"/>
  <c r="AQ279" i="13"/>
  <c r="AQ280" i="13"/>
  <c r="AQ302" i="13"/>
  <c r="AQ297" i="13"/>
  <c r="AQ259" i="13"/>
  <c r="AQ260" i="13"/>
  <c r="AQ305" i="13"/>
  <c r="AQ306" i="13"/>
  <c r="AQ292" i="13"/>
  <c r="AQ310" i="13"/>
  <c r="AQ255" i="13"/>
  <c r="AQ313" i="13"/>
  <c r="AQ257" i="13"/>
  <c r="AQ258" i="13"/>
  <c r="AQ256" i="13"/>
  <c r="AQ282" i="13"/>
  <c r="AQ304" i="13"/>
  <c r="AQ316" i="13"/>
  <c r="AQ273" i="13"/>
  <c r="AQ314" i="13"/>
  <c r="AQ320" i="13"/>
  <c r="AQ303" i="13"/>
  <c r="AQ324" i="13"/>
  <c r="AQ325" i="13"/>
  <c r="AQ326" i="13"/>
  <c r="AQ317" i="13"/>
  <c r="AQ307" i="13"/>
  <c r="AQ308" i="13"/>
  <c r="AQ309" i="13"/>
  <c r="AQ331" i="13"/>
  <c r="AQ323" i="13"/>
  <c r="AQ311" i="13"/>
  <c r="AQ312" i="13"/>
  <c r="AQ321" i="13"/>
  <c r="AQ336" i="13"/>
  <c r="AQ338" i="13"/>
  <c r="AQ339" i="13"/>
  <c r="AQ340" i="13"/>
  <c r="AQ341" i="13"/>
  <c r="AQ329" i="13"/>
  <c r="AQ274" i="13"/>
  <c r="AQ346" i="13"/>
  <c r="AQ347" i="13"/>
  <c r="AQ261" i="13"/>
  <c r="AQ275" i="13"/>
  <c r="AQ298" i="13"/>
  <c r="AQ348" i="13"/>
  <c r="AQ349" i="13"/>
  <c r="AQ342" i="13"/>
  <c r="AQ356" i="13"/>
  <c r="AQ358" i="13"/>
  <c r="AQ332" i="13"/>
  <c r="AQ327" i="13"/>
  <c r="AQ362" i="13"/>
  <c r="AQ337" i="13"/>
  <c r="AQ315" i="13"/>
  <c r="AQ363" i="13"/>
  <c r="AQ134" i="13"/>
  <c r="AQ322" i="13"/>
  <c r="AQ371" i="13"/>
  <c r="AQ372" i="13"/>
  <c r="AQ328" i="13"/>
  <c r="AQ350" i="13"/>
  <c r="AQ135" i="13"/>
  <c r="AQ373" i="13"/>
  <c r="AQ374" i="13"/>
  <c r="AQ343" i="13"/>
  <c r="AQ351" i="13"/>
  <c r="AQ352" i="13"/>
  <c r="AQ375" i="13"/>
  <c r="AQ294" i="13"/>
  <c r="AQ376" i="13"/>
  <c r="AQ184" i="13"/>
  <c r="AQ383" i="13"/>
  <c r="AQ384" i="13"/>
  <c r="AQ385" i="13"/>
  <c r="AQ269" i="13"/>
  <c r="AQ386" i="13"/>
  <c r="AQ388" i="13"/>
  <c r="AQ389" i="13"/>
  <c r="AQ390" i="13"/>
  <c r="AQ391" i="13"/>
  <c r="AQ392" i="13"/>
  <c r="AQ393" i="13"/>
  <c r="AQ394" i="13"/>
  <c r="AQ395" i="13"/>
  <c r="AQ139" i="13"/>
  <c r="AQ396" i="13"/>
  <c r="AQ398" i="13"/>
  <c r="AQ364" i="13"/>
  <c r="AQ360" i="13"/>
  <c r="AQ359" i="13"/>
  <c r="AQ357" i="13"/>
  <c r="AQ413" i="13"/>
  <c r="AQ333" i="13"/>
  <c r="AQ141" i="13"/>
  <c r="AQ353" i="13"/>
  <c r="AQ377" i="13"/>
  <c r="AQ378" i="13"/>
  <c r="AQ379" i="13"/>
  <c r="AQ416" i="13"/>
  <c r="AQ417" i="13"/>
  <c r="AQ418" i="13"/>
  <c r="AQ419" i="13"/>
  <c r="AQ411" i="13"/>
  <c r="AQ354" i="13"/>
  <c r="AQ361" i="13"/>
  <c r="AQ387" i="13"/>
  <c r="AQ420" i="13"/>
  <c r="AQ421" i="13"/>
  <c r="AQ344" i="13"/>
  <c r="AQ431" i="13"/>
  <c r="AQ380" i="13"/>
  <c r="AQ432" i="13"/>
  <c r="AQ433" i="13"/>
  <c r="AQ435" i="13"/>
  <c r="AQ436" i="13"/>
  <c r="AQ437" i="13"/>
  <c r="AQ434" i="13"/>
  <c r="AQ382" i="13"/>
  <c r="AQ414" i="13"/>
  <c r="AQ438" i="13"/>
  <c r="AQ439" i="13"/>
  <c r="AQ440" i="13"/>
  <c r="AQ441" i="13"/>
  <c r="AQ442" i="13"/>
  <c r="AQ443" i="13"/>
  <c r="AQ444" i="13"/>
  <c r="AQ446" i="13"/>
  <c r="AQ447" i="13"/>
  <c r="AQ448" i="13"/>
  <c r="AQ449" i="13"/>
  <c r="AQ450" i="13"/>
  <c r="AQ451" i="13"/>
  <c r="AQ452" i="13"/>
  <c r="AQ453" i="13"/>
  <c r="AQ454" i="13"/>
  <c r="AQ455" i="13"/>
  <c r="AQ456" i="13"/>
  <c r="AQ457" i="13"/>
  <c r="AQ397" i="13"/>
  <c r="AQ458" i="13"/>
  <c r="AQ399" i="13"/>
  <c r="AQ400" i="13"/>
  <c r="AQ401" i="13"/>
  <c r="AQ402" i="13"/>
  <c r="AQ462" i="13"/>
  <c r="AQ463" i="13"/>
  <c r="AQ464" i="13"/>
  <c r="AQ330" i="13"/>
  <c r="AQ459" i="13"/>
  <c r="AQ460" i="13"/>
  <c r="AQ465" i="13"/>
  <c r="AQ466" i="13"/>
  <c r="AQ469" i="13"/>
  <c r="AQ470" i="13"/>
  <c r="AQ467" i="13"/>
  <c r="AQ42" i="13"/>
  <c r="AQ140" i="13"/>
  <c r="AQ145" i="13"/>
  <c r="AQ268" i="13"/>
  <c r="AQ270" i="13"/>
  <c r="AQ286" i="13"/>
  <c r="AQ287" i="13"/>
  <c r="AQ288" i="13"/>
  <c r="AQ299" i="13"/>
  <c r="AQ318" i="13"/>
  <c r="AQ319" i="13"/>
  <c r="AQ334" i="13"/>
  <c r="AQ335" i="13"/>
  <c r="AQ345" i="13"/>
  <c r="AQ355" i="13"/>
  <c r="AQ365" i="13"/>
  <c r="AQ366" i="13"/>
  <c r="AQ367" i="13"/>
  <c r="AQ368" i="13"/>
  <c r="AQ369" i="13"/>
  <c r="AQ370" i="13"/>
  <c r="AQ381" i="13"/>
  <c r="AQ403" i="13"/>
  <c r="AQ404" i="13"/>
  <c r="AQ405" i="13"/>
  <c r="AQ406" i="13"/>
  <c r="AQ407" i="13"/>
  <c r="AQ408" i="13"/>
  <c r="AQ409" i="13"/>
  <c r="AQ410" i="13"/>
  <c r="AQ412" i="13"/>
  <c r="AQ415" i="13"/>
  <c r="AQ422" i="13"/>
  <c r="AQ423" i="13"/>
  <c r="AQ424" i="13"/>
  <c r="AQ425" i="13"/>
  <c r="AQ426" i="13"/>
  <c r="AQ427" i="13"/>
  <c r="AQ428" i="13"/>
  <c r="AQ429" i="13"/>
  <c r="AQ430" i="13"/>
  <c r="AQ445" i="13"/>
  <c r="AQ461" i="13"/>
  <c r="AQ468" i="13"/>
  <c r="AQ471" i="13"/>
  <c r="AQ472" i="13"/>
  <c r="AQ473" i="13"/>
  <c r="AQ474" i="13"/>
  <c r="AQ475" i="13"/>
  <c r="AQ476" i="13"/>
  <c r="AQ477" i="13"/>
  <c r="AQ478" i="13"/>
  <c r="AQ479" i="13"/>
  <c r="AQ480" i="13"/>
  <c r="AQ481" i="13"/>
  <c r="AQ482" i="13"/>
  <c r="AQ483" i="13"/>
  <c r="AQ484" i="13"/>
  <c r="AQ485" i="13"/>
  <c r="AQ486" i="13"/>
  <c r="AQ487" i="13"/>
  <c r="AQ488" i="13"/>
  <c r="AQ489" i="13"/>
  <c r="AQ490" i="13"/>
  <c r="AQ491" i="13"/>
  <c r="AQ492" i="13"/>
  <c r="AQ493" i="13"/>
  <c r="AQ494" i="13"/>
  <c r="AQ495" i="13"/>
  <c r="AQ496" i="13"/>
  <c r="AQ497" i="13"/>
  <c r="AQ498" i="13"/>
  <c r="AQ499" i="13"/>
  <c r="AQ500" i="13"/>
  <c r="AQ501" i="13"/>
  <c r="AQ502" i="13"/>
  <c r="AQ503" i="13"/>
  <c r="AQ504" i="13"/>
  <c r="AQ505" i="13"/>
  <c r="AQ506" i="13"/>
  <c r="AQ507" i="13"/>
  <c r="AQ508" i="13"/>
  <c r="AQ509" i="13"/>
  <c r="AQ510" i="13"/>
  <c r="AQ511" i="13"/>
  <c r="AQ512" i="13"/>
  <c r="AQ513" i="13"/>
  <c r="AQ514" i="13"/>
  <c r="AQ515" i="13"/>
  <c r="AQ516" i="13"/>
  <c r="AQ517" i="13"/>
  <c r="AQ518" i="13"/>
  <c r="AQ519" i="13"/>
  <c r="AQ520" i="13"/>
  <c r="AQ521" i="13"/>
  <c r="AQ522" i="13"/>
  <c r="AQ523" i="13"/>
  <c r="AQ524" i="13"/>
  <c r="AQ525" i="13"/>
  <c r="AQ526" i="13"/>
  <c r="AQ527" i="13"/>
  <c r="AQ528" i="13"/>
  <c r="AQ529" i="13"/>
  <c r="AQ530" i="13"/>
  <c r="AQ531" i="13"/>
  <c r="AQ532" i="13"/>
  <c r="AQ533" i="13"/>
  <c r="AQ534" i="13"/>
  <c r="AQ535" i="13"/>
  <c r="AQ536" i="13"/>
  <c r="AQ537" i="13"/>
  <c r="AQ538" i="13"/>
  <c r="AQ539" i="13"/>
  <c r="AQ540" i="13"/>
  <c r="AQ541" i="13"/>
  <c r="AQ542" i="13"/>
  <c r="AQ543" i="13"/>
  <c r="AQ544" i="13"/>
  <c r="AQ545" i="13"/>
  <c r="AQ546" i="13"/>
  <c r="AQ547" i="13"/>
  <c r="AQ3" i="13"/>
  <c r="AQ548" i="13" s="1"/>
  <c r="AP42" i="13"/>
  <c r="AP140" i="13"/>
  <c r="AP145" i="13"/>
  <c r="AP268" i="13"/>
  <c r="AP270" i="13"/>
  <c r="AP286" i="13"/>
  <c r="AP287" i="13"/>
  <c r="AP288" i="13"/>
  <c r="AP299" i="13"/>
  <c r="AP318" i="13"/>
  <c r="AP319" i="13"/>
  <c r="AP334" i="13"/>
  <c r="AP335" i="13"/>
  <c r="AP345" i="13"/>
  <c r="AP355" i="13"/>
  <c r="AP365" i="13"/>
  <c r="AP366" i="13"/>
  <c r="AP367" i="13"/>
  <c r="AP368" i="13"/>
  <c r="AP369" i="13"/>
  <c r="AP370" i="13"/>
  <c r="AP381" i="13"/>
  <c r="AP403" i="13"/>
  <c r="AP404" i="13"/>
  <c r="AP405" i="13"/>
  <c r="AP406" i="13"/>
  <c r="AP407" i="13"/>
  <c r="AP408" i="13"/>
  <c r="AP409" i="13"/>
  <c r="AP410" i="13"/>
  <c r="AP412" i="13"/>
  <c r="AP415" i="13"/>
  <c r="AP422" i="13"/>
  <c r="AP423" i="13"/>
  <c r="AP424" i="13"/>
  <c r="AP425" i="13"/>
  <c r="AP426" i="13"/>
  <c r="AP427" i="13"/>
  <c r="AP428" i="13"/>
  <c r="AP429" i="13"/>
  <c r="AP430" i="13"/>
  <c r="AP445" i="13"/>
  <c r="AP461" i="13"/>
  <c r="AP468" i="13"/>
  <c r="AP471" i="13"/>
  <c r="AP472" i="13"/>
  <c r="AP473" i="13"/>
  <c r="AP474" i="13"/>
  <c r="AP475" i="13"/>
  <c r="AP476" i="13"/>
  <c r="AP477" i="13"/>
  <c r="AP478" i="13"/>
  <c r="AP479" i="13"/>
  <c r="AP480" i="13"/>
  <c r="AP481" i="13"/>
  <c r="AP482" i="13"/>
  <c r="AP483" i="13"/>
  <c r="AP484" i="13"/>
  <c r="AP485" i="13"/>
  <c r="AP486" i="13"/>
  <c r="AP487" i="13"/>
  <c r="AP488" i="13"/>
  <c r="AP489" i="13"/>
  <c r="AP490" i="13"/>
  <c r="AP491" i="13"/>
  <c r="AP492" i="13"/>
  <c r="AP493" i="13"/>
  <c r="AP494" i="13"/>
  <c r="AP495" i="13"/>
  <c r="AP496" i="13"/>
  <c r="AP497" i="13"/>
  <c r="AP498" i="13"/>
  <c r="AP499" i="13"/>
  <c r="AP500" i="13"/>
  <c r="AP501" i="13"/>
  <c r="AP502" i="13"/>
  <c r="AP503" i="13"/>
  <c r="AP504" i="13"/>
  <c r="AP505" i="13"/>
  <c r="AP506" i="13"/>
  <c r="AP507" i="13"/>
  <c r="AP508" i="13"/>
  <c r="AP509" i="13"/>
  <c r="AP510" i="13"/>
  <c r="AP511" i="13"/>
  <c r="AP512" i="13"/>
  <c r="AP513" i="13"/>
  <c r="AP514" i="13"/>
  <c r="AP515" i="13"/>
  <c r="AP516" i="13"/>
  <c r="AP517" i="13"/>
  <c r="AP518" i="13"/>
  <c r="AP519" i="13"/>
  <c r="AP520" i="13"/>
  <c r="AP521" i="13"/>
  <c r="AP522" i="13"/>
  <c r="AP523" i="13"/>
  <c r="AP524" i="13"/>
  <c r="AP525" i="13"/>
  <c r="AP526" i="13"/>
  <c r="AP527" i="13"/>
  <c r="AP528" i="13"/>
  <c r="AP529" i="13"/>
  <c r="AP530" i="13"/>
  <c r="AP531" i="13"/>
  <c r="AP532" i="13"/>
  <c r="AP533" i="13"/>
  <c r="AP534" i="13"/>
  <c r="AP535" i="13"/>
  <c r="AP536" i="13"/>
  <c r="AP537" i="13"/>
  <c r="AP538" i="13"/>
  <c r="AP539" i="13"/>
  <c r="AP540" i="13"/>
  <c r="AP541" i="13"/>
  <c r="AP542" i="13"/>
  <c r="AP543" i="13"/>
  <c r="AP544" i="13"/>
  <c r="AP545" i="13"/>
  <c r="AP546" i="13"/>
  <c r="AP547" i="13"/>
  <c r="AP4" i="13"/>
  <c r="AP5" i="13"/>
  <c r="AP6" i="13"/>
  <c r="AP7" i="13"/>
  <c r="AP9" i="13"/>
  <c r="AP10" i="13"/>
  <c r="AP11" i="13"/>
  <c r="AP8" i="13"/>
  <c r="AP13" i="13"/>
  <c r="AP12" i="13"/>
  <c r="AP15" i="13"/>
  <c r="AP16" i="13"/>
  <c r="AP18" i="13"/>
  <c r="AP19" i="13"/>
  <c r="AP20" i="13"/>
  <c r="AP14" i="13"/>
  <c r="AP17" i="13"/>
  <c r="AP22" i="13"/>
  <c r="AP21" i="13"/>
  <c r="AP23" i="13"/>
  <c r="AP24" i="13"/>
  <c r="AP28" i="13"/>
  <c r="AP26" i="13"/>
  <c r="AP25" i="13"/>
  <c r="AP29" i="13"/>
  <c r="AP30" i="13"/>
  <c r="AP32" i="13"/>
  <c r="AP35" i="13"/>
  <c r="AP31" i="13"/>
  <c r="AP36" i="13"/>
  <c r="AP27" i="13"/>
  <c r="AP34" i="13"/>
  <c r="AP37" i="13"/>
  <c r="AP43" i="13"/>
  <c r="AP40" i="13"/>
  <c r="AP41" i="13"/>
  <c r="AP46" i="13"/>
  <c r="AP39" i="13"/>
  <c r="AP38" i="13"/>
  <c r="AP44" i="13"/>
  <c r="AP47" i="13"/>
  <c r="AP51" i="13"/>
  <c r="AP53" i="13"/>
  <c r="AP50" i="13"/>
  <c r="AP49" i="13"/>
  <c r="AP60" i="13"/>
  <c r="AP52" i="13"/>
  <c r="AP62" i="13"/>
  <c r="AP56" i="13"/>
  <c r="AP67" i="13"/>
  <c r="AP59" i="13"/>
  <c r="AP64" i="13"/>
  <c r="AP48" i="13"/>
  <c r="AP45" i="13"/>
  <c r="AP55" i="13"/>
  <c r="AP73" i="13"/>
  <c r="AP33" i="13"/>
  <c r="AP58" i="13"/>
  <c r="AP71" i="13"/>
  <c r="AP76" i="13"/>
  <c r="AP61" i="13"/>
  <c r="AP65" i="13"/>
  <c r="AP78" i="13"/>
  <c r="AP77" i="13"/>
  <c r="AP74" i="13"/>
  <c r="AP82" i="13"/>
  <c r="AP85" i="13"/>
  <c r="AP87" i="13"/>
  <c r="AP86" i="13"/>
  <c r="AP69" i="13"/>
  <c r="AP79" i="13"/>
  <c r="AP63" i="13"/>
  <c r="AP75" i="13"/>
  <c r="AP54" i="13"/>
  <c r="AP80" i="13"/>
  <c r="AP93" i="13"/>
  <c r="AP98" i="13"/>
  <c r="AP102" i="13"/>
  <c r="AP81" i="13"/>
  <c r="AP99" i="13"/>
  <c r="AP106" i="13"/>
  <c r="AP72" i="13"/>
  <c r="AP96" i="13"/>
  <c r="AP92" i="13"/>
  <c r="AP88" i="13"/>
  <c r="AP89" i="13"/>
  <c r="AP68" i="13"/>
  <c r="AP95" i="13"/>
  <c r="AP94" i="13"/>
  <c r="AP100" i="13"/>
  <c r="AP90" i="13"/>
  <c r="AP105" i="13"/>
  <c r="AP107" i="13"/>
  <c r="AP117" i="13"/>
  <c r="AP70" i="13"/>
  <c r="AP57" i="13"/>
  <c r="AP108" i="13"/>
  <c r="AP101" i="13"/>
  <c r="AP114" i="13"/>
  <c r="AP116" i="13"/>
  <c r="AP127" i="13"/>
  <c r="AP103" i="13"/>
  <c r="AP109" i="13"/>
  <c r="AP111" i="13"/>
  <c r="AP83" i="13"/>
  <c r="AP84" i="13"/>
  <c r="AP128" i="13"/>
  <c r="AP115" i="13"/>
  <c r="AP119" i="13"/>
  <c r="AP120" i="13"/>
  <c r="AP147" i="13"/>
  <c r="AP148" i="13"/>
  <c r="AP149" i="13"/>
  <c r="AP113" i="13"/>
  <c r="AP123" i="13"/>
  <c r="AP122" i="13"/>
  <c r="AP131" i="13"/>
  <c r="AP118" i="13"/>
  <c r="AP112" i="13"/>
  <c r="AP159" i="13"/>
  <c r="AP126" i="13"/>
  <c r="AP138" i="13"/>
  <c r="AP165" i="13"/>
  <c r="AP121" i="13"/>
  <c r="AP142" i="13"/>
  <c r="AP146" i="13"/>
  <c r="AP125" i="13"/>
  <c r="AP143" i="13"/>
  <c r="AP132" i="13"/>
  <c r="AP175" i="13"/>
  <c r="AP174" i="13"/>
  <c r="AP130" i="13"/>
  <c r="AP144" i="13"/>
  <c r="AP124" i="13"/>
  <c r="AP154" i="13"/>
  <c r="AP156" i="13"/>
  <c r="AP178" i="13"/>
  <c r="AP179" i="13"/>
  <c r="AP172" i="13"/>
  <c r="AP158" i="13"/>
  <c r="AP186" i="13"/>
  <c r="AP150" i="13"/>
  <c r="AP187" i="13"/>
  <c r="AP133" i="13"/>
  <c r="AP151" i="13"/>
  <c r="AP167" i="13"/>
  <c r="AP169" i="13"/>
  <c r="AP189" i="13"/>
  <c r="AP104" i="13"/>
  <c r="AP162" i="13"/>
  <c r="AP160" i="13"/>
  <c r="AP171" i="13"/>
  <c r="AP91" i="13"/>
  <c r="AP168" i="13"/>
  <c r="AP137" i="13"/>
  <c r="AP155" i="13"/>
  <c r="AP193" i="13"/>
  <c r="AP180" i="13"/>
  <c r="AP190" i="13"/>
  <c r="AP177" i="13"/>
  <c r="AP152" i="13"/>
  <c r="AP153" i="13"/>
  <c r="AP173" i="13"/>
  <c r="AP170" i="13"/>
  <c r="AP157" i="13"/>
  <c r="AP207" i="13"/>
  <c r="AP176" i="13"/>
  <c r="AP208" i="13"/>
  <c r="AP166" i="13"/>
  <c r="AP210" i="13"/>
  <c r="AP211" i="13"/>
  <c r="AP66" i="13"/>
  <c r="AP212" i="13"/>
  <c r="AP182" i="13"/>
  <c r="AP217" i="13"/>
  <c r="AP185" i="13"/>
  <c r="AP183" i="13"/>
  <c r="AP129" i="13"/>
  <c r="AP181" i="13"/>
  <c r="AP221" i="13"/>
  <c r="AP222" i="13"/>
  <c r="AP136" i="13"/>
  <c r="AP223" i="13"/>
  <c r="AP199" i="13"/>
  <c r="AP225" i="13"/>
  <c r="AP226" i="13"/>
  <c r="AP227" i="13"/>
  <c r="AP196" i="13"/>
  <c r="AP191" i="13"/>
  <c r="AP228" i="13"/>
  <c r="AP192" i="13"/>
  <c r="AP229" i="13"/>
  <c r="AP230" i="13"/>
  <c r="AP231" i="13"/>
  <c r="AP233" i="13"/>
  <c r="AP234" i="13"/>
  <c r="AP204" i="13"/>
  <c r="AP235" i="13"/>
  <c r="AP236" i="13"/>
  <c r="AP188" i="13"/>
  <c r="AP205" i="13"/>
  <c r="AP242" i="13"/>
  <c r="AP197" i="13"/>
  <c r="AP163" i="13"/>
  <c r="AP161" i="13"/>
  <c r="AP244" i="13"/>
  <c r="AP246" i="13"/>
  <c r="AP245" i="13"/>
  <c r="AP232" i="13"/>
  <c r="AP220" i="13"/>
  <c r="AP195" i="13"/>
  <c r="AP97" i="13"/>
  <c r="AP198" i="13"/>
  <c r="AP201" i="13"/>
  <c r="AP194" i="13"/>
  <c r="AP252" i="13"/>
  <c r="AP213" i="13"/>
  <c r="AP247" i="13"/>
  <c r="AP224" i="13"/>
  <c r="AP240" i="13"/>
  <c r="AP206" i="13"/>
  <c r="AP253" i="13"/>
  <c r="AP200" i="13"/>
  <c r="AP214" i="13"/>
  <c r="AP209" i="13"/>
  <c r="AP243" i="13"/>
  <c r="AP237" i="13"/>
  <c r="AP202" i="13"/>
  <c r="AP218" i="13"/>
  <c r="AP271" i="13"/>
  <c r="AP251" i="13"/>
  <c r="AP164" i="13"/>
  <c r="AP265" i="13"/>
  <c r="AP272" i="13"/>
  <c r="AP241" i="13"/>
  <c r="AP276" i="13"/>
  <c r="AP219" i="13"/>
  <c r="AP254" i="13"/>
  <c r="AP281" i="13"/>
  <c r="AP249" i="13"/>
  <c r="AP238" i="13"/>
  <c r="AP277" i="13"/>
  <c r="AP264" i="13"/>
  <c r="AP283" i="13"/>
  <c r="AP284" i="13"/>
  <c r="AP266" i="13"/>
  <c r="AP215" i="13"/>
  <c r="AP267" i="13"/>
  <c r="AP262" i="13"/>
  <c r="AP290" i="13"/>
  <c r="AP291" i="13"/>
  <c r="AP293" i="13"/>
  <c r="AP263" i="13"/>
  <c r="AP295" i="13"/>
  <c r="AP296" i="13"/>
  <c r="AP248" i="13"/>
  <c r="AP239" i="13"/>
  <c r="AP216" i="13"/>
  <c r="AP285" i="13"/>
  <c r="AP300" i="13"/>
  <c r="AP250" i="13"/>
  <c r="AP289" i="13"/>
  <c r="AP301" i="13"/>
  <c r="AP203" i="13"/>
  <c r="AP110" i="13"/>
  <c r="AP278" i="13"/>
  <c r="AP279" i="13"/>
  <c r="AP280" i="13"/>
  <c r="AP302" i="13"/>
  <c r="AP297" i="13"/>
  <c r="AP259" i="13"/>
  <c r="AP260" i="13"/>
  <c r="AP305" i="13"/>
  <c r="AP306" i="13"/>
  <c r="AP292" i="13"/>
  <c r="AP310" i="13"/>
  <c r="AP255" i="13"/>
  <c r="AP313" i="13"/>
  <c r="AP257" i="13"/>
  <c r="AP258" i="13"/>
  <c r="AP256" i="13"/>
  <c r="AP282" i="13"/>
  <c r="AP304" i="13"/>
  <c r="AP316" i="13"/>
  <c r="AP273" i="13"/>
  <c r="AP314" i="13"/>
  <c r="AP320" i="13"/>
  <c r="AP303" i="13"/>
  <c r="AP324" i="13"/>
  <c r="AP325" i="13"/>
  <c r="AP326" i="13"/>
  <c r="AP317" i="13"/>
  <c r="AP307" i="13"/>
  <c r="AP308" i="13"/>
  <c r="AP309" i="13"/>
  <c r="AP331" i="13"/>
  <c r="AP323" i="13"/>
  <c r="AP311" i="13"/>
  <c r="AP312" i="13"/>
  <c r="AP321" i="13"/>
  <c r="AP336" i="13"/>
  <c r="AP338" i="13"/>
  <c r="AP339" i="13"/>
  <c r="AP340" i="13"/>
  <c r="AP341" i="13"/>
  <c r="AP329" i="13"/>
  <c r="AP274" i="13"/>
  <c r="AP346" i="13"/>
  <c r="AP347" i="13"/>
  <c r="AP261" i="13"/>
  <c r="AP275" i="13"/>
  <c r="AP298" i="13"/>
  <c r="AP348" i="13"/>
  <c r="AP349" i="13"/>
  <c r="AP342" i="13"/>
  <c r="AP356" i="13"/>
  <c r="AP358" i="13"/>
  <c r="AP332" i="13"/>
  <c r="AP327" i="13"/>
  <c r="AP362" i="13"/>
  <c r="AP337" i="13"/>
  <c r="AP315" i="13"/>
  <c r="AP363" i="13"/>
  <c r="AP134" i="13"/>
  <c r="AP322" i="13"/>
  <c r="AP371" i="13"/>
  <c r="AP372" i="13"/>
  <c r="AP328" i="13"/>
  <c r="AP350" i="13"/>
  <c r="AP135" i="13"/>
  <c r="AP373" i="13"/>
  <c r="AP374" i="13"/>
  <c r="AP343" i="13"/>
  <c r="AP351" i="13"/>
  <c r="AP352" i="13"/>
  <c r="AP375" i="13"/>
  <c r="AP294" i="13"/>
  <c r="AP376" i="13"/>
  <c r="AP184" i="13"/>
  <c r="AP383" i="13"/>
  <c r="AP384" i="13"/>
  <c r="AP385" i="13"/>
  <c r="AP269" i="13"/>
  <c r="AP386" i="13"/>
  <c r="AP388" i="13"/>
  <c r="AP389" i="13"/>
  <c r="AP390" i="13"/>
  <c r="AP391" i="13"/>
  <c r="AP392" i="13"/>
  <c r="AP393" i="13"/>
  <c r="AP394" i="13"/>
  <c r="AP395" i="13"/>
  <c r="AP139" i="13"/>
  <c r="AP396" i="13"/>
  <c r="AP398" i="13"/>
  <c r="AP364" i="13"/>
  <c r="AP360" i="13"/>
  <c r="AP359" i="13"/>
  <c r="AP357" i="13"/>
  <c r="AP413" i="13"/>
  <c r="AP333" i="13"/>
  <c r="AP141" i="13"/>
  <c r="AP353" i="13"/>
  <c r="AP377" i="13"/>
  <c r="AP378" i="13"/>
  <c r="AP379" i="13"/>
  <c r="AP416" i="13"/>
  <c r="AP417" i="13"/>
  <c r="AP418" i="13"/>
  <c r="AP419" i="13"/>
  <c r="AP411" i="13"/>
  <c r="AP354" i="13"/>
  <c r="AP361" i="13"/>
  <c r="AP387" i="13"/>
  <c r="AP420" i="13"/>
  <c r="AP421" i="13"/>
  <c r="AP344" i="13"/>
  <c r="AP431" i="13"/>
  <c r="AP380" i="13"/>
  <c r="AP432" i="13"/>
  <c r="AP433" i="13"/>
  <c r="AP435" i="13"/>
  <c r="AP436" i="13"/>
  <c r="AP437" i="13"/>
  <c r="AP434" i="13"/>
  <c r="AP382" i="13"/>
  <c r="AP414" i="13"/>
  <c r="AP438" i="13"/>
  <c r="AP439" i="13"/>
  <c r="AP440" i="13"/>
  <c r="AP441" i="13"/>
  <c r="AP442" i="13"/>
  <c r="AP443" i="13"/>
  <c r="AP444" i="13"/>
  <c r="AP446" i="13"/>
  <c r="AP447" i="13"/>
  <c r="AP448" i="13"/>
  <c r="AP449" i="13"/>
  <c r="AP450" i="13"/>
  <c r="AP451" i="13"/>
  <c r="AP452" i="13"/>
  <c r="AP453" i="13"/>
  <c r="AP454" i="13"/>
  <c r="AP455" i="13"/>
  <c r="AP456" i="13"/>
  <c r="AP457" i="13"/>
  <c r="AP397" i="13"/>
  <c r="AP458" i="13"/>
  <c r="AP399" i="13"/>
  <c r="AP400" i="13"/>
  <c r="AP401" i="13"/>
  <c r="AP402" i="13"/>
  <c r="AP462" i="13"/>
  <c r="AP463" i="13"/>
  <c r="AP464" i="13"/>
  <c r="AP330" i="13"/>
  <c r="AP459" i="13"/>
  <c r="AP460" i="13"/>
  <c r="AP465" i="13"/>
  <c r="AP466" i="13"/>
  <c r="AP469" i="13"/>
  <c r="AP470" i="13"/>
  <c r="AP467" i="13"/>
  <c r="R5" i="10"/>
  <c r="S5" i="10"/>
  <c r="Q6" i="10"/>
  <c r="R6" i="10"/>
  <c r="S6" i="10"/>
  <c r="P7" i="10"/>
  <c r="R7" i="10"/>
  <c r="S7" i="10"/>
  <c r="O8" i="10"/>
  <c r="R8" i="10"/>
  <c r="S8" i="10"/>
  <c r="N9" i="10"/>
  <c r="R9" i="10"/>
  <c r="S9" i="10"/>
  <c r="M10" i="10"/>
  <c r="R10" i="10"/>
  <c r="S10" i="10"/>
  <c r="M4" i="10"/>
  <c r="R4" i="10"/>
  <c r="S4" i="10"/>
  <c r="W548" i="11"/>
  <c r="V548" i="11"/>
  <c r="U548" i="11"/>
  <c r="T548" i="11"/>
  <c r="S548" i="11"/>
  <c r="R548" i="11"/>
  <c r="Q548" i="11"/>
  <c r="P548" i="11"/>
  <c r="O548" i="11"/>
  <c r="N548" i="11"/>
  <c r="M548" i="11"/>
  <c r="L548" i="11"/>
  <c r="K548" i="11"/>
  <c r="J548" i="11"/>
  <c r="I548" i="11"/>
  <c r="H548" i="11"/>
  <c r="G548" i="11"/>
  <c r="F548" i="11"/>
  <c r="C5" i="10" s="1"/>
  <c r="R11" i="10" l="1"/>
  <c r="S11" i="10"/>
  <c r="P6" i="10"/>
  <c r="K10" i="10"/>
  <c r="L9" i="10"/>
  <c r="M8" i="10"/>
  <c r="N7" i="10"/>
  <c r="O6" i="10"/>
  <c r="P5" i="10"/>
  <c r="B9" i="10"/>
  <c r="J4" i="10"/>
  <c r="J10" i="10"/>
  <c r="K9" i="10"/>
  <c r="L8" i="10"/>
  <c r="M7" i="10"/>
  <c r="N6" i="10"/>
  <c r="O5" i="10"/>
  <c r="M9" i="10"/>
  <c r="I10" i="10"/>
  <c r="H9" i="10"/>
  <c r="F10" i="10"/>
  <c r="F9" i="10"/>
  <c r="D10" i="10"/>
  <c r="F8" i="10"/>
  <c r="G7" i="10"/>
  <c r="H6" i="10"/>
  <c r="I5" i="10"/>
  <c r="Q5" i="10"/>
  <c r="K8" i="10"/>
  <c r="H10" i="10"/>
  <c r="B6" i="10"/>
  <c r="L5" i="10"/>
  <c r="J6" i="10"/>
  <c r="I6" i="10"/>
  <c r="E9" i="10"/>
  <c r="C10" i="10"/>
  <c r="D9" i="10"/>
  <c r="E8" i="10"/>
  <c r="F7" i="10"/>
  <c r="G6" i="10"/>
  <c r="H5" i="10"/>
  <c r="L4" i="10"/>
  <c r="K4" i="10"/>
  <c r="M6" i="10"/>
  <c r="J8" i="10"/>
  <c r="G10" i="10"/>
  <c r="F4" i="10"/>
  <c r="B4" i="10"/>
  <c r="J5" i="10"/>
  <c r="C9" i="10"/>
  <c r="D8" i="10"/>
  <c r="E7" i="10"/>
  <c r="F6" i="10"/>
  <c r="G5" i="10"/>
  <c r="O7" i="10"/>
  <c r="B8" i="10"/>
  <c r="H4" i="10"/>
  <c r="M5" i="10"/>
  <c r="K6" i="10"/>
  <c r="H8" i="10"/>
  <c r="E10" i="10"/>
  <c r="D4" i="10"/>
  <c r="Q4" i="10"/>
  <c r="Q10" i="10"/>
  <c r="C8" i="10"/>
  <c r="D7" i="10"/>
  <c r="E6" i="10"/>
  <c r="F5" i="10"/>
  <c r="B10" i="10"/>
  <c r="L7" i="10"/>
  <c r="I9" i="10"/>
  <c r="G4" i="10"/>
  <c r="B5" i="10"/>
  <c r="K5" i="10"/>
  <c r="H7" i="10"/>
  <c r="P4" i="10"/>
  <c r="P10" i="10"/>
  <c r="Q9" i="10"/>
  <c r="C7" i="10"/>
  <c r="D6" i="10"/>
  <c r="E5" i="10"/>
  <c r="N8" i="10"/>
  <c r="J9" i="10"/>
  <c r="B7" i="10"/>
  <c r="L6" i="10"/>
  <c r="J7" i="10"/>
  <c r="I7" i="10"/>
  <c r="G8" i="10"/>
  <c r="O4" i="10"/>
  <c r="O10" i="10"/>
  <c r="P9" i="10"/>
  <c r="Q8" i="10"/>
  <c r="C6" i="10"/>
  <c r="D5" i="10"/>
  <c r="L10" i="10"/>
  <c r="I4" i="10"/>
  <c r="N5" i="10"/>
  <c r="K7" i="10"/>
  <c r="I8" i="10"/>
  <c r="G9" i="10"/>
  <c r="E4" i="10"/>
  <c r="C4" i="10"/>
  <c r="N4" i="10"/>
  <c r="N10" i="10"/>
  <c r="O9" i="10"/>
  <c r="P8" i="10"/>
  <c r="Q7" i="10"/>
  <c r="I11" i="10" l="1"/>
  <c r="F11" i="10"/>
  <c r="M11" i="10"/>
  <c r="G11" i="10"/>
  <c r="Q11" i="10"/>
  <c r="P11" i="10"/>
  <c r="L11" i="10"/>
  <c r="N11" i="10"/>
  <c r="O11" i="10"/>
  <c r="C11" i="10"/>
  <c r="E11" i="10"/>
  <c r="D11" i="10"/>
  <c r="H11" i="10"/>
  <c r="K11" i="10"/>
  <c r="J11" i="10"/>
  <c r="B11" i="10"/>
  <c r="T6" i="10"/>
  <c r="T9" i="10"/>
  <c r="T8" i="10"/>
  <c r="T4" i="10"/>
  <c r="T5" i="10"/>
  <c r="T7" i="10"/>
  <c r="T10" i="10"/>
  <c r="T11" i="10" l="1"/>
  <c r="U10" i="10" s="1"/>
  <c r="O548" i="13" l="1"/>
  <c r="N548" i="13"/>
  <c r="M548" i="13"/>
  <c r="K548" i="13"/>
  <c r="J548" i="13"/>
  <c r="I548" i="13"/>
  <c r="H548" i="13"/>
  <c r="L548" i="13"/>
  <c r="R548" i="13"/>
  <c r="S548" i="13"/>
  <c r="T548" i="13"/>
  <c r="U548" i="13"/>
  <c r="V548" i="13"/>
  <c r="W548" i="13"/>
  <c r="X548" i="13"/>
  <c r="Y548" i="13"/>
  <c r="Z548" i="13"/>
  <c r="AA548" i="13"/>
  <c r="AB548" i="13"/>
  <c r="AC548" i="13"/>
  <c r="AD548" i="13"/>
  <c r="AE548" i="13"/>
  <c r="AF548" i="13"/>
  <c r="AG548" i="13"/>
  <c r="AH548" i="13"/>
  <c r="AI548" i="13"/>
  <c r="AJ548" i="13"/>
  <c r="AK548" i="13"/>
  <c r="AL548" i="13"/>
  <c r="AM548" i="13"/>
  <c r="AN548" i="13"/>
  <c r="AO548" i="13"/>
  <c r="P548" i="13" l="1"/>
  <c r="G548" i="13"/>
  <c r="F548" i="13"/>
  <c r="AG270" i="2" l="1"/>
  <c r="AG246" i="2"/>
  <c r="AG159" i="2"/>
  <c r="AG127" i="2"/>
  <c r="AG126" i="2"/>
  <c r="AG125" i="2"/>
  <c r="AG120" i="2"/>
  <c r="AG116" i="2"/>
  <c r="AG107" i="2"/>
  <c r="AG103" i="2"/>
  <c r="AG73" i="2"/>
  <c r="AG70" i="2"/>
  <c r="AG63" i="2"/>
  <c r="AG51" i="2"/>
  <c r="AG39" i="2"/>
  <c r="AG37" i="2"/>
  <c r="AG21" i="2"/>
  <c r="Q205" i="12" l="1"/>
  <c r="D9" i="12" l="1"/>
  <c r="B9" i="1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63" i="2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E313" i="2"/>
  <c r="AE314" i="2"/>
  <c r="AE315" i="2"/>
  <c r="AE316" i="2"/>
  <c r="AE317" i="2"/>
  <c r="AE318" i="2"/>
  <c r="AE319" i="2"/>
  <c r="AE320" i="2"/>
  <c r="AE321" i="2"/>
  <c r="AE322" i="2"/>
  <c r="AE323" i="2"/>
  <c r="AE324" i="2"/>
  <c r="AE325" i="2"/>
  <c r="AE326" i="2"/>
  <c r="AE327" i="2"/>
  <c r="AE328" i="2"/>
  <c r="AE329" i="2"/>
  <c r="AE330" i="2"/>
  <c r="AE331" i="2"/>
  <c r="AE332" i="2"/>
  <c r="AE333" i="2"/>
  <c r="AE334" i="2"/>
  <c r="AE335" i="2"/>
  <c r="AE336" i="2"/>
  <c r="AE337" i="2"/>
  <c r="AE338" i="2"/>
  <c r="AE339" i="2"/>
  <c r="AE340" i="2"/>
  <c r="AE341" i="2"/>
  <c r="AE342" i="2"/>
  <c r="AE343" i="2"/>
  <c r="AE344" i="2"/>
  <c r="AE345" i="2"/>
  <c r="AE346" i="2"/>
  <c r="AE347" i="2"/>
  <c r="AE348" i="2"/>
  <c r="AE349" i="2"/>
  <c r="AE350" i="2"/>
  <c r="AE351" i="2"/>
  <c r="AE352" i="2"/>
  <c r="AE353" i="2"/>
  <c r="AE354" i="2"/>
  <c r="AE355" i="2"/>
  <c r="AE356" i="2"/>
  <c r="AE357" i="2"/>
  <c r="AE358" i="2"/>
  <c r="AE359" i="2"/>
  <c r="AE360" i="2"/>
  <c r="AE361" i="2"/>
  <c r="AE362" i="2"/>
  <c r="AE363" i="2"/>
  <c r="AE364" i="2"/>
  <c r="AE365" i="2"/>
  <c r="AE366" i="2"/>
  <c r="AE367" i="2"/>
  <c r="AE368" i="2"/>
  <c r="AE369" i="2"/>
  <c r="AE370" i="2"/>
  <c r="AE371" i="2"/>
  <c r="AE372" i="2"/>
  <c r="AE373" i="2"/>
  <c r="AE374" i="2"/>
  <c r="AE375" i="2"/>
  <c r="AE376" i="2"/>
  <c r="AE377" i="2"/>
  <c r="AE378" i="2"/>
  <c r="AE379" i="2"/>
  <c r="AE380" i="2"/>
  <c r="AE381" i="2"/>
  <c r="AE382" i="2"/>
  <c r="AE383" i="2"/>
  <c r="AE384" i="2"/>
  <c r="AE385" i="2"/>
  <c r="AE386" i="2"/>
  <c r="AE387" i="2"/>
  <c r="AE388" i="2"/>
  <c r="AE389" i="2"/>
  <c r="AE390" i="2"/>
  <c r="AE391" i="2"/>
  <c r="AE392" i="2"/>
  <c r="AE393" i="2"/>
  <c r="AE394" i="2"/>
  <c r="AE395" i="2"/>
  <c r="AE396" i="2"/>
  <c r="AE397" i="2"/>
  <c r="AE398" i="2"/>
  <c r="AE399" i="2"/>
  <c r="AE400" i="2"/>
  <c r="AE401" i="2"/>
  <c r="AE402" i="2"/>
  <c r="AE403" i="2"/>
  <c r="AE404" i="2"/>
  <c r="AE405" i="2"/>
  <c r="AE406" i="2"/>
  <c r="AE407" i="2"/>
  <c r="AE408" i="2"/>
  <c r="AE409" i="2"/>
  <c r="AE410" i="2"/>
  <c r="AE411" i="2"/>
  <c r="AE412" i="2"/>
  <c r="AE413" i="2"/>
  <c r="AE414" i="2"/>
  <c r="AE415" i="2"/>
  <c r="AE416" i="2"/>
  <c r="AE417" i="2"/>
  <c r="AE418" i="2"/>
  <c r="AE419" i="2"/>
  <c r="AE420" i="2"/>
  <c r="AE421" i="2"/>
  <c r="AE422" i="2"/>
  <c r="AE423" i="2"/>
  <c r="AE424" i="2"/>
  <c r="AE425" i="2"/>
  <c r="AE426" i="2"/>
  <c r="AE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D98" i="2"/>
  <c r="AD99" i="2"/>
  <c r="AD100" i="2"/>
  <c r="AD101" i="2"/>
  <c r="AD102" i="2"/>
  <c r="AD103" i="2"/>
  <c r="AD104" i="2"/>
  <c r="AD105" i="2"/>
  <c r="AD106" i="2"/>
  <c r="AD107" i="2"/>
  <c r="AD108" i="2"/>
  <c r="AD109" i="2"/>
  <c r="AD110" i="2"/>
  <c r="AD111" i="2"/>
  <c r="AD112" i="2"/>
  <c r="AD113" i="2"/>
  <c r="AD114" i="2"/>
  <c r="AD115" i="2"/>
  <c r="AD116" i="2"/>
  <c r="AD117" i="2"/>
  <c r="AD118" i="2"/>
  <c r="AD119" i="2"/>
  <c r="AD120" i="2"/>
  <c r="AD121" i="2"/>
  <c r="AD122" i="2"/>
  <c r="AD123" i="2"/>
  <c r="AD124" i="2"/>
  <c r="AD125" i="2"/>
  <c r="AD126" i="2"/>
  <c r="AD127" i="2"/>
  <c r="AD128" i="2"/>
  <c r="AD129" i="2"/>
  <c r="AD130" i="2"/>
  <c r="AD131" i="2"/>
  <c r="AD132" i="2"/>
  <c r="AD133" i="2"/>
  <c r="AD134" i="2"/>
  <c r="AD135" i="2"/>
  <c r="AD136" i="2"/>
  <c r="AD137" i="2"/>
  <c r="AD138" i="2"/>
  <c r="AD139" i="2"/>
  <c r="AD140" i="2"/>
  <c r="AD141" i="2"/>
  <c r="AD142" i="2"/>
  <c r="AD143" i="2"/>
  <c r="AD144" i="2"/>
  <c r="AD145" i="2"/>
  <c r="AD146" i="2"/>
  <c r="AD147" i="2"/>
  <c r="AD148" i="2"/>
  <c r="AD149" i="2"/>
  <c r="AD150" i="2"/>
  <c r="AD151" i="2"/>
  <c r="AD152" i="2"/>
  <c r="AD153" i="2"/>
  <c r="AD154" i="2"/>
  <c r="AD155" i="2"/>
  <c r="AD156" i="2"/>
  <c r="AD157" i="2"/>
  <c r="AD158" i="2"/>
  <c r="AD159" i="2"/>
  <c r="AD160" i="2"/>
  <c r="AD161" i="2"/>
  <c r="AD162" i="2"/>
  <c r="AD163" i="2"/>
  <c r="AD164" i="2"/>
  <c r="AD165" i="2"/>
  <c r="AD166" i="2"/>
  <c r="AD167" i="2"/>
  <c r="AD168" i="2"/>
  <c r="AD169" i="2"/>
  <c r="AD170" i="2"/>
  <c r="AD171" i="2"/>
  <c r="AD172" i="2"/>
  <c r="AD173" i="2"/>
  <c r="AD174" i="2"/>
  <c r="AD175" i="2"/>
  <c r="AD176" i="2"/>
  <c r="AD177" i="2"/>
  <c r="AD178" i="2"/>
  <c r="AD179" i="2"/>
  <c r="AD180" i="2"/>
  <c r="AD181" i="2"/>
  <c r="AD182" i="2"/>
  <c r="AD183" i="2"/>
  <c r="AD184" i="2"/>
  <c r="AD185" i="2"/>
  <c r="AD186" i="2"/>
  <c r="AD187" i="2"/>
  <c r="AD188" i="2"/>
  <c r="AD189" i="2"/>
  <c r="AD190" i="2"/>
  <c r="AD191" i="2"/>
  <c r="AD192" i="2"/>
  <c r="AD193" i="2"/>
  <c r="AD194" i="2"/>
  <c r="AD195" i="2"/>
  <c r="AD196" i="2"/>
  <c r="AD197" i="2"/>
  <c r="AD198" i="2"/>
  <c r="AD199" i="2"/>
  <c r="AD200" i="2"/>
  <c r="AD201" i="2"/>
  <c r="AD202" i="2"/>
  <c r="AD203" i="2"/>
  <c r="AD204" i="2"/>
  <c r="AD205" i="2"/>
  <c r="AD206" i="2"/>
  <c r="AD207" i="2"/>
  <c r="AD208" i="2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D232" i="2"/>
  <c r="AD233" i="2"/>
  <c r="AD234" i="2"/>
  <c r="AD235" i="2"/>
  <c r="AD236" i="2"/>
  <c r="AD237" i="2"/>
  <c r="AD238" i="2"/>
  <c r="AD239" i="2"/>
  <c r="AD240" i="2"/>
  <c r="AD241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57" i="2"/>
  <c r="AD258" i="2"/>
  <c r="AD259" i="2"/>
  <c r="AD260" i="2"/>
  <c r="AD261" i="2"/>
  <c r="AD262" i="2"/>
  <c r="AD263" i="2"/>
  <c r="AD264" i="2"/>
  <c r="AD265" i="2"/>
  <c r="AD266" i="2"/>
  <c r="AD267" i="2"/>
  <c r="AD268" i="2"/>
  <c r="AD269" i="2"/>
  <c r="AD270" i="2"/>
  <c r="AD271" i="2"/>
  <c r="AD272" i="2"/>
  <c r="AD273" i="2"/>
  <c r="AD274" i="2"/>
  <c r="AD275" i="2"/>
  <c r="AD276" i="2"/>
  <c r="AD277" i="2"/>
  <c r="AD278" i="2"/>
  <c r="AD279" i="2"/>
  <c r="AD280" i="2"/>
  <c r="AD281" i="2"/>
  <c r="AD282" i="2"/>
  <c r="AD283" i="2"/>
  <c r="AD284" i="2"/>
  <c r="AD285" i="2"/>
  <c r="AD286" i="2"/>
  <c r="AD287" i="2"/>
  <c r="AD288" i="2"/>
  <c r="AD289" i="2"/>
  <c r="AD290" i="2"/>
  <c r="AD291" i="2"/>
  <c r="AD292" i="2"/>
  <c r="AD293" i="2"/>
  <c r="AD294" i="2"/>
  <c r="AD295" i="2"/>
  <c r="AD296" i="2"/>
  <c r="AD297" i="2"/>
  <c r="AD298" i="2"/>
  <c r="AD299" i="2"/>
  <c r="AD300" i="2"/>
  <c r="AD301" i="2"/>
  <c r="AD302" i="2"/>
  <c r="AD303" i="2"/>
  <c r="AD304" i="2"/>
  <c r="AD305" i="2"/>
  <c r="AD306" i="2"/>
  <c r="AD307" i="2"/>
  <c r="AD308" i="2"/>
  <c r="AD309" i="2"/>
  <c r="AD310" i="2"/>
  <c r="AD311" i="2"/>
  <c r="AD312" i="2"/>
  <c r="AD313" i="2"/>
  <c r="AD314" i="2"/>
  <c r="AD315" i="2"/>
  <c r="AD316" i="2"/>
  <c r="AD317" i="2"/>
  <c r="AD318" i="2"/>
  <c r="AD319" i="2"/>
  <c r="AD320" i="2"/>
  <c r="AD321" i="2"/>
  <c r="AD322" i="2"/>
  <c r="AD323" i="2"/>
  <c r="AD324" i="2"/>
  <c r="AD325" i="2"/>
  <c r="AD326" i="2"/>
  <c r="AD327" i="2"/>
  <c r="AD328" i="2"/>
  <c r="AD329" i="2"/>
  <c r="AD330" i="2"/>
  <c r="AD331" i="2"/>
  <c r="AD332" i="2"/>
  <c r="AD333" i="2"/>
  <c r="AD334" i="2"/>
  <c r="AD335" i="2"/>
  <c r="AD336" i="2"/>
  <c r="AD337" i="2"/>
  <c r="AD338" i="2"/>
  <c r="AD339" i="2"/>
  <c r="AD340" i="2"/>
  <c r="AD341" i="2"/>
  <c r="AD342" i="2"/>
  <c r="AD343" i="2"/>
  <c r="AD344" i="2"/>
  <c r="AD345" i="2"/>
  <c r="AD346" i="2"/>
  <c r="AD347" i="2"/>
  <c r="AD348" i="2"/>
  <c r="AD349" i="2"/>
  <c r="AD350" i="2"/>
  <c r="AD351" i="2"/>
  <c r="AD352" i="2"/>
  <c r="AD353" i="2"/>
  <c r="AD354" i="2"/>
  <c r="AD355" i="2"/>
  <c r="AD356" i="2"/>
  <c r="AD357" i="2"/>
  <c r="AD358" i="2"/>
  <c r="AD359" i="2"/>
  <c r="AD360" i="2"/>
  <c r="AD361" i="2"/>
  <c r="AD362" i="2"/>
  <c r="AD363" i="2"/>
  <c r="AD364" i="2"/>
  <c r="AD365" i="2"/>
  <c r="AD366" i="2"/>
  <c r="AD367" i="2"/>
  <c r="AD368" i="2"/>
  <c r="AD369" i="2"/>
  <c r="AD370" i="2"/>
  <c r="AD371" i="2"/>
  <c r="AD372" i="2"/>
  <c r="AD373" i="2"/>
  <c r="AD374" i="2"/>
  <c r="AD375" i="2"/>
  <c r="AD376" i="2"/>
  <c r="AD377" i="2"/>
  <c r="AD378" i="2"/>
  <c r="AD379" i="2"/>
  <c r="AD380" i="2"/>
  <c r="AD381" i="2"/>
  <c r="AD382" i="2"/>
  <c r="AD383" i="2"/>
  <c r="AD384" i="2"/>
  <c r="AD385" i="2"/>
  <c r="AD386" i="2"/>
  <c r="AD387" i="2"/>
  <c r="AD388" i="2"/>
  <c r="AD389" i="2"/>
  <c r="AD390" i="2"/>
  <c r="AD391" i="2"/>
  <c r="AD392" i="2"/>
  <c r="AD393" i="2"/>
  <c r="AD394" i="2"/>
  <c r="AD395" i="2"/>
  <c r="AD396" i="2"/>
  <c r="AD397" i="2"/>
  <c r="AD398" i="2"/>
  <c r="AD399" i="2"/>
  <c r="AD400" i="2"/>
  <c r="AD401" i="2"/>
  <c r="AD402" i="2"/>
  <c r="AD403" i="2"/>
  <c r="AD404" i="2"/>
  <c r="AD405" i="2"/>
  <c r="AD406" i="2"/>
  <c r="AD407" i="2"/>
  <c r="AD408" i="2"/>
  <c r="AD409" i="2"/>
  <c r="AD410" i="2"/>
  <c r="AD411" i="2"/>
  <c r="AD412" i="2"/>
  <c r="AD413" i="2"/>
  <c r="AD414" i="2"/>
  <c r="AD415" i="2"/>
  <c r="AD416" i="2"/>
  <c r="AD417" i="2"/>
  <c r="AD418" i="2"/>
  <c r="AD419" i="2"/>
  <c r="AD420" i="2"/>
  <c r="AD421" i="2"/>
  <c r="AD422" i="2"/>
  <c r="AD423" i="2"/>
  <c r="AD424" i="2"/>
  <c r="AD425" i="2"/>
  <c r="AD426" i="2"/>
  <c r="AD3" i="2"/>
  <c r="AE427" i="2" l="1"/>
  <c r="AD427" i="2"/>
  <c r="E3" i="12"/>
  <c r="E4" i="12"/>
  <c r="E5" i="12"/>
  <c r="E6" i="12"/>
  <c r="E7" i="12"/>
  <c r="E8" i="12"/>
  <c r="C4" i="12"/>
  <c r="C6" i="12"/>
  <c r="C3" i="12"/>
  <c r="C5" i="12"/>
  <c r="C7" i="12"/>
  <c r="C8" i="12"/>
  <c r="E2" i="12"/>
  <c r="E9" i="12"/>
  <c r="C2" i="12"/>
  <c r="C9" i="12"/>
  <c r="T19" i="10" l="1"/>
  <c r="T18" i="10"/>
  <c r="U4" i="10" l="1"/>
  <c r="U7" i="10" l="1"/>
  <c r="U8" i="10"/>
  <c r="U9" i="10"/>
  <c r="U11" i="10"/>
  <c r="U6" i="10"/>
  <c r="U5" i="10"/>
  <c r="G4" i="8"/>
  <c r="G5" i="8"/>
  <c r="G6" i="8"/>
  <c r="G7" i="8"/>
  <c r="G8" i="8"/>
  <c r="G9" i="8"/>
  <c r="G10" i="8"/>
  <c r="G11" i="8"/>
  <c r="G12" i="8"/>
  <c r="G14" i="8"/>
  <c r="G3" i="8"/>
  <c r="E4" i="8"/>
  <c r="E5" i="8"/>
  <c r="E6" i="8"/>
  <c r="E7" i="8"/>
  <c r="E8" i="8"/>
  <c r="E9" i="8"/>
  <c r="E10" i="8"/>
  <c r="E11" i="8"/>
  <c r="E12" i="8"/>
  <c r="E14" i="8"/>
  <c r="G13" i="8"/>
  <c r="D13" i="8"/>
  <c r="E13" i="8" s="1"/>
  <c r="T7" i="7"/>
  <c r="G7" i="7"/>
  <c r="E6" i="7"/>
  <c r="D6" i="7"/>
  <c r="B6" i="7"/>
  <c r="C6" i="7"/>
  <c r="F6" i="7"/>
  <c r="H6" i="7"/>
  <c r="I6" i="7"/>
  <c r="J6" i="7"/>
  <c r="K6" i="7"/>
  <c r="L6" i="7"/>
  <c r="M6" i="7"/>
  <c r="N6" i="7"/>
  <c r="N7" i="7"/>
  <c r="M7" i="7"/>
  <c r="L7" i="7"/>
  <c r="K7" i="7"/>
  <c r="J7" i="7"/>
  <c r="I7" i="7"/>
  <c r="H7" i="7"/>
  <c r="F7" i="7"/>
  <c r="C7" i="7"/>
  <c r="B7" i="7"/>
  <c r="G6" i="7" l="1"/>
  <c r="T6" i="7" s="1"/>
  <c r="E7" i="7"/>
  <c r="D7" i="7"/>
</calcChain>
</file>

<file path=xl/sharedStrings.xml><?xml version="1.0" encoding="utf-8"?>
<sst xmlns="http://schemas.openxmlformats.org/spreadsheetml/2006/main" count="5159" uniqueCount="1099">
  <si>
    <t>合計</t>
    <rPh sb="0" eb="2">
      <t>ゴウケイ</t>
    </rPh>
    <phoneticPr fontId="2"/>
  </si>
  <si>
    <t>数量</t>
    <phoneticPr fontId="2"/>
  </si>
  <si>
    <t>金額</t>
    <phoneticPr fontId="2"/>
  </si>
  <si>
    <t>商品符号</t>
    <rPh sb="0" eb="4">
      <t>ショウヒンフゴウ</t>
    </rPh>
    <phoneticPr fontId="2"/>
  </si>
  <si>
    <t>商品名称</t>
    <rPh sb="0" eb="4">
      <t>ショウヒンメイショウ</t>
    </rPh>
    <phoneticPr fontId="2"/>
  </si>
  <si>
    <t>MUSE</t>
  </si>
  <si>
    <t>ONE　 BY 　KOSE　　BALANCING TUNER</t>
  </si>
  <si>
    <t>MUYE</t>
  </si>
  <si>
    <t>ONE BY KOSE  SERUM  VEIL</t>
  </si>
  <si>
    <t>MUYF</t>
  </si>
  <si>
    <t>MUZO</t>
  </si>
  <si>
    <t>ONE  BY  KOSE  THE WATER MATE</t>
  </si>
  <si>
    <t>MUWX</t>
  </si>
  <si>
    <t>ONE  BY  KOSE  THE　WRINKLESS  S</t>
  </si>
  <si>
    <t>MUCP</t>
  </si>
  <si>
    <t>ONE  BY  KOSE  DOUBLE BLACK WASHER</t>
  </si>
  <si>
    <t>YNXU001</t>
  </si>
  <si>
    <t>VISÉE  LASH LONG MANIA</t>
  </si>
  <si>
    <t>YNYK001</t>
  </si>
  <si>
    <t>VISEE  GEMMY RICH  EYES BE-1</t>
  </si>
  <si>
    <t>YNYK005</t>
  </si>
  <si>
    <t>VISEE  GEMMY RICH  EYES BL-5</t>
  </si>
  <si>
    <t>YNDL460</t>
  </si>
  <si>
    <t>VISEE RICHE Crystal Duo Lipstick 460</t>
  </si>
  <si>
    <t>YNUC007</t>
  </si>
  <si>
    <t>VISEE  AVANT  MULTI STICK COLOR 007</t>
  </si>
  <si>
    <t>YNUC008</t>
  </si>
  <si>
    <t>VISEE  AVANT  MULTI STICK COLOR 008</t>
  </si>
  <si>
    <t>YNUC009</t>
  </si>
  <si>
    <t>VISEE  AVANT  MULTI STICK COLOR 009</t>
  </si>
  <si>
    <t>YNUC010</t>
  </si>
  <si>
    <t>VISEE  AVANT  MULTI STICK COLOR 010</t>
  </si>
  <si>
    <t>YNUA034</t>
  </si>
  <si>
    <t>VISEE  AVANT  SINGLE EYE COLOR 034</t>
  </si>
  <si>
    <t>YNYK006</t>
  </si>
  <si>
    <t>VISEE  GEMMY RICH  EYES PK-6</t>
  </si>
  <si>
    <t>YNYK007</t>
  </si>
  <si>
    <t>VISEE  GEMMY RICH  EYES GY-7</t>
  </si>
  <si>
    <t>YNYK008</t>
  </si>
  <si>
    <t>VISEE  GEMMY RICH  EYES BE-8</t>
  </si>
  <si>
    <t>YNIM001</t>
  </si>
  <si>
    <t>VISEE  COLOR IMPACT  LIQUID LINER BK001</t>
  </si>
  <si>
    <t>YNIM340</t>
  </si>
  <si>
    <t>VISEE  COLOR IMPACT  LIQUID LINER BR340</t>
  </si>
  <si>
    <t>YNIM440</t>
  </si>
  <si>
    <t>VISEE  COLOR IMPACT  LIQUID LINER RD440</t>
  </si>
  <si>
    <t>YNDL262</t>
  </si>
  <si>
    <t>VISEE  CRYSTAL DUO  LIPSTICK OR262</t>
  </si>
  <si>
    <t>YNUE001</t>
  </si>
  <si>
    <t>VISEE  AVANT  LIPSTICK 001</t>
  </si>
  <si>
    <t>YNUE002</t>
  </si>
  <si>
    <t>VISEE  AVANT  LIPSTICK 002</t>
  </si>
  <si>
    <t>YNUE003</t>
  </si>
  <si>
    <t>VISEE  AVANT  LIPSTICK 003</t>
  </si>
  <si>
    <t>YNUE004</t>
  </si>
  <si>
    <t>VISEE  AVANT  LIPSTICK 004</t>
  </si>
  <si>
    <t>YNUE006</t>
  </si>
  <si>
    <t>VISEE  AVANT  LIPSTICK 006</t>
  </si>
  <si>
    <t>YNUE007</t>
  </si>
  <si>
    <t>VISEE  AVANT  LIPSTICK 007</t>
  </si>
  <si>
    <t>YNUE008</t>
  </si>
  <si>
    <t>VISEE  AVANT  LIPSTICK 008</t>
  </si>
  <si>
    <t>YNUE009</t>
  </si>
  <si>
    <t>VISEE  AVANT  LIPSTICK 009</t>
  </si>
  <si>
    <t>YNUE011</t>
  </si>
  <si>
    <t>VISEE  AVANT  LIPSTICK 011</t>
  </si>
  <si>
    <t>YNUE012</t>
  </si>
  <si>
    <t>VISEE  AVANT  LIPSTICK 012</t>
  </si>
  <si>
    <t>YNUE013</t>
  </si>
  <si>
    <t>VISEE  AVANT  LIPSTICK 013</t>
  </si>
  <si>
    <t>YNUE014</t>
  </si>
  <si>
    <t>VISEE  AVANT  LIPSTICK 014</t>
  </si>
  <si>
    <t>YNUE015</t>
  </si>
  <si>
    <t>VISEE  AVANT  LIPSTICK 015</t>
  </si>
  <si>
    <t>YNUE016</t>
  </si>
  <si>
    <t>VISEE  AVANT  LIPSTICK 016</t>
  </si>
  <si>
    <t>YNUE018</t>
  </si>
  <si>
    <t>VISEE  AVANT  LIPSTICK 018</t>
  </si>
  <si>
    <t>YNUE019</t>
  </si>
  <si>
    <t>VISEE  AVANT  LIPSTICK 019</t>
  </si>
  <si>
    <t>YNUE020</t>
  </si>
  <si>
    <t>VISEE  AVANT  LIPSTICK 020</t>
  </si>
  <si>
    <t>YNUF</t>
  </si>
  <si>
    <t>VISEE  AVANT  LIP　PRIMER</t>
  </si>
  <si>
    <t>YNCG005</t>
  </si>
  <si>
    <t>VISEE  LIP &amp; CHEEK　 CREAM　N BE-5</t>
  </si>
  <si>
    <t>YNCG007</t>
  </si>
  <si>
    <t>VISEE  LIP &amp; CHEEK　 CREAM　N OR-7</t>
  </si>
  <si>
    <t>YNCG009</t>
  </si>
  <si>
    <t>VISEE  LIP &amp; CHEEK　 CREAM　N BR-9</t>
  </si>
  <si>
    <t>YNCG010</t>
  </si>
  <si>
    <t>VISEE  LIP &amp; CHEEK　 CREAM　N SP-10</t>
  </si>
  <si>
    <t>YNIT001</t>
  </si>
  <si>
    <t>VISEE  MELTY SHARP  GEL LINER BK001</t>
  </si>
  <si>
    <t>YNIT321</t>
  </si>
  <si>
    <t>VISEE  MELTY SHARP  GEL LINER BR321</t>
  </si>
  <si>
    <t>YNUE021</t>
  </si>
  <si>
    <t>VISEE  AVANT  LIPSTICK 021</t>
  </si>
  <si>
    <t>YNUE022</t>
  </si>
  <si>
    <t>VISEE  AVANT  LIPSTICK 022</t>
  </si>
  <si>
    <t>YNUE023</t>
  </si>
  <si>
    <t>VISEE  AVANT  LIPSTICK 023</t>
  </si>
  <si>
    <t>YNUE024</t>
  </si>
  <si>
    <t>VISEE  AVANT  LIPSTICK 024</t>
  </si>
  <si>
    <t>YNUE025</t>
  </si>
  <si>
    <t>VISEE  AVANT  LIPSTICK 025</t>
  </si>
  <si>
    <t>YNUG001</t>
  </si>
  <si>
    <t>VISEE  AVANT  LIQUID　　EYE COLOR 001</t>
  </si>
  <si>
    <t>YNUG005</t>
  </si>
  <si>
    <t>VISEE  AVANT  LIQUID　　EYE COLOR 005</t>
  </si>
  <si>
    <t>YNYJ004</t>
  </si>
  <si>
    <t>VISEE  DOUBLE　VEIL  EYES BL-4</t>
  </si>
  <si>
    <t>YNBN300</t>
  </si>
  <si>
    <t>VISEE  EYEBROW　 PENCIL　S BR300</t>
  </si>
  <si>
    <t>YNBN301</t>
  </si>
  <si>
    <t>VISEE  EYEBROW　 PENCIL　S BR301</t>
  </si>
  <si>
    <t>YNBN303</t>
  </si>
  <si>
    <t>VISEE  EYEBROW　 PENCIL　S BR303</t>
  </si>
  <si>
    <t>YNBN304</t>
  </si>
  <si>
    <t>VISEE  EYEBROW　 PENCIL　S BR304</t>
  </si>
  <si>
    <t>YNBN305</t>
  </si>
  <si>
    <t>VISEE  EYEBROW　 PENCIL　S BR305</t>
  </si>
  <si>
    <t>YNBN001</t>
  </si>
  <si>
    <t>VISEE  EYEBROW　 PENCIL　S GY001</t>
  </si>
  <si>
    <t>YNBO001</t>
  </si>
  <si>
    <t>VISEE  EYEBROW POWDER BR-1</t>
  </si>
  <si>
    <t>YNBO002</t>
  </si>
  <si>
    <t>VISEE  EYEBROW POWDER BR-2</t>
  </si>
  <si>
    <t>YNBO003</t>
  </si>
  <si>
    <t>VISEE  EYEBROW POWDER BR-3</t>
  </si>
  <si>
    <t>YNUR001</t>
  </si>
  <si>
    <t>VISEE  AVANT  LIP　&amp;　EYE 　COLOR　　PENCIL 001</t>
  </si>
  <si>
    <t>YNUR002</t>
  </si>
  <si>
    <t>VISEE  AVANT  LIP　&amp;　EYE 　COLOR　　PENCIL 002</t>
  </si>
  <si>
    <t>YNUR003</t>
  </si>
  <si>
    <t>VISEE  AVANT  LIP　&amp;　EYE 　COLOR　　PENCIL 003</t>
  </si>
  <si>
    <t>YNUR004</t>
  </si>
  <si>
    <t>VISEE  AVANT  LIP　&amp;　EYE 　COLOR　　PENCIL 004</t>
  </si>
  <si>
    <t>YNUR005</t>
  </si>
  <si>
    <t>VISEE  AVANT  LIP　&amp;　EYE 　COLOR　　PENCIL 005</t>
  </si>
  <si>
    <t>YNUR006</t>
  </si>
  <si>
    <t>VISEE  AVANT  LIP　&amp;　EYE 　COLOR　　PENCIL 006</t>
  </si>
  <si>
    <t>YNUR007</t>
  </si>
  <si>
    <t>VISEE  AVANT  LIP　&amp;　EYE 　COLOR　　PENCIL 007</t>
  </si>
  <si>
    <t>YNUR008</t>
  </si>
  <si>
    <t>VISEE  AVANT  LIP　&amp;　EYE 　COLOR　　PENCIL 008</t>
  </si>
  <si>
    <t>YNUR009</t>
  </si>
  <si>
    <t>VISEE  AVANT  LIP　&amp;　EYE 　COLOR　　PENCIL 009</t>
  </si>
  <si>
    <t>YNUR010</t>
  </si>
  <si>
    <t>VISEE  AVANT  LIP　&amp;　EYE 　COLOR　　PENCIL 010</t>
  </si>
  <si>
    <t>YNUR011</t>
  </si>
  <si>
    <t>VISEE  AVANT  LIP　&amp;　EYE 　COLOR　　PENCIL 011</t>
  </si>
  <si>
    <t>YNUR012</t>
  </si>
  <si>
    <t>VISEE  AVANT  LIP　&amp;　EYE 　COLOR　　PENCIL 012</t>
  </si>
  <si>
    <t>YNUR013</t>
  </si>
  <si>
    <t>VISEE  AVANT  LIP　&amp;　EYE 　COLOR　　PENCIL 013</t>
  </si>
  <si>
    <t>YNUR014</t>
  </si>
  <si>
    <t>VISEE  AVANT  LIP　&amp;　EYE 　COLOR　　PENCIL 014</t>
  </si>
  <si>
    <t>YNUE027</t>
  </si>
  <si>
    <t>VISEE  AVANT  LIPSTICK 027</t>
  </si>
  <si>
    <t>YNUE028</t>
  </si>
  <si>
    <t>VISEE  AVANT  LIPSTICK 028</t>
  </si>
  <si>
    <t>YNUE029</t>
  </si>
  <si>
    <t>VISEE  AVANT  LIPSTICK 029</t>
  </si>
  <si>
    <t>YNUE030</t>
  </si>
  <si>
    <t>VISEE  AVANT  LIPSTICK 030</t>
  </si>
  <si>
    <t>YNCP620</t>
  </si>
  <si>
    <t>VISEE  FOGGY ON  CHEEKS　N RO620</t>
  </si>
  <si>
    <t>YNCP821</t>
  </si>
  <si>
    <t>VISEE  FOGGY ON  CHEEKS　N BE821</t>
  </si>
  <si>
    <t>YNCP820</t>
  </si>
  <si>
    <t>VISEE  FOGGY ON  CHEEKS　N PK820</t>
  </si>
  <si>
    <t>YNCP420</t>
  </si>
  <si>
    <t>VISEE  FOGGY ON  CHEEKS　N RD420</t>
  </si>
  <si>
    <t>YNYI001</t>
  </si>
  <si>
    <t>VISEE  GLOSSY RICH  EYES　N BE-1</t>
  </si>
  <si>
    <t>YNYI002</t>
  </si>
  <si>
    <t>VISEE  GLOSSY RICH  EYES　N OR-2</t>
  </si>
  <si>
    <t>YNYI003</t>
  </si>
  <si>
    <t>VISEE  GLOSSY RICH  EYES　N PK-3</t>
  </si>
  <si>
    <t>YNYI004</t>
  </si>
  <si>
    <t>VISEE  GLOSSY RICH  EYES　N PK-4</t>
  </si>
  <si>
    <t>YNYI005</t>
  </si>
  <si>
    <t>VISEE  GLOSSY RICH  EYES　N BR-5</t>
  </si>
  <si>
    <t>YNYI006</t>
  </si>
  <si>
    <t>VISEE  GLOSSY RICH  EYES　N RD-6</t>
  </si>
  <si>
    <t>YNCP822</t>
  </si>
  <si>
    <t>VISEE  FOGGY ON  CHEEKS　N PK822</t>
  </si>
  <si>
    <t>YNUC011</t>
  </si>
  <si>
    <t>VISEE  AVANT  MULTI STICK COLOR 011</t>
  </si>
  <si>
    <t>YNUC012</t>
  </si>
  <si>
    <t>VISEE  AVANT  MULTI STICK COLOR 012</t>
  </si>
  <si>
    <t>YNUC013</t>
  </si>
  <si>
    <t>VISEE  AVANT  MULTI STICK COLOR 013</t>
  </si>
  <si>
    <t>YNUC014</t>
  </si>
  <si>
    <t>VISEE  AVANT  MULTI STICK COLOR 014</t>
  </si>
  <si>
    <t>YNUR015</t>
  </si>
  <si>
    <t>VISEE  AVANT  LIP　&amp;　EYE 　COLOR　　PENCIL 015</t>
  </si>
  <si>
    <t>YNUR016</t>
  </si>
  <si>
    <t>VISEE  AVANT  LIP　&amp;　EYE 　COLOR　　PENCIL 016</t>
  </si>
  <si>
    <t>YNFF405</t>
  </si>
  <si>
    <t>VISEE  FILTER　SKIN  FOUNDATION OC-405</t>
  </si>
  <si>
    <t>YNFF310</t>
  </si>
  <si>
    <t>VISEE  FILTER　SKIN  FOUNDATION BO-310</t>
  </si>
  <si>
    <t>YNFX</t>
  </si>
  <si>
    <t>VISEE  POWDER FOUNDATION  CASE　N</t>
  </si>
  <si>
    <t>YNYJ007</t>
  </si>
  <si>
    <t>VISEE  DOUBLE　VEIL  EYES GR-7</t>
  </si>
  <si>
    <t>YNUE031</t>
  </si>
  <si>
    <t>VISEE  AVANT  LIPSTICK 031</t>
  </si>
  <si>
    <t>YNUE032</t>
  </si>
  <si>
    <t>VISEE  AVANT  LIPSTICK 032</t>
  </si>
  <si>
    <t>DLIB</t>
  </si>
  <si>
    <t>CURL KEEP MAGIC</t>
  </si>
  <si>
    <t>YNIM140</t>
  </si>
  <si>
    <t>VISEE  COLOR IMPACT  LIQUID LINER PU140</t>
  </si>
  <si>
    <t>YNUR017</t>
  </si>
  <si>
    <t>VISEE  AVANT  LIP　&amp;　EYE 　COLOR　　PENCIL 017</t>
  </si>
  <si>
    <t>YNUR018</t>
  </si>
  <si>
    <t>VISEE  AVANT  LIP　&amp;　EYE 　COLOR　　PENCIL 018</t>
  </si>
  <si>
    <t>YNUR019</t>
  </si>
  <si>
    <t>VISEE  AVANT  LIP　&amp;　EYE 　COLOR　　PENCIL 019</t>
  </si>
  <si>
    <t>YNUR020</t>
  </si>
  <si>
    <t>VISEE  AVANT  LIP　&amp;　EYE 　COLOR　　PENCIL 020</t>
  </si>
  <si>
    <t>YNUJ</t>
  </si>
  <si>
    <t>VISEE  AVANT  MULTI 　GLOW FIXER</t>
  </si>
  <si>
    <t>YNUK101</t>
  </si>
  <si>
    <t>VISEE  AVANT  LIPSTICK　 CREAMY MATTE 101</t>
  </si>
  <si>
    <t>YNUK102</t>
  </si>
  <si>
    <t>VISEE  AVANT  LIPSTICK　 CREAMY MATTE 102</t>
  </si>
  <si>
    <t>YNUK103</t>
  </si>
  <si>
    <t>VISEE  AVANT  LIPSTICK　 CREAMY MATTE 103</t>
  </si>
  <si>
    <t>YNUK104</t>
  </si>
  <si>
    <t>VISEE  AVANT  LIPSTICK　 CREAMY MATTE 104</t>
  </si>
  <si>
    <t>YNUK105</t>
  </si>
  <si>
    <t>VISEE  AVANT  LIPSTICK　 CREAMY MATTE 105</t>
  </si>
  <si>
    <t>YNUK106</t>
  </si>
  <si>
    <t>VISEE  AVANT  LIPSTICK　 CREAMY MATTE 106</t>
  </si>
  <si>
    <t>YNUK107</t>
  </si>
  <si>
    <t>VISEE  AVANT  LIPSTICK　 CREAMY MATTE 107</t>
  </si>
  <si>
    <t>YNUK108</t>
  </si>
  <si>
    <t>VISEE  AVANT  LIPSTICK　 CREAMY MATTE 108</t>
  </si>
  <si>
    <t>YNBJ001</t>
  </si>
  <si>
    <t>VISEE  INSTANT  EYEBROW COLOR BR-1</t>
  </si>
  <si>
    <t>YNBJ002</t>
  </si>
  <si>
    <t>VISEE  INSTANT  EYEBROW COLOR BR-2</t>
  </si>
  <si>
    <t>YNBJ003</t>
  </si>
  <si>
    <t>VISEE  INSTANT  EYEBROW COLOR BR-3</t>
  </si>
  <si>
    <t>YNBJ004</t>
  </si>
  <si>
    <t>VISEE  INSTANT  EYEBROW COLOR BR-4</t>
  </si>
  <si>
    <t>YNBJ005</t>
  </si>
  <si>
    <t>VISEE  INSTANT  EYEBROW COLOR BR-5</t>
  </si>
  <si>
    <t>DXQU001</t>
  </si>
  <si>
    <t>FASIO  PENCIL &amp; POWDER　EYEBROW 01</t>
  </si>
  <si>
    <t>DXQD003</t>
  </si>
  <si>
    <t>FASIO  LIQUID &amp; POWDER　EYEBROW 03</t>
  </si>
  <si>
    <t>DXQU002</t>
  </si>
  <si>
    <t>FASIO  PENCIL &amp; POWDER　EYEBROW 02</t>
  </si>
  <si>
    <t>DXQT001</t>
  </si>
  <si>
    <t>FASIO  EYEBROW　　PENCIL 01</t>
  </si>
  <si>
    <t>DXQT002</t>
  </si>
  <si>
    <t>FASIO  EYEBROW　　PENCIL 02</t>
  </si>
  <si>
    <t>DXQT003</t>
  </si>
  <si>
    <t>FASIO  EYEBROW　　PENCIL 03</t>
  </si>
  <si>
    <t>DXQW001</t>
  </si>
  <si>
    <t>FASIO  EYEBROW　　MASCARA 01</t>
  </si>
  <si>
    <t>DXQW002</t>
  </si>
  <si>
    <t>FASIO  EYEBROW　　MASCARA 02</t>
  </si>
  <si>
    <t>DXQW003</t>
  </si>
  <si>
    <t>FASIO  EYEBROW　　MASCARA 03</t>
  </si>
  <si>
    <t>DXQY001</t>
  </si>
  <si>
    <t>FASIO  PENCIL EYELINER 01</t>
  </si>
  <si>
    <t>DXQY002</t>
  </si>
  <si>
    <t>FASIO  PENCIL EYELINER 02</t>
  </si>
  <si>
    <t>DXQY003</t>
  </si>
  <si>
    <t>FASIO  PENCIL EYELINER 03</t>
  </si>
  <si>
    <t>DXQY004</t>
  </si>
  <si>
    <t>FASIO  PENCIL EYELINER 04</t>
  </si>
  <si>
    <t>DXQX001</t>
  </si>
  <si>
    <t>FASIO  LIQUID EYELINER 01</t>
  </si>
  <si>
    <t>DXQX002</t>
  </si>
  <si>
    <t>FASIO  LIQUID EYELINER 02</t>
  </si>
  <si>
    <t>DXQX000</t>
  </si>
  <si>
    <t>FASIO  LIQUID EYELINER 00</t>
  </si>
  <si>
    <t>DXQI001</t>
  </si>
  <si>
    <t>FASIO  PERMANENT CURL  MASCARA WP  VOLUME 01</t>
  </si>
  <si>
    <t>DXQI002</t>
  </si>
  <si>
    <t>FASIO  PERMANENT CURL  MASCARA WP  VOLUME 02</t>
  </si>
  <si>
    <t>DXQJ001</t>
  </si>
  <si>
    <t>FASIO  PERMANENT CURL  MASCARA WP  LONG 01</t>
  </si>
  <si>
    <t>DXQJ002</t>
  </si>
  <si>
    <t>FASIO  PERMANENT CURL  MASCARA WP  LONG 02</t>
  </si>
  <si>
    <t>DXQN001</t>
  </si>
  <si>
    <t>FASIO  PERMANENT CURL  FIXER F 01</t>
  </si>
  <si>
    <t>DXQQ004</t>
  </si>
  <si>
    <t>FASIO  MULTI FACE STICK 04</t>
  </si>
  <si>
    <t>DXQQ002</t>
  </si>
  <si>
    <t>FASIO  MULTI FACE STICK 02</t>
  </si>
  <si>
    <t>DXQQ003</t>
  </si>
  <si>
    <t>FASIO  MULTI FACE STICK 03</t>
  </si>
  <si>
    <t>YNRM311</t>
  </si>
  <si>
    <t>VISEE  MINI　BALM　　LIPSTICK BR311</t>
  </si>
  <si>
    <t>YNRM610</t>
  </si>
  <si>
    <t>VISEE  MINI　BALM　　LIPSTICK RO610</t>
  </si>
  <si>
    <t>DLSO</t>
  </si>
  <si>
    <t>PORE　　SMOOTH　　PRIMER</t>
  </si>
  <si>
    <t>YNUE033</t>
  </si>
  <si>
    <t>VISEE  AVANT  LIPSTICK 033</t>
  </si>
  <si>
    <t>YNUE034</t>
  </si>
  <si>
    <t>VISEE  AVANT  LIPSTICK 034</t>
  </si>
  <si>
    <t>YNIU300</t>
  </si>
  <si>
    <t>VISEE  BROWNS　 CREAMY PENCIL BR300</t>
  </si>
  <si>
    <t>YNIU301</t>
  </si>
  <si>
    <t>VISEE  BROWNS　 CREAMY PENCIL BR301</t>
  </si>
  <si>
    <t>YNIU302</t>
  </si>
  <si>
    <t>VISEE  BROWNS　 CREAMY PENCIL BR302</t>
  </si>
  <si>
    <t>YNIU303</t>
  </si>
  <si>
    <t>VISEE  BROWNS　 CREAMY PENCIL BR303</t>
  </si>
  <si>
    <t>YNIU304</t>
  </si>
  <si>
    <t>VISEE  BROWNS　 CREAMY PENCIL BR304</t>
  </si>
  <si>
    <t>DXBU001</t>
  </si>
  <si>
    <t>FASIO  AIRY STAY  OIL BLOCKER 01</t>
  </si>
  <si>
    <t>DXBY002</t>
  </si>
  <si>
    <t>FASIO  AIRY STAY  POWDER 02</t>
  </si>
  <si>
    <t>DXBY001</t>
  </si>
  <si>
    <t>FASIO  AIRY STAY  POWDER 01</t>
  </si>
  <si>
    <t>DXBZ002</t>
  </si>
  <si>
    <t>DXBZ001</t>
  </si>
  <si>
    <t>DXBX405</t>
  </si>
  <si>
    <t>FASIO  AIRY STAY  LIQUID FOUNDATION 405</t>
  </si>
  <si>
    <t>DXBX410</t>
  </si>
  <si>
    <t>FASIO  AIRY STAY  LIQUID FOUNDATION 410</t>
  </si>
  <si>
    <t>DXBX415</t>
  </si>
  <si>
    <t>FASIO  AIRY STAY  LIQUID FOUNDATION 415</t>
  </si>
  <si>
    <t>YNUR021</t>
  </si>
  <si>
    <t>VISEE  AVANT  LIP　&amp;　EYE 　COLOR　　PENCIL 021</t>
  </si>
  <si>
    <t>YNUR022</t>
  </si>
  <si>
    <t>VISEE  AVANT  LIP　&amp;　EYE 　COLOR　　PENCIL 022</t>
  </si>
  <si>
    <t>YNFC</t>
  </si>
  <si>
    <t>VISEE  TONE UP  PRIMER　　CARE</t>
  </si>
  <si>
    <t>YNBO004</t>
  </si>
  <si>
    <t>VISEE  EYEBROW POWDER BR-4</t>
  </si>
  <si>
    <t>YNQF001</t>
  </si>
  <si>
    <t>VISEE  FOGGY GLOW FILTER 01</t>
  </si>
  <si>
    <t>DXWQ001</t>
  </si>
  <si>
    <t>FASIO  PERMANENT CURL  MASCARA HYBRID  LONG 01</t>
  </si>
  <si>
    <t>DXWQ002</t>
  </si>
  <si>
    <t>FASIO  PERMANENT CURL  MASCARA HYBRID  LONG 02</t>
  </si>
  <si>
    <t>DXWP001</t>
  </si>
  <si>
    <t>FASIO  PERMANENT CURL  MASCARA HYBRID  VOLUME 01</t>
  </si>
  <si>
    <t>DXWP002</t>
  </si>
  <si>
    <t>FASIO  PERMANENT CURL  MASCARA HYBRID  VOLUME 02</t>
  </si>
  <si>
    <t>YNIX380</t>
  </si>
  <si>
    <t>VISEE  ANTIQUE PASTEL  LINER BE380</t>
  </si>
  <si>
    <t>YNIX381</t>
  </si>
  <si>
    <t>VISEE  ANTIQUE PASTEL  LINER BR381</t>
  </si>
  <si>
    <t>YNIX280</t>
  </si>
  <si>
    <t>VISEE  ANTIQUE PASTEL  LINER OR280</t>
  </si>
  <si>
    <t>YNIX880</t>
  </si>
  <si>
    <t>VISEE  ANTIQUE PASTEL  LINER PK880</t>
  </si>
  <si>
    <t>YNIX180</t>
  </si>
  <si>
    <t>VISEE  ANTIQUE PASTEL  LINER PU180</t>
  </si>
  <si>
    <t>YNYV001</t>
  </si>
  <si>
    <t>VISEE  PANORAMA　DESIGN　　EYE PALETTE BR-1</t>
  </si>
  <si>
    <t>YNYV002</t>
  </si>
  <si>
    <t>VISEE  PANORAMA　DESIGN　　EYE PALETTE BR-2</t>
  </si>
  <si>
    <t>YNYV003</t>
  </si>
  <si>
    <t>VISEE  PANORAMA　DESIGN　　EYE PALETTE BR-3</t>
  </si>
  <si>
    <t>YNYV004</t>
  </si>
  <si>
    <t>VISEE  PANORAMA　DESIGN　　EYE PALETTE BR-4</t>
  </si>
  <si>
    <t>YNYV005</t>
  </si>
  <si>
    <t>VISEE  PANORAMA　DESIGN　　EYE PALETTE BR-5</t>
  </si>
  <si>
    <t>DLHN</t>
  </si>
  <si>
    <t>MEDICATED　　ALLERTECT　　HAND　　MILK</t>
  </si>
  <si>
    <t>DXQQ020</t>
  </si>
  <si>
    <t>FASIO  MULTI FACE STICK 20</t>
  </si>
  <si>
    <t>DXQQ018</t>
  </si>
  <si>
    <t>FASIO  MULTI FACE STICK 18</t>
  </si>
  <si>
    <t>DXQQ019</t>
  </si>
  <si>
    <t>FASIO  MULTI FACE STICK 19</t>
  </si>
  <si>
    <t>DXQQ016</t>
  </si>
  <si>
    <t>FASIO  MULTI FACE STICK 16</t>
  </si>
  <si>
    <t>DXQQ017</t>
  </si>
  <si>
    <t>FASIO  MULTI FACE STICK 17</t>
  </si>
  <si>
    <t>DXXY</t>
  </si>
  <si>
    <t>FASIO  POWDER FOUNDATION  CASE</t>
  </si>
  <si>
    <t>YNRC830</t>
  </si>
  <si>
    <t>VISEE  DIAMOND  TINT　 SERUM PK830</t>
  </si>
  <si>
    <t>YNRB320</t>
  </si>
  <si>
    <t>VISEE  CANDY STAIN BR320</t>
  </si>
  <si>
    <t>DLID</t>
  </si>
  <si>
    <t>CURL KEEP MAGIC　　ESSENCE　REMOVER</t>
  </si>
  <si>
    <t>DXKB405</t>
  </si>
  <si>
    <t>FASIO  AIRY　STAY 　POWDER FOUNDATION 405</t>
  </si>
  <si>
    <t>DXKB410</t>
  </si>
  <si>
    <t>FASIO  AIRY　STAY 　POWDER FOUNDATION 410</t>
  </si>
  <si>
    <t>DXKB415</t>
  </si>
  <si>
    <t>FASIO  AIRY　STAY 　POWDER FOUNDATION 415</t>
  </si>
  <si>
    <t>YNBX</t>
  </si>
  <si>
    <t>VISEE  EYEBROW　 ENHANCER</t>
  </si>
  <si>
    <t>YNCP320</t>
  </si>
  <si>
    <t>VISEE  FOGGY ON  CHEEKS　N BR320</t>
  </si>
  <si>
    <t>DXQG</t>
  </si>
  <si>
    <t>FASIO  LASH REPAIR　SERUM</t>
  </si>
  <si>
    <t>YNBW910</t>
  </si>
  <si>
    <t>VISEE  GLITTER 　IMPACT LINER BL910</t>
  </si>
  <si>
    <t>YNBW210</t>
  </si>
  <si>
    <t>VISEE  GLITTER 　IMPACT LINER OR210</t>
  </si>
  <si>
    <t>YNCF</t>
  </si>
  <si>
    <t>VISEE  RED TRICK EYE　 CONCEALER</t>
  </si>
  <si>
    <t>YNRD440</t>
  </si>
  <si>
    <t>VISEE　　NUANCE MATTE 　ROUGE RD440</t>
  </si>
  <si>
    <t>YNRD240</t>
  </si>
  <si>
    <t>VISEE　　NUANCE MATTE 　ROUGE OR240</t>
  </si>
  <si>
    <t>YNRD840</t>
  </si>
  <si>
    <t>VISEE　　NUANCE MATTE 　ROUGE PK840</t>
  </si>
  <si>
    <t>YNRD841</t>
  </si>
  <si>
    <t>VISEE　　NUANCE MATTE 　ROUGE PK841</t>
  </si>
  <si>
    <t>YNRD340</t>
  </si>
  <si>
    <t>VISEE　　NUANCE MATTE 　ROUGE BR340</t>
  </si>
  <si>
    <t>YNRD640</t>
  </si>
  <si>
    <t>VISEE　　NUANCE MATTE 　ROUGE RO640</t>
  </si>
  <si>
    <t>YNBV003</t>
  </si>
  <si>
    <t>VISEE　　NUANCE　MATTE　CREATOR BR-3</t>
  </si>
  <si>
    <t>YNBV001</t>
  </si>
  <si>
    <t>VISEE　　NUANCE　MATTE　CREATOR BE-1</t>
  </si>
  <si>
    <t>YNBV002</t>
  </si>
  <si>
    <t>VISEE　　NUANCE　MATTE　CREATOR RD-2</t>
  </si>
  <si>
    <t>YNBV004</t>
  </si>
  <si>
    <t>VISEE　　NUANCE　MATTE　CREATOR PK-4</t>
  </si>
  <si>
    <t>YNBV005</t>
  </si>
  <si>
    <t>VISEE　　NUANCE　MATTE　CREATOR GY-5</t>
  </si>
  <si>
    <t>MUZT</t>
  </si>
  <si>
    <t>ONE BY KOSE  DEEP HYDRATOR</t>
  </si>
  <si>
    <t>MSYJ</t>
  </si>
  <si>
    <t>ONE  BY  KOSE  MELANOSHOT  W</t>
  </si>
  <si>
    <t>MSYK</t>
  </si>
  <si>
    <t>MSYN</t>
  </si>
  <si>
    <t>YNVE002</t>
  </si>
  <si>
    <t>VISEE　　GLOSSY EYE VEIL BR-2</t>
  </si>
  <si>
    <t>YNVE004</t>
  </si>
  <si>
    <t>VISEE　　GLOSSY EYE VEIL PU-4</t>
  </si>
  <si>
    <t>YNRE001</t>
  </si>
  <si>
    <t>VISEE　　ESSENCE LIP PLUMPER SP001</t>
  </si>
  <si>
    <t>DLEP</t>
  </si>
  <si>
    <t>MAKE　KEEP　　POWDER</t>
  </si>
  <si>
    <t>YNFB001</t>
  </si>
  <si>
    <t>VISEE  GLOW BALM　 FOUNDATION 01</t>
  </si>
  <si>
    <t>YNFB002</t>
  </si>
  <si>
    <t>VISEE  GLOW BALM　 FOUNDATION 02</t>
  </si>
  <si>
    <t>YNFB000</t>
  </si>
  <si>
    <t>VISEE  GLOW BALM　 FOUNDATION 00</t>
  </si>
  <si>
    <t>YNRT001</t>
  </si>
  <si>
    <t>VISEE  GLOW TRICK SP001</t>
  </si>
  <si>
    <t>YNST300</t>
  </si>
  <si>
    <t>VISEE  SHADE TRICK BR300</t>
  </si>
  <si>
    <t>DXJC002</t>
  </si>
  <si>
    <t>FASIO  AIRY STAY  BB　TINT　　UV 02</t>
  </si>
  <si>
    <t>DXJC003</t>
  </si>
  <si>
    <t>FASIO  AIRY STAY  BB　TINT　　UV 03</t>
  </si>
  <si>
    <t>DXJC001</t>
  </si>
  <si>
    <t>FASIO  AIRY STAY  BB　TINT　　UV 01</t>
  </si>
  <si>
    <t>DXPO000</t>
  </si>
  <si>
    <t>YNRF850</t>
  </si>
  <si>
    <t>VISEE　　NENMAKU FAKE 　ROUGE PK850</t>
  </si>
  <si>
    <t>YNRF851</t>
  </si>
  <si>
    <t>VISEE　　NENMAKU FAKE 　ROUGE PK851</t>
  </si>
  <si>
    <t>YNRF250</t>
  </si>
  <si>
    <t>VISEE　　NENMAKU FAKE 　ROUGE OR250</t>
  </si>
  <si>
    <t>YNRF650</t>
  </si>
  <si>
    <t>VISEE　　NENMAKU FAKE 　ROUGE RO650</t>
  </si>
  <si>
    <t>YNRF350</t>
  </si>
  <si>
    <t>VISEE　　NENMAKU FAKE 　ROUGE BR350</t>
  </si>
  <si>
    <t>YNRF450</t>
  </si>
  <si>
    <t>VISEE　　NENMAKU FAKE 　ROUGE RD450</t>
  </si>
  <si>
    <t>YNYV009</t>
  </si>
  <si>
    <t>VISEE  PANORAMA　DESIGN　　EYE PALETTE BE-9</t>
  </si>
  <si>
    <t>MUCH</t>
  </si>
  <si>
    <t>ONE  BY  KOSE  PORE CLEAR OIL</t>
  </si>
  <si>
    <t>DLBK</t>
  </si>
  <si>
    <t>MAKE　KEEP　　PRIMER</t>
  </si>
  <si>
    <t>DXAY002</t>
  </si>
  <si>
    <t>FASIO  HITONURI ROUGE 02</t>
  </si>
  <si>
    <t>DXAY007</t>
  </si>
  <si>
    <t>FASIO  HITONURI ROUGE 07</t>
  </si>
  <si>
    <t>DXAY008</t>
  </si>
  <si>
    <t>FASIO  HITONURI ROUGE 08</t>
  </si>
  <si>
    <t>YNCH030</t>
  </si>
  <si>
    <t>VISEE  EYEBROW  SWORD PENCIL &amp; POWDER BR30</t>
  </si>
  <si>
    <t>YNCH031</t>
  </si>
  <si>
    <t>VISEE  EYEBROW  SWORD PENCIL &amp; POWDER BR31</t>
  </si>
  <si>
    <t>YNCH032</t>
  </si>
  <si>
    <t>VISEE  EYEBROW  SWORD PENCIL &amp; POWDER BR32</t>
  </si>
  <si>
    <t>YNBO006</t>
  </si>
  <si>
    <t>VISEE  EYEBROW POWDER BR-6</t>
  </si>
  <si>
    <t>YNCI001</t>
  </si>
  <si>
    <t>VISEE　　BLOW LIFT SP-1</t>
  </si>
  <si>
    <t>DXYI001</t>
  </si>
  <si>
    <t>FASIO  WATERPROOF EYEBROW  DROP 01</t>
  </si>
  <si>
    <t>DXYI002</t>
  </si>
  <si>
    <t>FASIO  WATERPROOF EYEBROW  DROP 02</t>
  </si>
  <si>
    <t>DXYI003</t>
  </si>
  <si>
    <t>FASIO  WATERPROOF EYEBROW  DROP 03</t>
  </si>
  <si>
    <t>MUSC</t>
  </si>
  <si>
    <t>ONE  BY  KOSE  SERUM SHIELD</t>
  </si>
  <si>
    <t>DXYF001</t>
  </si>
  <si>
    <t>FASIO  ULTRA WP MASCARA  VOLUME 01</t>
  </si>
  <si>
    <t>DXYF002</t>
  </si>
  <si>
    <t>FASIO  ULTRA WP MASCARA  VOLUME 02</t>
  </si>
  <si>
    <t>DXYG001</t>
  </si>
  <si>
    <t>FASIO  ULTRA WP MASCARA  LONG 01</t>
  </si>
  <si>
    <t>DXYG002</t>
  </si>
  <si>
    <t>FASIO  ULTRA WP MASCARA  LONG 02</t>
  </si>
  <si>
    <t>DXYH000</t>
  </si>
  <si>
    <t>FASIO  ULTRA WP MASCARA  NATURAL 00</t>
  </si>
  <si>
    <t>DXYX001</t>
  </si>
  <si>
    <t>FASIO  WATERPROOF EYEBROW  SLIM 01</t>
  </si>
  <si>
    <t>DXYX002</t>
  </si>
  <si>
    <t>FASIO  WATERPROOF EYEBROW  SLIM 02</t>
  </si>
  <si>
    <t>DXYX003</t>
  </si>
  <si>
    <t>FASIO  WATERPROOF EYEBROW  SLIM 03</t>
  </si>
  <si>
    <t>YNQM001</t>
  </si>
  <si>
    <t>VISEE　　TONE UP SKIN　DESIGNER 01</t>
  </si>
  <si>
    <t>YNQM002</t>
  </si>
  <si>
    <t>VISEE　　TONE UP SKIN　DESIGNER 02</t>
  </si>
  <si>
    <t>YNQM003</t>
  </si>
  <si>
    <t>VISEE　　TONE UP SKIN　DESIGNER 03</t>
  </si>
  <si>
    <t>YNRG170</t>
  </si>
  <si>
    <t>VISEE　　GEMMY TINT SERUM PU170</t>
  </si>
  <si>
    <t>YNRG870</t>
  </si>
  <si>
    <t>VISEE　　GEMMY TINT SERUM PK870</t>
  </si>
  <si>
    <t>YNRG370</t>
  </si>
  <si>
    <t>VISEE　　GEMMY TINT SERUM BE370</t>
  </si>
  <si>
    <t>YNRG871</t>
  </si>
  <si>
    <t>VISEE　　GEMMY TINT SERUM PK871</t>
  </si>
  <si>
    <t>YNRG270</t>
  </si>
  <si>
    <t>VISEE　　GEMMY TINT SERUM OR270</t>
  </si>
  <si>
    <t>MUWI</t>
  </si>
  <si>
    <t>ONE　　BY　　KOSE　　WRINKLE　　DOUBLE　REPAIR</t>
  </si>
  <si>
    <t>DXFX001</t>
  </si>
  <si>
    <t>FASIO  AIRY STAY  BB　TINT　　MOIST 01</t>
  </si>
  <si>
    <t>DXFX002</t>
  </si>
  <si>
    <t>FASIO  AIRY STAY  BB　TINT　　MOIST 02</t>
  </si>
  <si>
    <t>DXFX003</t>
  </si>
  <si>
    <t>FASIO  AIRY STAY  BB　TINT　　MOIST 03</t>
  </si>
  <si>
    <t>YNMA001</t>
  </si>
  <si>
    <t>VISEE　　COLOR ACCENT MASCARA WT001</t>
  </si>
  <si>
    <t>YNMA100</t>
  </si>
  <si>
    <t>VISEE　　COLOR ACCENT MASCARA PU100</t>
  </si>
  <si>
    <t>YNBV006</t>
  </si>
  <si>
    <t>VISEE　　NUANCE　MATTE　CREATOR GR-6</t>
  </si>
  <si>
    <t>YNBV007</t>
  </si>
  <si>
    <t>VISEE　　NUANCE　MATTE　CREATOR PU-7</t>
  </si>
  <si>
    <t>YNGV001</t>
  </si>
  <si>
    <t>VISEE　　NUANCE　DEWY　CREATOR BE-1</t>
  </si>
  <si>
    <t>YNGV002</t>
  </si>
  <si>
    <t>VISEE　　NUANCE　DEWY　CREATOR BE-2</t>
  </si>
  <si>
    <t>YNGV003</t>
  </si>
  <si>
    <t>VISEE　　NUANCE　DEWY　CREATOR PK-3</t>
  </si>
  <si>
    <t>YNGV004</t>
  </si>
  <si>
    <t>VISEE　　NUANCE　DEWY　CREATOR OR-4</t>
  </si>
  <si>
    <t>YNGV005</t>
  </si>
  <si>
    <t>VISEE　　NUANCE　DEWY　CREATOR GY-5</t>
  </si>
  <si>
    <t>YNRE300</t>
  </si>
  <si>
    <t>VISEE　　ESSENCE LIP PLUMPER BE300</t>
  </si>
  <si>
    <t>YNRE900</t>
  </si>
  <si>
    <t>VISEE　　ESSENCE LIP PLUMPER BL900</t>
  </si>
  <si>
    <t>YNRE100</t>
  </si>
  <si>
    <t>VISEE　　ESSENCE LIP PLUMPER PU100</t>
  </si>
  <si>
    <t>DXXU101</t>
  </si>
  <si>
    <t>FASIO  ULTRA WP MASCARA  LONG 101</t>
  </si>
  <si>
    <t>DXXU102</t>
  </si>
  <si>
    <t>FASIO  ULTRA WP MASCARA  LONG 102</t>
  </si>
  <si>
    <t>DXXU103</t>
  </si>
  <si>
    <t>FASIO  ULTRA WP MASCARA  LONG 103</t>
  </si>
  <si>
    <t>YNVA001</t>
  </si>
  <si>
    <t>VISEE　 30TH GLAMOROUS LAYERED PALETTE 01</t>
  </si>
  <si>
    <t>YNVA002</t>
  </si>
  <si>
    <t>VISEE　 30TH GLAMOROUS LAYERED PALETTE 02</t>
  </si>
  <si>
    <t>YNVB001</t>
  </si>
  <si>
    <t>VISEE　　30TH VOLUME LIP　MAKER 01</t>
  </si>
  <si>
    <t>YNVB003</t>
  </si>
  <si>
    <t>VISEE　　30TH VOLUME LIP　MAKER 03</t>
  </si>
  <si>
    <t>MUCI</t>
  </si>
  <si>
    <t>YNKA300</t>
  </si>
  <si>
    <t>VISEE　　THE　CONTOUR COLOR　(POWDER) BE300</t>
  </si>
  <si>
    <t>YNKA800</t>
  </si>
  <si>
    <t>VISEE　　THE　CONTOUR COLOR　(POWDER) PK800</t>
  </si>
  <si>
    <t>YNKA001</t>
  </si>
  <si>
    <t>VISEE　　THE　CONTOUR COLOR　(POWDER) SP001</t>
  </si>
  <si>
    <t>YNKA350</t>
  </si>
  <si>
    <t>VISEE　　THE　CONTOUR COLOR　(POWDER) BR350</t>
  </si>
  <si>
    <t>YNKA351</t>
  </si>
  <si>
    <t>VISEE　　THE　CONTOUR COLOR　(POWDER) BR351</t>
  </si>
  <si>
    <t>YNKF101</t>
  </si>
  <si>
    <t>VISEE　　THE　CONTOUR COLOR (CREAM) PU101</t>
  </si>
  <si>
    <t>YNKF302</t>
  </si>
  <si>
    <t>VISEE　　THE　CONTOUR COLOR (CREAM) BE302</t>
  </si>
  <si>
    <t>YNKF354</t>
  </si>
  <si>
    <t>VISEE　　THE　CONTOUR COLOR (CREAM) BR354</t>
  </si>
  <si>
    <t>YNGB001</t>
  </si>
  <si>
    <t>VISEE  EXTRA SKINNY CONCEALER 01</t>
  </si>
  <si>
    <t>YNGB002</t>
  </si>
  <si>
    <t>VISEE  EXTRA SKINNY CONCEALER 02</t>
  </si>
  <si>
    <t>YNGB003</t>
  </si>
  <si>
    <t>VISEE  EXTRA SKINNY CONCEALER 03</t>
  </si>
  <si>
    <t>YNGB004</t>
  </si>
  <si>
    <t>VISEE  EXTRA SKINNY CONCEALER 04</t>
  </si>
  <si>
    <t>DLEA</t>
  </si>
  <si>
    <t>MAKE　KEEP　　MIST　　EX　+</t>
  </si>
  <si>
    <t>DLEB</t>
  </si>
  <si>
    <t>YNRF852</t>
  </si>
  <si>
    <t>VISEE　　NENMAKU FAKE 　ROUGE PK852</t>
  </si>
  <si>
    <t>YNRF351</t>
  </si>
  <si>
    <t>VISEE　　NENMAKU FAKE 　ROUGE BE351</t>
  </si>
  <si>
    <t>MUPD</t>
  </si>
  <si>
    <t>ONE  BY  KOSE　　CLEAR　PEEL　SERUM</t>
  </si>
  <si>
    <t>MUPE</t>
  </si>
  <si>
    <t>MUXA</t>
  </si>
  <si>
    <t>ONE BY KOSE  SERUM VEIL  DEEP REPAIR</t>
  </si>
  <si>
    <t>YNKB</t>
  </si>
  <si>
    <t>VISEE　　CUSTOMIZED　CASE</t>
  </si>
  <si>
    <t>YNQH020</t>
  </si>
  <si>
    <t>VISEE　　TONE UP SKIN　DESIGNER　　(SHEER) 20</t>
  </si>
  <si>
    <t>YNIZ001</t>
  </si>
  <si>
    <t>VISEE　　EXTRA SHARP  LIQUID LINER BK001</t>
  </si>
  <si>
    <t>DXKN001</t>
  </si>
  <si>
    <t>FASIO  ULTRA COVER CONCEALER  WP 01</t>
  </si>
  <si>
    <t>DXKN002</t>
  </si>
  <si>
    <t>FASIO  ULTRA COVER CONCEALER  WP 02</t>
  </si>
  <si>
    <t>DXKO000</t>
  </si>
  <si>
    <t>FASIO  ULTRA COVER EYE CONCEALER  WP 00</t>
  </si>
  <si>
    <t>DXNC001</t>
  </si>
  <si>
    <t>FASHIO　　UV PROTECT BASE 01</t>
  </si>
  <si>
    <t>DXNC002</t>
  </si>
  <si>
    <t>FASHIO　　UV PROTECT BASE 02</t>
  </si>
  <si>
    <t>YNKG100</t>
  </si>
  <si>
    <t>VISEE　　THE　CONTOUR COLOR　(POWDER) PU100</t>
  </si>
  <si>
    <t>YNKG200</t>
  </si>
  <si>
    <t>VISEE　　THE　CONTOUR COLOR　(POWDER) OR200</t>
  </si>
  <si>
    <t>YNKG002</t>
  </si>
  <si>
    <t>VISEE　　THE　CONTOUR COLOR　(POWDER) SP002</t>
  </si>
  <si>
    <t>YNKG003</t>
  </si>
  <si>
    <t>VISEE　　THE　CONTOUR COLOR　(POWDER) SP003</t>
  </si>
  <si>
    <t>YNKG004</t>
  </si>
  <si>
    <t>VISEE　　THE　CONTOUR COLOR　(POWDER) SP004</t>
  </si>
  <si>
    <t>YNKG352</t>
  </si>
  <si>
    <t>VISEE　　THE　CONTOUR COLOR　(POWDER) BR352</t>
  </si>
  <si>
    <t>YNKG353</t>
  </si>
  <si>
    <t>VISEE　　THE　CONTOUR COLOR　(POWDER) BR353</t>
  </si>
  <si>
    <t>YNRF251</t>
  </si>
  <si>
    <t>VISEE　　NENMAKU FAKE 　ROUGE OR251</t>
  </si>
  <si>
    <t>YNRF853</t>
  </si>
  <si>
    <t>VISEE　　NENMAKU FAKE 　ROUGE PK853</t>
  </si>
  <si>
    <t>YNIZ310</t>
  </si>
  <si>
    <t>VISEE　　EXTRA SHARP  LIQUID LINER BR310</t>
  </si>
  <si>
    <t>YNIZ311</t>
  </si>
  <si>
    <t>VISEE　　EXTRA SHARP  LIQUID LINER BR311</t>
  </si>
  <si>
    <t>YNIZ410</t>
  </si>
  <si>
    <t>VISEE　　EXTRA SHARP  LIQUID LINER RD410</t>
  </si>
  <si>
    <t>YNRI830</t>
  </si>
  <si>
    <t>VISEE　　NENMAKU FAKE 　LIQUID PK830</t>
  </si>
  <si>
    <t>YNRI831</t>
  </si>
  <si>
    <t>VISEE　　NENMAKU FAKE 　LIQUID PK831</t>
  </si>
  <si>
    <t>YNRI330</t>
  </si>
  <si>
    <t>VISEE　　NENMAKU FAKE 　LIQUID BE330</t>
  </si>
  <si>
    <t>YNRI230</t>
  </si>
  <si>
    <t>VISEE　　NENMAKU FAKE 　LIQUID OR230</t>
  </si>
  <si>
    <t>YNRI331</t>
  </si>
  <si>
    <t>VISEE　　NENMAKU FAKE 　LIQUID BR331</t>
  </si>
  <si>
    <t>YNRI430</t>
  </si>
  <si>
    <t>VISEE　　NENMAKU FAKE 　LIQUID RD430</t>
  </si>
  <si>
    <t>DLCD</t>
  </si>
  <si>
    <t>MAKE　KEEP　　POWDER　　COOL</t>
  </si>
  <si>
    <t>DLCE</t>
  </si>
  <si>
    <t>MAKE　KEEP　　PRIMER　　COOL</t>
  </si>
  <si>
    <t>MUXC</t>
  </si>
  <si>
    <t>MUXD</t>
  </si>
  <si>
    <t>DXAN001</t>
  </si>
  <si>
    <t>FASIO  LASH PERM MASCARA  LONG &amp; VOLUME 01</t>
  </si>
  <si>
    <t>DXAN002</t>
  </si>
  <si>
    <t>FASIO  LASH PERM MASCARA  LONG &amp; VOLUME 02</t>
  </si>
  <si>
    <t>DXAO001</t>
  </si>
  <si>
    <t>FASIO  LASH PERM MASCARA  SKINNY 01</t>
  </si>
  <si>
    <t>DXJP</t>
  </si>
  <si>
    <t>FASIO  QUICK MASCARA REMOVER</t>
  </si>
  <si>
    <t>YNGV006</t>
  </si>
  <si>
    <t>VISEE　　NUANCE　DEWY　CREATOR OR-6</t>
  </si>
  <si>
    <t>YNGV007</t>
  </si>
  <si>
    <t>VISEE　　NUANCE　DEWY　CREATOR PK-7</t>
  </si>
  <si>
    <t>YNRE002</t>
  </si>
  <si>
    <t>VISEE　　ESSENCE LIP PLUMPER SP002</t>
  </si>
  <si>
    <t>YNRE200</t>
  </si>
  <si>
    <t>VISEE　　ESSENCE LIP PLUMPER OR200</t>
  </si>
  <si>
    <t>YNRE800</t>
  </si>
  <si>
    <t>VISEE　　ESSENCE LIP PLUMPER PK800</t>
  </si>
  <si>
    <t>YNDY001</t>
  </si>
  <si>
    <t>VISEE  KILLER EYE TRIO BR-1</t>
  </si>
  <si>
    <t>YNDY002</t>
  </si>
  <si>
    <t>VISEE  KILLER EYE TRIO BR-2</t>
  </si>
  <si>
    <t>YNDY003</t>
  </si>
  <si>
    <t>VISEE  KILLER EYE TRIO OR-3</t>
  </si>
  <si>
    <t>YNDY004</t>
  </si>
  <si>
    <t>VISEE  KILLER EYE TRIO PK-4</t>
  </si>
  <si>
    <t>YNDY005</t>
  </si>
  <si>
    <t>VISEE  KILLER EYE TRIO PU-5</t>
  </si>
  <si>
    <t>DXWJ001</t>
  </si>
  <si>
    <t>FASIO  WATERPROOF EYEBROW  ULTRA SLIM 01</t>
  </si>
  <si>
    <t>DXWJ002</t>
  </si>
  <si>
    <t>FASIO  WATERPROOF EYEBROW  ULTRA SLIM 02</t>
  </si>
  <si>
    <t>DXWJ003</t>
  </si>
  <si>
    <t>FASIO  WATERPROOF EYEBROW  ULTRA SLIM 03</t>
  </si>
  <si>
    <t>DXWK003</t>
  </si>
  <si>
    <t>FASIO  WATERPROOF EYEBROW  WIDE TYPE 03</t>
  </si>
  <si>
    <t>YNRE801</t>
  </si>
  <si>
    <t>VISEE　　ESSENCE LIP PLUMPER PK801</t>
  </si>
  <si>
    <t>YNRE301</t>
  </si>
  <si>
    <t>VISEE　　ESSENCE LIP PLUMPER BR301</t>
  </si>
  <si>
    <t>YNRE003</t>
  </si>
  <si>
    <t>VISEE　　ESSENCE LIP PLUMPER SP003</t>
  </si>
  <si>
    <t>YNBO007</t>
  </si>
  <si>
    <t>VISEE  EYEBROW POWDER BR-7</t>
  </si>
  <si>
    <t>YNBO008</t>
  </si>
  <si>
    <t>VISEE  EYEBROW POWDER BR-8</t>
  </si>
  <si>
    <t>YNBO009</t>
  </si>
  <si>
    <t>VISEE  EYEBROW POWDER BR-9</t>
  </si>
  <si>
    <t>YNCT001</t>
  </si>
  <si>
    <t>VISEE  3D GLITTER EYE LIQUID WT-1</t>
  </si>
  <si>
    <t>YNCT004</t>
  </si>
  <si>
    <t>VISEE  3D GLITTER EYE LIQUID OR-4</t>
  </si>
  <si>
    <t>YNCT002</t>
  </si>
  <si>
    <t>VISEE  3D GLITTER EYE LIQUID GD-2</t>
  </si>
  <si>
    <t>YNCT003</t>
  </si>
  <si>
    <t>VISEE  3D GLITTER EYE LIQUID PK-3</t>
  </si>
  <si>
    <t>YNRF352</t>
  </si>
  <si>
    <t>VISEE  NENMAKU FAKE  ROUGE BR352</t>
  </si>
  <si>
    <t>YNRF651</t>
  </si>
  <si>
    <t>VISEE  NENMAKU FAKE  ROUGE RO651</t>
  </si>
  <si>
    <t>YNGC001</t>
  </si>
  <si>
    <t>VISEE  COLOR DUO TRICK CONCEALER 01</t>
  </si>
  <si>
    <t>YNGC002</t>
  </si>
  <si>
    <t>VISEE  COLOR DUO TRICK CONCEALER 02</t>
  </si>
  <si>
    <t>YNGC003</t>
  </si>
  <si>
    <t>VISEE  COLOR DUO TRICK CONCEALER 03</t>
  </si>
  <si>
    <t>YNGC004</t>
  </si>
  <si>
    <t>VISEE  COLOR DUO TRICK CONCEALER 04</t>
  </si>
  <si>
    <t>YNGD005</t>
  </si>
  <si>
    <t>VISEE  COLOR DUO TRICK CONCEALER 05</t>
  </si>
  <si>
    <t>YNGD006</t>
  </si>
  <si>
    <t>VISEE  COLOR DUO TRICK CONCEALER 06</t>
  </si>
  <si>
    <t>YNGD007</t>
  </si>
  <si>
    <t>VISEE  COLOR DUO TRICK CONCEALER 07</t>
  </si>
  <si>
    <t>YNGD008</t>
  </si>
  <si>
    <t>VISEE  COLOR DUO TRICK CONCEALER 08</t>
  </si>
  <si>
    <t>YNZH001</t>
  </si>
  <si>
    <t>VISEE  TRINITAS GLOW POWDER 01</t>
  </si>
  <si>
    <t>YNZH002</t>
  </si>
  <si>
    <t>VISEE  TRINITAS GLOW POWDER 02</t>
  </si>
  <si>
    <t>YNXX001</t>
  </si>
  <si>
    <t>VISEE  W MOOD EYES BR-1</t>
  </si>
  <si>
    <t>YNXX002</t>
  </si>
  <si>
    <t>VISEE  W MOOD EYES BR-2</t>
  </si>
  <si>
    <t>YNXX003</t>
  </si>
  <si>
    <t>VISEE  W MOOD EYES GY-3</t>
  </si>
  <si>
    <t>YNXX004</t>
  </si>
  <si>
    <t>VISEE  W MOOD EYES OR-4</t>
  </si>
  <si>
    <t>YNXX005</t>
  </si>
  <si>
    <t>VISEE  W MOOD EYES PK-5</t>
  </si>
  <si>
    <t>YNXX006</t>
  </si>
  <si>
    <t>VISEE  W MOOD EYES BL-6</t>
  </si>
  <si>
    <t>MUTE</t>
    <phoneticPr fontId="2"/>
  </si>
  <si>
    <t>ONE BY KOSE SERUM VEIL</t>
  </si>
  <si>
    <t>YNUC001</t>
  </si>
  <si>
    <t>VISEE AVANT MULTI STICK COLOR</t>
  </si>
  <si>
    <t>YNUA025</t>
  </si>
  <si>
    <t>YNUC002</t>
    <phoneticPr fontId="2"/>
  </si>
  <si>
    <t>YNUC003</t>
    <phoneticPr fontId="2"/>
  </si>
  <si>
    <t>YNUC004</t>
    <phoneticPr fontId="2"/>
  </si>
  <si>
    <t>YNUC005</t>
    <phoneticPr fontId="2"/>
  </si>
  <si>
    <t>YNCP421</t>
  </si>
  <si>
    <t>VISEE FOGGY ON CHEEKS　N</t>
  </si>
  <si>
    <t>No.</t>
    <phoneticPr fontId="2"/>
  </si>
  <si>
    <t>JANコード</t>
    <phoneticPr fontId="2"/>
  </si>
  <si>
    <t>DLCH</t>
    <phoneticPr fontId="2"/>
  </si>
  <si>
    <t>DLCJ</t>
    <phoneticPr fontId="2"/>
  </si>
  <si>
    <t>YNRI332</t>
    <phoneticPr fontId="2"/>
  </si>
  <si>
    <t>YNRI832</t>
    <phoneticPr fontId="2"/>
  </si>
  <si>
    <t>DXUW000</t>
    <phoneticPr fontId="2"/>
  </si>
  <si>
    <t>DLSC</t>
    <phoneticPr fontId="2"/>
  </si>
  <si>
    <t>YNBJ007</t>
    <phoneticPr fontId="2"/>
  </si>
  <si>
    <t>YNFF410</t>
    <phoneticPr fontId="2"/>
  </si>
  <si>
    <t>YNFF415</t>
    <phoneticPr fontId="2"/>
  </si>
  <si>
    <t>DXQQ001</t>
    <phoneticPr fontId="2"/>
  </si>
  <si>
    <t>FASIO MULTI FACE STICK</t>
  </si>
  <si>
    <t>DXQQ012</t>
  </si>
  <si>
    <t>DXQQ010</t>
  </si>
  <si>
    <t>DXQQ009</t>
    <phoneticPr fontId="2"/>
  </si>
  <si>
    <t>DXQQ007</t>
    <phoneticPr fontId="2"/>
  </si>
  <si>
    <t>DXQQ006</t>
    <phoneticPr fontId="2"/>
  </si>
  <si>
    <t>DXQQ005</t>
    <phoneticPr fontId="2"/>
  </si>
  <si>
    <t>DXWK002</t>
    <phoneticPr fontId="2"/>
  </si>
  <si>
    <t>DXWK001</t>
    <phoneticPr fontId="2"/>
  </si>
  <si>
    <t>MSYB</t>
    <phoneticPr fontId="2"/>
  </si>
  <si>
    <t>DXWN101</t>
    <phoneticPr fontId="2"/>
  </si>
  <si>
    <t>DXWN102</t>
    <phoneticPr fontId="2"/>
  </si>
  <si>
    <t>DXWN103</t>
  </si>
  <si>
    <t>MUCF</t>
    <phoneticPr fontId="2"/>
  </si>
  <si>
    <t>YNED001</t>
    <phoneticPr fontId="2"/>
  </si>
  <si>
    <t>DLCC</t>
    <phoneticPr fontId="2"/>
  </si>
  <si>
    <t>DLCG</t>
    <phoneticPr fontId="2"/>
  </si>
  <si>
    <t>DLFP</t>
    <phoneticPr fontId="2"/>
  </si>
  <si>
    <t>YNUA039</t>
    <phoneticPr fontId="2"/>
  </si>
  <si>
    <t>DXVM</t>
    <phoneticPr fontId="2"/>
  </si>
  <si>
    <t>YNCJ004</t>
    <phoneticPr fontId="2"/>
  </si>
  <si>
    <t>YNUA010</t>
  </si>
  <si>
    <t>YNCJ003</t>
    <phoneticPr fontId="2"/>
  </si>
  <si>
    <t>YNUA009</t>
    <phoneticPr fontId="2"/>
  </si>
  <si>
    <t>YNCJ002</t>
    <phoneticPr fontId="2"/>
  </si>
  <si>
    <t>YNCJ001</t>
    <phoneticPr fontId="2"/>
  </si>
  <si>
    <t>YNCO004</t>
    <phoneticPr fontId="2"/>
  </si>
  <si>
    <t>YNCO003</t>
    <phoneticPr fontId="2"/>
  </si>
  <si>
    <t>YNCO002</t>
    <phoneticPr fontId="2"/>
  </si>
  <si>
    <t>YNCO001</t>
    <phoneticPr fontId="2"/>
  </si>
  <si>
    <t>DLCA</t>
    <phoneticPr fontId="2"/>
  </si>
  <si>
    <t>DXND410</t>
    <phoneticPr fontId="2"/>
  </si>
  <si>
    <t>DXND405</t>
    <phoneticPr fontId="2"/>
  </si>
  <si>
    <t>DXND205</t>
    <phoneticPr fontId="2"/>
  </si>
  <si>
    <t>YNRF854</t>
    <phoneticPr fontId="2"/>
  </si>
  <si>
    <t>YNRF451</t>
    <phoneticPr fontId="2"/>
  </si>
  <si>
    <t>VISEE FLUFF DESIGN EYEBROW POWDER 002</t>
  </si>
  <si>
    <t>VISEE FLUFF DESIGN EYEBROW POWDER 001</t>
  </si>
  <si>
    <t>DXQD002</t>
    <phoneticPr fontId="2"/>
  </si>
  <si>
    <t>YNIU001</t>
    <phoneticPr fontId="2"/>
  </si>
  <si>
    <t>DXNC003</t>
    <phoneticPr fontId="2"/>
  </si>
  <si>
    <t>DXNC004</t>
    <phoneticPr fontId="2"/>
  </si>
  <si>
    <t>WeChat</t>
    <phoneticPr fontId="2"/>
  </si>
  <si>
    <t>7月</t>
  </si>
  <si>
    <t>7月</t>
    <rPh sb="1" eb="2">
      <t>ガツ</t>
    </rPh>
    <phoneticPr fontId="2"/>
  </si>
  <si>
    <t>8月</t>
  </si>
  <si>
    <t>9月</t>
  </si>
  <si>
    <t>10月</t>
  </si>
  <si>
    <t>11月</t>
  </si>
  <si>
    <t>12月</t>
  </si>
  <si>
    <t>1月</t>
    <rPh sb="1" eb="2">
      <t>ガツ</t>
    </rPh>
    <phoneticPr fontId="2"/>
  </si>
  <si>
    <t>2月</t>
  </si>
  <si>
    <t>3月</t>
  </si>
  <si>
    <t>4月</t>
  </si>
  <si>
    <t>5月</t>
  </si>
  <si>
    <t>6月</t>
  </si>
  <si>
    <t>WeChat構成比</t>
    <rPh sb="6" eb="9">
      <t>コウセイヒ</t>
    </rPh>
    <phoneticPr fontId="2"/>
  </si>
  <si>
    <t>構成比</t>
    <rPh sb="0" eb="3">
      <t>コウセイヒ</t>
    </rPh>
    <phoneticPr fontId="2"/>
  </si>
  <si>
    <t>UNQ売上　TTL</t>
    <rPh sb="3" eb="5">
      <t>ウリアゲ</t>
    </rPh>
    <phoneticPr fontId="2"/>
  </si>
  <si>
    <t>WeChat売上</t>
    <rPh sb="6" eb="8">
      <t>ウリアゲ</t>
    </rPh>
    <phoneticPr fontId="2"/>
  </si>
  <si>
    <t>単位：千円</t>
    <phoneticPr fontId="2"/>
  </si>
  <si>
    <t>その他</t>
    <rPh sb="2" eb="3">
      <t>ホカ</t>
    </rPh>
    <phoneticPr fontId="2"/>
  </si>
  <si>
    <t>ONE BY KOSE DEEP HYDRATOR</t>
  </si>
  <si>
    <t>ONE BY KOSE THE WATER MATE</t>
  </si>
  <si>
    <t>SEKKISEI  BRIGHTENING  EMULSION</t>
  </si>
  <si>
    <t>SEKKISEI  BRIGHTENING　　ESSENCE LOTION</t>
  </si>
  <si>
    <t>SEKKISEI  BRIGHTENING  CLEANSING OIL</t>
  </si>
  <si>
    <t>SEKKISEI  BRIGHTENING CREAM</t>
  </si>
  <si>
    <t>SEKKISEI  BRIGHTENING 　ESSENCE LOTION</t>
  </si>
  <si>
    <t>SEKKISEI  BRIGHTENING  FOAM CLEANSER</t>
  </si>
  <si>
    <t>ONE BY KOSE MELANOSHOT W MASK</t>
  </si>
  <si>
    <t>数量</t>
    <phoneticPr fontId="2"/>
  </si>
  <si>
    <t>TTL</t>
    <phoneticPr fontId="2"/>
  </si>
  <si>
    <t>11位以下</t>
    <rPh sb="2" eb="3">
      <t>イ</t>
    </rPh>
    <rPh sb="3" eb="5">
      <t>イカ</t>
    </rPh>
    <phoneticPr fontId="2"/>
  </si>
  <si>
    <t>金額（千円）</t>
    <rPh sb="3" eb="5">
      <t>センエン</t>
    </rPh>
    <phoneticPr fontId="2"/>
  </si>
  <si>
    <t>No.</t>
    <phoneticPr fontId="2"/>
  </si>
  <si>
    <t>Tmall旗艦店</t>
    <rPh sb="5" eb="8">
      <t>キカンテン</t>
    </rPh>
    <phoneticPr fontId="2"/>
  </si>
  <si>
    <t>最高</t>
    <rPh sb="0" eb="2">
      <t>サイコウ</t>
    </rPh>
    <phoneticPr fontId="2"/>
  </si>
  <si>
    <t>最低</t>
    <rPh sb="0" eb="2">
      <t>サイテイ</t>
    </rPh>
    <phoneticPr fontId="2"/>
  </si>
  <si>
    <t>Douyin旗艦店</t>
    <rPh sb="6" eb="9">
      <t>キカンテン</t>
    </rPh>
    <phoneticPr fontId="2"/>
  </si>
  <si>
    <t>単位：元</t>
    <rPh sb="0" eb="2">
      <t>タンイ</t>
    </rPh>
    <rPh sb="3" eb="4">
      <t>ゲン</t>
    </rPh>
    <phoneticPr fontId="2"/>
  </si>
  <si>
    <t>定価</t>
    <rPh sb="0" eb="2">
      <t>テイカ</t>
    </rPh>
    <phoneticPr fontId="2"/>
  </si>
  <si>
    <t>中国KOSE</t>
    <rPh sb="0" eb="2">
      <t>チュウゴク</t>
    </rPh>
    <phoneticPr fontId="2"/>
  </si>
  <si>
    <t>Online未導入</t>
    <rPh sb="6" eb="7">
      <t>ミ</t>
    </rPh>
    <rPh sb="7" eb="9">
      <t>ドウニュウ</t>
    </rPh>
    <phoneticPr fontId="2"/>
  </si>
  <si>
    <t>MAKE　KEEP　MIST　EX　+</t>
    <phoneticPr fontId="2"/>
  </si>
  <si>
    <t>日本定価
（円）</t>
    <rPh sb="0" eb="2">
      <t>ニホン</t>
    </rPh>
    <rPh sb="2" eb="4">
      <t>テイカ</t>
    </rPh>
    <rPh sb="6" eb="7">
      <t>エン</t>
    </rPh>
    <phoneticPr fontId="2"/>
  </si>
  <si>
    <t>FASIO</t>
  </si>
  <si>
    <t>FASIO</t>
    <phoneticPr fontId="2"/>
  </si>
  <si>
    <t>ONE  BY  KOSE</t>
  </si>
  <si>
    <t>ONE  BY  KOSE</t>
    <phoneticPr fontId="2"/>
  </si>
  <si>
    <t>ブランド</t>
    <phoneticPr fontId="2"/>
  </si>
  <si>
    <t>VISEE</t>
  </si>
  <si>
    <t>ブランド</t>
    <phoneticPr fontId="2"/>
  </si>
  <si>
    <t>単位：千円</t>
    <rPh sb="0" eb="2">
      <t>タンイ</t>
    </rPh>
    <rPh sb="3" eb="5">
      <t>センエン</t>
    </rPh>
    <phoneticPr fontId="2"/>
  </si>
  <si>
    <t>金額</t>
    <rPh sb="0" eb="2">
      <t>キンガク</t>
    </rPh>
    <phoneticPr fontId="2"/>
  </si>
  <si>
    <t>ONE  BY  KOSE  PORE CLEAR OIL（Refill）</t>
  </si>
  <si>
    <t>DLFP</t>
  </si>
  <si>
    <t>DLCH</t>
  </si>
  <si>
    <t>MAKE KEEP MIST EX + SAKURA CHERRY</t>
  </si>
  <si>
    <t>DLCC</t>
  </si>
  <si>
    <t>MAKE　KEEP　　MIST　　EX　+　　COOL</t>
  </si>
  <si>
    <t>MAKE KEEP POWDER SAKURA CHERRY</t>
  </si>
  <si>
    <t>累計</t>
    <rPh sb="0" eb="2">
      <t>ルイケイ</t>
    </rPh>
    <phoneticPr fontId="2"/>
  </si>
  <si>
    <t>MAKE KEEP</t>
    <phoneticPr fontId="2"/>
  </si>
  <si>
    <t>YNRE300</t>
    <phoneticPr fontId="2"/>
  </si>
  <si>
    <t>DXNI001</t>
    <phoneticPr fontId="2"/>
  </si>
  <si>
    <t>DXNI002</t>
    <phoneticPr fontId="2"/>
  </si>
  <si>
    <t>DXNG001</t>
    <phoneticPr fontId="2"/>
  </si>
  <si>
    <t>DXNG002</t>
    <phoneticPr fontId="2"/>
  </si>
  <si>
    <t>DXNG003</t>
    <phoneticPr fontId="2"/>
  </si>
  <si>
    <t>YNUA053</t>
    <phoneticPr fontId="2"/>
  </si>
  <si>
    <t>FASIO ULTRA WP MASCARA CURL 001</t>
    <phoneticPr fontId="2"/>
  </si>
  <si>
    <t>FASIO ULTRA WP MASCARA CURL 002</t>
  </si>
  <si>
    <t>FASIO ULTRA WP MASCARA CURL 003</t>
  </si>
  <si>
    <t>FASIO ULTRA WP LIQUID EYELINER 001</t>
    <phoneticPr fontId="2"/>
  </si>
  <si>
    <t>FASIO ULTRA WP LIQUID EYELINER 002</t>
  </si>
  <si>
    <t>VISEE AVANT SINGLE EYE COLOR 053</t>
    <phoneticPr fontId="2"/>
  </si>
  <si>
    <t>MTSW</t>
  </si>
  <si>
    <t>MTSE</t>
  </si>
  <si>
    <t>MTSD</t>
  </si>
  <si>
    <t>BALI</t>
    <phoneticPr fontId="2"/>
  </si>
  <si>
    <t>BAQY</t>
  </si>
  <si>
    <t>BAWX</t>
  </si>
  <si>
    <t>BAET</t>
  </si>
  <si>
    <t>BAEU</t>
  </si>
  <si>
    <t>BAAV</t>
  </si>
  <si>
    <t>BAPO</t>
  </si>
  <si>
    <t>BAPN</t>
  </si>
  <si>
    <t>BASU001</t>
  </si>
  <si>
    <t>BASU002</t>
  </si>
  <si>
    <t>BAHU</t>
  </si>
  <si>
    <t>BAFT205</t>
  </si>
  <si>
    <t>BAFT305</t>
  </si>
  <si>
    <t>BAFT310</t>
  </si>
  <si>
    <t>BAFT405</t>
  </si>
  <si>
    <t>BAFT410</t>
  </si>
  <si>
    <t>BAFT415</t>
  </si>
  <si>
    <t>BARD</t>
  </si>
  <si>
    <t>INFINITY  KOSE  ADVANCED  WHITE STICK  XX</t>
  </si>
  <si>
    <t>INFINITY  KOSE  MORNING RENEW WASH</t>
  </si>
  <si>
    <t>INFINITY　　KOSE　　ESTHETIC　CLEANSING　CREAM　　EX</t>
  </si>
  <si>
    <t>INFINITY  KOSE  LIFT　&amp;　TONE　UP　BASE</t>
  </si>
  <si>
    <t>INFINITY  KOSE  Innovative Bright Lotion  XX</t>
  </si>
  <si>
    <t>INFINITY  KOSE  Innovative Bright Emulsion  XX</t>
  </si>
  <si>
    <t>INFINITY  KOSE  MULTI-PROTECTION  DAY SERUM UV 01</t>
  </si>
  <si>
    <t>INFINITY  KOSE  MULTI-PROTECTION  DAY SERUM UV 02</t>
  </si>
  <si>
    <t>INFINITY  KOSE  BEAUTY HAND SERUM  WRINKLE &amp; BRIGHT</t>
  </si>
  <si>
    <t>INFINITY  KOSE  SKIN LUMINANCE FOUNDATION PO-205</t>
  </si>
  <si>
    <t>INFINITY  KOSE  SKIN LUMINANCE FOUNDATION BO-305</t>
  </si>
  <si>
    <t>INFINITY  KOSE  SKIN LUMINANCE FOUNDATION BO-310</t>
  </si>
  <si>
    <t>INFINITY  KOSE  SKIN LUMINANCE FOUNDATION OC-405</t>
  </si>
  <si>
    <t>INFINITY  KOSE  SKIN LUMINANCE FOUNDATION OC-410</t>
  </si>
  <si>
    <t>INFINITY  KOSE  SKIN LUMINANCE FOUNDATION OC-415</t>
  </si>
  <si>
    <t>INFINITY  KOSE  The Repair  Lotion</t>
  </si>
  <si>
    <t>YNRJ880</t>
  </si>
  <si>
    <t>VISEE  ESSENCE  PLUMP BALM OR280</t>
  </si>
  <si>
    <t>YNRJ881</t>
  </si>
  <si>
    <t>VISEE  ESSENCE  PLUMP BALM BE380</t>
  </si>
  <si>
    <t>YNRJ380</t>
  </si>
  <si>
    <t>VISEE  ESSENCE  PLUMP BALM RD480</t>
  </si>
  <si>
    <t>YNRJ280</t>
  </si>
  <si>
    <t>VISEE  ESSENCE  PLUMP BALM RO680</t>
  </si>
  <si>
    <t>YNRJ680</t>
  </si>
  <si>
    <t>VISEE  ESSENCE  PLUMP BALM PK880</t>
  </si>
  <si>
    <t>YNRJ480</t>
  </si>
  <si>
    <t>VISEE  ESSENCE  PLUMP BALM PK881</t>
  </si>
  <si>
    <t>YNMH001</t>
  </si>
  <si>
    <t>VISEE  DETAIL FIT MASCARA 01</t>
  </si>
  <si>
    <t>YNMH002</t>
  </si>
  <si>
    <t>VISEE  DETAIL FIT MASCARA 02</t>
  </si>
  <si>
    <t>YNPI001</t>
  </si>
  <si>
    <t>VISEE  VOLUME W LIP LINER 01</t>
  </si>
  <si>
    <t>YNPI002</t>
  </si>
  <si>
    <t>VISEE  VOLUME W LIP LINER 02</t>
  </si>
  <si>
    <t>YNUA001</t>
    <phoneticPr fontId="2"/>
  </si>
  <si>
    <t>VISEE  AVANT  SINGLE EYE COLOR 001</t>
    <phoneticPr fontId="2"/>
  </si>
  <si>
    <t>YNUA024</t>
    <phoneticPr fontId="2"/>
  </si>
  <si>
    <t>VISEE  AVANT  SINGLE EYE COLOR 024</t>
    <phoneticPr fontId="2"/>
  </si>
  <si>
    <t>DXND415</t>
    <phoneticPr fontId="2"/>
  </si>
  <si>
    <t>FASIO  HITONURI COVER  POWDER FOUNDATION 415</t>
    <phoneticPr fontId="2"/>
  </si>
  <si>
    <t>MUSG</t>
    <phoneticPr fontId="2"/>
  </si>
  <si>
    <t>#N/AONE  BY  KOSE  SERUM VEIL  LOTION</t>
    <phoneticPr fontId="2"/>
  </si>
  <si>
    <t>MUSH</t>
  </si>
  <si>
    <t>ONE  BY  KOSE  SERUM VEIL  LOTION</t>
    <phoneticPr fontId="2"/>
  </si>
  <si>
    <t>MUSN</t>
    <phoneticPr fontId="2"/>
  </si>
  <si>
    <t>ONE  BY  KOSE  SERUM VEIL  EMULSION</t>
  </si>
  <si>
    <t>MUSO</t>
  </si>
  <si>
    <t>MAKE KEEP POWDER ＥＸ</t>
  </si>
  <si>
    <t>MAKE　KEEP　　MIST　　EX　+＜35mL＞</t>
  </si>
  <si>
    <t>ONE BY KOSE PORE CLEAR SCRUB WASH</t>
  </si>
  <si>
    <t>MUZU</t>
  </si>
  <si>
    <t>MTSX</t>
  </si>
  <si>
    <t>MTSC</t>
  </si>
  <si>
    <t>MUWT</t>
  </si>
  <si>
    <t>MUZP</t>
  </si>
  <si>
    <t>SUPER UV PROTECTOR</t>
  </si>
  <si>
    <t>VISEE　　NENMAKU FAKE 　ROUGE 854</t>
  </si>
  <si>
    <t>VISEE　　NENMAKU FAKE 　ROUGE 451</t>
  </si>
  <si>
    <t>MTOL</t>
  </si>
  <si>
    <t>MTOK</t>
  </si>
  <si>
    <t>MTSY</t>
  </si>
  <si>
    <t>MTSU</t>
  </si>
  <si>
    <t>MTOM</t>
  </si>
  <si>
    <t>MTON</t>
  </si>
  <si>
    <t>MTOJ</t>
  </si>
  <si>
    <t>VISEE　　NENMAKU FAKE 　LIQUID</t>
  </si>
  <si>
    <t>MAKE KEEP POWDER EX</t>
  </si>
  <si>
    <t>FASIO MAYUKESHI MASCARA</t>
  </si>
  <si>
    <t>FASIO LASH PERM MASCARA SKINNY</t>
  </si>
  <si>
    <t>VISEE FLUFF DESIGN EYEBROW POWDER 003</t>
  </si>
  <si>
    <t>VISEE FLUFF DESIGN EYEBROW COLOR 002</t>
  </si>
  <si>
    <t>MTSF</t>
  </si>
  <si>
    <t>VISEE FLUFF DESIGN EYEBROW COLOR 004</t>
  </si>
  <si>
    <t>MAKE KEEP MIST EX + MOIST TEA</t>
  </si>
  <si>
    <t>VISEE FLUFF DESIGN EYEBROW COLOR 003</t>
  </si>
  <si>
    <t>VISEE FLUFF DESIGN EYEBROW POWDER 004</t>
  </si>
  <si>
    <t>FASIO LIQUID &amp; POWDER　EYEBROW</t>
  </si>
  <si>
    <t>VISEE FLUFF DESIGN EYEBROW COLOR 001</t>
  </si>
  <si>
    <t xml:space="preserve"> VISEE FILTER　SKIN FOUNDATION</t>
  </si>
  <si>
    <t>ASIO EYELASH REPAIR SERUM</t>
  </si>
  <si>
    <t>MSYZ</t>
  </si>
  <si>
    <t>VISEE AVANT SINGLE EYECOLOR</t>
  </si>
  <si>
    <t>FASIO HITONURI COVER POWDER FOUNDATION 205</t>
  </si>
  <si>
    <t xml:space="preserve"> VISEE INSTANT EYEBROW COLOR</t>
  </si>
  <si>
    <t>VISEE　　WIDE TRICK W LINER</t>
  </si>
  <si>
    <t>FASIO HITONURI COVER POWDER FOUNDATION 405</t>
  </si>
  <si>
    <t xml:space="preserve"> ONE BY KOSE MELANOSHOT W　 LARGE SIZE　LIMITED KIT</t>
  </si>
  <si>
    <t>VISEE AVANT SINGLE EYE COLOR 039</t>
  </si>
  <si>
    <t>VISEE AVANT SINGLE EYE COLOR 010</t>
  </si>
  <si>
    <t>VISEE AVANT SINGLE EYE COLOR 009</t>
  </si>
  <si>
    <t>FASIO HITONURI COVER POWDER FOUNDATION 410</t>
  </si>
  <si>
    <t>FASIO WATERPROOF EYEBROW WIDE TYPE</t>
  </si>
  <si>
    <t>VISEE BROWNS　 CREAMY PENCIL</t>
  </si>
  <si>
    <t>FASIO　　UV PROTECT BASE</t>
  </si>
  <si>
    <t>BAEW</t>
  </si>
  <si>
    <t>BAEV</t>
  </si>
  <si>
    <t>BADI</t>
  </si>
  <si>
    <t>INFINITY  KOSE  POWDER FOUNDATION CASE</t>
  </si>
  <si>
    <t>BAOM</t>
  </si>
  <si>
    <t>INFINITY  KOSE  SKIN INTEGRATION OIL MASK</t>
  </si>
  <si>
    <t>BAKW</t>
  </si>
  <si>
    <t>INFINITY  KOSE  TREATMENT WASH</t>
  </si>
  <si>
    <t>BAOK</t>
  </si>
  <si>
    <t>INFINITY  KOSE  SKIN INTEGRATION OIL</t>
  </si>
  <si>
    <t>BAON</t>
  </si>
  <si>
    <t>BAPL</t>
  </si>
  <si>
    <t>BAPM</t>
  </si>
  <si>
    <t>BARU</t>
  </si>
  <si>
    <t>INFINITY  KOSE  The Repair  Gel Cream</t>
  </si>
  <si>
    <t>BAKG</t>
  </si>
  <si>
    <t>INFINITY  KOSE  TREATMENT  CLEANSING CREAM</t>
  </si>
  <si>
    <t>BARJ</t>
  </si>
  <si>
    <t>INFINITY  KOSE  The Repair  Serum</t>
  </si>
  <si>
    <t>BAIK</t>
  </si>
  <si>
    <t>INFINITY  KOSE  PRESTIGIOUS  GLOBAL REJUVENATING DUAL CREAM</t>
  </si>
  <si>
    <t>BARM</t>
  </si>
  <si>
    <t>INFINITY  KOSE  The Repair  Emulsion</t>
  </si>
  <si>
    <t>BARA</t>
  </si>
  <si>
    <t>BART</t>
  </si>
  <si>
    <t>DXQQ008</t>
  </si>
  <si>
    <t>FASIO  MULTI FACE STICK 08</t>
  </si>
  <si>
    <t>DXKF001</t>
  </si>
  <si>
    <t>DXKF002</t>
  </si>
  <si>
    <t>DXKF003</t>
  </si>
  <si>
    <t>FASIO  BB TINT  UV COVER 01</t>
  </si>
  <si>
    <t>FASIO  BB TINT  UV COVER 02</t>
  </si>
  <si>
    <t>FASIO  BB TINT  UV COVER 03</t>
  </si>
  <si>
    <t>DXKT000</t>
  </si>
  <si>
    <t>DXKU001</t>
  </si>
  <si>
    <t>DXKV000</t>
  </si>
  <si>
    <t>FASIO  MAKEUP BASE CREAM 00</t>
  </si>
  <si>
    <t>FASIO  MAKEUP BASE CREAM  (COVER) 01</t>
  </si>
  <si>
    <t>FASIO  EYE CREAM  CONCEALER 00</t>
  </si>
  <si>
    <t>YNRE201</t>
  </si>
  <si>
    <t>YNRE802</t>
  </si>
  <si>
    <t>VISEE　　ESSENCE LIP PLUMPER OR201</t>
  </si>
  <si>
    <t>VISEE　　ESSENCE LIP PLUMPER PK802</t>
  </si>
  <si>
    <t>YNTY003</t>
  </si>
  <si>
    <t>VISEE  LAYERED FLEURI CHEEK RO-3</t>
  </si>
  <si>
    <t>MUVE</t>
  </si>
  <si>
    <t>ONE  BY  KOSE  THE WRINKLESS W</t>
  </si>
  <si>
    <t>MUVF</t>
  </si>
  <si>
    <t>INFINITY  KOSE  BEAUTY LIP SERUM</t>
    <phoneticPr fontId="2"/>
  </si>
  <si>
    <t>INFINITY</t>
    <phoneticPr fontId="2"/>
  </si>
  <si>
    <t>FASIO  PORE　　SMOOTH　　PRIMER 00</t>
    <phoneticPr fontId="2"/>
  </si>
  <si>
    <t>FASIO</t>
    <phoneticPr fontId="2"/>
  </si>
  <si>
    <t>ONE  BY  KOSE  SERUM SHIELD</t>
    <phoneticPr fontId="2"/>
  </si>
  <si>
    <t>ONE  BY  KOSE</t>
    <phoneticPr fontId="2"/>
  </si>
  <si>
    <t>VISEE　　ESSENCE LIP PLUMPER SP001</t>
    <phoneticPr fontId="2"/>
  </si>
  <si>
    <t>CCS</t>
    <phoneticPr fontId="2"/>
  </si>
  <si>
    <t>ONE  BY  KOSE  MELANOSHOT  W</t>
    <phoneticPr fontId="2"/>
  </si>
  <si>
    <t>SEKKISEI  BRIGHTENING  ESSENCE LOTION</t>
    <phoneticPr fontId="2"/>
  </si>
  <si>
    <t>SEKKISEI</t>
    <phoneticPr fontId="2"/>
  </si>
  <si>
    <t>ブランド</t>
    <phoneticPr fontId="2"/>
  </si>
  <si>
    <t>合計</t>
    <rPh sb="0" eb="2">
      <t>ゴウケイ</t>
    </rPh>
    <phoneticPr fontId="2"/>
  </si>
  <si>
    <t>MKM</t>
    <phoneticPr fontId="2"/>
  </si>
  <si>
    <t>MKM</t>
    <phoneticPr fontId="2"/>
  </si>
  <si>
    <t>YNUC002</t>
  </si>
  <si>
    <t>YNUC003</t>
  </si>
  <si>
    <t>YNUC004</t>
  </si>
  <si>
    <t>YNUC005</t>
  </si>
  <si>
    <t>MAKE KEEP</t>
  </si>
  <si>
    <t>その他CCS</t>
    <rPh sb="2" eb="3">
      <t>ホカ</t>
    </rPh>
    <phoneticPr fontId="2"/>
  </si>
  <si>
    <t>SEKKISEI</t>
  </si>
  <si>
    <t>24年7月～25年12月累計</t>
    <rPh sb="2" eb="3">
      <t>ネン</t>
    </rPh>
    <rPh sb="4" eb="5">
      <t>ガツ</t>
    </rPh>
    <rPh sb="8" eb="9">
      <t>ネン</t>
    </rPh>
    <rPh sb="11" eb="12">
      <t>ガツ</t>
    </rPh>
    <rPh sb="12" eb="14">
      <t>ルイケイ</t>
    </rPh>
    <phoneticPr fontId="2"/>
  </si>
  <si>
    <t>INFINITY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</si>
</sst>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yyyy&quot;年&quot;m&quot;月&quot;;@"/>
  </numFmts>
  <fonts count="20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0"/>
      <color theme="1"/>
      <name val="UD デジタル 教科書体 NP-R"/>
      <family val="1"/>
      <charset val="128"/>
    </font>
    <font>
      <b/>
      <sz val="10"/>
      <color theme="1"/>
      <name val="UD デジタル 教科書体 NP-R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HG??????M-PRO"/>
      <family val="2"/>
    </font>
    <font>
      <sz val="9"/>
      <color theme="1"/>
      <name val="UD デジタル 教科書体 NP-R"/>
      <family val="1"/>
      <charset val="128"/>
    </font>
    <font>
      <b/>
      <sz val="6"/>
      <color theme="1"/>
      <name val="UD デジタル 教科書体 NP-R"/>
      <family val="1"/>
      <charset val="128"/>
    </font>
    <font>
      <sz val="6"/>
      <color theme="1"/>
      <name val="UD デジタル 教科書体 NP-R"/>
      <family val="1"/>
      <charset val="128"/>
    </font>
    <font>
      <b/>
      <sz val="8"/>
      <color theme="1"/>
      <name val="UD デジタル 教科書体 NP-R"/>
      <family val="1"/>
      <charset val="128"/>
    </font>
    <font>
      <sz val="8"/>
      <color theme="1"/>
      <name val="UD デジタル 教科書体 NP-R"/>
      <family val="1"/>
      <charset val="128"/>
    </font>
    <font>
      <b/>
      <sz val="10"/>
      <color theme="1"/>
      <name val="UD デジタル 教科書体 NK"/>
      <family val="1"/>
      <charset val="128"/>
    </font>
    <font>
      <sz val="10"/>
      <color theme="1"/>
      <name val="UD デジタル 教科書体 NK"/>
      <family val="1"/>
      <charset val="128"/>
    </font>
    <font>
      <sz val="10"/>
      <name val="UD デジタル 教科書体 NK"/>
      <family val="1"/>
      <charset val="128"/>
    </font>
    <font>
      <b/>
      <sz val="9"/>
      <color theme="1"/>
      <name val="UD デジタル 教科書体 NK"/>
      <family val="1"/>
      <charset val="128"/>
    </font>
    <font>
      <sz val="9"/>
      <color theme="1"/>
      <name val="UD デジタル 教科書体 NK"/>
      <family val="1"/>
      <charset val="128"/>
    </font>
    <font>
      <sz val="9"/>
      <name val="UD デジタル 教科書体 NK"/>
      <family val="1"/>
      <charset val="128"/>
    </font>
    <font>
      <sz val="10"/>
      <color rgb="FFFF0000"/>
      <name val="UD デジタル 教科書体 NK"/>
      <family val="1"/>
      <charset val="128"/>
    </font>
    <font>
      <sz val="11"/>
      <color theme="1"/>
      <name val="UD デジタル 教科書体 NK"/>
      <family val="1"/>
      <charset val="128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thin">
        <color indexed="64"/>
      </right>
      <top/>
      <bottom style="hair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medium">
        <color indexed="64"/>
      </bottom>
      <diagonal/>
    </border>
    <border>
      <left/>
      <right style="thin">
        <color auto="1"/>
      </right>
      <top style="hair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</borders>
  <cellStyleXfs count="6">
    <xf numFmtId="0" fontId="0" fillId="0" borderId="0"/>
    <xf numFmtId="38" fontId="1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/>
    <xf numFmtId="40" fontId="6" fillId="0" borderId="0" applyFont="0" applyFill="0" applyBorder="0" applyAlignment="0" applyProtection="0"/>
  </cellStyleXfs>
  <cellXfs count="179">
    <xf numFmtId="0" fontId="0" fillId="0" borderId="0" xfId="0"/>
    <xf numFmtId="0" fontId="3" fillId="0" borderId="0" xfId="0" applyFont="1"/>
    <xf numFmtId="176" fontId="3" fillId="0" borderId="0" xfId="1" applyNumberFormat="1" applyFont="1" applyAlignment="1"/>
    <xf numFmtId="176" fontId="3" fillId="0" borderId="21" xfId="0" applyNumberFormat="1" applyFont="1" applyBorder="1"/>
    <xf numFmtId="176" fontId="3" fillId="0" borderId="6" xfId="0" applyNumberFormat="1" applyFont="1" applyBorder="1"/>
    <xf numFmtId="176" fontId="3" fillId="0" borderId="15" xfId="0" applyNumberFormat="1" applyFont="1" applyBorder="1"/>
    <xf numFmtId="0" fontId="3" fillId="0" borderId="11" xfId="0" applyFont="1" applyBorder="1"/>
    <xf numFmtId="38" fontId="3" fillId="0" borderId="7" xfId="1" applyFont="1" applyBorder="1" applyAlignment="1"/>
    <xf numFmtId="38" fontId="3" fillId="0" borderId="19" xfId="1" applyFont="1" applyBorder="1" applyAlignment="1"/>
    <xf numFmtId="176" fontId="3" fillId="0" borderId="10" xfId="0" applyNumberFormat="1" applyFont="1" applyBorder="1"/>
    <xf numFmtId="176" fontId="3" fillId="0" borderId="16" xfId="0" applyNumberFormat="1" applyFont="1" applyBorder="1"/>
    <xf numFmtId="0" fontId="3" fillId="0" borderId="12" xfId="0" applyFont="1" applyBorder="1"/>
    <xf numFmtId="38" fontId="3" fillId="0" borderId="2" xfId="1" applyFont="1" applyBorder="1" applyAlignment="1"/>
    <xf numFmtId="38" fontId="3" fillId="0" borderId="20" xfId="1" applyFont="1" applyBorder="1" applyAlignment="1"/>
    <xf numFmtId="38" fontId="3" fillId="2" borderId="30" xfId="1" applyFont="1" applyFill="1" applyBorder="1" applyAlignment="1"/>
    <xf numFmtId="38" fontId="3" fillId="0" borderId="0" xfId="1" applyFont="1" applyAlignment="1"/>
    <xf numFmtId="38" fontId="3" fillId="2" borderId="27" xfId="1" applyFont="1" applyFill="1" applyBorder="1" applyAlignment="1"/>
    <xf numFmtId="38" fontId="3" fillId="2" borderId="28" xfId="1" applyFont="1" applyFill="1" applyBorder="1" applyAlignment="1"/>
    <xf numFmtId="0" fontId="4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176" fontId="4" fillId="2" borderId="32" xfId="0" applyNumberFormat="1" applyFont="1" applyFill="1" applyBorder="1" applyAlignment="1">
      <alignment horizontal="center"/>
    </xf>
    <xf numFmtId="177" fontId="4" fillId="0" borderId="31" xfId="1" applyNumberFormat="1" applyFont="1" applyBorder="1" applyAlignment="1">
      <alignment vertical="top"/>
    </xf>
    <xf numFmtId="0" fontId="0" fillId="6" borderId="0" xfId="0" applyFill="1" applyAlignment="1">
      <alignment vertical="center"/>
    </xf>
    <xf numFmtId="0" fontId="7" fillId="6" borderId="0" xfId="0" applyFont="1" applyFill="1" applyAlignment="1">
      <alignment vertical="center"/>
    </xf>
    <xf numFmtId="176" fontId="10" fillId="6" borderId="49" xfId="1" applyNumberFormat="1" applyFont="1" applyFill="1" applyBorder="1" applyAlignment="1">
      <alignment horizontal="center" vertical="center"/>
    </xf>
    <xf numFmtId="176" fontId="11" fillId="6" borderId="49" xfId="0" applyNumberFormat="1" applyFont="1" applyFill="1" applyBorder="1" applyAlignment="1"/>
    <xf numFmtId="0" fontId="11" fillId="6" borderId="49" xfId="0" applyFont="1" applyFill="1" applyBorder="1" applyAlignment="1"/>
    <xf numFmtId="38" fontId="11" fillId="6" borderId="49" xfId="1" applyFont="1" applyFill="1" applyBorder="1" applyAlignment="1">
      <alignment horizontal="right"/>
    </xf>
    <xf numFmtId="38" fontId="11" fillId="6" borderId="49" xfId="1" applyFont="1" applyFill="1" applyBorder="1" applyAlignment="1"/>
    <xf numFmtId="176" fontId="11" fillId="6" borderId="14" xfId="0" applyNumberFormat="1" applyFont="1" applyFill="1" applyBorder="1" applyAlignment="1"/>
    <xf numFmtId="0" fontId="11" fillId="6" borderId="14" xfId="0" applyFont="1" applyFill="1" applyBorder="1" applyAlignment="1"/>
    <xf numFmtId="38" fontId="11" fillId="6" borderId="14" xfId="1" applyFont="1" applyFill="1" applyBorder="1" applyAlignment="1">
      <alignment horizontal="right"/>
    </xf>
    <xf numFmtId="38" fontId="9" fillId="6" borderId="14" xfId="1" applyFont="1" applyFill="1" applyBorder="1" applyAlignment="1">
      <alignment horizontal="right"/>
    </xf>
    <xf numFmtId="38" fontId="11" fillId="6" borderId="14" xfId="1" applyFont="1" applyFill="1" applyBorder="1" applyAlignment="1"/>
    <xf numFmtId="38" fontId="11" fillId="6" borderId="45" xfId="1" applyFont="1" applyFill="1" applyBorder="1" applyAlignment="1">
      <alignment horizontal="right"/>
    </xf>
    <xf numFmtId="38" fontId="11" fillId="6" borderId="50" xfId="1" applyFont="1" applyFill="1" applyBorder="1" applyAlignment="1">
      <alignment horizontal="right"/>
    </xf>
    <xf numFmtId="0" fontId="0" fillId="6" borderId="49" xfId="0" applyFill="1" applyBorder="1" applyAlignment="1">
      <alignment vertical="center"/>
    </xf>
    <xf numFmtId="9" fontId="7" fillId="6" borderId="0" xfId="3" applyFont="1" applyFill="1" applyBorder="1" applyAlignment="1"/>
    <xf numFmtId="0" fontId="13" fillId="0" borderId="0" xfId="0" applyFont="1"/>
    <xf numFmtId="176" fontId="12" fillId="0" borderId="17" xfId="1" applyNumberFormat="1" applyFont="1" applyBorder="1" applyAlignment="1">
      <alignment horizontal="center" vertical="top"/>
    </xf>
    <xf numFmtId="176" fontId="12" fillId="0" borderId="3" xfId="1" applyNumberFormat="1" applyFont="1" applyBorder="1" applyAlignment="1">
      <alignment horizontal="center" vertical="top"/>
    </xf>
    <xf numFmtId="176" fontId="12" fillId="0" borderId="5" xfId="1" applyNumberFormat="1" applyFont="1" applyBorder="1" applyAlignment="1">
      <alignment horizontal="center" vertical="top"/>
    </xf>
    <xf numFmtId="176" fontId="12" fillId="0" borderId="18" xfId="1" applyNumberFormat="1" applyFont="1" applyBorder="1" applyAlignment="1">
      <alignment horizontal="center" vertical="top"/>
    </xf>
    <xf numFmtId="176" fontId="12" fillId="3" borderId="5" xfId="1" applyNumberFormat="1" applyFont="1" applyFill="1" applyBorder="1" applyAlignment="1">
      <alignment horizontal="center" vertical="top"/>
    </xf>
    <xf numFmtId="176" fontId="12" fillId="3" borderId="3" xfId="1" applyNumberFormat="1" applyFont="1" applyFill="1" applyBorder="1" applyAlignment="1">
      <alignment horizontal="center" vertical="top"/>
    </xf>
    <xf numFmtId="176" fontId="13" fillId="0" borderId="21" xfId="0" applyNumberFormat="1" applyFont="1" applyBorder="1"/>
    <xf numFmtId="176" fontId="13" fillId="0" borderId="6" xfId="0" applyNumberFormat="1" applyFont="1" applyBorder="1"/>
    <xf numFmtId="176" fontId="13" fillId="0" borderId="15" xfId="0" applyNumberFormat="1" applyFont="1" applyBorder="1"/>
    <xf numFmtId="0" fontId="13" fillId="0" borderId="11" xfId="0" applyFont="1" applyBorder="1"/>
    <xf numFmtId="38" fontId="13" fillId="0" borderId="4" xfId="1" applyFont="1" applyBorder="1" applyAlignment="1"/>
    <xf numFmtId="38" fontId="13" fillId="0" borderId="7" xfId="1" applyFont="1" applyBorder="1" applyAlignment="1"/>
    <xf numFmtId="38" fontId="13" fillId="0" borderId="8" xfId="1" applyFont="1" applyBorder="1" applyAlignment="1"/>
    <xf numFmtId="38" fontId="13" fillId="0" borderId="19" xfId="1" applyFont="1" applyBorder="1" applyAlignment="1"/>
    <xf numFmtId="38" fontId="13" fillId="0" borderId="6" xfId="1" applyFont="1" applyBorder="1" applyAlignment="1"/>
    <xf numFmtId="38" fontId="13" fillId="3" borderId="21" xfId="1" applyFont="1" applyFill="1" applyBorder="1" applyAlignment="1"/>
    <xf numFmtId="38" fontId="13" fillId="3" borderId="11" xfId="1" applyFont="1" applyFill="1" applyBorder="1" applyAlignment="1"/>
    <xf numFmtId="176" fontId="13" fillId="0" borderId="10" xfId="0" applyNumberFormat="1" applyFont="1" applyBorder="1"/>
    <xf numFmtId="176" fontId="13" fillId="0" borderId="16" xfId="0" applyNumberFormat="1" applyFont="1" applyBorder="1"/>
    <xf numFmtId="38" fontId="13" fillId="0" borderId="1" xfId="1" applyFont="1" applyBorder="1" applyAlignment="1"/>
    <xf numFmtId="38" fontId="13" fillId="0" borderId="2" xfId="1" applyFont="1" applyBorder="1" applyAlignment="1"/>
    <xf numFmtId="38" fontId="13" fillId="0" borderId="9" xfId="1" applyFont="1" applyBorder="1" applyAlignment="1"/>
    <xf numFmtId="38" fontId="13" fillId="0" borderId="20" xfId="1" applyFont="1" applyBorder="1" applyAlignment="1"/>
    <xf numFmtId="38" fontId="13" fillId="3" borderId="15" xfId="1" applyFont="1" applyFill="1" applyBorder="1" applyAlignment="1"/>
    <xf numFmtId="38" fontId="14" fillId="3" borderId="15" xfId="1" applyFont="1" applyFill="1" applyBorder="1" applyAlignment="1"/>
    <xf numFmtId="176" fontId="13" fillId="0" borderId="22" xfId="0" applyNumberFormat="1" applyFont="1" applyBorder="1"/>
    <xf numFmtId="38" fontId="13" fillId="0" borderId="23" xfId="1" applyFont="1" applyBorder="1" applyAlignment="1"/>
    <xf numFmtId="38" fontId="13" fillId="0" borderId="24" xfId="1" applyFont="1" applyBorder="1" applyAlignment="1"/>
    <xf numFmtId="38" fontId="13" fillId="0" borderId="25" xfId="1" applyFont="1" applyBorder="1" applyAlignment="1"/>
    <xf numFmtId="38" fontId="13" fillId="0" borderId="26" xfId="1" applyFont="1" applyBorder="1" applyAlignment="1"/>
    <xf numFmtId="176" fontId="13" fillId="0" borderId="0" xfId="0" applyNumberFormat="1" applyFont="1" applyBorder="1"/>
    <xf numFmtId="38" fontId="13" fillId="2" borderId="30" xfId="1" applyFont="1" applyFill="1" applyBorder="1" applyAlignment="1"/>
    <xf numFmtId="38" fontId="13" fillId="2" borderId="49" xfId="1" applyFont="1" applyFill="1" applyBorder="1" applyAlignment="1"/>
    <xf numFmtId="38" fontId="13" fillId="0" borderId="0" xfId="1" applyFont="1" applyAlignment="1"/>
    <xf numFmtId="176" fontId="13" fillId="0" borderId="0" xfId="1" applyNumberFormat="1" applyFont="1" applyAlignment="1"/>
    <xf numFmtId="176" fontId="13" fillId="0" borderId="0" xfId="0" applyNumberFormat="1" applyFont="1"/>
    <xf numFmtId="176" fontId="13" fillId="0" borderId="11" xfId="0" applyNumberFormat="1" applyFont="1" applyBorder="1"/>
    <xf numFmtId="38" fontId="16" fillId="3" borderId="21" xfId="1" applyFont="1" applyFill="1" applyBorder="1" applyAlignment="1"/>
    <xf numFmtId="38" fontId="16" fillId="3" borderId="11" xfId="1" applyFont="1" applyFill="1" applyBorder="1" applyAlignment="1"/>
    <xf numFmtId="38" fontId="16" fillId="3" borderId="15" xfId="1" applyFont="1" applyFill="1" applyBorder="1" applyAlignment="1"/>
    <xf numFmtId="38" fontId="17" fillId="3" borderId="15" xfId="1" applyFont="1" applyFill="1" applyBorder="1" applyAlignment="1"/>
    <xf numFmtId="38" fontId="16" fillId="3" borderId="14" xfId="1" applyFont="1" applyFill="1" applyBorder="1" applyAlignment="1"/>
    <xf numFmtId="0" fontId="15" fillId="0" borderId="49" xfId="0" applyFont="1" applyBorder="1" applyAlignment="1">
      <alignment horizontal="center" vertical="center"/>
    </xf>
    <xf numFmtId="176" fontId="15" fillId="3" borderId="52" xfId="1" applyNumberFormat="1" applyFont="1" applyFill="1" applyBorder="1" applyAlignment="1">
      <alignment horizontal="center" vertical="top"/>
    </xf>
    <xf numFmtId="176" fontId="13" fillId="0" borderId="14" xfId="0" applyNumberFormat="1" applyFont="1" applyFill="1" applyBorder="1"/>
    <xf numFmtId="9" fontId="16" fillId="3" borderId="11" xfId="3" applyFont="1" applyFill="1" applyBorder="1" applyAlignment="1"/>
    <xf numFmtId="9" fontId="16" fillId="3" borderId="21" xfId="3" applyFont="1" applyFill="1" applyBorder="1" applyAlignment="1"/>
    <xf numFmtId="9" fontId="16" fillId="3" borderId="15" xfId="3" applyFont="1" applyFill="1" applyBorder="1" applyAlignment="1"/>
    <xf numFmtId="9" fontId="16" fillId="3" borderId="14" xfId="3" applyFont="1" applyFill="1" applyBorder="1" applyAlignment="1"/>
    <xf numFmtId="9" fontId="16" fillId="3" borderId="51" xfId="3" applyFont="1" applyFill="1" applyBorder="1" applyAlignment="1"/>
    <xf numFmtId="176" fontId="15" fillId="3" borderId="29" xfId="1" applyNumberFormat="1" applyFont="1" applyFill="1" applyBorder="1" applyAlignment="1">
      <alignment horizontal="center" vertical="top"/>
    </xf>
    <xf numFmtId="176" fontId="15" fillId="3" borderId="49" xfId="1" applyNumberFormat="1" applyFont="1" applyFill="1" applyBorder="1" applyAlignment="1">
      <alignment horizontal="center" vertical="top"/>
    </xf>
    <xf numFmtId="38" fontId="18" fillId="2" borderId="30" xfId="1" applyFont="1" applyFill="1" applyBorder="1" applyAlignment="1"/>
    <xf numFmtId="0" fontId="19" fillId="0" borderId="0" xfId="0" applyFont="1"/>
    <xf numFmtId="176" fontId="12" fillId="4" borderId="45" xfId="1" applyNumberFormat="1" applyFont="1" applyFill="1" applyBorder="1" applyAlignment="1">
      <alignment horizontal="center" vertical="top"/>
    </xf>
    <xf numFmtId="176" fontId="12" fillId="4" borderId="46" xfId="1" applyNumberFormat="1" applyFont="1" applyFill="1" applyBorder="1" applyAlignment="1">
      <alignment horizontal="center" vertical="top"/>
    </xf>
    <xf numFmtId="176" fontId="13" fillId="0" borderId="37" xfId="0" applyNumberFormat="1" applyFont="1" applyBorder="1"/>
    <xf numFmtId="38" fontId="13" fillId="4" borderId="21" xfId="1" applyFont="1" applyFill="1" applyBorder="1" applyAlignment="1"/>
    <xf numFmtId="38" fontId="13" fillId="4" borderId="38" xfId="1" applyFont="1" applyFill="1" applyBorder="1" applyAlignment="1"/>
    <xf numFmtId="176" fontId="13" fillId="0" borderId="39" xfId="0" applyNumberFormat="1" applyFont="1" applyBorder="1"/>
    <xf numFmtId="0" fontId="13" fillId="0" borderId="12" xfId="0" applyFont="1" applyBorder="1"/>
    <xf numFmtId="38" fontId="13" fillId="4" borderId="15" xfId="1" applyFont="1" applyFill="1" applyBorder="1" applyAlignment="1"/>
    <xf numFmtId="176" fontId="13" fillId="0" borderId="40" xfId="0" applyNumberFormat="1" applyFont="1" applyBorder="1"/>
    <xf numFmtId="176" fontId="13" fillId="0" borderId="41" xfId="0" applyNumberFormat="1" applyFont="1" applyBorder="1"/>
    <xf numFmtId="0" fontId="13" fillId="0" borderId="42" xfId="0" applyFont="1" applyBorder="1"/>
    <xf numFmtId="38" fontId="13" fillId="4" borderId="43" xfId="1" applyFont="1" applyFill="1" applyBorder="1" applyAlignment="1"/>
    <xf numFmtId="38" fontId="13" fillId="4" borderId="44" xfId="1" applyFont="1" applyFill="1" applyBorder="1" applyAlignment="1"/>
    <xf numFmtId="176" fontId="12" fillId="0" borderId="32" xfId="1" applyNumberFormat="1" applyFont="1" applyBorder="1" applyAlignment="1">
      <alignment horizontal="center" vertical="top"/>
    </xf>
    <xf numFmtId="38" fontId="17" fillId="3" borderId="11" xfId="1" applyFont="1" applyFill="1" applyBorder="1" applyAlignment="1"/>
    <xf numFmtId="176" fontId="13" fillId="0" borderId="33" xfId="0" applyNumberFormat="1" applyFont="1" applyBorder="1"/>
    <xf numFmtId="38" fontId="15" fillId="6" borderId="49" xfId="1" applyFont="1" applyFill="1" applyBorder="1" applyAlignment="1">
      <alignment horizontal="center" vertical="top"/>
    </xf>
    <xf numFmtId="38" fontId="16" fillId="0" borderId="49" xfId="1" applyFont="1" applyBorder="1" applyAlignment="1"/>
    <xf numFmtId="38" fontId="16" fillId="6" borderId="49" xfId="1" applyFont="1" applyFill="1" applyBorder="1" applyAlignment="1"/>
    <xf numFmtId="9" fontId="16" fillId="6" borderId="49" xfId="3" applyFont="1" applyFill="1" applyBorder="1" applyAlignment="1"/>
    <xf numFmtId="38" fontId="17" fillId="6" borderId="49" xfId="1" applyFont="1" applyFill="1" applyBorder="1" applyAlignment="1"/>
    <xf numFmtId="9" fontId="17" fillId="6" borderId="49" xfId="3" applyFont="1" applyFill="1" applyBorder="1" applyAlignment="1"/>
    <xf numFmtId="38" fontId="16" fillId="5" borderId="49" xfId="1" applyFont="1" applyFill="1" applyBorder="1" applyAlignment="1"/>
    <xf numFmtId="9" fontId="16" fillId="5" borderId="49" xfId="3" applyFont="1" applyFill="1" applyBorder="1" applyAlignment="1"/>
    <xf numFmtId="0" fontId="13" fillId="6" borderId="0" xfId="0" applyFont="1" applyFill="1"/>
    <xf numFmtId="176" fontId="13" fillId="6" borderId="0" xfId="0" applyNumberFormat="1" applyFont="1" applyFill="1"/>
    <xf numFmtId="176" fontId="13" fillId="5" borderId="49" xfId="1" applyNumberFormat="1" applyFont="1" applyFill="1" applyBorder="1" applyAlignment="1">
      <alignment horizontal="center" vertical="top"/>
    </xf>
    <xf numFmtId="176" fontId="13" fillId="3" borderId="49" xfId="0" applyNumberFormat="1" applyFont="1" applyFill="1" applyBorder="1" applyAlignment="1">
      <alignment horizontal="center" vertical="center"/>
    </xf>
    <xf numFmtId="0" fontId="13" fillId="0" borderId="49" xfId="0" applyFont="1" applyBorder="1" applyAlignment="1">
      <alignment horizontal="left"/>
    </xf>
    <xf numFmtId="38" fontId="16" fillId="6" borderId="49" xfId="1" applyNumberFormat="1" applyFont="1" applyFill="1" applyBorder="1" applyAlignment="1">
      <alignment vertical="center"/>
    </xf>
    <xf numFmtId="38" fontId="16" fillId="0" borderId="49" xfId="0" applyNumberFormat="1" applyFont="1" applyBorder="1" applyAlignment="1">
      <alignment vertical="center"/>
    </xf>
    <xf numFmtId="9" fontId="16" fillId="0" borderId="49" xfId="3" applyFont="1" applyBorder="1" applyAlignment="1">
      <alignment horizontal="right"/>
    </xf>
    <xf numFmtId="9" fontId="13" fillId="0" borderId="49" xfId="3" applyFont="1" applyBorder="1" applyAlignment="1"/>
    <xf numFmtId="38" fontId="13" fillId="0" borderId="49" xfId="1" applyFont="1" applyBorder="1" applyAlignment="1">
      <alignment horizontal="left"/>
    </xf>
    <xf numFmtId="0" fontId="13" fillId="0" borderId="49" xfId="0" applyFont="1" applyBorder="1" applyAlignment="1">
      <alignment horizontal="left" vertical="center" wrapText="1"/>
    </xf>
    <xf numFmtId="0" fontId="13" fillId="0" borderId="49" xfId="0" applyFont="1" applyBorder="1"/>
    <xf numFmtId="0" fontId="12" fillId="7" borderId="49" xfId="0" applyFont="1" applyFill="1" applyBorder="1" applyAlignment="1">
      <alignment vertical="center"/>
    </xf>
    <xf numFmtId="38" fontId="16" fillId="7" borderId="49" xfId="1" applyNumberFormat="1" applyFont="1" applyFill="1" applyBorder="1" applyAlignment="1">
      <alignment vertical="center"/>
    </xf>
    <xf numFmtId="9" fontId="13" fillId="7" borderId="49" xfId="3" applyFont="1" applyFill="1" applyBorder="1" applyAlignment="1"/>
    <xf numFmtId="176" fontId="7" fillId="0" borderId="0" xfId="1" applyNumberFormat="1" applyFont="1" applyAlignment="1"/>
    <xf numFmtId="176" fontId="7" fillId="0" borderId="0" xfId="0" applyNumberFormat="1" applyFont="1"/>
    <xf numFmtId="176" fontId="16" fillId="0" borderId="49" xfId="1" applyNumberFormat="1" applyFont="1" applyBorder="1" applyAlignment="1">
      <alignment horizontal="center" vertical="top"/>
    </xf>
    <xf numFmtId="38" fontId="16" fillId="3" borderId="49" xfId="1" applyFont="1" applyFill="1" applyBorder="1" applyAlignment="1"/>
    <xf numFmtId="38" fontId="13" fillId="0" borderId="49" xfId="1" applyFont="1" applyBorder="1" applyAlignment="1">
      <alignment horizontal="right"/>
    </xf>
    <xf numFmtId="38" fontId="16" fillId="0" borderId="49" xfId="1" applyFont="1" applyFill="1" applyBorder="1" applyAlignment="1"/>
    <xf numFmtId="0" fontId="13" fillId="0" borderId="49" xfId="0" applyFont="1" applyBorder="1" applyAlignment="1">
      <alignment horizontal="right" vertical="center" wrapText="1"/>
    </xf>
    <xf numFmtId="9" fontId="16" fillId="0" borderId="49" xfId="3" applyFont="1" applyBorder="1" applyAlignment="1"/>
    <xf numFmtId="9" fontId="16" fillId="3" borderId="49" xfId="3" applyFont="1" applyFill="1" applyBorder="1" applyAlignment="1"/>
    <xf numFmtId="176" fontId="12" fillId="0" borderId="31" xfId="1" applyNumberFormat="1" applyFont="1" applyBorder="1" applyAlignment="1">
      <alignment horizontal="center" vertical="top"/>
    </xf>
    <xf numFmtId="176" fontId="12" fillId="0" borderId="32" xfId="1" applyNumberFormat="1" applyFont="1" applyBorder="1" applyAlignment="1">
      <alignment horizontal="center" vertical="top"/>
    </xf>
    <xf numFmtId="0" fontId="12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38" fontId="13" fillId="2" borderId="27" xfId="1" applyFont="1" applyFill="1" applyBorder="1" applyAlignment="1">
      <alignment horizontal="center"/>
    </xf>
    <xf numFmtId="38" fontId="13" fillId="2" borderId="28" xfId="1" applyFont="1" applyFill="1" applyBorder="1" applyAlignment="1">
      <alignment horizontal="center"/>
    </xf>
    <xf numFmtId="38" fontId="13" fillId="2" borderId="29" xfId="1" applyFont="1" applyFill="1" applyBorder="1" applyAlignment="1">
      <alignment horizontal="center"/>
    </xf>
    <xf numFmtId="176" fontId="12" fillId="3" borderId="31" xfId="0" applyNumberFormat="1" applyFont="1" applyFill="1" applyBorder="1" applyAlignment="1">
      <alignment horizontal="center"/>
    </xf>
    <xf numFmtId="176" fontId="12" fillId="3" borderId="32" xfId="0" applyNumberFormat="1" applyFont="1" applyFill="1" applyBorder="1" applyAlignment="1">
      <alignment horizontal="center"/>
    </xf>
    <xf numFmtId="0" fontId="13" fillId="5" borderId="49" xfId="0" applyFont="1" applyFill="1" applyBorder="1" applyAlignment="1">
      <alignment horizontal="center" vertical="center"/>
    </xf>
    <xf numFmtId="176" fontId="13" fillId="3" borderId="49" xfId="0" applyNumberFormat="1" applyFont="1" applyFill="1" applyBorder="1" applyAlignment="1">
      <alignment horizontal="center" vertical="center"/>
    </xf>
    <xf numFmtId="176" fontId="13" fillId="5" borderId="49" xfId="1" applyNumberFormat="1" applyFont="1" applyFill="1" applyBorder="1" applyAlignment="1">
      <alignment horizontal="center"/>
    </xf>
    <xf numFmtId="176" fontId="13" fillId="5" borderId="27" xfId="1" applyNumberFormat="1" applyFont="1" applyFill="1" applyBorder="1" applyAlignment="1">
      <alignment horizontal="center"/>
    </xf>
    <xf numFmtId="176" fontId="13" fillId="5" borderId="28" xfId="1" applyNumberFormat="1" applyFont="1" applyFill="1" applyBorder="1" applyAlignment="1">
      <alignment horizontal="center"/>
    </xf>
    <xf numFmtId="176" fontId="13" fillId="5" borderId="29" xfId="1" applyNumberFormat="1" applyFont="1" applyFill="1" applyBorder="1" applyAlignment="1">
      <alignment horizontal="center"/>
    </xf>
    <xf numFmtId="38" fontId="15" fillId="0" borderId="49" xfId="1" applyFont="1" applyBorder="1" applyAlignment="1">
      <alignment horizontal="center" vertical="center"/>
    </xf>
    <xf numFmtId="38" fontId="16" fillId="5" borderId="49" xfId="1" applyFont="1" applyFill="1" applyBorder="1" applyAlignment="1">
      <alignment horizontal="center"/>
    </xf>
    <xf numFmtId="38" fontId="15" fillId="6" borderId="27" xfId="1" applyFont="1" applyFill="1" applyBorder="1" applyAlignment="1">
      <alignment horizontal="center"/>
    </xf>
    <xf numFmtId="38" fontId="15" fillId="6" borderId="28" xfId="1" applyFont="1" applyFill="1" applyBorder="1" applyAlignment="1">
      <alignment horizontal="center"/>
    </xf>
    <xf numFmtId="38" fontId="15" fillId="6" borderId="29" xfId="1" applyFont="1" applyFill="1" applyBorder="1" applyAlignment="1">
      <alignment horizontal="center"/>
    </xf>
    <xf numFmtId="0" fontId="12" fillId="0" borderId="35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176" fontId="12" fillId="4" borderId="47" xfId="0" applyNumberFormat="1" applyFont="1" applyFill="1" applyBorder="1" applyAlignment="1">
      <alignment horizontal="center"/>
    </xf>
    <xf numFmtId="176" fontId="12" fillId="4" borderId="48" xfId="0" applyNumberFormat="1" applyFont="1" applyFill="1" applyBorder="1" applyAlignment="1">
      <alignment horizontal="center"/>
    </xf>
    <xf numFmtId="176" fontId="16" fillId="5" borderId="49" xfId="1" applyNumberFormat="1" applyFont="1" applyFill="1" applyBorder="1" applyAlignment="1">
      <alignment horizontal="center"/>
    </xf>
    <xf numFmtId="176" fontId="16" fillId="3" borderId="49" xfId="0" applyNumberFormat="1" applyFont="1" applyFill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176" fontId="16" fillId="5" borderId="27" xfId="1" applyNumberFormat="1" applyFont="1" applyFill="1" applyBorder="1" applyAlignment="1">
      <alignment horizontal="center"/>
    </xf>
    <xf numFmtId="176" fontId="16" fillId="5" borderId="28" xfId="1" applyNumberFormat="1" applyFont="1" applyFill="1" applyBorder="1" applyAlignment="1">
      <alignment horizontal="center"/>
    </xf>
    <xf numFmtId="176" fontId="16" fillId="5" borderId="29" xfId="1" applyNumberFormat="1" applyFont="1" applyFill="1" applyBorder="1" applyAlignment="1">
      <alignment horizontal="center"/>
    </xf>
    <xf numFmtId="176" fontId="10" fillId="6" borderId="27" xfId="1" applyNumberFormat="1" applyFont="1" applyFill="1" applyBorder="1" applyAlignment="1">
      <alignment horizontal="center" vertical="center"/>
    </xf>
    <xf numFmtId="176" fontId="10" fillId="6" borderId="29" xfId="1" applyNumberFormat="1" applyFont="1" applyFill="1" applyBorder="1" applyAlignment="1">
      <alignment horizontal="center" vertical="center"/>
    </xf>
    <xf numFmtId="0" fontId="10" fillId="6" borderId="49" xfId="0" applyFont="1" applyFill="1" applyBorder="1" applyAlignment="1">
      <alignment horizontal="center" vertical="center"/>
    </xf>
    <xf numFmtId="0" fontId="8" fillId="6" borderId="49" xfId="0" applyFont="1" applyFill="1" applyBorder="1" applyAlignment="1">
      <alignment horizontal="center" vertical="center"/>
    </xf>
    <xf numFmtId="176" fontId="10" fillId="6" borderId="49" xfId="1" applyNumberFormat="1" applyFont="1" applyFill="1" applyBorder="1" applyAlignment="1">
      <alignment horizontal="center" vertical="center" wrapText="1"/>
    </xf>
    <xf numFmtId="176" fontId="10" fillId="6" borderId="49" xfId="1" applyNumberFormat="1" applyFont="1" applyFill="1" applyBorder="1" applyAlignment="1">
      <alignment horizontal="center" vertical="center"/>
    </xf>
  </cellXfs>
  <cellStyles count="6">
    <cellStyle name="パーセント" xfId="3" builtinId="5"/>
    <cellStyle name="桁区切り" xfId="1" builtinId="6"/>
    <cellStyle name="桁区切り 2 4" xfId="2" xr:uid="{00000000-0005-0000-0000-000002000000}"/>
    <cellStyle name="標準" xfId="0" builtinId="0"/>
    <cellStyle name="쉼표 [0] 2" xfId="4" xr:uid="{00000000-0005-0000-0000-000004000000}"/>
    <cellStyle name="쉼표 2" xfId="5" xr:uid="{00000000-0005-0000-0000-000005000000}"/>
  </cellStyles>
  <dxfs count="86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CCFF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UD デジタル 教科書体 NP-R" panose="02020400000000000000" pitchFamily="18" charset="-128"/>
                <a:ea typeface="UD デジタル 教科書体 NP-R" panose="02020400000000000000" pitchFamily="18" charset="-128"/>
                <a:cs typeface="+mn-cs"/>
              </a:defRPr>
            </a:pPr>
            <a:r>
              <a:rPr lang="en-US"/>
              <a:t>24</a:t>
            </a:r>
            <a:r>
              <a:rPr lang="zh-TW"/>
              <a:t>年</a:t>
            </a:r>
            <a:r>
              <a:rPr lang="en-US"/>
              <a:t>7</a:t>
            </a:r>
            <a:r>
              <a:rPr lang="zh-TW"/>
              <a:t>月～</a:t>
            </a:r>
            <a:r>
              <a:rPr lang="en-US"/>
              <a:t>25</a:t>
            </a:r>
            <a:r>
              <a:rPr lang="zh-TW"/>
              <a:t>年</a:t>
            </a:r>
            <a:r>
              <a:rPr lang="en-US" altLang="ja-JP"/>
              <a:t>12</a:t>
            </a:r>
            <a:r>
              <a:rPr lang="zh-TW"/>
              <a:t>月</a:t>
            </a:r>
            <a:r>
              <a:rPr lang="ja-JP"/>
              <a:t>ブランド別</a:t>
            </a:r>
            <a:r>
              <a:rPr lang="zh-TW"/>
              <a:t>売上推移</a:t>
            </a:r>
            <a:endParaRPr lang="ja-JP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UD デジタル 教科書体 NP-R" panose="02020400000000000000" pitchFamily="18" charset="-128"/>
              <a:ea typeface="UD デジタル 教科書体 NP-R" panose="02020400000000000000" pitchFamily="18" charset="-128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ブランド別売上推移!$A$4</c:f>
              <c:strCache>
                <c:ptCount val="1"/>
                <c:pt idx="0">
                  <c:v>MAKE KEEP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ブランド別売上推移!$B$3:$S$3</c:f>
              <c:strCache>
                <c:ptCount val="18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  <c:pt idx="6">
                  <c:v>1月</c:v>
                </c:pt>
                <c:pt idx="7">
                  <c:v>2月</c:v>
                </c:pt>
                <c:pt idx="8">
                  <c:v>3月</c:v>
                </c:pt>
                <c:pt idx="9">
                  <c:v>4月</c:v>
                </c:pt>
                <c:pt idx="10">
                  <c:v>5月</c:v>
                </c:pt>
                <c:pt idx="11">
                  <c:v>6月</c:v>
                </c:pt>
                <c:pt idx="12">
                  <c:v>7月</c:v>
                </c:pt>
                <c:pt idx="13">
                  <c:v>8月</c:v>
                </c:pt>
                <c:pt idx="14">
                  <c:v>9月</c:v>
                </c:pt>
                <c:pt idx="15">
                  <c:v>10月</c:v>
                </c:pt>
                <c:pt idx="16">
                  <c:v>11月</c:v>
                </c:pt>
                <c:pt idx="17">
                  <c:v>12月</c:v>
                </c:pt>
              </c:strCache>
            </c:strRef>
          </c:cat>
          <c:val>
            <c:numRef>
              <c:f>ブランド別売上推移!$B$4:$S$4</c:f>
              <c:numCache>
                <c:formatCode>#,##0_);[Red]\(#,##0\)</c:formatCode>
                <c:ptCount val="18"/>
                <c:pt idx="0">
                  <c:v>0</c:v>
                </c:pt>
                <c:pt idx="1">
                  <c:v>501.6</c:v>
                </c:pt>
                <c:pt idx="2">
                  <c:v>128.69999999999999</c:v>
                </c:pt>
                <c:pt idx="3">
                  <c:v>120.34</c:v>
                </c:pt>
                <c:pt idx="4">
                  <c:v>729.96</c:v>
                </c:pt>
                <c:pt idx="5">
                  <c:v>126.5</c:v>
                </c:pt>
                <c:pt idx="6">
                  <c:v>2071.08</c:v>
                </c:pt>
                <c:pt idx="7">
                  <c:v>1773.64</c:v>
                </c:pt>
                <c:pt idx="8">
                  <c:v>5663.68</c:v>
                </c:pt>
                <c:pt idx="9">
                  <c:v>11066</c:v>
                </c:pt>
                <c:pt idx="10">
                  <c:v>21080.84</c:v>
                </c:pt>
                <c:pt idx="11">
                  <c:v>11346.075999999999</c:v>
                </c:pt>
                <c:pt idx="12">
                  <c:v>29216.901999999998</c:v>
                </c:pt>
                <c:pt idx="13">
                  <c:v>26968.58</c:v>
                </c:pt>
                <c:pt idx="14">
                  <c:v>44998.908000000003</c:v>
                </c:pt>
                <c:pt idx="15">
                  <c:v>0</c:v>
                </c:pt>
                <c:pt idx="16">
                  <c:v>0</c:v>
                </c:pt>
                <c:pt idx="17">
                  <c:v>237.78700000000001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DB-44C1-B6C2-194D2D250A17}"/>
            </c:ext>
          </c:extLst>
        </c:ser>
        <c:ser>
          <c:idx val="1"/>
          <c:order val="1"/>
          <c:tx>
            <c:strRef>
              <c:f>ブランド別売上推移!$A$5</c:f>
              <c:strCache>
                <c:ptCount val="1"/>
                <c:pt idx="0">
                  <c:v>その他CCS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ブランド別売上推移!$B$3:$S$3</c:f>
              <c:strCache>
                <c:ptCount val="18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  <c:pt idx="6">
                  <c:v>1月</c:v>
                </c:pt>
                <c:pt idx="7">
                  <c:v>2月</c:v>
                </c:pt>
                <c:pt idx="8">
                  <c:v>3月</c:v>
                </c:pt>
                <c:pt idx="9">
                  <c:v>4月</c:v>
                </c:pt>
                <c:pt idx="10">
                  <c:v>5月</c:v>
                </c:pt>
                <c:pt idx="11">
                  <c:v>6月</c:v>
                </c:pt>
                <c:pt idx="12">
                  <c:v>7月</c:v>
                </c:pt>
                <c:pt idx="13">
                  <c:v>8月</c:v>
                </c:pt>
                <c:pt idx="14">
                  <c:v>9月</c:v>
                </c:pt>
                <c:pt idx="15">
                  <c:v>10月</c:v>
                </c:pt>
                <c:pt idx="16">
                  <c:v>11月</c:v>
                </c:pt>
                <c:pt idx="17">
                  <c:v>12月</c:v>
                </c:pt>
              </c:strCache>
            </c:strRef>
          </c:cat>
          <c:val>
            <c:numRef>
              <c:f>ブランド別売上推移!$B$5:$S$5</c:f>
              <c:numCache>
                <c:formatCode>#,##0_);[Red]\(#,##0\)</c:formatCode>
                <c:ptCount val="18"/>
                <c:pt idx="0">
                  <c:v>0</c:v>
                </c:pt>
                <c:pt idx="1">
                  <c:v>53.35</c:v>
                </c:pt>
                <c:pt idx="2">
                  <c:v>25.85</c:v>
                </c:pt>
                <c:pt idx="3">
                  <c:v>0</c:v>
                </c:pt>
                <c:pt idx="4">
                  <c:v>284.24</c:v>
                </c:pt>
                <c:pt idx="5">
                  <c:v>16.5</c:v>
                </c:pt>
                <c:pt idx="6">
                  <c:v>1515.8</c:v>
                </c:pt>
                <c:pt idx="7">
                  <c:v>1485</c:v>
                </c:pt>
                <c:pt idx="8">
                  <c:v>70.400000000000006</c:v>
                </c:pt>
                <c:pt idx="9">
                  <c:v>1100.8800000000001</c:v>
                </c:pt>
                <c:pt idx="10">
                  <c:v>24.75</c:v>
                </c:pt>
                <c:pt idx="11">
                  <c:v>87.23</c:v>
                </c:pt>
                <c:pt idx="12">
                  <c:v>2032.25</c:v>
                </c:pt>
                <c:pt idx="13">
                  <c:v>1136.3</c:v>
                </c:pt>
                <c:pt idx="14">
                  <c:v>4734.3450000000003</c:v>
                </c:pt>
                <c:pt idx="15">
                  <c:v>0</c:v>
                </c:pt>
                <c:pt idx="16">
                  <c:v>0</c:v>
                </c:pt>
                <c:pt idx="17">
                  <c:v>21.45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DB-44C1-B6C2-194D2D250A17}"/>
            </c:ext>
          </c:extLst>
        </c:ser>
        <c:ser>
          <c:idx val="2"/>
          <c:order val="2"/>
          <c:tx>
            <c:strRef>
              <c:f>ブランド別売上推移!$A$6</c:f>
              <c:strCache>
                <c:ptCount val="1"/>
                <c:pt idx="0">
                  <c:v>FASIO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ブランド別売上推移!$B$3:$S$3</c:f>
              <c:strCache>
                <c:ptCount val="18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  <c:pt idx="6">
                  <c:v>1月</c:v>
                </c:pt>
                <c:pt idx="7">
                  <c:v>2月</c:v>
                </c:pt>
                <c:pt idx="8">
                  <c:v>3月</c:v>
                </c:pt>
                <c:pt idx="9">
                  <c:v>4月</c:v>
                </c:pt>
                <c:pt idx="10">
                  <c:v>5月</c:v>
                </c:pt>
                <c:pt idx="11">
                  <c:v>6月</c:v>
                </c:pt>
                <c:pt idx="12">
                  <c:v>7月</c:v>
                </c:pt>
                <c:pt idx="13">
                  <c:v>8月</c:v>
                </c:pt>
                <c:pt idx="14">
                  <c:v>9月</c:v>
                </c:pt>
                <c:pt idx="15">
                  <c:v>10月</c:v>
                </c:pt>
                <c:pt idx="16">
                  <c:v>11月</c:v>
                </c:pt>
                <c:pt idx="17">
                  <c:v>12月</c:v>
                </c:pt>
              </c:strCache>
            </c:strRef>
          </c:cat>
          <c:val>
            <c:numRef>
              <c:f>ブランド別売上推移!$B$6:$S$6</c:f>
              <c:numCache>
                <c:formatCode>#,##0_);[Red]\(#,##0\)</c:formatCode>
                <c:ptCount val="18"/>
                <c:pt idx="0">
                  <c:v>73.48</c:v>
                </c:pt>
                <c:pt idx="1">
                  <c:v>418.78</c:v>
                </c:pt>
                <c:pt idx="2">
                  <c:v>279.89499999999998</c:v>
                </c:pt>
                <c:pt idx="3">
                  <c:v>564.44000000000005</c:v>
                </c:pt>
                <c:pt idx="4">
                  <c:v>956.005</c:v>
                </c:pt>
                <c:pt idx="5">
                  <c:v>308.14999999999998</c:v>
                </c:pt>
                <c:pt idx="6">
                  <c:v>1944.557</c:v>
                </c:pt>
                <c:pt idx="7">
                  <c:v>243.15299999999999</c:v>
                </c:pt>
                <c:pt idx="8">
                  <c:v>420.93200000000002</c:v>
                </c:pt>
                <c:pt idx="9">
                  <c:v>955.09400000000005</c:v>
                </c:pt>
                <c:pt idx="10">
                  <c:v>1416.2639999999999</c:v>
                </c:pt>
                <c:pt idx="11">
                  <c:v>230.40600000000001</c:v>
                </c:pt>
                <c:pt idx="12">
                  <c:v>1344.808</c:v>
                </c:pt>
                <c:pt idx="13">
                  <c:v>1050.9639999999999</c:v>
                </c:pt>
                <c:pt idx="14">
                  <c:v>1141.9739999999999</c:v>
                </c:pt>
                <c:pt idx="15">
                  <c:v>0</c:v>
                </c:pt>
                <c:pt idx="16">
                  <c:v>0</c:v>
                </c:pt>
                <c:pt idx="17">
                  <c:v>1785.1659999999999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DB-44C1-B6C2-194D2D250A17}"/>
            </c:ext>
          </c:extLst>
        </c:ser>
        <c:ser>
          <c:idx val="3"/>
          <c:order val="3"/>
          <c:tx>
            <c:strRef>
              <c:f>ブランド別売上推移!$A$7</c:f>
              <c:strCache>
                <c:ptCount val="1"/>
                <c:pt idx="0">
                  <c:v>ONE  BY  KOSE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ブランド別売上推移!$B$3:$S$3</c:f>
              <c:strCache>
                <c:ptCount val="18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  <c:pt idx="6">
                  <c:v>1月</c:v>
                </c:pt>
                <c:pt idx="7">
                  <c:v>2月</c:v>
                </c:pt>
                <c:pt idx="8">
                  <c:v>3月</c:v>
                </c:pt>
                <c:pt idx="9">
                  <c:v>4月</c:v>
                </c:pt>
                <c:pt idx="10">
                  <c:v>5月</c:v>
                </c:pt>
                <c:pt idx="11">
                  <c:v>6月</c:v>
                </c:pt>
                <c:pt idx="12">
                  <c:v>7月</c:v>
                </c:pt>
                <c:pt idx="13">
                  <c:v>8月</c:v>
                </c:pt>
                <c:pt idx="14">
                  <c:v>9月</c:v>
                </c:pt>
                <c:pt idx="15">
                  <c:v>10月</c:v>
                </c:pt>
                <c:pt idx="16">
                  <c:v>11月</c:v>
                </c:pt>
                <c:pt idx="17">
                  <c:v>12月</c:v>
                </c:pt>
              </c:strCache>
            </c:strRef>
          </c:cat>
          <c:val>
            <c:numRef>
              <c:f>ブランド別売上推移!$B$7:$S$7</c:f>
              <c:numCache>
                <c:formatCode>#,##0_);[Red]\(#,##0\)</c:formatCode>
                <c:ptCount val="18"/>
                <c:pt idx="0">
                  <c:v>452.1</c:v>
                </c:pt>
                <c:pt idx="1">
                  <c:v>1771.2750000000001</c:v>
                </c:pt>
                <c:pt idx="2">
                  <c:v>763.4</c:v>
                </c:pt>
                <c:pt idx="3">
                  <c:v>1588.4</c:v>
                </c:pt>
                <c:pt idx="4">
                  <c:v>4290.0550000000003</c:v>
                </c:pt>
                <c:pt idx="5">
                  <c:v>5379.4949999999999</c:v>
                </c:pt>
                <c:pt idx="6">
                  <c:v>18711.055</c:v>
                </c:pt>
                <c:pt idx="7">
                  <c:v>10823.56</c:v>
                </c:pt>
                <c:pt idx="8">
                  <c:v>7069.26</c:v>
                </c:pt>
                <c:pt idx="9">
                  <c:v>11290.014999999999</c:v>
                </c:pt>
                <c:pt idx="10">
                  <c:v>33670.065000000002</c:v>
                </c:pt>
                <c:pt idx="11">
                  <c:v>6478.01</c:v>
                </c:pt>
                <c:pt idx="12">
                  <c:v>13014.375</c:v>
                </c:pt>
                <c:pt idx="13">
                  <c:v>11533.06</c:v>
                </c:pt>
                <c:pt idx="14">
                  <c:v>90481.27</c:v>
                </c:pt>
                <c:pt idx="15">
                  <c:v>0</c:v>
                </c:pt>
                <c:pt idx="16">
                  <c:v>0</c:v>
                </c:pt>
                <c:pt idx="17">
                  <c:v>4150.74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9DB-44C1-B6C2-194D2D250A17}"/>
            </c:ext>
          </c:extLst>
        </c:ser>
        <c:ser>
          <c:idx val="4"/>
          <c:order val="4"/>
          <c:tx>
            <c:strRef>
              <c:f>ブランド別売上推移!$A$8</c:f>
              <c:strCache>
                <c:ptCount val="1"/>
                <c:pt idx="0">
                  <c:v>SEKKISEI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ブランド別売上推移!$B$3:$S$3</c:f>
              <c:strCache>
                <c:ptCount val="18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  <c:pt idx="6">
                  <c:v>1月</c:v>
                </c:pt>
                <c:pt idx="7">
                  <c:v>2月</c:v>
                </c:pt>
                <c:pt idx="8">
                  <c:v>3月</c:v>
                </c:pt>
                <c:pt idx="9">
                  <c:v>4月</c:v>
                </c:pt>
                <c:pt idx="10">
                  <c:v>5月</c:v>
                </c:pt>
                <c:pt idx="11">
                  <c:v>6月</c:v>
                </c:pt>
                <c:pt idx="12">
                  <c:v>7月</c:v>
                </c:pt>
                <c:pt idx="13">
                  <c:v>8月</c:v>
                </c:pt>
                <c:pt idx="14">
                  <c:v>9月</c:v>
                </c:pt>
                <c:pt idx="15">
                  <c:v>10月</c:v>
                </c:pt>
                <c:pt idx="16">
                  <c:v>11月</c:v>
                </c:pt>
                <c:pt idx="17">
                  <c:v>12月</c:v>
                </c:pt>
              </c:strCache>
            </c:strRef>
          </c:cat>
          <c:val>
            <c:numRef>
              <c:f>ブランド別売上推移!$B$8:$S$8</c:f>
              <c:numCache>
                <c:formatCode>#,##0_);[Red]\(#,##0\)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6288.4250000000002</c:v>
                </c:pt>
                <c:pt idx="11">
                  <c:v>136.4</c:v>
                </c:pt>
                <c:pt idx="12">
                  <c:v>1681.68</c:v>
                </c:pt>
                <c:pt idx="13">
                  <c:v>6664.68</c:v>
                </c:pt>
                <c:pt idx="14">
                  <c:v>12432.31</c:v>
                </c:pt>
                <c:pt idx="15">
                  <c:v>0</c:v>
                </c:pt>
                <c:pt idx="16">
                  <c:v>0</c:v>
                </c:pt>
                <c:pt idx="17">
                  <c:v>4806.835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9DB-44C1-B6C2-194D2D250A17}"/>
            </c:ext>
          </c:extLst>
        </c:ser>
        <c:ser>
          <c:idx val="5"/>
          <c:order val="5"/>
          <c:tx>
            <c:strRef>
              <c:f>ブランド別売上推移!$A$9</c:f>
              <c:strCache>
                <c:ptCount val="1"/>
                <c:pt idx="0">
                  <c:v>VISEE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ブランド別売上推移!$B$3:$S$3</c:f>
              <c:strCache>
                <c:ptCount val="18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  <c:pt idx="6">
                  <c:v>1月</c:v>
                </c:pt>
                <c:pt idx="7">
                  <c:v>2月</c:v>
                </c:pt>
                <c:pt idx="8">
                  <c:v>3月</c:v>
                </c:pt>
                <c:pt idx="9">
                  <c:v>4月</c:v>
                </c:pt>
                <c:pt idx="10">
                  <c:v>5月</c:v>
                </c:pt>
                <c:pt idx="11">
                  <c:v>6月</c:v>
                </c:pt>
                <c:pt idx="12">
                  <c:v>7月</c:v>
                </c:pt>
                <c:pt idx="13">
                  <c:v>8月</c:v>
                </c:pt>
                <c:pt idx="14">
                  <c:v>9月</c:v>
                </c:pt>
                <c:pt idx="15">
                  <c:v>10月</c:v>
                </c:pt>
                <c:pt idx="16">
                  <c:v>11月</c:v>
                </c:pt>
                <c:pt idx="17">
                  <c:v>12月</c:v>
                </c:pt>
              </c:strCache>
            </c:strRef>
          </c:cat>
          <c:val>
            <c:numRef>
              <c:f>ブランド別売上推移!$B$9:$S$9</c:f>
              <c:numCache>
                <c:formatCode>#,##0_);[Red]\(#,##0\)</c:formatCode>
                <c:ptCount val="18"/>
                <c:pt idx="0">
                  <c:v>2433.31</c:v>
                </c:pt>
                <c:pt idx="1">
                  <c:v>1181.395</c:v>
                </c:pt>
                <c:pt idx="2">
                  <c:v>1765.46</c:v>
                </c:pt>
                <c:pt idx="3">
                  <c:v>3503.357</c:v>
                </c:pt>
                <c:pt idx="4">
                  <c:v>4396.183</c:v>
                </c:pt>
                <c:pt idx="5">
                  <c:v>1534.335</c:v>
                </c:pt>
                <c:pt idx="6">
                  <c:v>6648.1139999999996</c:v>
                </c:pt>
                <c:pt idx="7">
                  <c:v>6303.3869999999997</c:v>
                </c:pt>
                <c:pt idx="8">
                  <c:v>3963.8249999999998</c:v>
                </c:pt>
                <c:pt idx="9">
                  <c:v>3906.0639999999999</c:v>
                </c:pt>
                <c:pt idx="10">
                  <c:v>3989.3139999999999</c:v>
                </c:pt>
                <c:pt idx="11">
                  <c:v>2860.2049999999999</c:v>
                </c:pt>
                <c:pt idx="12">
                  <c:v>3202.8380000000002</c:v>
                </c:pt>
                <c:pt idx="13">
                  <c:v>2717.37</c:v>
                </c:pt>
                <c:pt idx="14">
                  <c:v>11704.744000000001</c:v>
                </c:pt>
                <c:pt idx="15">
                  <c:v>0</c:v>
                </c:pt>
                <c:pt idx="16">
                  <c:v>0</c:v>
                </c:pt>
                <c:pt idx="17">
                  <c:v>6698.2160000000003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B6-445F-BD35-AEA324F83414}"/>
            </c:ext>
          </c:extLst>
        </c:ser>
        <c:ser>
          <c:idx val="6"/>
          <c:order val="6"/>
          <c:tx>
            <c:strRef>
              <c:f>ブランド別売上推移!$A$10</c:f>
              <c:strCache>
                <c:ptCount val="1"/>
                <c:pt idx="0">
                  <c:v>INFINITY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f>ブランド別売上推移!$B$3:$S$3</c:f>
              <c:strCache>
                <c:ptCount val="18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  <c:pt idx="6">
                  <c:v>1月</c:v>
                </c:pt>
                <c:pt idx="7">
                  <c:v>2月</c:v>
                </c:pt>
                <c:pt idx="8">
                  <c:v>3月</c:v>
                </c:pt>
                <c:pt idx="9">
                  <c:v>4月</c:v>
                </c:pt>
                <c:pt idx="10">
                  <c:v>5月</c:v>
                </c:pt>
                <c:pt idx="11">
                  <c:v>6月</c:v>
                </c:pt>
                <c:pt idx="12">
                  <c:v>7月</c:v>
                </c:pt>
                <c:pt idx="13">
                  <c:v>8月</c:v>
                </c:pt>
                <c:pt idx="14">
                  <c:v>9月</c:v>
                </c:pt>
                <c:pt idx="15">
                  <c:v>10月</c:v>
                </c:pt>
                <c:pt idx="16">
                  <c:v>11月</c:v>
                </c:pt>
                <c:pt idx="17">
                  <c:v>12月</c:v>
                </c:pt>
              </c:strCache>
            </c:strRef>
          </c:cat>
          <c:val>
            <c:numRef>
              <c:f>ブランド別売上推移!$B$10:$S$10</c:f>
              <c:numCache>
                <c:formatCode>#,##0_);[Red]\(#,##0\)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383.35</c:v>
                </c:pt>
                <c:pt idx="15">
                  <c:v>0</c:v>
                </c:pt>
                <c:pt idx="16">
                  <c:v>0</c:v>
                </c:pt>
                <c:pt idx="17">
                  <c:v>1630.8050000000001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74-43FD-BFF7-4D7814490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9086416"/>
        <c:axId val="859092648"/>
      </c:lineChart>
      <c:catAx>
        <c:axId val="85908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UD デジタル 教科書体 NP-R" panose="02020400000000000000" pitchFamily="18" charset="-128"/>
                <a:ea typeface="UD デジタル 教科書体 NP-R" panose="02020400000000000000" pitchFamily="18" charset="-128"/>
                <a:cs typeface="+mn-cs"/>
              </a:defRPr>
            </a:pPr>
            <a:endParaRPr lang="ja-JP"/>
          </a:p>
        </c:txPr>
        <c:crossAx val="859092648"/>
        <c:crosses val="autoZero"/>
        <c:auto val="1"/>
        <c:lblAlgn val="ctr"/>
        <c:lblOffset val="100"/>
        <c:noMultiLvlLbl val="0"/>
      </c:catAx>
      <c:valAx>
        <c:axId val="859092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UD デジタル 教科書体 NP-R" panose="02020400000000000000" pitchFamily="18" charset="-128"/>
                <a:ea typeface="UD デジタル 教科書体 NP-R" panose="02020400000000000000" pitchFamily="18" charset="-128"/>
                <a:cs typeface="+mn-cs"/>
              </a:defRPr>
            </a:pPr>
            <a:endParaRPr lang="ja-JP"/>
          </a:p>
        </c:txPr>
        <c:crossAx val="859086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UD デジタル 教科書体 NP-R" panose="02020400000000000000" pitchFamily="18" charset="-128"/>
              <a:ea typeface="UD デジタル 教科書体 NP-R" panose="02020400000000000000" pitchFamily="18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UD デジタル 教科書体 NP-R" panose="02020400000000000000" pitchFamily="18" charset="-128"/>
          <a:ea typeface="UD デジタル 教科書体 NP-R" panose="02020400000000000000" pitchFamily="18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UD デジタル 教科書体 NK" panose="02020400000000000000" pitchFamily="18" charset="-128"/>
              <a:ea typeface="UD デジタル 教科書体 NK" panose="02020400000000000000" pitchFamily="18" charset="-128"/>
              <a:cs typeface="+mj-cs"/>
            </a:defRPr>
          </a:pPr>
          <a:endParaRPr lang="ja-JP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アイテム別売上推移!$D$1:$D$2</c:f>
              <c:strCache>
                <c:ptCount val="2"/>
                <c:pt idx="0">
                  <c:v>24年7月～25年12月累計</c:v>
                </c:pt>
                <c:pt idx="1">
                  <c:v>数量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shade val="41000"/>
                      <a:lumMod val="60000"/>
                      <a:lumOff val="40000"/>
                    </a:schemeClr>
                  </a:gs>
                  <a:gs pos="0">
                    <a:schemeClr val="accent1">
                      <a:shade val="41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582-4B64-8ED0-2CCC6C7CC644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1">
                      <a:shade val="53000"/>
                      <a:lumMod val="60000"/>
                      <a:lumOff val="40000"/>
                    </a:schemeClr>
                  </a:gs>
                  <a:gs pos="0">
                    <a:schemeClr val="accent1">
                      <a:shade val="53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582-4B64-8ED0-2CCC6C7CC644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1">
                      <a:shade val="65000"/>
                      <a:lumMod val="60000"/>
                      <a:lumOff val="40000"/>
                    </a:schemeClr>
                  </a:gs>
                  <a:gs pos="0">
                    <a:schemeClr val="accent1">
                      <a:shade val="65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582-4B64-8ED0-2CCC6C7CC644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1">
                      <a:shade val="76000"/>
                      <a:lumMod val="60000"/>
                      <a:lumOff val="40000"/>
                    </a:schemeClr>
                  </a:gs>
                  <a:gs pos="0">
                    <a:schemeClr val="accent1">
                      <a:shade val="76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582-4B64-8ED0-2CCC6C7CC644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1">
                      <a:shade val="88000"/>
                      <a:lumMod val="60000"/>
                      <a:lumOff val="40000"/>
                    </a:schemeClr>
                  </a:gs>
                  <a:gs pos="0">
                    <a:schemeClr val="accent1">
                      <a:shade val="88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582-4B64-8ED0-2CCC6C7CC644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582-4B64-8ED0-2CCC6C7CC644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tint val="89000"/>
                      <a:lumMod val="60000"/>
                      <a:lumOff val="40000"/>
                    </a:schemeClr>
                  </a:gs>
                  <a:gs pos="0">
                    <a:schemeClr val="accent1">
                      <a:tint val="89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582-4B64-8ED0-2CCC6C7CC644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1">
                      <a:tint val="77000"/>
                      <a:lumMod val="60000"/>
                      <a:lumOff val="40000"/>
                    </a:schemeClr>
                  </a:gs>
                  <a:gs pos="0">
                    <a:schemeClr val="accent1">
                      <a:tint val="77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582-4B64-8ED0-2CCC6C7CC644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1">
                      <a:tint val="65000"/>
                      <a:lumMod val="60000"/>
                      <a:lumOff val="40000"/>
                    </a:schemeClr>
                  </a:gs>
                  <a:gs pos="0">
                    <a:schemeClr val="accent1">
                      <a:tint val="65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582-4B64-8ED0-2CCC6C7CC644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1">
                      <a:tint val="54000"/>
                      <a:lumMod val="60000"/>
                      <a:lumOff val="40000"/>
                    </a:schemeClr>
                  </a:gs>
                  <a:gs pos="0">
                    <a:schemeClr val="accent1">
                      <a:tint val="54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582-4B64-8ED0-2CCC6C7CC644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1">
                      <a:tint val="42000"/>
                      <a:lumMod val="60000"/>
                      <a:lumOff val="40000"/>
                    </a:schemeClr>
                  </a:gs>
                  <a:gs pos="0">
                    <a:schemeClr val="accent1">
                      <a:tint val="42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582-4B64-8ED0-2CCC6C7CC644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rgbClr val="C00000"/>
                      </a:solidFill>
                      <a:latin typeface="UD デジタル 教科書体 NK" panose="02020400000000000000" pitchFamily="18" charset="-128"/>
                      <a:ea typeface="UD デジタル 教科書体 NK" panose="02020400000000000000" pitchFamily="18" charset="-128"/>
                      <a:cs typeface="+mn-cs"/>
                    </a:defRPr>
                  </a:pPr>
                  <a:endParaRPr lang="ja-JP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B582-4B64-8ED0-2CCC6C7CC6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UD デジタル 教科書体 NK" panose="02020400000000000000" pitchFamily="18" charset="-128"/>
                    <a:ea typeface="UD デジタル 教科書体 NK" panose="02020400000000000000" pitchFamily="18" charset="-128"/>
                    <a:cs typeface="+mn-cs"/>
                  </a:defRPr>
                </a:pPr>
                <a:endParaRPr lang="ja-JP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アイテム別売上推移!$B$3:$B$13</c:f>
              <c:strCache>
                <c:ptCount val="11"/>
                <c:pt idx="0">
                  <c:v>DLEA</c:v>
                </c:pt>
                <c:pt idx="1">
                  <c:v>MUSC</c:v>
                </c:pt>
                <c:pt idx="2">
                  <c:v>MUCI</c:v>
                </c:pt>
                <c:pt idx="3">
                  <c:v>DLFP</c:v>
                </c:pt>
                <c:pt idx="4">
                  <c:v>DLIB</c:v>
                </c:pt>
                <c:pt idx="5">
                  <c:v>YNRE001</c:v>
                </c:pt>
                <c:pt idx="6">
                  <c:v>DLCE</c:v>
                </c:pt>
                <c:pt idx="7">
                  <c:v>DLCH</c:v>
                </c:pt>
                <c:pt idx="8">
                  <c:v>DLCC</c:v>
                </c:pt>
                <c:pt idx="9">
                  <c:v>YNRE300</c:v>
                </c:pt>
                <c:pt idx="10">
                  <c:v>11位以下</c:v>
                </c:pt>
              </c:strCache>
            </c:strRef>
          </c:cat>
          <c:val>
            <c:numRef>
              <c:f>アイテム別売上推移!$D$3:$D$13</c:f>
              <c:numCache>
                <c:formatCode>#,##0_);[Red]\(#,##0\)</c:formatCode>
                <c:ptCount val="11"/>
                <c:pt idx="0">
                  <c:v>181809</c:v>
                </c:pt>
                <c:pt idx="1">
                  <c:v>40625</c:v>
                </c:pt>
                <c:pt idx="2">
                  <c:v>36263</c:v>
                </c:pt>
                <c:pt idx="3">
                  <c:v>23558</c:v>
                </c:pt>
                <c:pt idx="4">
                  <c:v>21800</c:v>
                </c:pt>
                <c:pt idx="5">
                  <c:v>9498</c:v>
                </c:pt>
                <c:pt idx="6">
                  <c:v>7815</c:v>
                </c:pt>
                <c:pt idx="7">
                  <c:v>6700</c:v>
                </c:pt>
                <c:pt idx="8">
                  <c:v>6456</c:v>
                </c:pt>
                <c:pt idx="9">
                  <c:v>6288</c:v>
                </c:pt>
                <c:pt idx="10">
                  <c:v>173090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0F-4365-9101-537C95DD04D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アイテム別売上推移!$F$1:$F$2</c15:sqref>
                        </c15:formulaRef>
                      </c:ext>
                    </c:extLst>
                    <c:strCache>
                      <c:ptCount val="2"/>
                      <c:pt idx="0">
                        <c:v>24年7月～25年12月累計</c:v>
                      </c:pt>
                      <c:pt idx="1">
                        <c:v>金額（千円）</c:v>
                      </c:pt>
                    </c:strCache>
                  </c:strRef>
                </c:tx>
                <c:dPt>
                  <c:idx val="0"/>
                  <c:bubble3D val="0"/>
                  <c:spPr>
                    <a:gradFill>
                      <a:gsLst>
                        <a:gs pos="100000">
                          <a:schemeClr val="accent1">
                            <a:shade val="41000"/>
                            <a:lumMod val="60000"/>
                            <a:lumOff val="40000"/>
                          </a:schemeClr>
                        </a:gs>
                        <a:gs pos="0">
                          <a:schemeClr val="accent1">
                            <a:shade val="41000"/>
                          </a:schemeClr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7-B582-4B64-8ED0-2CCC6C7CC644}"/>
                    </c:ext>
                  </c:extLst>
                </c:dPt>
                <c:dPt>
                  <c:idx val="1"/>
                  <c:bubble3D val="0"/>
                  <c:spPr>
                    <a:gradFill>
                      <a:gsLst>
                        <a:gs pos="100000">
                          <a:schemeClr val="accent1">
                            <a:shade val="53000"/>
                            <a:lumMod val="60000"/>
                            <a:lumOff val="40000"/>
                          </a:schemeClr>
                        </a:gs>
                        <a:gs pos="0">
                          <a:schemeClr val="accent1">
                            <a:shade val="53000"/>
                          </a:schemeClr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9-B582-4B64-8ED0-2CCC6C7CC644}"/>
                    </c:ext>
                  </c:extLst>
                </c:dPt>
                <c:dPt>
                  <c:idx val="2"/>
                  <c:bubble3D val="0"/>
                  <c:spPr>
                    <a:gradFill>
                      <a:gsLst>
                        <a:gs pos="100000">
                          <a:schemeClr val="accent1">
                            <a:shade val="65000"/>
                            <a:lumMod val="60000"/>
                            <a:lumOff val="40000"/>
                          </a:schemeClr>
                        </a:gs>
                        <a:gs pos="0">
                          <a:schemeClr val="accent1">
                            <a:shade val="65000"/>
                          </a:schemeClr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B-B582-4B64-8ED0-2CCC6C7CC644}"/>
                    </c:ext>
                  </c:extLst>
                </c:dPt>
                <c:dPt>
                  <c:idx val="3"/>
                  <c:bubble3D val="0"/>
                  <c:spPr>
                    <a:gradFill>
                      <a:gsLst>
                        <a:gs pos="100000">
                          <a:schemeClr val="accent1">
                            <a:shade val="76000"/>
                            <a:lumMod val="60000"/>
                            <a:lumOff val="40000"/>
                          </a:schemeClr>
                        </a:gs>
                        <a:gs pos="0">
                          <a:schemeClr val="accent1">
                            <a:shade val="76000"/>
                          </a:schemeClr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D-B582-4B64-8ED0-2CCC6C7CC644}"/>
                    </c:ext>
                  </c:extLst>
                </c:dPt>
                <c:dPt>
                  <c:idx val="4"/>
                  <c:bubble3D val="0"/>
                  <c:spPr>
                    <a:gradFill>
                      <a:gsLst>
                        <a:gs pos="100000">
                          <a:schemeClr val="accent1">
                            <a:shade val="88000"/>
                            <a:lumMod val="60000"/>
                            <a:lumOff val="40000"/>
                          </a:schemeClr>
                        </a:gs>
                        <a:gs pos="0">
                          <a:schemeClr val="accent1">
                            <a:shade val="88000"/>
                          </a:schemeClr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F-B582-4B64-8ED0-2CCC6C7CC644}"/>
                    </c:ext>
                  </c:extLst>
                </c:dPt>
                <c:dPt>
                  <c:idx val="5"/>
                  <c:bubble3D val="0"/>
                  <c:spPr>
                    <a:gradFill>
                      <a:gsLst>
                        <a:gs pos="100000">
                          <a:schemeClr val="accent1">
                            <a:lumMod val="60000"/>
                            <a:lumOff val="40000"/>
                          </a:schemeClr>
                        </a:gs>
                        <a:gs pos="0">
                          <a:schemeClr val="accent1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1-B582-4B64-8ED0-2CCC6C7CC644}"/>
                    </c:ext>
                  </c:extLst>
                </c:dPt>
                <c:dPt>
                  <c:idx val="6"/>
                  <c:bubble3D val="0"/>
                  <c:spPr>
                    <a:gradFill>
                      <a:gsLst>
                        <a:gs pos="100000">
                          <a:schemeClr val="accent1">
                            <a:tint val="89000"/>
                            <a:lumMod val="60000"/>
                            <a:lumOff val="40000"/>
                          </a:schemeClr>
                        </a:gs>
                        <a:gs pos="0">
                          <a:schemeClr val="accent1">
                            <a:tint val="89000"/>
                          </a:schemeClr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3-B582-4B64-8ED0-2CCC6C7CC644}"/>
                    </c:ext>
                  </c:extLst>
                </c:dPt>
                <c:dPt>
                  <c:idx val="7"/>
                  <c:bubble3D val="0"/>
                  <c:spPr>
                    <a:gradFill>
                      <a:gsLst>
                        <a:gs pos="100000">
                          <a:schemeClr val="accent1">
                            <a:tint val="77000"/>
                            <a:lumMod val="60000"/>
                            <a:lumOff val="40000"/>
                          </a:schemeClr>
                        </a:gs>
                        <a:gs pos="0">
                          <a:schemeClr val="accent1">
                            <a:tint val="77000"/>
                          </a:schemeClr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5-B582-4B64-8ED0-2CCC6C7CC644}"/>
                    </c:ext>
                  </c:extLst>
                </c:dPt>
                <c:dPt>
                  <c:idx val="8"/>
                  <c:bubble3D val="0"/>
                  <c:spPr>
                    <a:gradFill>
                      <a:gsLst>
                        <a:gs pos="100000">
                          <a:schemeClr val="accent1">
                            <a:tint val="65000"/>
                            <a:lumMod val="60000"/>
                            <a:lumOff val="40000"/>
                          </a:schemeClr>
                        </a:gs>
                        <a:gs pos="0">
                          <a:schemeClr val="accent1">
                            <a:tint val="65000"/>
                          </a:schemeClr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7-B582-4B64-8ED0-2CCC6C7CC644}"/>
                    </c:ext>
                  </c:extLst>
                </c:dPt>
                <c:dPt>
                  <c:idx val="9"/>
                  <c:bubble3D val="0"/>
                  <c:spPr>
                    <a:gradFill>
                      <a:gsLst>
                        <a:gs pos="100000">
                          <a:schemeClr val="accent1">
                            <a:tint val="54000"/>
                            <a:lumMod val="60000"/>
                            <a:lumOff val="40000"/>
                          </a:schemeClr>
                        </a:gs>
                        <a:gs pos="0">
                          <a:schemeClr val="accent1">
                            <a:tint val="54000"/>
                          </a:schemeClr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9-B582-4B64-8ED0-2CCC6C7CC644}"/>
                    </c:ext>
                  </c:extLst>
                </c:dPt>
                <c:dPt>
                  <c:idx val="10"/>
                  <c:bubble3D val="0"/>
                  <c:spPr>
                    <a:gradFill>
                      <a:gsLst>
                        <a:gs pos="100000">
                          <a:schemeClr val="accent1">
                            <a:tint val="42000"/>
                            <a:lumMod val="60000"/>
                            <a:lumOff val="40000"/>
                          </a:schemeClr>
                        </a:gs>
                        <a:gs pos="0">
                          <a:schemeClr val="accent1">
                            <a:tint val="42000"/>
                          </a:schemeClr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B-B582-4B64-8ED0-2CCC6C7CC644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75000"/>
                              <a:lumOff val="25000"/>
                            </a:schemeClr>
                          </a:solidFill>
                          <a:latin typeface="UD デジタル 教科書体 NK" panose="02020400000000000000" pitchFamily="18" charset="-128"/>
                          <a:ea typeface="UD デジタル 教科書体 NK" panose="02020400000000000000" pitchFamily="18" charset="-128"/>
                          <a:cs typeface="+mn-cs"/>
                        </a:defRPr>
                      </a:pPr>
                      <a:endParaRPr lang="ja-JP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dk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アイテム別売上推移!$B$3:$B$13</c15:sqref>
                        </c15:formulaRef>
                      </c:ext>
                    </c:extLst>
                    <c:strCache>
                      <c:ptCount val="11"/>
                      <c:pt idx="0">
                        <c:v>DLEA</c:v>
                      </c:pt>
                      <c:pt idx="1">
                        <c:v>MUSC</c:v>
                      </c:pt>
                      <c:pt idx="2">
                        <c:v>MUCI</c:v>
                      </c:pt>
                      <c:pt idx="3">
                        <c:v>DLFP</c:v>
                      </c:pt>
                      <c:pt idx="4">
                        <c:v>DLIB</c:v>
                      </c:pt>
                      <c:pt idx="5">
                        <c:v>YNRE001</c:v>
                      </c:pt>
                      <c:pt idx="6">
                        <c:v>DLCE</c:v>
                      </c:pt>
                      <c:pt idx="7">
                        <c:v>DLCH</c:v>
                      </c:pt>
                      <c:pt idx="8">
                        <c:v>DLCC</c:v>
                      </c:pt>
                      <c:pt idx="9">
                        <c:v>YNRE300</c:v>
                      </c:pt>
                      <c:pt idx="10">
                        <c:v>11位以下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アイテム別売上推移!$F$3:$F$13</c15:sqref>
                        </c15:formulaRef>
                      </c:ext>
                    </c:extLst>
                    <c:numCache>
                      <c:formatCode>#,##0_);[Red]\(#,##0\)</c:formatCode>
                      <c:ptCount val="11"/>
                      <c:pt idx="0">
                        <c:v>119682.42</c:v>
                      </c:pt>
                      <c:pt idx="1">
                        <c:v>106884.25</c:v>
                      </c:pt>
                      <c:pt idx="2">
                        <c:v>29235.525000000001</c:v>
                      </c:pt>
                      <c:pt idx="3">
                        <c:v>16325.694</c:v>
                      </c:pt>
                      <c:pt idx="4">
                        <c:v>9306</c:v>
                      </c:pt>
                      <c:pt idx="5">
                        <c:v>6343.48</c:v>
                      </c:pt>
                      <c:pt idx="6">
                        <c:v>5157.8999999999996</c:v>
                      </c:pt>
                      <c:pt idx="7">
                        <c:v>4422</c:v>
                      </c:pt>
                      <c:pt idx="8">
                        <c:v>4260.96</c:v>
                      </c:pt>
                      <c:pt idx="9">
                        <c:v>3903.9</c:v>
                      </c:pt>
                      <c:pt idx="10">
                        <c:v>198529.614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B70F-4365-9101-537C95DD04D4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UD デジタル 教科書体 NK" panose="02020400000000000000" pitchFamily="18" charset="-128"/>
          <a:ea typeface="UD デジタル 教科書体 NK" panose="02020400000000000000" pitchFamily="18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UD デジタル 教科書体 NK" panose="02020400000000000000" pitchFamily="18" charset="-128"/>
              <a:ea typeface="UD デジタル 教科書体 NK" panose="02020400000000000000" pitchFamily="18" charset="-128"/>
              <a:cs typeface="+mj-cs"/>
            </a:defRPr>
          </a:pPr>
          <a:endParaRPr lang="ja-JP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アイテム別売上推移!$F$1:$F$2</c:f>
              <c:strCache>
                <c:ptCount val="2"/>
                <c:pt idx="0">
                  <c:v>24年7月～25年12月累計</c:v>
                </c:pt>
                <c:pt idx="1">
                  <c:v>金額（千円）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3">
                      <a:shade val="41000"/>
                      <a:lumMod val="60000"/>
                      <a:lumOff val="40000"/>
                    </a:schemeClr>
                  </a:gs>
                  <a:gs pos="0">
                    <a:schemeClr val="accent3">
                      <a:shade val="41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E31-4330-BE9D-5BC74E222279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3">
                      <a:shade val="53000"/>
                      <a:lumMod val="60000"/>
                      <a:lumOff val="40000"/>
                    </a:schemeClr>
                  </a:gs>
                  <a:gs pos="0">
                    <a:schemeClr val="accent3">
                      <a:shade val="53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E31-4330-BE9D-5BC74E222279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shade val="65000"/>
                      <a:lumMod val="60000"/>
                      <a:lumOff val="40000"/>
                    </a:schemeClr>
                  </a:gs>
                  <a:gs pos="0">
                    <a:schemeClr val="accent3">
                      <a:shade val="65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E31-4330-BE9D-5BC74E222279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3">
                      <a:shade val="76000"/>
                      <a:lumMod val="60000"/>
                      <a:lumOff val="40000"/>
                    </a:schemeClr>
                  </a:gs>
                  <a:gs pos="0">
                    <a:schemeClr val="accent3">
                      <a:shade val="76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E31-4330-BE9D-5BC74E222279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3">
                      <a:shade val="88000"/>
                      <a:lumMod val="60000"/>
                      <a:lumOff val="40000"/>
                    </a:schemeClr>
                  </a:gs>
                  <a:gs pos="0">
                    <a:schemeClr val="accent3">
                      <a:shade val="88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E31-4330-BE9D-5BC74E222279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E31-4330-BE9D-5BC74E222279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3">
                      <a:tint val="89000"/>
                      <a:lumMod val="60000"/>
                      <a:lumOff val="40000"/>
                    </a:schemeClr>
                  </a:gs>
                  <a:gs pos="0">
                    <a:schemeClr val="accent3">
                      <a:tint val="89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E31-4330-BE9D-5BC74E222279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3">
                      <a:tint val="77000"/>
                      <a:lumMod val="60000"/>
                      <a:lumOff val="40000"/>
                    </a:schemeClr>
                  </a:gs>
                  <a:gs pos="0">
                    <a:schemeClr val="accent3">
                      <a:tint val="77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E31-4330-BE9D-5BC74E222279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tint val="65000"/>
                      <a:lumMod val="60000"/>
                      <a:lumOff val="40000"/>
                    </a:schemeClr>
                  </a:gs>
                  <a:gs pos="0">
                    <a:schemeClr val="accent3">
                      <a:tint val="65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E31-4330-BE9D-5BC74E222279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3">
                      <a:tint val="54000"/>
                      <a:lumMod val="60000"/>
                      <a:lumOff val="40000"/>
                    </a:schemeClr>
                  </a:gs>
                  <a:gs pos="0">
                    <a:schemeClr val="accent3">
                      <a:tint val="54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E31-4330-BE9D-5BC74E222279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3">
                      <a:tint val="42000"/>
                      <a:lumMod val="60000"/>
                      <a:lumOff val="40000"/>
                    </a:schemeClr>
                  </a:gs>
                  <a:gs pos="0">
                    <a:schemeClr val="accent3">
                      <a:tint val="42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8E31-4330-BE9D-5BC74E222279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600" b="0" i="0" u="none" strike="noStrike" kern="1200" baseline="0">
                      <a:solidFill>
                        <a:sysClr val="windowText" lastClr="000000"/>
                      </a:solidFill>
                      <a:latin typeface="UD デジタル 教科書体 NK" panose="02020400000000000000" pitchFamily="18" charset="-128"/>
                      <a:ea typeface="UD デジタル 教科書体 NK" panose="02020400000000000000" pitchFamily="18" charset="-128"/>
                      <a:cs typeface="+mn-cs"/>
                    </a:defRPr>
                  </a:pPr>
                  <a:endParaRPr lang="ja-JP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8E31-4330-BE9D-5BC74E222279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1" i="0" u="none" strike="noStrike" kern="1200" baseline="0">
                      <a:solidFill>
                        <a:srgbClr val="C00000"/>
                      </a:solidFill>
                      <a:latin typeface="UD デジタル 教科書体 NK" panose="02020400000000000000" pitchFamily="18" charset="-128"/>
                      <a:ea typeface="UD デジタル 教科書体 NK" panose="02020400000000000000" pitchFamily="18" charset="-128"/>
                      <a:cs typeface="+mn-cs"/>
                    </a:defRPr>
                  </a:pPr>
                  <a:endParaRPr lang="ja-JP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8E31-4330-BE9D-5BC74E2222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6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UD デジタル 教科書体 NK" panose="02020400000000000000" pitchFamily="18" charset="-128"/>
                    <a:ea typeface="UD デジタル 教科書体 NK" panose="02020400000000000000" pitchFamily="18" charset="-128"/>
                    <a:cs typeface="+mn-cs"/>
                  </a:defRPr>
                </a:pPr>
                <a:endParaRPr lang="ja-JP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アイテム別売上推移!$B$3:$B$13</c:f>
              <c:strCache>
                <c:ptCount val="11"/>
                <c:pt idx="0">
                  <c:v>DLEA</c:v>
                </c:pt>
                <c:pt idx="1">
                  <c:v>MUSC</c:v>
                </c:pt>
                <c:pt idx="2">
                  <c:v>MUCI</c:v>
                </c:pt>
                <c:pt idx="3">
                  <c:v>DLFP</c:v>
                </c:pt>
                <c:pt idx="4">
                  <c:v>DLIB</c:v>
                </c:pt>
                <c:pt idx="5">
                  <c:v>YNRE001</c:v>
                </c:pt>
                <c:pt idx="6">
                  <c:v>DLCE</c:v>
                </c:pt>
                <c:pt idx="7">
                  <c:v>DLCH</c:v>
                </c:pt>
                <c:pt idx="8">
                  <c:v>DLCC</c:v>
                </c:pt>
                <c:pt idx="9">
                  <c:v>YNRE300</c:v>
                </c:pt>
                <c:pt idx="10">
                  <c:v>11位以下</c:v>
                </c:pt>
              </c:strCache>
            </c:strRef>
          </c:cat>
          <c:val>
            <c:numRef>
              <c:f>アイテム別売上推移!$F$3:$F$13</c:f>
              <c:numCache>
                <c:formatCode>#,##0_);[Red]\(#,##0\)</c:formatCode>
                <c:ptCount val="11"/>
                <c:pt idx="0">
                  <c:v>119682.42</c:v>
                </c:pt>
                <c:pt idx="1">
                  <c:v>106884.25</c:v>
                </c:pt>
                <c:pt idx="2">
                  <c:v>29235.525000000001</c:v>
                </c:pt>
                <c:pt idx="3">
                  <c:v>16325.694</c:v>
                </c:pt>
                <c:pt idx="4">
                  <c:v>9306</c:v>
                </c:pt>
                <c:pt idx="5">
                  <c:v>6343.48</c:v>
                </c:pt>
                <c:pt idx="6">
                  <c:v>5157.8999999999996</c:v>
                </c:pt>
                <c:pt idx="7">
                  <c:v>4422</c:v>
                </c:pt>
                <c:pt idx="8">
                  <c:v>4260.96</c:v>
                </c:pt>
                <c:pt idx="9">
                  <c:v>3903.9</c:v>
                </c:pt>
                <c:pt idx="10">
                  <c:v>198529.614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E31-4330-BE9D-5BC74E22227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アイテム別売上推移!$F$1:$F$2</c15:sqref>
                        </c15:formulaRef>
                      </c:ext>
                    </c:extLst>
                    <c:strCache>
                      <c:ptCount val="2"/>
                      <c:pt idx="0">
                        <c:v>24年7月～25年12月累計</c:v>
                      </c:pt>
                      <c:pt idx="1">
                        <c:v>金額（千円）</c:v>
                      </c:pt>
                    </c:strCache>
                  </c:strRef>
                </c:tx>
                <c:dPt>
                  <c:idx val="0"/>
                  <c:bubble3D val="0"/>
                  <c:spPr>
                    <a:gradFill>
                      <a:gsLst>
                        <a:gs pos="100000">
                          <a:schemeClr val="accent3">
                            <a:shade val="41000"/>
                            <a:lumMod val="60000"/>
                            <a:lumOff val="40000"/>
                          </a:schemeClr>
                        </a:gs>
                        <a:gs pos="0">
                          <a:schemeClr val="accent3">
                            <a:shade val="41000"/>
                          </a:schemeClr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8-8E31-4330-BE9D-5BC74E222279}"/>
                    </c:ext>
                  </c:extLst>
                </c:dPt>
                <c:dPt>
                  <c:idx val="1"/>
                  <c:bubble3D val="0"/>
                  <c:spPr>
                    <a:gradFill>
                      <a:gsLst>
                        <a:gs pos="100000">
                          <a:schemeClr val="accent3">
                            <a:shade val="53000"/>
                            <a:lumMod val="60000"/>
                            <a:lumOff val="40000"/>
                          </a:schemeClr>
                        </a:gs>
                        <a:gs pos="0">
                          <a:schemeClr val="accent3">
                            <a:shade val="53000"/>
                          </a:schemeClr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A-8E31-4330-BE9D-5BC74E222279}"/>
                    </c:ext>
                  </c:extLst>
                </c:dPt>
                <c:dPt>
                  <c:idx val="2"/>
                  <c:bubble3D val="0"/>
                  <c:spPr>
                    <a:gradFill>
                      <a:gsLst>
                        <a:gs pos="100000">
                          <a:schemeClr val="accent3">
                            <a:shade val="65000"/>
                            <a:lumMod val="60000"/>
                            <a:lumOff val="40000"/>
                          </a:schemeClr>
                        </a:gs>
                        <a:gs pos="0">
                          <a:schemeClr val="accent3">
                            <a:shade val="65000"/>
                          </a:schemeClr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C-8E31-4330-BE9D-5BC74E222279}"/>
                    </c:ext>
                  </c:extLst>
                </c:dPt>
                <c:dPt>
                  <c:idx val="3"/>
                  <c:bubble3D val="0"/>
                  <c:spPr>
                    <a:gradFill>
                      <a:gsLst>
                        <a:gs pos="100000">
                          <a:schemeClr val="accent3">
                            <a:shade val="76000"/>
                            <a:lumMod val="60000"/>
                            <a:lumOff val="40000"/>
                          </a:schemeClr>
                        </a:gs>
                        <a:gs pos="0">
                          <a:schemeClr val="accent3">
                            <a:shade val="76000"/>
                          </a:schemeClr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E-8E31-4330-BE9D-5BC74E222279}"/>
                    </c:ext>
                  </c:extLst>
                </c:dPt>
                <c:dPt>
                  <c:idx val="4"/>
                  <c:bubble3D val="0"/>
                  <c:spPr>
                    <a:gradFill>
                      <a:gsLst>
                        <a:gs pos="100000">
                          <a:schemeClr val="accent3">
                            <a:shade val="88000"/>
                            <a:lumMod val="60000"/>
                            <a:lumOff val="40000"/>
                          </a:schemeClr>
                        </a:gs>
                        <a:gs pos="0">
                          <a:schemeClr val="accent3">
                            <a:shade val="88000"/>
                          </a:schemeClr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0-8E31-4330-BE9D-5BC74E222279}"/>
                    </c:ext>
                  </c:extLst>
                </c:dPt>
                <c:dPt>
                  <c:idx val="5"/>
                  <c:bubble3D val="0"/>
                  <c:spPr>
                    <a:gradFill>
                      <a:gsLst>
                        <a:gs pos="100000">
                          <a:schemeClr val="accent3">
                            <a:lumMod val="60000"/>
                            <a:lumOff val="40000"/>
                          </a:schemeClr>
                        </a:gs>
                        <a:gs pos="0">
                          <a:schemeClr val="accent3"/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2-8E31-4330-BE9D-5BC74E222279}"/>
                    </c:ext>
                  </c:extLst>
                </c:dPt>
                <c:dPt>
                  <c:idx val="6"/>
                  <c:bubble3D val="0"/>
                  <c:spPr>
                    <a:gradFill>
                      <a:gsLst>
                        <a:gs pos="100000">
                          <a:schemeClr val="accent3">
                            <a:tint val="89000"/>
                            <a:lumMod val="60000"/>
                            <a:lumOff val="40000"/>
                          </a:schemeClr>
                        </a:gs>
                        <a:gs pos="0">
                          <a:schemeClr val="accent3">
                            <a:tint val="89000"/>
                          </a:schemeClr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4-8E31-4330-BE9D-5BC74E222279}"/>
                    </c:ext>
                  </c:extLst>
                </c:dPt>
                <c:dPt>
                  <c:idx val="7"/>
                  <c:bubble3D val="0"/>
                  <c:spPr>
                    <a:gradFill>
                      <a:gsLst>
                        <a:gs pos="100000">
                          <a:schemeClr val="accent3">
                            <a:tint val="77000"/>
                            <a:lumMod val="60000"/>
                            <a:lumOff val="40000"/>
                          </a:schemeClr>
                        </a:gs>
                        <a:gs pos="0">
                          <a:schemeClr val="accent3">
                            <a:tint val="77000"/>
                          </a:schemeClr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6-8E31-4330-BE9D-5BC74E222279}"/>
                    </c:ext>
                  </c:extLst>
                </c:dPt>
                <c:dPt>
                  <c:idx val="8"/>
                  <c:bubble3D val="0"/>
                  <c:spPr>
                    <a:gradFill>
                      <a:gsLst>
                        <a:gs pos="100000">
                          <a:schemeClr val="accent3">
                            <a:tint val="65000"/>
                            <a:lumMod val="60000"/>
                            <a:lumOff val="40000"/>
                          </a:schemeClr>
                        </a:gs>
                        <a:gs pos="0">
                          <a:schemeClr val="accent3">
                            <a:tint val="65000"/>
                          </a:schemeClr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8-8E31-4330-BE9D-5BC74E222279}"/>
                    </c:ext>
                  </c:extLst>
                </c:dPt>
                <c:dPt>
                  <c:idx val="9"/>
                  <c:bubble3D val="0"/>
                  <c:spPr>
                    <a:gradFill>
                      <a:gsLst>
                        <a:gs pos="100000">
                          <a:schemeClr val="accent3">
                            <a:tint val="54000"/>
                            <a:lumMod val="60000"/>
                            <a:lumOff val="40000"/>
                          </a:schemeClr>
                        </a:gs>
                        <a:gs pos="0">
                          <a:schemeClr val="accent3">
                            <a:tint val="54000"/>
                          </a:schemeClr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A-8E31-4330-BE9D-5BC74E222279}"/>
                    </c:ext>
                  </c:extLst>
                </c:dPt>
                <c:dPt>
                  <c:idx val="10"/>
                  <c:bubble3D val="0"/>
                  <c:spPr>
                    <a:gradFill>
                      <a:gsLst>
                        <a:gs pos="100000">
                          <a:schemeClr val="accent3">
                            <a:tint val="42000"/>
                            <a:lumMod val="60000"/>
                            <a:lumOff val="40000"/>
                          </a:schemeClr>
                        </a:gs>
                        <a:gs pos="0">
                          <a:schemeClr val="accent3">
                            <a:tint val="42000"/>
                          </a:schemeClr>
                        </a:gs>
                      </a:gsLst>
                      <a:lin ang="5400000" scaled="0"/>
                    </a:gra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C-8E31-4330-BE9D-5BC74E222279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dk1">
                              <a:lumMod val="75000"/>
                              <a:lumOff val="25000"/>
                            </a:schemeClr>
                          </a:solidFill>
                          <a:latin typeface="UD デジタル 教科書体 NK" panose="02020400000000000000" pitchFamily="18" charset="-128"/>
                          <a:ea typeface="UD デジタル 教科書体 NK" panose="02020400000000000000" pitchFamily="18" charset="-128"/>
                          <a:cs typeface="+mn-cs"/>
                        </a:defRPr>
                      </a:pPr>
                      <a:endParaRPr lang="ja-JP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dk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アイテム別売上推移!$B$3:$B$13</c15:sqref>
                        </c15:formulaRef>
                      </c:ext>
                    </c:extLst>
                    <c:strCache>
                      <c:ptCount val="11"/>
                      <c:pt idx="0">
                        <c:v>DLEA</c:v>
                      </c:pt>
                      <c:pt idx="1">
                        <c:v>MUSC</c:v>
                      </c:pt>
                      <c:pt idx="2">
                        <c:v>MUCI</c:v>
                      </c:pt>
                      <c:pt idx="3">
                        <c:v>DLFP</c:v>
                      </c:pt>
                      <c:pt idx="4">
                        <c:v>DLIB</c:v>
                      </c:pt>
                      <c:pt idx="5">
                        <c:v>YNRE001</c:v>
                      </c:pt>
                      <c:pt idx="6">
                        <c:v>DLCE</c:v>
                      </c:pt>
                      <c:pt idx="7">
                        <c:v>DLCH</c:v>
                      </c:pt>
                      <c:pt idx="8">
                        <c:v>DLCC</c:v>
                      </c:pt>
                      <c:pt idx="9">
                        <c:v>YNRE300</c:v>
                      </c:pt>
                      <c:pt idx="10">
                        <c:v>11位以下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アイテム別売上推移!$F$3:$F$13</c15:sqref>
                        </c15:formulaRef>
                      </c:ext>
                    </c:extLst>
                    <c:numCache>
                      <c:formatCode>#,##0_);[Red]\(#,##0\)</c:formatCode>
                      <c:ptCount val="11"/>
                      <c:pt idx="0">
                        <c:v>119682.42</c:v>
                      </c:pt>
                      <c:pt idx="1">
                        <c:v>106884.25</c:v>
                      </c:pt>
                      <c:pt idx="2">
                        <c:v>29235.525000000001</c:v>
                      </c:pt>
                      <c:pt idx="3">
                        <c:v>16325.694</c:v>
                      </c:pt>
                      <c:pt idx="4">
                        <c:v>9306</c:v>
                      </c:pt>
                      <c:pt idx="5">
                        <c:v>6343.48</c:v>
                      </c:pt>
                      <c:pt idx="6">
                        <c:v>5157.8999999999996</c:v>
                      </c:pt>
                      <c:pt idx="7">
                        <c:v>4422</c:v>
                      </c:pt>
                      <c:pt idx="8">
                        <c:v>4260.96</c:v>
                      </c:pt>
                      <c:pt idx="9">
                        <c:v>3903.9</c:v>
                      </c:pt>
                      <c:pt idx="10">
                        <c:v>198529.614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2D-8E31-4330-BE9D-5BC74E222279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ysClr val="window" lastClr="FFFFFF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UD デジタル 教科書体 NK" panose="02020400000000000000" pitchFamily="18" charset="-128"/>
          <a:ea typeface="UD デジタル 教科書体 NK" panose="02020400000000000000" pitchFamily="18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UD デジタル 教科書体 NP-R" panose="02020400000000000000" pitchFamily="18" charset="-128"/>
                <a:ea typeface="UD デジタル 教科書体 NP-R" panose="02020400000000000000" pitchFamily="18" charset="-128"/>
                <a:cs typeface="+mn-cs"/>
              </a:defRPr>
            </a:pPr>
            <a:r>
              <a:rPr lang="en-US" sz="1200"/>
              <a:t>24</a:t>
            </a:r>
            <a:r>
              <a:rPr lang="ja-JP" sz="1200"/>
              <a:t>年</a:t>
            </a:r>
            <a:r>
              <a:rPr lang="en-US" sz="1200"/>
              <a:t>7</a:t>
            </a:r>
            <a:r>
              <a:rPr lang="ja-JP" sz="1200"/>
              <a:t>月～</a:t>
            </a:r>
            <a:r>
              <a:rPr lang="en-US" sz="1200"/>
              <a:t>25</a:t>
            </a:r>
            <a:r>
              <a:rPr lang="ja-JP" sz="1200"/>
              <a:t>年</a:t>
            </a:r>
            <a:r>
              <a:rPr lang="en-US" sz="1200"/>
              <a:t>12</a:t>
            </a:r>
            <a:r>
              <a:rPr lang="ja-JP" sz="1200"/>
              <a:t>月月別売上推移（単位：千円）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UD デジタル 教科書体 NP-R" panose="02020400000000000000" pitchFamily="18" charset="-128"/>
              <a:ea typeface="UD デジタル 教科書体 NP-R" panose="02020400000000000000" pitchFamily="18" charset="-128"/>
              <a:cs typeface="+mn-cs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6.2456631277254725E-2"/>
          <c:y val="0.17685185185185184"/>
          <c:w val="0.89961532890580453"/>
          <c:h val="0.71243875765529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月別実績!$A$5</c:f>
              <c:strCache>
                <c:ptCount val="1"/>
                <c:pt idx="0">
                  <c:v>WeChat売上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月別実績!$B$3:$S$3</c:f>
              <c:strCache>
                <c:ptCount val="18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  <c:pt idx="6">
                  <c:v>1月</c:v>
                </c:pt>
                <c:pt idx="7">
                  <c:v>2月</c:v>
                </c:pt>
                <c:pt idx="8">
                  <c:v>3月</c:v>
                </c:pt>
                <c:pt idx="9">
                  <c:v>4月</c:v>
                </c:pt>
                <c:pt idx="10">
                  <c:v>5月</c:v>
                </c:pt>
                <c:pt idx="11">
                  <c:v>6月</c:v>
                </c:pt>
                <c:pt idx="12">
                  <c:v>7月</c:v>
                </c:pt>
                <c:pt idx="13">
                  <c:v>8月</c:v>
                </c:pt>
                <c:pt idx="14">
                  <c:v>9月</c:v>
                </c:pt>
                <c:pt idx="15">
                  <c:v>10月</c:v>
                </c:pt>
                <c:pt idx="16">
                  <c:v>11月</c:v>
                </c:pt>
                <c:pt idx="17">
                  <c:v>12月</c:v>
                </c:pt>
              </c:strCache>
            </c:strRef>
          </c:cat>
          <c:val>
            <c:numRef>
              <c:f>月別実績!$B$5:$S$5</c:f>
              <c:numCache>
                <c:formatCode>#,##0_);[Red]\(#,##0\)</c:formatCode>
                <c:ptCount val="18"/>
                <c:pt idx="0">
                  <c:v>2958.89</c:v>
                </c:pt>
                <c:pt idx="1">
                  <c:v>3926.4</c:v>
                </c:pt>
                <c:pt idx="2">
                  <c:v>2963.3049999999998</c:v>
                </c:pt>
                <c:pt idx="3">
                  <c:v>5776.5370000000003</c:v>
                </c:pt>
                <c:pt idx="4">
                  <c:v>10656.442999999999</c:v>
                </c:pt>
                <c:pt idx="5">
                  <c:v>7364.98</c:v>
                </c:pt>
                <c:pt idx="6">
                  <c:v>28082.369090909095</c:v>
                </c:pt>
                <c:pt idx="7">
                  <c:v>18753.400000000001</c:v>
                </c:pt>
                <c:pt idx="8">
                  <c:v>15625.542727272728</c:v>
                </c:pt>
                <c:pt idx="9">
                  <c:v>25743.684545454547</c:v>
                </c:pt>
                <c:pt idx="10">
                  <c:v>60426.961818181822</c:v>
                </c:pt>
                <c:pt idx="11">
                  <c:v>19216.660909090911</c:v>
                </c:pt>
                <c:pt idx="12">
                  <c:v>45902.593636363636</c:v>
                </c:pt>
                <c:pt idx="13">
                  <c:v>45519.049090909095</c:v>
                </c:pt>
                <c:pt idx="14">
                  <c:v>150797.18272727271</c:v>
                </c:pt>
                <c:pt idx="15">
                  <c:v>0</c:v>
                </c:pt>
                <c:pt idx="16">
                  <c:v>0</c:v>
                </c:pt>
                <c:pt idx="17">
                  <c:v>16383.285454545456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F2-469B-987F-794E39B6737C}"/>
            </c:ext>
          </c:extLst>
        </c:ser>
        <c:ser>
          <c:idx val="1"/>
          <c:order val="1"/>
          <c:tx>
            <c:strRef>
              <c:f>月別実績!$A$6</c:f>
              <c:strCache>
                <c:ptCount val="1"/>
                <c:pt idx="0">
                  <c:v>その他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月別実績!$B$3:$S$3</c:f>
              <c:strCache>
                <c:ptCount val="18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  <c:pt idx="6">
                  <c:v>1月</c:v>
                </c:pt>
                <c:pt idx="7">
                  <c:v>2月</c:v>
                </c:pt>
                <c:pt idx="8">
                  <c:v>3月</c:v>
                </c:pt>
                <c:pt idx="9">
                  <c:v>4月</c:v>
                </c:pt>
                <c:pt idx="10">
                  <c:v>5月</c:v>
                </c:pt>
                <c:pt idx="11">
                  <c:v>6月</c:v>
                </c:pt>
                <c:pt idx="12">
                  <c:v>7月</c:v>
                </c:pt>
                <c:pt idx="13">
                  <c:v>8月</c:v>
                </c:pt>
                <c:pt idx="14">
                  <c:v>9月</c:v>
                </c:pt>
                <c:pt idx="15">
                  <c:v>10月</c:v>
                </c:pt>
                <c:pt idx="16">
                  <c:v>11月</c:v>
                </c:pt>
                <c:pt idx="17">
                  <c:v>12月</c:v>
                </c:pt>
              </c:strCache>
            </c:strRef>
          </c:cat>
          <c:val>
            <c:numRef>
              <c:f>月別実績!$B$6:$S$6</c:f>
              <c:numCache>
                <c:formatCode>#,##0_);[Red]\(#,##0\)</c:formatCode>
                <c:ptCount val="18"/>
                <c:pt idx="0">
                  <c:v>3660.7450000000003</c:v>
                </c:pt>
                <c:pt idx="1">
                  <c:v>1617.4950000000003</c:v>
                </c:pt>
                <c:pt idx="2">
                  <c:v>2460.5900000000006</c:v>
                </c:pt>
                <c:pt idx="3">
                  <c:v>7017.5499999999993</c:v>
                </c:pt>
                <c:pt idx="4">
                  <c:v>5014.9000000000015</c:v>
                </c:pt>
                <c:pt idx="5">
                  <c:v>275</c:v>
                </c:pt>
                <c:pt idx="6">
                  <c:v>0</c:v>
                </c:pt>
                <c:pt idx="7">
                  <c:v>2621.5999999999985</c:v>
                </c:pt>
                <c:pt idx="8">
                  <c:v>0</c:v>
                </c:pt>
                <c:pt idx="9">
                  <c:v>0</c:v>
                </c:pt>
                <c:pt idx="10">
                  <c:v>2203.6499999999942</c:v>
                </c:pt>
                <c:pt idx="11">
                  <c:v>7716.9499999999971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F2-469B-987F-794E39B67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47918192"/>
        <c:axId val="747918520"/>
      </c:barChart>
      <c:lineChart>
        <c:grouping val="standard"/>
        <c:varyColors val="0"/>
        <c:ser>
          <c:idx val="2"/>
          <c:order val="2"/>
          <c:tx>
            <c:strRef>
              <c:f>月別実績!$A$7</c:f>
              <c:strCache>
                <c:ptCount val="1"/>
                <c:pt idx="0">
                  <c:v>WeChat構成比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UD デジタル 教科書体 NP-R" panose="02020400000000000000" pitchFamily="18" charset="-128"/>
                    <a:ea typeface="UD デジタル 教科書体 NP-R" panose="02020400000000000000" pitchFamily="18" charset="-128"/>
                    <a:cs typeface="+mn-cs"/>
                  </a:defRPr>
                </a:pPr>
                <a:endParaRPr lang="ja-JP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月別実績!$B$3:$S$3</c:f>
              <c:strCache>
                <c:ptCount val="18"/>
                <c:pt idx="0">
                  <c:v>7月</c:v>
                </c:pt>
                <c:pt idx="1">
                  <c:v>8月</c:v>
                </c:pt>
                <c:pt idx="2">
                  <c:v>9月</c:v>
                </c:pt>
                <c:pt idx="3">
                  <c:v>10月</c:v>
                </c:pt>
                <c:pt idx="4">
                  <c:v>11月</c:v>
                </c:pt>
                <c:pt idx="5">
                  <c:v>12月</c:v>
                </c:pt>
                <c:pt idx="6">
                  <c:v>1月</c:v>
                </c:pt>
                <c:pt idx="7">
                  <c:v>2月</c:v>
                </c:pt>
                <c:pt idx="8">
                  <c:v>3月</c:v>
                </c:pt>
                <c:pt idx="9">
                  <c:v>4月</c:v>
                </c:pt>
                <c:pt idx="10">
                  <c:v>5月</c:v>
                </c:pt>
                <c:pt idx="11">
                  <c:v>6月</c:v>
                </c:pt>
                <c:pt idx="12">
                  <c:v>7月</c:v>
                </c:pt>
                <c:pt idx="13">
                  <c:v>8月</c:v>
                </c:pt>
                <c:pt idx="14">
                  <c:v>9月</c:v>
                </c:pt>
                <c:pt idx="15">
                  <c:v>10月</c:v>
                </c:pt>
                <c:pt idx="16">
                  <c:v>11月</c:v>
                </c:pt>
                <c:pt idx="17">
                  <c:v>12月</c:v>
                </c:pt>
              </c:strCache>
            </c:strRef>
          </c:cat>
          <c:val>
            <c:numRef>
              <c:f>月別実績!$B$7:$S$7</c:f>
              <c:numCache>
                <c:formatCode>0%</c:formatCode>
                <c:ptCount val="18"/>
                <c:pt idx="0">
                  <c:v>0.44698688069659426</c:v>
                </c:pt>
                <c:pt idx="1">
                  <c:v>0.70823852183347624</c:v>
                </c:pt>
                <c:pt idx="2">
                  <c:v>0.54634261909568671</c:v>
                </c:pt>
                <c:pt idx="3">
                  <c:v>0.45150052520355693</c:v>
                </c:pt>
                <c:pt idx="4">
                  <c:v>0.6799955179335937</c:v>
                </c:pt>
                <c:pt idx="5">
                  <c:v>0.9640051413747156</c:v>
                </c:pt>
                <c:pt idx="6">
                  <c:v>1</c:v>
                </c:pt>
                <c:pt idx="7">
                  <c:v>0.87735204678362577</c:v>
                </c:pt>
                <c:pt idx="8">
                  <c:v>1</c:v>
                </c:pt>
                <c:pt idx="9">
                  <c:v>1</c:v>
                </c:pt>
                <c:pt idx="10">
                  <c:v>0.96481512895966526</c:v>
                </c:pt>
                <c:pt idx="11">
                  <c:v>0.71348253206571377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0.9322650112392018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AF2-469B-987F-794E39B67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marker val="1"/>
        <c:smooth val="0"/>
        <c:axId val="510524680"/>
        <c:axId val="510521400"/>
      </c:lineChart>
      <c:catAx>
        <c:axId val="74791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UD デジタル 教科書体 NP-R" panose="02020400000000000000" pitchFamily="18" charset="-128"/>
                <a:ea typeface="UD デジタル 教科書体 NP-R" panose="02020400000000000000" pitchFamily="18" charset="-128"/>
                <a:cs typeface="+mn-cs"/>
              </a:defRPr>
            </a:pPr>
            <a:endParaRPr lang="ja-JP"/>
          </a:p>
        </c:txPr>
        <c:crossAx val="747918520"/>
        <c:crosses val="autoZero"/>
        <c:auto val="1"/>
        <c:lblAlgn val="ctr"/>
        <c:lblOffset val="100"/>
        <c:noMultiLvlLbl val="0"/>
      </c:catAx>
      <c:valAx>
        <c:axId val="747918520"/>
        <c:scaling>
          <c:orientation val="minMax"/>
          <c:max val="70000"/>
        </c:scaling>
        <c:delete val="0"/>
        <c:axPos val="l"/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UD デジタル 教科書体 NP-R" panose="02020400000000000000" pitchFamily="18" charset="-128"/>
                <a:ea typeface="UD デジタル 教科書体 NP-R" panose="02020400000000000000" pitchFamily="18" charset="-128"/>
                <a:cs typeface="+mn-cs"/>
              </a:defRPr>
            </a:pPr>
            <a:endParaRPr lang="ja-JP"/>
          </a:p>
        </c:txPr>
        <c:crossAx val="747918192"/>
        <c:crosses val="autoZero"/>
        <c:crossBetween val="between"/>
      </c:valAx>
      <c:valAx>
        <c:axId val="510521400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UD デジタル 教科書体 NP-R" panose="02020400000000000000" pitchFamily="18" charset="-128"/>
                <a:ea typeface="UD デジタル 教科書体 NP-R" panose="02020400000000000000" pitchFamily="18" charset="-128"/>
                <a:cs typeface="+mn-cs"/>
              </a:defRPr>
            </a:pPr>
            <a:endParaRPr lang="ja-JP"/>
          </a:p>
        </c:txPr>
        <c:crossAx val="510524680"/>
        <c:crosses val="max"/>
        <c:crossBetween val="between"/>
      </c:valAx>
      <c:catAx>
        <c:axId val="5105246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105214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7.5966285036288272E-2"/>
          <c:y val="2.8529819189268012E-2"/>
          <c:w val="0.14386382259721858"/>
          <c:h val="0.15382855444956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UD デジタル 教科書体 NP-R" panose="02020400000000000000" pitchFamily="18" charset="-128"/>
              <a:ea typeface="UD デジタル 教科書体 NP-R" panose="02020400000000000000" pitchFamily="18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UD デジタル 教科書体 NP-R" panose="02020400000000000000" pitchFamily="18" charset="-128"/>
          <a:ea typeface="UD デジタル 教科書体 NP-R" panose="02020400000000000000" pitchFamily="18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グラフ作成用!$D$2</c:f>
              <c:strCache>
                <c:ptCount val="1"/>
                <c:pt idx="0">
                  <c:v>合計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UD デジタル 教科書体 NP-R" panose="02020400000000000000" pitchFamily="18" charset="-128"/>
                    <a:ea typeface="UD デジタル 教科書体 NP-R" panose="02020400000000000000" pitchFamily="18" charset="-128"/>
                    <a:cs typeface="+mn-cs"/>
                  </a:defRPr>
                </a:pPr>
                <a:endParaRPr lang="ja-JP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グラフ作成用!$E$1:$M$1</c:f>
              <c:numCache>
                <c:formatCode>yyyy"年"m"月";@</c:formatCode>
                <c:ptCount val="9"/>
                <c:pt idx="0">
                  <c:v>45658</c:v>
                </c:pt>
                <c:pt idx="1">
                  <c:v>45690</c:v>
                </c:pt>
                <c:pt idx="2">
                  <c:v>45722</c:v>
                </c:pt>
                <c:pt idx="3">
                  <c:v>45754</c:v>
                </c:pt>
                <c:pt idx="4">
                  <c:v>45786</c:v>
                </c:pt>
                <c:pt idx="5">
                  <c:v>45818</c:v>
                </c:pt>
                <c:pt idx="6">
                  <c:v>45848</c:v>
                </c:pt>
                <c:pt idx="7">
                  <c:v>45880</c:v>
                </c:pt>
                <c:pt idx="8">
                  <c:v>45912</c:v>
                </c:pt>
              </c:numCache>
            </c:numRef>
          </c:cat>
          <c:val>
            <c:numRef>
              <c:f>グラフ作成用!$E$2:$M$2</c:f>
              <c:numCache>
                <c:formatCode>#,##0_);[Red]\(#,##0\)</c:formatCode>
                <c:ptCount val="9"/>
                <c:pt idx="0">
                  <c:v>30890.606000000003</c:v>
                </c:pt>
                <c:pt idx="1">
                  <c:v>20628.739999999998</c:v>
                </c:pt>
                <c:pt idx="2">
                  <c:v>17188.097000000002</c:v>
                </c:pt>
                <c:pt idx="3">
                  <c:v>28318.053</c:v>
                </c:pt>
                <c:pt idx="4">
                  <c:v>66469.657999999996</c:v>
                </c:pt>
                <c:pt idx="5">
                  <c:v>21138.327000000001</c:v>
                </c:pt>
                <c:pt idx="6">
                  <c:v>50492.853000000003</c:v>
                </c:pt>
                <c:pt idx="7">
                  <c:v>39510.953999999998</c:v>
                </c:pt>
                <c:pt idx="8">
                  <c:v>165876.90100000001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FF-43B1-B138-97984F7A2C3D}"/>
            </c:ext>
          </c:extLst>
        </c:ser>
        <c:ser>
          <c:idx val="1"/>
          <c:order val="1"/>
          <c:tx>
            <c:strRef>
              <c:f>グラフ作成用!$D$3</c:f>
              <c:strCache>
                <c:ptCount val="1"/>
                <c:pt idx="0">
                  <c:v>MAKE　KEEP　　MIST　　EX　+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グラフ作成用!$E$1:$M$1</c:f>
              <c:numCache>
                <c:formatCode>yyyy"年"m"月";@</c:formatCode>
                <c:ptCount val="9"/>
                <c:pt idx="0">
                  <c:v>45658</c:v>
                </c:pt>
                <c:pt idx="1">
                  <c:v>45690</c:v>
                </c:pt>
                <c:pt idx="2">
                  <c:v>45722</c:v>
                </c:pt>
                <c:pt idx="3">
                  <c:v>45754</c:v>
                </c:pt>
                <c:pt idx="4">
                  <c:v>45786</c:v>
                </c:pt>
                <c:pt idx="5">
                  <c:v>45818</c:v>
                </c:pt>
                <c:pt idx="6">
                  <c:v>45848</c:v>
                </c:pt>
                <c:pt idx="7">
                  <c:v>45880</c:v>
                </c:pt>
                <c:pt idx="8">
                  <c:v>45912</c:v>
                </c:pt>
              </c:numCache>
            </c:numRef>
          </c:cat>
          <c:val>
            <c:numRef>
              <c:f>グラフ作成用!$E$3:$M$3</c:f>
              <c:numCache>
                <c:formatCode>#,##0_);[Red]\(#,##0\)</c:formatCode>
                <c:ptCount val="9"/>
                <c:pt idx="0">
                  <c:v>1333.2</c:v>
                </c:pt>
                <c:pt idx="1">
                  <c:v>2360.8200000000002</c:v>
                </c:pt>
                <c:pt idx="2">
                  <c:v>5488.56</c:v>
                </c:pt>
                <c:pt idx="3">
                  <c:v>8102.16</c:v>
                </c:pt>
                <c:pt idx="4">
                  <c:v>13332.66</c:v>
                </c:pt>
                <c:pt idx="5">
                  <c:v>9139.68</c:v>
                </c:pt>
                <c:pt idx="6">
                  <c:v>20606.52</c:v>
                </c:pt>
                <c:pt idx="7">
                  <c:v>6600</c:v>
                </c:pt>
                <c:pt idx="8">
                  <c:v>42472.32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FF-43B1-B138-97984F7A2C3D}"/>
            </c:ext>
          </c:extLst>
        </c:ser>
        <c:ser>
          <c:idx val="2"/>
          <c:order val="2"/>
          <c:tx>
            <c:strRef>
              <c:f>グラフ作成用!$D$4</c:f>
              <c:strCache>
                <c:ptCount val="1"/>
                <c:pt idx="0">
                  <c:v>ONE  BY  KOSE  SERUM SHIELD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numRef>
              <c:f>グラフ作成用!$E$1:$M$1</c:f>
              <c:numCache>
                <c:formatCode>yyyy"年"m"月";@</c:formatCode>
                <c:ptCount val="9"/>
                <c:pt idx="0">
                  <c:v>45658</c:v>
                </c:pt>
                <c:pt idx="1">
                  <c:v>45690</c:v>
                </c:pt>
                <c:pt idx="2">
                  <c:v>45722</c:v>
                </c:pt>
                <c:pt idx="3">
                  <c:v>45754</c:v>
                </c:pt>
                <c:pt idx="4">
                  <c:v>45786</c:v>
                </c:pt>
                <c:pt idx="5">
                  <c:v>45818</c:v>
                </c:pt>
                <c:pt idx="6">
                  <c:v>45848</c:v>
                </c:pt>
                <c:pt idx="7">
                  <c:v>45880</c:v>
                </c:pt>
                <c:pt idx="8">
                  <c:v>45912</c:v>
                </c:pt>
              </c:numCache>
            </c:numRef>
          </c:cat>
          <c:val>
            <c:numRef>
              <c:f>グラフ作成用!$E$4:$M$4</c:f>
              <c:numCache>
                <c:formatCode>#,##0_);[Red]\(#,##0\)</c:formatCode>
                <c:ptCount val="9"/>
                <c:pt idx="0">
                  <c:v>9190.5</c:v>
                </c:pt>
                <c:pt idx="1">
                  <c:v>7312.25</c:v>
                </c:pt>
                <c:pt idx="2">
                  <c:v>2546.5</c:v>
                </c:pt>
                <c:pt idx="3">
                  <c:v>6083</c:v>
                </c:pt>
                <c:pt idx="4">
                  <c:v>16464.25</c:v>
                </c:pt>
                <c:pt idx="5">
                  <c:v>3080</c:v>
                </c:pt>
                <c:pt idx="6">
                  <c:v>7144.5</c:v>
                </c:pt>
                <c:pt idx="7" formatCode="General">
                  <c:v>4675</c:v>
                </c:pt>
                <c:pt idx="8">
                  <c:v>45254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FF-43B1-B138-97984F7A2C3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708574064"/>
        <c:axId val="708569472"/>
      </c:barChart>
      <c:dateAx>
        <c:axId val="708574064"/>
        <c:scaling>
          <c:orientation val="minMax"/>
        </c:scaling>
        <c:delete val="0"/>
        <c:axPos val="b"/>
        <c:numFmt formatCode="yyyy&quot;年&quot;m&quot;月&quot;;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UD デジタル 教科書体 NP-R" panose="02020400000000000000" pitchFamily="18" charset="-128"/>
                <a:ea typeface="UD デジタル 教科書体 NP-R" panose="02020400000000000000" pitchFamily="18" charset="-128"/>
                <a:cs typeface="+mn-cs"/>
              </a:defRPr>
            </a:pPr>
            <a:endParaRPr lang="ja-JP"/>
          </a:p>
        </c:txPr>
        <c:crossAx val="708569472"/>
        <c:crosses val="autoZero"/>
        <c:auto val="1"/>
        <c:lblOffset val="100"/>
        <c:baseTimeUnit val="months"/>
      </c:dateAx>
      <c:valAx>
        <c:axId val="70856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UD デジタル 教科書体 NP-R" panose="02020400000000000000" pitchFamily="18" charset="-128"/>
                <a:ea typeface="UD デジタル 教科書体 NP-R" panose="02020400000000000000" pitchFamily="18" charset="-128"/>
                <a:cs typeface="+mn-cs"/>
              </a:defRPr>
            </a:pPr>
            <a:endParaRPr lang="ja-JP"/>
          </a:p>
        </c:txPr>
        <c:crossAx val="708574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UD デジタル 教科書体 NP-R" panose="02020400000000000000" pitchFamily="18" charset="-128"/>
              <a:ea typeface="UD デジタル 教科書体 NP-R" panose="02020400000000000000" pitchFamily="18" charset="-128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700">
          <a:latin typeface="UD デジタル 教科書体 NP-R" panose="02020400000000000000" pitchFamily="18" charset="-128"/>
          <a:ea typeface="UD デジタル 教科書体 NP-R" panose="02020400000000000000" pitchFamily="18" charset="-128"/>
        </a:defRPr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384968</xdr:colOff>
      <xdr:row>19</xdr:row>
      <xdr:rowOff>15875</xdr:rowOff>
    </xdr:from>
    <xdr:to>
      <xdr:col>20</xdr:col>
      <xdr:colOff>579436</xdr:colOff>
      <xdr:row>37</xdr:row>
      <xdr:rowOff>109538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231775</xdr:colOff>
      <xdr:row>1</xdr:row>
      <xdr:rowOff>12700</xdr:rowOff>
    </xdr:from>
    <xdr:to>
      <xdr:col>14</xdr:col>
      <xdr:colOff>6350</xdr:colOff>
      <xdr:row>19</xdr:row>
      <xdr:rowOff>146050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107950</xdr:colOff>
      <xdr:row>1</xdr:row>
      <xdr:rowOff>0</xdr:rowOff>
    </xdr:from>
    <xdr:to>
      <xdr:col>20</xdr:col>
      <xdr:colOff>492125</xdr:colOff>
      <xdr:row>19</xdr:row>
      <xdr:rowOff>133350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E825E15-D281-45DD-B589-5AA58B6C0A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531812</xdr:colOff>
      <xdr:row>9</xdr:row>
      <xdr:rowOff>136526</xdr:rowOff>
    </xdr:from>
    <xdr:to>
      <xdr:col>22</xdr:col>
      <xdr:colOff>444500</xdr:colOff>
      <xdr:row>25</xdr:row>
      <xdr:rowOff>85726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488156</xdr:colOff>
      <xdr:row>11</xdr:row>
      <xdr:rowOff>136525</xdr:rowOff>
    </xdr:from>
    <xdr:to>
      <xdr:col>11</xdr:col>
      <xdr:colOff>365125</xdr:colOff>
      <xdr:row>24</xdr:row>
      <xdr:rowOff>87311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30.&#20107;&#26989;&#25512;&#36914;&#35506;/&#9733;&#9733;&#30452;&#36676;&#20107;&#26989;&#12481;&#12540;&#12512;/&#9733;&#9733;&#20849;&#36890;/&#21462;&#25201;&#21830;&#21697;&#12522;&#12473;&#12488;/&#9734;&#12304;xxxxnese&#12305;&#36234;&#22659;EC_&#21462;&#25201;&#21830;&#21697;&#12510;&#12473;&#12479;_&#12304;&#19978;&#26360;&#27880;&#24847;&#12305;%20%20xlsx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30.&#20107;&#26989;&#25512;&#36914;&#35506;/&#9733;&#9733;&#30452;&#36676;&#20107;&#26989;&#12481;&#12540;&#12512;/&#36234;&#22659;EC/UNQ/&#12304;SEK&#12305;&#36234;&#22659;EC_&#21462;&#25201;&#21830;&#21697;&#12510;&#12473;&#12479;_&#12304;&#19978;&#26360;&#27880;&#24847;&#1230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ISEE"/>
      <sheetName val="FASIO"/>
      <sheetName val="OBK"/>
      <sheetName val="CCS"/>
      <sheetName val="SKNY"/>
    </sheetNames>
    <sheetDataSet>
      <sheetData sheetId="0"/>
      <sheetData sheetId="1"/>
      <sheetData sheetId="2">
        <row r="1">
          <cell r="E1">
            <v>0</v>
          </cell>
          <cell r="F1">
            <v>0</v>
          </cell>
        </row>
        <row r="2">
          <cell r="E2" t="str">
            <v>JANｺｰﾄﾞ</v>
          </cell>
          <cell r="F2" t="str">
            <v>符号</v>
          </cell>
        </row>
        <row r="3">
          <cell r="E3">
            <v>4971710278521</v>
          </cell>
          <cell r="F3" t="str">
            <v>MUSE</v>
          </cell>
        </row>
        <row r="4">
          <cell r="E4">
            <v>4971710295634</v>
          </cell>
          <cell r="F4" t="str">
            <v>MUWX</v>
          </cell>
        </row>
        <row r="5">
          <cell r="E5">
            <v>4971710295818</v>
          </cell>
          <cell r="F5" t="str">
            <v>MUWT</v>
          </cell>
        </row>
        <row r="6">
          <cell r="E6">
            <v>4971710295245</v>
          </cell>
          <cell r="F6" t="str">
            <v>MUZO</v>
          </cell>
        </row>
        <row r="7">
          <cell r="E7">
            <v>4971710295252</v>
          </cell>
          <cell r="F7" t="str">
            <v>MUZP</v>
          </cell>
        </row>
        <row r="8">
          <cell r="E8">
            <v>4971710299212</v>
          </cell>
          <cell r="F8" t="str">
            <v>MUCP</v>
          </cell>
        </row>
        <row r="9">
          <cell r="E9">
            <v>4971710549782</v>
          </cell>
          <cell r="F9" t="str">
            <v>MSYJ</v>
          </cell>
        </row>
        <row r="10">
          <cell r="E10">
            <v>4971710549805</v>
          </cell>
          <cell r="F10" t="str">
            <v>MSYK</v>
          </cell>
        </row>
        <row r="11">
          <cell r="E11">
            <v>4971710549812</v>
          </cell>
          <cell r="F11" t="str">
            <v>MSYN</v>
          </cell>
        </row>
        <row r="12">
          <cell r="E12">
            <v>4971710541212</v>
          </cell>
          <cell r="F12" t="str">
            <v>MUZT</v>
          </cell>
        </row>
        <row r="13">
          <cell r="E13">
            <v>4971710546071</v>
          </cell>
          <cell r="F13" t="str">
            <v>MUZU</v>
          </cell>
        </row>
        <row r="14">
          <cell r="E14">
            <v>4971710568103</v>
          </cell>
          <cell r="F14" t="str">
            <v>MSYZ</v>
          </cell>
        </row>
        <row r="15">
          <cell r="E15">
            <v>4971710561395</v>
          </cell>
          <cell r="F15" t="str">
            <v>MUCH</v>
          </cell>
        </row>
        <row r="16">
          <cell r="E16">
            <v>4971710565065</v>
          </cell>
          <cell r="F16" t="str">
            <v>MUSC</v>
          </cell>
        </row>
        <row r="17">
          <cell r="E17">
            <v>4971710568899</v>
          </cell>
          <cell r="F17" t="str">
            <v>MUWI</v>
          </cell>
        </row>
        <row r="18">
          <cell r="E18">
            <v>4971710576634</v>
          </cell>
          <cell r="F18" t="str">
            <v>MUPD</v>
          </cell>
        </row>
        <row r="19">
          <cell r="E19">
            <v>4971710576641</v>
          </cell>
          <cell r="F19" t="str">
            <v>MUPE</v>
          </cell>
        </row>
        <row r="20">
          <cell r="E20">
            <v>4971710574852</v>
          </cell>
          <cell r="F20" t="str">
            <v>MUCI</v>
          </cell>
        </row>
        <row r="21">
          <cell r="E21">
            <v>4971710577341</v>
          </cell>
          <cell r="F21" t="str">
            <v>MUXA</v>
          </cell>
        </row>
        <row r="22">
          <cell r="E22">
            <v>4971710580372</v>
          </cell>
          <cell r="F22" t="str">
            <v>MUXC</v>
          </cell>
        </row>
        <row r="23">
          <cell r="E23">
            <v>4971710580396</v>
          </cell>
          <cell r="F23" t="str">
            <v>MUXD</v>
          </cell>
        </row>
        <row r="24">
          <cell r="E24">
            <v>4971710591613</v>
          </cell>
          <cell r="F24" t="str">
            <v>MSYU</v>
          </cell>
        </row>
        <row r="25">
          <cell r="E25">
            <v>0</v>
          </cell>
          <cell r="F25">
            <v>0</v>
          </cell>
        </row>
        <row r="26">
          <cell r="E26">
            <v>0</v>
          </cell>
          <cell r="F26">
            <v>0</v>
          </cell>
        </row>
        <row r="27">
          <cell r="E27">
            <v>0</v>
          </cell>
          <cell r="F27">
            <v>0</v>
          </cell>
        </row>
        <row r="28">
          <cell r="E28">
            <v>0</v>
          </cell>
          <cell r="F28">
            <v>0</v>
          </cell>
        </row>
        <row r="29">
          <cell r="E29">
            <v>0</v>
          </cell>
          <cell r="F29">
            <v>0</v>
          </cell>
        </row>
        <row r="30">
          <cell r="E30">
            <v>0</v>
          </cell>
          <cell r="F30">
            <v>0</v>
          </cell>
        </row>
        <row r="31">
          <cell r="E31">
            <v>0</v>
          </cell>
          <cell r="F31">
            <v>0</v>
          </cell>
        </row>
        <row r="32">
          <cell r="E32">
            <v>0</v>
          </cell>
          <cell r="F32">
            <v>0</v>
          </cell>
        </row>
        <row r="33">
          <cell r="E33">
            <v>0</v>
          </cell>
          <cell r="F33">
            <v>0</v>
          </cell>
        </row>
        <row r="34">
          <cell r="E34">
            <v>0</v>
          </cell>
          <cell r="F34">
            <v>0</v>
          </cell>
        </row>
        <row r="35">
          <cell r="E35">
            <v>0</v>
          </cell>
          <cell r="F35">
            <v>0</v>
          </cell>
        </row>
        <row r="36">
          <cell r="E36">
            <v>0</v>
          </cell>
          <cell r="F36">
            <v>0</v>
          </cell>
        </row>
        <row r="37">
          <cell r="E37">
            <v>0</v>
          </cell>
          <cell r="F37">
            <v>0</v>
          </cell>
        </row>
        <row r="38">
          <cell r="E38">
            <v>0</v>
          </cell>
          <cell r="F38">
            <v>0</v>
          </cell>
        </row>
        <row r="39">
          <cell r="E39">
            <v>0</v>
          </cell>
          <cell r="F39">
            <v>0</v>
          </cell>
        </row>
        <row r="40">
          <cell r="E40">
            <v>0</v>
          </cell>
          <cell r="F40">
            <v>0</v>
          </cell>
        </row>
        <row r="41">
          <cell r="E41">
            <v>0</v>
          </cell>
          <cell r="F41">
            <v>0</v>
          </cell>
        </row>
        <row r="42">
          <cell r="E42">
            <v>0</v>
          </cell>
          <cell r="F42">
            <v>0</v>
          </cell>
        </row>
        <row r="43">
          <cell r="E43">
            <v>0</v>
          </cell>
          <cell r="F43">
            <v>0</v>
          </cell>
        </row>
        <row r="44">
          <cell r="E44">
            <v>0</v>
          </cell>
          <cell r="F44">
            <v>0</v>
          </cell>
        </row>
        <row r="45">
          <cell r="E45">
            <v>0</v>
          </cell>
          <cell r="F45">
            <v>0</v>
          </cell>
        </row>
        <row r="46">
          <cell r="E46">
            <v>0</v>
          </cell>
          <cell r="F46">
            <v>0</v>
          </cell>
        </row>
        <row r="47">
          <cell r="E47">
            <v>0</v>
          </cell>
          <cell r="F47">
            <v>0</v>
          </cell>
        </row>
        <row r="48">
          <cell r="E48">
            <v>0</v>
          </cell>
          <cell r="F48">
            <v>0</v>
          </cell>
        </row>
        <row r="49">
          <cell r="E49">
            <v>0</v>
          </cell>
          <cell r="F49">
            <v>0</v>
          </cell>
        </row>
        <row r="50">
          <cell r="E50">
            <v>0</v>
          </cell>
          <cell r="F50">
            <v>0</v>
          </cell>
        </row>
        <row r="51">
          <cell r="E51">
            <v>0</v>
          </cell>
          <cell r="F51">
            <v>0</v>
          </cell>
        </row>
        <row r="52">
          <cell r="E52">
            <v>0</v>
          </cell>
          <cell r="F52">
            <v>0</v>
          </cell>
        </row>
        <row r="53">
          <cell r="E53">
            <v>0</v>
          </cell>
          <cell r="F53">
            <v>0</v>
          </cell>
        </row>
        <row r="54">
          <cell r="E54">
            <v>0</v>
          </cell>
          <cell r="F54">
            <v>0</v>
          </cell>
        </row>
        <row r="55">
          <cell r="E55">
            <v>0</v>
          </cell>
          <cell r="F55">
            <v>0</v>
          </cell>
        </row>
        <row r="56">
          <cell r="E56">
            <v>0</v>
          </cell>
          <cell r="F56">
            <v>0</v>
          </cell>
        </row>
        <row r="57">
          <cell r="E57">
            <v>0</v>
          </cell>
          <cell r="F57">
            <v>0</v>
          </cell>
        </row>
        <row r="58">
          <cell r="E58">
            <v>0</v>
          </cell>
          <cell r="F58">
            <v>0</v>
          </cell>
        </row>
        <row r="59">
          <cell r="E59">
            <v>0</v>
          </cell>
          <cell r="F59">
            <v>0</v>
          </cell>
        </row>
        <row r="60">
          <cell r="E60">
            <v>0</v>
          </cell>
          <cell r="F60">
            <v>0</v>
          </cell>
        </row>
        <row r="61">
          <cell r="E61">
            <v>0</v>
          </cell>
          <cell r="F61">
            <v>0</v>
          </cell>
        </row>
        <row r="62">
          <cell r="E62">
            <v>0</v>
          </cell>
          <cell r="F62">
            <v>0</v>
          </cell>
        </row>
        <row r="63">
          <cell r="E63">
            <v>0</v>
          </cell>
          <cell r="F63">
            <v>0</v>
          </cell>
        </row>
        <row r="64">
          <cell r="E64">
            <v>0</v>
          </cell>
          <cell r="F64">
            <v>0</v>
          </cell>
        </row>
        <row r="65">
          <cell r="E65">
            <v>0</v>
          </cell>
          <cell r="F65">
            <v>0</v>
          </cell>
        </row>
        <row r="66">
          <cell r="E66">
            <v>0</v>
          </cell>
          <cell r="F66">
            <v>0</v>
          </cell>
        </row>
        <row r="67">
          <cell r="E67">
            <v>0</v>
          </cell>
          <cell r="F67">
            <v>0</v>
          </cell>
        </row>
        <row r="68">
          <cell r="E68">
            <v>0</v>
          </cell>
          <cell r="F68">
            <v>0</v>
          </cell>
        </row>
        <row r="69">
          <cell r="E69">
            <v>0</v>
          </cell>
          <cell r="F69">
            <v>0</v>
          </cell>
        </row>
        <row r="70">
          <cell r="E70">
            <v>0</v>
          </cell>
          <cell r="F70">
            <v>0</v>
          </cell>
        </row>
        <row r="71">
          <cell r="E71">
            <v>0</v>
          </cell>
          <cell r="F71">
            <v>0</v>
          </cell>
        </row>
        <row r="72">
          <cell r="E72">
            <v>0</v>
          </cell>
          <cell r="F72">
            <v>0</v>
          </cell>
        </row>
        <row r="73">
          <cell r="E73">
            <v>0</v>
          </cell>
          <cell r="F73">
            <v>0</v>
          </cell>
        </row>
        <row r="74">
          <cell r="E74">
            <v>0</v>
          </cell>
          <cell r="F74">
            <v>0</v>
          </cell>
        </row>
        <row r="75">
          <cell r="E75">
            <v>0</v>
          </cell>
          <cell r="F75">
            <v>0</v>
          </cell>
        </row>
        <row r="76">
          <cell r="E76">
            <v>0</v>
          </cell>
          <cell r="F76">
            <v>0</v>
          </cell>
        </row>
        <row r="77">
          <cell r="E77">
            <v>0</v>
          </cell>
          <cell r="F77">
            <v>0</v>
          </cell>
        </row>
        <row r="78">
          <cell r="E78">
            <v>0</v>
          </cell>
          <cell r="F78">
            <v>0</v>
          </cell>
        </row>
        <row r="79">
          <cell r="E79">
            <v>0</v>
          </cell>
          <cell r="F79">
            <v>0</v>
          </cell>
        </row>
        <row r="80">
          <cell r="E80">
            <v>0</v>
          </cell>
          <cell r="F80">
            <v>0</v>
          </cell>
        </row>
        <row r="81">
          <cell r="E81">
            <v>0</v>
          </cell>
          <cell r="F81">
            <v>0</v>
          </cell>
        </row>
        <row r="82">
          <cell r="E82">
            <v>0</v>
          </cell>
          <cell r="F82">
            <v>0</v>
          </cell>
        </row>
        <row r="83">
          <cell r="E83">
            <v>0</v>
          </cell>
          <cell r="F83">
            <v>0</v>
          </cell>
        </row>
        <row r="84">
          <cell r="E84">
            <v>0</v>
          </cell>
          <cell r="F84">
            <v>0</v>
          </cell>
        </row>
        <row r="85">
          <cell r="E85">
            <v>0</v>
          </cell>
          <cell r="F85">
            <v>0</v>
          </cell>
        </row>
        <row r="86">
          <cell r="E86">
            <v>0</v>
          </cell>
          <cell r="F86">
            <v>0</v>
          </cell>
        </row>
        <row r="87">
          <cell r="E87">
            <v>0</v>
          </cell>
          <cell r="F87">
            <v>0</v>
          </cell>
        </row>
        <row r="88">
          <cell r="E88">
            <v>0</v>
          </cell>
          <cell r="F88">
            <v>0</v>
          </cell>
        </row>
        <row r="89">
          <cell r="E89">
            <v>0</v>
          </cell>
          <cell r="F89">
            <v>0</v>
          </cell>
        </row>
        <row r="90">
          <cell r="E90">
            <v>0</v>
          </cell>
          <cell r="F90">
            <v>0</v>
          </cell>
        </row>
        <row r="91">
          <cell r="E91">
            <v>0</v>
          </cell>
          <cell r="F91">
            <v>0</v>
          </cell>
        </row>
        <row r="92">
          <cell r="E92">
            <v>0</v>
          </cell>
          <cell r="F92">
            <v>0</v>
          </cell>
        </row>
        <row r="93">
          <cell r="E93">
            <v>0</v>
          </cell>
          <cell r="F93">
            <v>0</v>
          </cell>
        </row>
        <row r="94">
          <cell r="E94">
            <v>0</v>
          </cell>
          <cell r="F94">
            <v>0</v>
          </cell>
        </row>
        <row r="95">
          <cell r="E95">
            <v>0</v>
          </cell>
          <cell r="F95">
            <v>0</v>
          </cell>
        </row>
        <row r="96">
          <cell r="E96">
            <v>0</v>
          </cell>
          <cell r="F96">
            <v>0</v>
          </cell>
        </row>
        <row r="97">
          <cell r="E97">
            <v>0</v>
          </cell>
          <cell r="F97">
            <v>0</v>
          </cell>
        </row>
        <row r="98">
          <cell r="E98">
            <v>0</v>
          </cell>
          <cell r="F98">
            <v>0</v>
          </cell>
        </row>
        <row r="99">
          <cell r="E99">
            <v>0</v>
          </cell>
          <cell r="F99">
            <v>0</v>
          </cell>
        </row>
        <row r="100">
          <cell r="E100">
            <v>0</v>
          </cell>
          <cell r="F100">
            <v>0</v>
          </cell>
        </row>
        <row r="101">
          <cell r="E101">
            <v>0</v>
          </cell>
          <cell r="F101">
            <v>0</v>
          </cell>
        </row>
        <row r="102">
          <cell r="E102">
            <v>0</v>
          </cell>
          <cell r="F102">
            <v>0</v>
          </cell>
        </row>
        <row r="103">
          <cell r="E103">
            <v>0</v>
          </cell>
          <cell r="F103">
            <v>0</v>
          </cell>
        </row>
        <row r="104">
          <cell r="E104">
            <v>0</v>
          </cell>
          <cell r="F104">
            <v>0</v>
          </cell>
        </row>
        <row r="105">
          <cell r="E105">
            <v>0</v>
          </cell>
          <cell r="F105">
            <v>0</v>
          </cell>
        </row>
        <row r="106">
          <cell r="E106">
            <v>0</v>
          </cell>
          <cell r="F106">
            <v>0</v>
          </cell>
        </row>
        <row r="107">
          <cell r="E107">
            <v>0</v>
          </cell>
          <cell r="F107">
            <v>0</v>
          </cell>
        </row>
        <row r="108">
          <cell r="E108">
            <v>0</v>
          </cell>
          <cell r="F108">
            <v>0</v>
          </cell>
        </row>
        <row r="109">
          <cell r="E109">
            <v>0</v>
          </cell>
          <cell r="F109">
            <v>0</v>
          </cell>
        </row>
        <row r="110">
          <cell r="E110">
            <v>0</v>
          </cell>
          <cell r="F110">
            <v>0</v>
          </cell>
        </row>
        <row r="111">
          <cell r="E111">
            <v>0</v>
          </cell>
          <cell r="F111">
            <v>0</v>
          </cell>
        </row>
        <row r="112">
          <cell r="E112">
            <v>0</v>
          </cell>
          <cell r="F112">
            <v>0</v>
          </cell>
        </row>
        <row r="113">
          <cell r="E113">
            <v>0</v>
          </cell>
          <cell r="F113">
            <v>0</v>
          </cell>
        </row>
        <row r="114">
          <cell r="E114">
            <v>0</v>
          </cell>
          <cell r="F114">
            <v>0</v>
          </cell>
        </row>
        <row r="115">
          <cell r="E115">
            <v>0</v>
          </cell>
          <cell r="F115">
            <v>0</v>
          </cell>
        </row>
        <row r="116">
          <cell r="E116">
            <v>0</v>
          </cell>
          <cell r="F116">
            <v>0</v>
          </cell>
        </row>
        <row r="117">
          <cell r="E117">
            <v>0</v>
          </cell>
          <cell r="F117">
            <v>0</v>
          </cell>
        </row>
        <row r="118">
          <cell r="E118">
            <v>0</v>
          </cell>
          <cell r="F118">
            <v>0</v>
          </cell>
        </row>
        <row r="119">
          <cell r="E119">
            <v>0</v>
          </cell>
          <cell r="F119">
            <v>0</v>
          </cell>
        </row>
        <row r="120">
          <cell r="E120">
            <v>0</v>
          </cell>
          <cell r="F120">
            <v>0</v>
          </cell>
        </row>
        <row r="121">
          <cell r="E121">
            <v>0</v>
          </cell>
          <cell r="F121">
            <v>0</v>
          </cell>
        </row>
        <row r="122">
          <cell r="E122">
            <v>0</v>
          </cell>
          <cell r="F122">
            <v>0</v>
          </cell>
        </row>
        <row r="123">
          <cell r="E123">
            <v>0</v>
          </cell>
          <cell r="F123">
            <v>0</v>
          </cell>
        </row>
        <row r="124">
          <cell r="E124">
            <v>0</v>
          </cell>
          <cell r="F124">
            <v>0</v>
          </cell>
        </row>
        <row r="125">
          <cell r="E125">
            <v>0</v>
          </cell>
          <cell r="F125">
            <v>0</v>
          </cell>
        </row>
        <row r="126">
          <cell r="E126">
            <v>0</v>
          </cell>
          <cell r="F126">
            <v>0</v>
          </cell>
        </row>
        <row r="127">
          <cell r="E127">
            <v>0</v>
          </cell>
          <cell r="F127">
            <v>0</v>
          </cell>
        </row>
        <row r="128">
          <cell r="E128">
            <v>0</v>
          </cell>
          <cell r="F128">
            <v>0</v>
          </cell>
        </row>
        <row r="129">
          <cell r="E129">
            <v>0</v>
          </cell>
          <cell r="F129">
            <v>0</v>
          </cell>
        </row>
        <row r="130">
          <cell r="E130">
            <v>0</v>
          </cell>
          <cell r="F130">
            <v>0</v>
          </cell>
        </row>
        <row r="131">
          <cell r="E131">
            <v>0</v>
          </cell>
          <cell r="F131">
            <v>0</v>
          </cell>
        </row>
        <row r="132">
          <cell r="E132">
            <v>0</v>
          </cell>
          <cell r="F132">
            <v>0</v>
          </cell>
        </row>
        <row r="133">
          <cell r="E133">
            <v>0</v>
          </cell>
          <cell r="F133">
            <v>0</v>
          </cell>
        </row>
        <row r="134">
          <cell r="E134">
            <v>0</v>
          </cell>
          <cell r="F134">
            <v>0</v>
          </cell>
        </row>
        <row r="135">
          <cell r="E135">
            <v>0</v>
          </cell>
          <cell r="F135">
            <v>0</v>
          </cell>
        </row>
        <row r="136">
          <cell r="E136">
            <v>0</v>
          </cell>
          <cell r="F136">
            <v>0</v>
          </cell>
        </row>
        <row r="137">
          <cell r="E137">
            <v>0</v>
          </cell>
          <cell r="F137">
            <v>0</v>
          </cell>
        </row>
        <row r="138">
          <cell r="E138">
            <v>0</v>
          </cell>
          <cell r="F138">
            <v>0</v>
          </cell>
        </row>
        <row r="139">
          <cell r="E139">
            <v>0</v>
          </cell>
          <cell r="F139">
            <v>0</v>
          </cell>
        </row>
        <row r="140">
          <cell r="E140">
            <v>0</v>
          </cell>
          <cell r="F140">
            <v>0</v>
          </cell>
        </row>
        <row r="141">
          <cell r="E141">
            <v>0</v>
          </cell>
          <cell r="F141">
            <v>0</v>
          </cell>
        </row>
        <row r="142">
          <cell r="E142">
            <v>0</v>
          </cell>
          <cell r="F142">
            <v>0</v>
          </cell>
        </row>
        <row r="143">
          <cell r="E143">
            <v>0</v>
          </cell>
          <cell r="F143">
            <v>0</v>
          </cell>
        </row>
        <row r="144">
          <cell r="E144">
            <v>0</v>
          </cell>
          <cell r="F144">
            <v>0</v>
          </cell>
        </row>
        <row r="145">
          <cell r="E145">
            <v>0</v>
          </cell>
          <cell r="F145">
            <v>0</v>
          </cell>
        </row>
        <row r="146">
          <cell r="E146">
            <v>0</v>
          </cell>
          <cell r="F146">
            <v>0</v>
          </cell>
        </row>
        <row r="147">
          <cell r="E147">
            <v>0</v>
          </cell>
          <cell r="F147">
            <v>0</v>
          </cell>
        </row>
        <row r="148">
          <cell r="E148">
            <v>0</v>
          </cell>
          <cell r="F148">
            <v>0</v>
          </cell>
        </row>
      </sheetData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K"/>
    </sheetNames>
    <sheetDataSet>
      <sheetData sheetId="0">
        <row r="1">
          <cell r="E1">
            <v>0</v>
          </cell>
          <cell r="F1">
            <v>0</v>
          </cell>
        </row>
        <row r="2">
          <cell r="E2" t="str">
            <v>JANｺｰﾄﾞ</v>
          </cell>
          <cell r="F2" t="str">
            <v>符号</v>
          </cell>
        </row>
        <row r="3">
          <cell r="E3">
            <v>4971710573855</v>
          </cell>
          <cell r="F3" t="str">
            <v>MTSC</v>
          </cell>
        </row>
        <row r="4">
          <cell r="E4">
            <v>4971710573992</v>
          </cell>
          <cell r="F4" t="str">
            <v>MTSE</v>
          </cell>
        </row>
        <row r="5">
          <cell r="E5">
            <v>4971710571905</v>
          </cell>
          <cell r="F5" t="str">
            <v>MTSF</v>
          </cell>
        </row>
        <row r="6">
          <cell r="E6">
            <v>4971710580600</v>
          </cell>
          <cell r="F6" t="str">
            <v>MTSW</v>
          </cell>
        </row>
        <row r="7">
          <cell r="E7">
            <v>4971710571868</v>
          </cell>
          <cell r="F7" t="str">
            <v>MTSD</v>
          </cell>
        </row>
        <row r="8">
          <cell r="E8">
            <v>4971710581928</v>
          </cell>
          <cell r="F8" t="str">
            <v>MTSX</v>
          </cell>
        </row>
        <row r="9">
          <cell r="E9">
            <v>4971710570250</v>
          </cell>
          <cell r="F9" t="str">
            <v>MTSU</v>
          </cell>
        </row>
        <row r="10">
          <cell r="E10">
            <v>4971710582338</v>
          </cell>
          <cell r="F10" t="str">
            <v>MTSY</v>
          </cell>
        </row>
        <row r="11">
          <cell r="E11">
            <v>4971710585278</v>
          </cell>
          <cell r="F11" t="str">
            <v>MTOL</v>
          </cell>
        </row>
        <row r="12">
          <cell r="E12">
            <v>4971710585292</v>
          </cell>
          <cell r="F12" t="str">
            <v>MTON</v>
          </cell>
        </row>
        <row r="13">
          <cell r="E13">
            <v>4971710585254</v>
          </cell>
          <cell r="F13" t="str">
            <v>MTOJ</v>
          </cell>
        </row>
        <row r="14">
          <cell r="E14">
            <v>4971710585261</v>
          </cell>
          <cell r="F14" t="str">
            <v>MTOK</v>
          </cell>
        </row>
        <row r="15">
          <cell r="E15">
            <v>4971710585285</v>
          </cell>
          <cell r="F15" t="str">
            <v>MTOM</v>
          </cell>
        </row>
        <row r="16">
          <cell r="E16">
            <v>0</v>
          </cell>
          <cell r="F16">
            <v>0</v>
          </cell>
        </row>
        <row r="17">
          <cell r="E17">
            <v>0</v>
          </cell>
          <cell r="F17">
            <v>0</v>
          </cell>
        </row>
        <row r="18">
          <cell r="E18">
            <v>0</v>
          </cell>
          <cell r="F18">
            <v>0</v>
          </cell>
        </row>
        <row r="19">
          <cell r="E19">
            <v>0</v>
          </cell>
          <cell r="F19">
            <v>0</v>
          </cell>
        </row>
        <row r="20">
          <cell r="E20">
            <v>0</v>
          </cell>
          <cell r="F20">
            <v>0</v>
          </cell>
        </row>
        <row r="21">
          <cell r="E21">
            <v>0</v>
          </cell>
          <cell r="F21">
            <v>0</v>
          </cell>
        </row>
        <row r="22">
          <cell r="E22">
            <v>0</v>
          </cell>
          <cell r="F22">
            <v>0</v>
          </cell>
        </row>
        <row r="23">
          <cell r="E23">
            <v>0</v>
          </cell>
          <cell r="F23">
            <v>0</v>
          </cell>
        </row>
        <row r="24">
          <cell r="E24">
            <v>0</v>
          </cell>
          <cell r="F24">
            <v>0</v>
          </cell>
        </row>
        <row r="25">
          <cell r="E25">
            <v>0</v>
          </cell>
          <cell r="F25">
            <v>0</v>
          </cell>
        </row>
        <row r="26">
          <cell r="E26">
            <v>0</v>
          </cell>
          <cell r="F26">
            <v>0</v>
          </cell>
        </row>
        <row r="27">
          <cell r="E27">
            <v>0</v>
          </cell>
          <cell r="F27">
            <v>0</v>
          </cell>
        </row>
        <row r="28">
          <cell r="E28">
            <v>0</v>
          </cell>
          <cell r="F28">
            <v>0</v>
          </cell>
        </row>
        <row r="29">
          <cell r="E29">
            <v>0</v>
          </cell>
          <cell r="F29">
            <v>0</v>
          </cell>
        </row>
        <row r="30">
          <cell r="E30">
            <v>0</v>
          </cell>
          <cell r="F30">
            <v>0</v>
          </cell>
        </row>
        <row r="31">
          <cell r="E31">
            <v>0</v>
          </cell>
          <cell r="F31">
            <v>0</v>
          </cell>
        </row>
        <row r="32">
          <cell r="E32">
            <v>0</v>
          </cell>
          <cell r="F32">
            <v>0</v>
          </cell>
        </row>
        <row r="33">
          <cell r="E33">
            <v>0</v>
          </cell>
          <cell r="F33">
            <v>0</v>
          </cell>
        </row>
        <row r="34">
          <cell r="E34">
            <v>0</v>
          </cell>
          <cell r="F34">
            <v>0</v>
          </cell>
        </row>
        <row r="35">
          <cell r="E35">
            <v>0</v>
          </cell>
          <cell r="F35">
            <v>0</v>
          </cell>
        </row>
        <row r="36">
          <cell r="E36">
            <v>0</v>
          </cell>
          <cell r="F36">
            <v>0</v>
          </cell>
        </row>
        <row r="37">
          <cell r="E37">
            <v>0</v>
          </cell>
          <cell r="F37">
            <v>0</v>
          </cell>
        </row>
        <row r="38">
          <cell r="E38">
            <v>0</v>
          </cell>
          <cell r="F38">
            <v>0</v>
          </cell>
        </row>
        <row r="39">
          <cell r="E39">
            <v>0</v>
          </cell>
          <cell r="F39">
            <v>0</v>
          </cell>
        </row>
        <row r="40">
          <cell r="E40">
            <v>0</v>
          </cell>
          <cell r="F40">
            <v>0</v>
          </cell>
        </row>
        <row r="41">
          <cell r="E41">
            <v>0</v>
          </cell>
          <cell r="F41">
            <v>0</v>
          </cell>
        </row>
        <row r="42">
          <cell r="E42">
            <v>0</v>
          </cell>
          <cell r="F42">
            <v>0</v>
          </cell>
        </row>
        <row r="43">
          <cell r="E43">
            <v>0</v>
          </cell>
          <cell r="F43">
            <v>0</v>
          </cell>
        </row>
        <row r="44">
          <cell r="E44">
            <v>0</v>
          </cell>
          <cell r="F44">
            <v>0</v>
          </cell>
        </row>
        <row r="45">
          <cell r="E45">
            <v>0</v>
          </cell>
          <cell r="F45">
            <v>0</v>
          </cell>
        </row>
        <row r="46">
          <cell r="E46">
            <v>0</v>
          </cell>
          <cell r="F46">
            <v>0</v>
          </cell>
        </row>
        <row r="47">
          <cell r="E47">
            <v>0</v>
          </cell>
          <cell r="F47">
            <v>0</v>
          </cell>
        </row>
        <row r="48">
          <cell r="E48">
            <v>0</v>
          </cell>
          <cell r="F48">
            <v>0</v>
          </cell>
        </row>
        <row r="49">
          <cell r="E49">
            <v>0</v>
          </cell>
          <cell r="F49">
            <v>0</v>
          </cell>
        </row>
        <row r="50">
          <cell r="E50">
            <v>0</v>
          </cell>
          <cell r="F50">
            <v>0</v>
          </cell>
        </row>
        <row r="51">
          <cell r="E51">
            <v>0</v>
          </cell>
          <cell r="F51">
            <v>0</v>
          </cell>
        </row>
        <row r="52">
          <cell r="E52">
            <v>0</v>
          </cell>
          <cell r="F52">
            <v>0</v>
          </cell>
        </row>
        <row r="53">
          <cell r="E53">
            <v>0</v>
          </cell>
          <cell r="F53">
            <v>0</v>
          </cell>
        </row>
        <row r="54">
          <cell r="E54">
            <v>0</v>
          </cell>
          <cell r="F54">
            <v>0</v>
          </cell>
        </row>
        <row r="55">
          <cell r="E55">
            <v>0</v>
          </cell>
          <cell r="F55">
            <v>0</v>
          </cell>
        </row>
        <row r="56">
          <cell r="E56">
            <v>0</v>
          </cell>
          <cell r="F56">
            <v>0</v>
          </cell>
        </row>
        <row r="57">
          <cell r="E57">
            <v>0</v>
          </cell>
          <cell r="F57">
            <v>0</v>
          </cell>
        </row>
        <row r="58">
          <cell r="E58">
            <v>0</v>
          </cell>
          <cell r="F58">
            <v>0</v>
          </cell>
        </row>
        <row r="59">
          <cell r="E59">
            <v>0</v>
          </cell>
          <cell r="F59">
            <v>0</v>
          </cell>
        </row>
        <row r="60">
          <cell r="E60">
            <v>0</v>
          </cell>
          <cell r="F60">
            <v>0</v>
          </cell>
        </row>
        <row r="61">
          <cell r="E61">
            <v>0</v>
          </cell>
          <cell r="F61">
            <v>0</v>
          </cell>
        </row>
        <row r="62">
          <cell r="E62">
            <v>0</v>
          </cell>
          <cell r="F62">
            <v>0</v>
          </cell>
        </row>
        <row r="63">
          <cell r="E63">
            <v>0</v>
          </cell>
          <cell r="F63">
            <v>0</v>
          </cell>
        </row>
        <row r="64">
          <cell r="E64">
            <v>0</v>
          </cell>
          <cell r="F64">
            <v>0</v>
          </cell>
        </row>
        <row r="65">
          <cell r="E65">
            <v>0</v>
          </cell>
          <cell r="F65">
            <v>0</v>
          </cell>
        </row>
        <row r="66">
          <cell r="E66">
            <v>0</v>
          </cell>
          <cell r="F66">
            <v>0</v>
          </cell>
        </row>
        <row r="67">
          <cell r="E67">
            <v>0</v>
          </cell>
          <cell r="F67">
            <v>0</v>
          </cell>
        </row>
        <row r="68">
          <cell r="E68">
            <v>0</v>
          </cell>
          <cell r="F68">
            <v>0</v>
          </cell>
        </row>
        <row r="69">
          <cell r="E69">
            <v>0</v>
          </cell>
          <cell r="F69">
            <v>0</v>
          </cell>
        </row>
        <row r="70">
          <cell r="E70">
            <v>0</v>
          </cell>
          <cell r="F70">
            <v>0</v>
          </cell>
        </row>
        <row r="71">
          <cell r="E71">
            <v>0</v>
          </cell>
          <cell r="F71">
            <v>0</v>
          </cell>
        </row>
        <row r="72">
          <cell r="E72">
            <v>0</v>
          </cell>
          <cell r="F72">
            <v>0</v>
          </cell>
        </row>
        <row r="73">
          <cell r="E73">
            <v>0</v>
          </cell>
          <cell r="F73">
            <v>0</v>
          </cell>
        </row>
        <row r="74">
          <cell r="E74">
            <v>0</v>
          </cell>
          <cell r="F74">
            <v>0</v>
          </cell>
        </row>
        <row r="75">
          <cell r="E75">
            <v>0</v>
          </cell>
          <cell r="F75">
            <v>0</v>
          </cell>
        </row>
        <row r="76">
          <cell r="E76">
            <v>0</v>
          </cell>
          <cell r="F76">
            <v>0</v>
          </cell>
        </row>
        <row r="77">
          <cell r="E77">
            <v>0</v>
          </cell>
          <cell r="F77">
            <v>0</v>
          </cell>
        </row>
        <row r="78">
          <cell r="E78">
            <v>0</v>
          </cell>
          <cell r="F78">
            <v>0</v>
          </cell>
        </row>
        <row r="79">
          <cell r="E79">
            <v>0</v>
          </cell>
          <cell r="F79">
            <v>0</v>
          </cell>
        </row>
        <row r="80">
          <cell r="E80">
            <v>0</v>
          </cell>
          <cell r="F80">
            <v>0</v>
          </cell>
        </row>
        <row r="81">
          <cell r="E81">
            <v>0</v>
          </cell>
          <cell r="F81">
            <v>0</v>
          </cell>
        </row>
        <row r="82">
          <cell r="E82">
            <v>0</v>
          </cell>
          <cell r="F82">
            <v>0</v>
          </cell>
        </row>
        <row r="83">
          <cell r="E83">
            <v>0</v>
          </cell>
          <cell r="F83">
            <v>0</v>
          </cell>
        </row>
        <row r="84">
          <cell r="E84">
            <v>0</v>
          </cell>
          <cell r="F84">
            <v>0</v>
          </cell>
        </row>
        <row r="85">
          <cell r="E85">
            <v>0</v>
          </cell>
          <cell r="F85">
            <v>0</v>
          </cell>
        </row>
        <row r="86">
          <cell r="E86">
            <v>0</v>
          </cell>
          <cell r="F86">
            <v>0</v>
          </cell>
        </row>
        <row r="87">
          <cell r="E87">
            <v>0</v>
          </cell>
          <cell r="F87">
            <v>0</v>
          </cell>
        </row>
        <row r="88">
          <cell r="E88">
            <v>0</v>
          </cell>
          <cell r="F88">
            <v>0</v>
          </cell>
        </row>
        <row r="89">
          <cell r="E89">
            <v>0</v>
          </cell>
          <cell r="F89">
            <v>0</v>
          </cell>
        </row>
        <row r="90">
          <cell r="E90">
            <v>0</v>
          </cell>
          <cell r="F90">
            <v>0</v>
          </cell>
        </row>
        <row r="91">
          <cell r="E91">
            <v>0</v>
          </cell>
          <cell r="F91">
            <v>0</v>
          </cell>
        </row>
        <row r="92">
          <cell r="E92">
            <v>0</v>
          </cell>
          <cell r="F92">
            <v>0</v>
          </cell>
        </row>
        <row r="93">
          <cell r="E93">
            <v>0</v>
          </cell>
          <cell r="F93">
            <v>0</v>
          </cell>
        </row>
        <row r="94">
          <cell r="E94">
            <v>0</v>
          </cell>
          <cell r="F94">
            <v>0</v>
          </cell>
        </row>
        <row r="95">
          <cell r="E95">
            <v>0</v>
          </cell>
          <cell r="F95">
            <v>0</v>
          </cell>
        </row>
        <row r="96">
          <cell r="E96">
            <v>0</v>
          </cell>
          <cell r="F96">
            <v>0</v>
          </cell>
        </row>
        <row r="97">
          <cell r="E97">
            <v>0</v>
          </cell>
          <cell r="F97">
            <v>0</v>
          </cell>
        </row>
        <row r="98">
          <cell r="E98">
            <v>0</v>
          </cell>
          <cell r="F98">
            <v>0</v>
          </cell>
        </row>
        <row r="99">
          <cell r="E99">
            <v>0</v>
          </cell>
          <cell r="F99">
            <v>0</v>
          </cell>
        </row>
        <row r="100">
          <cell r="E100">
            <v>0</v>
          </cell>
          <cell r="F100">
            <v>0</v>
          </cell>
        </row>
        <row r="101">
          <cell r="E101">
            <v>0</v>
          </cell>
          <cell r="F101">
            <v>0</v>
          </cell>
        </row>
        <row r="102">
          <cell r="E102">
            <v>0</v>
          </cell>
          <cell r="F102">
            <v>0</v>
          </cell>
        </row>
        <row r="103">
          <cell r="E103">
            <v>0</v>
          </cell>
          <cell r="F103">
            <v>0</v>
          </cell>
        </row>
        <row r="104">
          <cell r="E104">
            <v>0</v>
          </cell>
          <cell r="F104">
            <v>0</v>
          </cell>
        </row>
        <row r="105">
          <cell r="E105">
            <v>0</v>
          </cell>
          <cell r="F105">
            <v>0</v>
          </cell>
        </row>
        <row r="106">
          <cell r="E106">
            <v>0</v>
          </cell>
          <cell r="F106">
            <v>0</v>
          </cell>
        </row>
        <row r="107">
          <cell r="E107">
            <v>0</v>
          </cell>
          <cell r="F107">
            <v>0</v>
          </cell>
        </row>
        <row r="108">
          <cell r="E108">
            <v>0</v>
          </cell>
          <cell r="F108">
            <v>0</v>
          </cell>
        </row>
        <row r="109">
          <cell r="E109">
            <v>0</v>
          </cell>
          <cell r="F109">
            <v>0</v>
          </cell>
        </row>
        <row r="110">
          <cell r="E110">
            <v>0</v>
          </cell>
          <cell r="F110">
            <v>0</v>
          </cell>
        </row>
        <row r="111">
          <cell r="E111">
            <v>0</v>
          </cell>
          <cell r="F111">
            <v>0</v>
          </cell>
        </row>
        <row r="112">
          <cell r="E112">
            <v>0</v>
          </cell>
          <cell r="F112">
            <v>0</v>
          </cell>
        </row>
        <row r="113">
          <cell r="E113">
            <v>0</v>
          </cell>
          <cell r="F113">
            <v>0</v>
          </cell>
        </row>
        <row r="114">
          <cell r="E114">
            <v>0</v>
          </cell>
          <cell r="F114">
            <v>0</v>
          </cell>
        </row>
        <row r="115">
          <cell r="E115">
            <v>0</v>
          </cell>
          <cell r="F115">
            <v>0</v>
          </cell>
        </row>
        <row r="116">
          <cell r="E116">
            <v>0</v>
          </cell>
          <cell r="F116">
            <v>0</v>
          </cell>
        </row>
        <row r="117">
          <cell r="E117">
            <v>0</v>
          </cell>
          <cell r="F117">
            <v>0</v>
          </cell>
        </row>
        <row r="118">
          <cell r="E118">
            <v>0</v>
          </cell>
          <cell r="F118">
            <v>0</v>
          </cell>
        </row>
        <row r="119">
          <cell r="E119">
            <v>0</v>
          </cell>
          <cell r="F119">
            <v>0</v>
          </cell>
        </row>
        <row r="120">
          <cell r="E120">
            <v>0</v>
          </cell>
          <cell r="F120">
            <v>0</v>
          </cell>
        </row>
        <row r="121">
          <cell r="E121">
            <v>0</v>
          </cell>
          <cell r="F121">
            <v>0</v>
          </cell>
        </row>
        <row r="122">
          <cell r="E122">
            <v>0</v>
          </cell>
          <cell r="F122">
            <v>0</v>
          </cell>
        </row>
        <row r="123">
          <cell r="E123">
            <v>0</v>
          </cell>
          <cell r="F123">
            <v>0</v>
          </cell>
        </row>
        <row r="124">
          <cell r="E124">
            <v>0</v>
          </cell>
          <cell r="F124">
            <v>0</v>
          </cell>
        </row>
        <row r="125">
          <cell r="E125">
            <v>0</v>
          </cell>
          <cell r="F125">
            <v>0</v>
          </cell>
        </row>
        <row r="126">
          <cell r="E126">
            <v>0</v>
          </cell>
          <cell r="F126">
            <v>0</v>
          </cell>
        </row>
        <row r="127">
          <cell r="E127">
            <v>0</v>
          </cell>
          <cell r="F127">
            <v>0</v>
          </cell>
        </row>
        <row r="128">
          <cell r="E128">
            <v>0</v>
          </cell>
          <cell r="F128">
            <v>0</v>
          </cell>
        </row>
        <row r="129">
          <cell r="E129">
            <v>0</v>
          </cell>
          <cell r="F129">
            <v>0</v>
          </cell>
        </row>
        <row r="130">
          <cell r="E130">
            <v>0</v>
          </cell>
          <cell r="F130">
            <v>0</v>
          </cell>
        </row>
        <row r="131">
          <cell r="E131">
            <v>0</v>
          </cell>
          <cell r="F131">
            <v>0</v>
          </cell>
        </row>
        <row r="132">
          <cell r="E132">
            <v>0</v>
          </cell>
          <cell r="F132">
            <v>0</v>
          </cell>
        </row>
        <row r="133">
          <cell r="E133">
            <v>0</v>
          </cell>
          <cell r="F133">
            <v>0</v>
          </cell>
        </row>
        <row r="134">
          <cell r="E134">
            <v>0</v>
          </cell>
          <cell r="F134">
            <v>0</v>
          </cell>
        </row>
        <row r="135">
          <cell r="E135">
            <v>0</v>
          </cell>
          <cell r="F135">
            <v>0</v>
          </cell>
        </row>
        <row r="136">
          <cell r="E136">
            <v>0</v>
          </cell>
          <cell r="F136">
            <v>0</v>
          </cell>
        </row>
        <row r="137">
          <cell r="E137">
            <v>0</v>
          </cell>
          <cell r="F137">
            <v>0</v>
          </cell>
        </row>
        <row r="138">
          <cell r="E138">
            <v>0</v>
          </cell>
          <cell r="F138">
            <v>0</v>
          </cell>
        </row>
        <row r="139">
          <cell r="E139">
            <v>0</v>
          </cell>
          <cell r="F139">
            <v>0</v>
          </cell>
        </row>
        <row r="140">
          <cell r="E140">
            <v>0</v>
          </cell>
          <cell r="F140">
            <v>0</v>
          </cell>
        </row>
        <row r="141">
          <cell r="E141">
            <v>0</v>
          </cell>
          <cell r="F141">
            <v>0</v>
          </cell>
        </row>
        <row r="142">
          <cell r="E142">
            <v>0</v>
          </cell>
          <cell r="F142">
            <v>0</v>
          </cell>
        </row>
        <row r="143">
          <cell r="E143">
            <v>0</v>
          </cell>
          <cell r="F143">
            <v>0</v>
          </cell>
        </row>
        <row r="144">
          <cell r="E144">
            <v>0</v>
          </cell>
          <cell r="F144">
            <v>0</v>
          </cell>
        </row>
        <row r="145">
          <cell r="E145">
            <v>0</v>
          </cell>
          <cell r="F145">
            <v>0</v>
          </cell>
        </row>
        <row r="146">
          <cell r="E146">
            <v>0</v>
          </cell>
          <cell r="F146">
            <v>0</v>
          </cell>
        </row>
        <row r="147">
          <cell r="E147">
            <v>0</v>
          </cell>
          <cell r="F147">
            <v>0</v>
          </cell>
        </row>
        <row r="148">
          <cell r="E148">
            <v>0</v>
          </cell>
          <cell r="F14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G465"/>
  <sheetViews>
    <sheetView tabSelected="1" topLeftCell="D1" zoomScale="60" zoomScaleNormal="60" workbookViewId="0">
      <selection activeCell="AD458" sqref="AD458"/>
    </sheetView>
  </sheetViews>
  <sheetFormatPr defaultRowHeight="13.5"/>
  <cols>
    <col min="1" max="1" width="6.81640625" style="38" customWidth="1"/>
    <col min="2" max="2" width="19.7265625" style="38" customWidth="1"/>
    <col min="3" max="3" width="10.7265625" style="38" customWidth="1"/>
    <col min="4" max="4" width="16.90625" style="38" customWidth="1"/>
    <col min="5" max="5" width="52.36328125" style="38" customWidth="1"/>
    <col min="6" max="6" width="11.26953125" style="73" customWidth="1"/>
    <col min="7" max="7" width="13.26953125" style="73" customWidth="1"/>
    <col min="8" max="8" width="11.26953125" style="73" customWidth="1"/>
    <col min="9" max="9" width="13.26953125" style="73" customWidth="1"/>
    <col min="10" max="10" width="11.26953125" style="73" customWidth="1"/>
    <col min="11" max="11" width="13.26953125" style="73" customWidth="1"/>
    <col min="12" max="12" width="11.26953125" style="73" customWidth="1"/>
    <col min="13" max="22" width="13.26953125" style="73" customWidth="1"/>
    <col min="23" max="29" width="15.453125" style="73" customWidth="1"/>
    <col min="30" max="30" width="10.81640625" style="74" bestFit="1" customWidth="1"/>
    <col min="31" max="31" width="16.1796875" style="74" bestFit="1" customWidth="1"/>
    <col min="32" max="32" width="8.7265625" style="38"/>
    <col min="33" max="33" width="10.7265625" style="38" customWidth="1"/>
    <col min="34" max="16384" width="8.7265625" style="38"/>
  </cols>
  <sheetData>
    <row r="1" spans="1:33" ht="14.5" customHeight="1">
      <c r="A1" s="143" t="s">
        <v>781</v>
      </c>
      <c r="B1" s="143" t="s">
        <v>782</v>
      </c>
      <c r="C1" s="143" t="s">
        <v>3</v>
      </c>
      <c r="D1" s="143" t="s">
        <v>1086</v>
      </c>
      <c r="E1" s="143" t="s">
        <v>4</v>
      </c>
      <c r="F1" s="141">
        <v>2501</v>
      </c>
      <c r="G1" s="142"/>
      <c r="H1" s="141">
        <v>2502</v>
      </c>
      <c r="I1" s="142"/>
      <c r="J1" s="141">
        <v>2503</v>
      </c>
      <c r="K1" s="142"/>
      <c r="L1" s="141">
        <v>2504</v>
      </c>
      <c r="M1" s="142"/>
      <c r="N1" s="141">
        <v>2505</v>
      </c>
      <c r="O1" s="142"/>
      <c r="P1" s="141">
        <v>2506</v>
      </c>
      <c r="Q1" s="142"/>
      <c r="R1" s="141">
        <v>2507</v>
      </c>
      <c r="S1" s="142"/>
      <c r="T1" s="141">
        <v>2508</v>
      </c>
      <c r="U1" s="142"/>
      <c r="V1" s="141">
        <v>2509</v>
      </c>
      <c r="W1" s="142"/>
      <c r="X1" s="141">
        <v>2510</v>
      </c>
      <c r="Y1" s="142"/>
      <c r="Z1" s="141">
        <v>2511</v>
      </c>
      <c r="AA1" s="142"/>
      <c r="AB1" s="141">
        <v>2512</v>
      </c>
      <c r="AC1" s="142"/>
      <c r="AD1" s="148" t="s">
        <v>0</v>
      </c>
      <c r="AE1" s="149"/>
      <c r="AG1" s="143" t="s">
        <v>3</v>
      </c>
    </row>
    <row r="2" spans="1:33" hidden="1">
      <c r="A2" s="144"/>
      <c r="B2" s="144"/>
      <c r="C2" s="144"/>
      <c r="D2" s="144"/>
      <c r="E2" s="144"/>
      <c r="F2" s="39" t="s">
        <v>1</v>
      </c>
      <c r="G2" s="40" t="s">
        <v>2</v>
      </c>
      <c r="H2" s="41" t="s">
        <v>1</v>
      </c>
      <c r="I2" s="42" t="s">
        <v>2</v>
      </c>
      <c r="J2" s="39" t="s">
        <v>1</v>
      </c>
      <c r="K2" s="40" t="s">
        <v>2</v>
      </c>
      <c r="L2" s="39" t="s">
        <v>1</v>
      </c>
      <c r="M2" s="40" t="s">
        <v>2</v>
      </c>
      <c r="N2" s="39" t="s">
        <v>1</v>
      </c>
      <c r="O2" s="40" t="s">
        <v>2</v>
      </c>
      <c r="P2" s="39" t="s">
        <v>1</v>
      </c>
      <c r="Q2" s="40" t="s">
        <v>2</v>
      </c>
      <c r="R2" s="39" t="s">
        <v>1</v>
      </c>
      <c r="S2" s="40" t="s">
        <v>2</v>
      </c>
      <c r="T2" s="39" t="s">
        <v>1</v>
      </c>
      <c r="U2" s="40" t="s">
        <v>2</v>
      </c>
      <c r="V2" s="39" t="s">
        <v>1</v>
      </c>
      <c r="W2" s="40" t="s">
        <v>2</v>
      </c>
      <c r="X2" s="39" t="s">
        <v>1</v>
      </c>
      <c r="Y2" s="40" t="s">
        <v>2</v>
      </c>
      <c r="Z2" s="39" t="s">
        <v>1</v>
      </c>
      <c r="AA2" s="40" t="s">
        <v>2</v>
      </c>
      <c r="AB2" s="39" t="s">
        <v>1</v>
      </c>
      <c r="AC2" s="40" t="s">
        <v>2</v>
      </c>
      <c r="AD2" s="43" t="s">
        <v>1</v>
      </c>
      <c r="AE2" s="44" t="s">
        <v>2</v>
      </c>
      <c r="AG2" s="144"/>
    </row>
    <row r="3" spans="1:33">
      <c r="A3" s="45">
        <v>1</v>
      </c>
      <c r="B3" s="46">
        <v>4971710576306</v>
      </c>
      <c r="C3" s="47" t="s">
        <v>608</v>
      </c>
      <c r="D3" s="75" t="s">
        <v>1088</v>
      </c>
      <c r="E3" s="48" t="s">
        <v>609</v>
      </c>
      <c r="F3" s="49">
        <v>2020</v>
      </c>
      <c r="G3" s="50">
        <v>1333200</v>
      </c>
      <c r="H3" s="51">
        <v>2944</v>
      </c>
      <c r="I3" s="52">
        <v>1631520</v>
      </c>
      <c r="J3" s="49">
        <v>8316</v>
      </c>
      <c r="K3" s="50">
        <v>5488560</v>
      </c>
      <c r="L3" s="49">
        <v>12276</v>
      </c>
      <c r="M3" s="50">
        <v>8102160</v>
      </c>
      <c r="N3" s="49">
        <v>20201</v>
      </c>
      <c r="O3" s="50">
        <v>13332660</v>
      </c>
      <c r="P3" s="49">
        <v>13848</v>
      </c>
      <c r="Q3" s="53">
        <v>9139680</v>
      </c>
      <c r="R3" s="49">
        <v>31222</v>
      </c>
      <c r="S3" s="53">
        <v>20606520</v>
      </c>
      <c r="T3" s="49">
        <v>26000</v>
      </c>
      <c r="U3" s="53">
        <v>17160000</v>
      </c>
      <c r="V3" s="49">
        <v>64352</v>
      </c>
      <c r="W3" s="53">
        <v>42472320</v>
      </c>
      <c r="X3" s="53"/>
      <c r="Y3" s="53"/>
      <c r="Z3" s="53"/>
      <c r="AA3" s="53"/>
      <c r="AB3" s="53"/>
      <c r="AC3" s="53"/>
      <c r="AD3" s="54">
        <f>F3+H3+J3+L3+N3+P3+R3+T3+V3+X3+Z3+AB3</f>
        <v>181179</v>
      </c>
      <c r="AE3" s="55">
        <f>G3+I3+K3+M3+O3+Q3+S3+U3+W3+Y3+AA3+AC3</f>
        <v>119266620</v>
      </c>
      <c r="AG3" s="47" t="s">
        <v>608</v>
      </c>
    </row>
    <row r="4" spans="1:33" hidden="1">
      <c r="A4" s="47">
        <v>2</v>
      </c>
      <c r="B4" s="56">
        <v>4971710565065</v>
      </c>
      <c r="C4" s="57" t="s">
        <v>503</v>
      </c>
      <c r="D4" s="75" t="s">
        <v>1080</v>
      </c>
      <c r="E4" s="48" t="s">
        <v>1079</v>
      </c>
      <c r="F4" s="58">
        <v>3342</v>
      </c>
      <c r="G4" s="59">
        <v>9190500</v>
      </c>
      <c r="H4" s="60">
        <v>3836</v>
      </c>
      <c r="I4" s="61">
        <v>5714500</v>
      </c>
      <c r="J4" s="58">
        <v>926</v>
      </c>
      <c r="K4" s="59">
        <v>2546500</v>
      </c>
      <c r="L4" s="49">
        <v>2212</v>
      </c>
      <c r="M4" s="50">
        <v>6083000</v>
      </c>
      <c r="N4" s="49">
        <v>5987</v>
      </c>
      <c r="O4" s="50">
        <v>16464250</v>
      </c>
      <c r="P4" s="49">
        <v>1120</v>
      </c>
      <c r="Q4" s="53">
        <v>3080000</v>
      </c>
      <c r="R4" s="49">
        <v>2598</v>
      </c>
      <c r="S4" s="53">
        <v>7144500</v>
      </c>
      <c r="T4" s="49">
        <v>1700</v>
      </c>
      <c r="U4" s="53">
        <v>4675000</v>
      </c>
      <c r="V4" s="49">
        <v>16456</v>
      </c>
      <c r="W4" s="53">
        <v>45254000</v>
      </c>
      <c r="X4" s="53"/>
      <c r="Y4" s="53"/>
      <c r="Z4" s="53"/>
      <c r="AA4" s="53"/>
      <c r="AB4" s="53"/>
      <c r="AC4" s="53"/>
      <c r="AD4" s="62">
        <f t="shared" ref="AD4:AD67" si="0">F4+H4+J4+L4+N4+P4+R4+T4+V4+X4+Z4+AB4</f>
        <v>38177</v>
      </c>
      <c r="AE4" s="55">
        <f t="shared" ref="AE4:AE67" si="1">G4+I4+K4+M4+O4+Q4+S4+U4+W4+Y4+AA4+AC4</f>
        <v>100152250</v>
      </c>
      <c r="AG4" s="57" t="s">
        <v>503</v>
      </c>
    </row>
    <row r="5" spans="1:33" hidden="1">
      <c r="A5" s="47">
        <v>3</v>
      </c>
      <c r="B5" s="56">
        <v>4971710574852</v>
      </c>
      <c r="C5" s="57" t="s">
        <v>583</v>
      </c>
      <c r="D5" s="75" t="s">
        <v>1080</v>
      </c>
      <c r="E5" s="48" t="s">
        <v>888</v>
      </c>
      <c r="F5" s="58">
        <v>610</v>
      </c>
      <c r="G5" s="59">
        <v>503250</v>
      </c>
      <c r="H5" s="60">
        <v>1724</v>
      </c>
      <c r="I5" s="61">
        <v>740850</v>
      </c>
      <c r="J5" s="58">
        <v>478</v>
      </c>
      <c r="K5" s="59">
        <v>394350</v>
      </c>
      <c r="L5" s="49">
        <v>2550</v>
      </c>
      <c r="M5" s="50">
        <v>2103750</v>
      </c>
      <c r="N5" s="49">
        <v>4650</v>
      </c>
      <c r="O5" s="50">
        <v>3836250</v>
      </c>
      <c r="P5" s="49">
        <v>360</v>
      </c>
      <c r="Q5" s="53">
        <v>297000</v>
      </c>
      <c r="R5" s="49">
        <v>4106</v>
      </c>
      <c r="S5" s="53">
        <v>3387450</v>
      </c>
      <c r="T5" s="49">
        <v>3695</v>
      </c>
      <c r="U5" s="53">
        <v>3048375</v>
      </c>
      <c r="V5" s="49">
        <v>16985</v>
      </c>
      <c r="W5" s="53">
        <v>14012625</v>
      </c>
      <c r="X5" s="53"/>
      <c r="Y5" s="53"/>
      <c r="Z5" s="53"/>
      <c r="AA5" s="53"/>
      <c r="AB5" s="53"/>
      <c r="AC5" s="53"/>
      <c r="AD5" s="62">
        <f t="shared" si="0"/>
        <v>35158</v>
      </c>
      <c r="AE5" s="55">
        <f t="shared" si="1"/>
        <v>28323900</v>
      </c>
      <c r="AG5" s="57" t="s">
        <v>583</v>
      </c>
    </row>
    <row r="6" spans="1:33">
      <c r="A6" s="47">
        <v>4</v>
      </c>
      <c r="B6" s="56">
        <v>4971710598711</v>
      </c>
      <c r="C6" s="57" t="s">
        <v>810</v>
      </c>
      <c r="D6" s="75" t="s">
        <v>1088</v>
      </c>
      <c r="E6" s="48" t="s">
        <v>980</v>
      </c>
      <c r="F6" s="58"/>
      <c r="G6" s="59"/>
      <c r="H6" s="60"/>
      <c r="I6" s="61"/>
      <c r="J6" s="58"/>
      <c r="K6" s="59"/>
      <c r="L6" s="49"/>
      <c r="M6" s="50"/>
      <c r="N6" s="49"/>
      <c r="O6" s="50"/>
      <c r="P6" s="49">
        <v>1152</v>
      </c>
      <c r="Q6" s="53">
        <v>798336</v>
      </c>
      <c r="R6" s="49">
        <v>7714</v>
      </c>
      <c r="S6" s="53">
        <v>5345802</v>
      </c>
      <c r="T6" s="49">
        <v>11620</v>
      </c>
      <c r="U6" s="53">
        <v>8052660</v>
      </c>
      <c r="V6" s="49">
        <v>2976</v>
      </c>
      <c r="W6" s="53">
        <v>2062368</v>
      </c>
      <c r="X6" s="53"/>
      <c r="Y6" s="53"/>
      <c r="Z6" s="53"/>
      <c r="AA6" s="53"/>
      <c r="AB6" s="53">
        <v>96</v>
      </c>
      <c r="AC6" s="53">
        <v>66528</v>
      </c>
      <c r="AD6" s="63">
        <f t="shared" si="0"/>
        <v>23558</v>
      </c>
      <c r="AE6" s="55">
        <f t="shared" si="1"/>
        <v>16325694</v>
      </c>
      <c r="AG6" s="57" t="s">
        <v>212</v>
      </c>
    </row>
    <row r="7" spans="1:33" hidden="1">
      <c r="A7" s="47">
        <v>5</v>
      </c>
      <c r="B7" s="56">
        <v>4971710511505</v>
      </c>
      <c r="C7" s="57" t="s">
        <v>212</v>
      </c>
      <c r="D7" s="75" t="s">
        <v>1082</v>
      </c>
      <c r="E7" s="48" t="s">
        <v>213</v>
      </c>
      <c r="F7" s="58">
        <v>2800</v>
      </c>
      <c r="G7" s="59">
        <v>1386000</v>
      </c>
      <c r="H7" s="60">
        <v>6000</v>
      </c>
      <c r="I7" s="61">
        <v>1485000</v>
      </c>
      <c r="J7" s="58"/>
      <c r="K7" s="59"/>
      <c r="L7" s="49">
        <v>2000</v>
      </c>
      <c r="M7" s="50">
        <v>990000</v>
      </c>
      <c r="N7" s="49">
        <v>50</v>
      </c>
      <c r="O7" s="50">
        <v>24750</v>
      </c>
      <c r="P7" s="49"/>
      <c r="Q7" s="53"/>
      <c r="R7" s="49">
        <v>3550</v>
      </c>
      <c r="S7" s="53">
        <v>1757250</v>
      </c>
      <c r="T7" s="49">
        <v>2000</v>
      </c>
      <c r="U7" s="53">
        <v>990000</v>
      </c>
      <c r="V7" s="49">
        <v>5000</v>
      </c>
      <c r="W7" s="53">
        <v>2475000</v>
      </c>
      <c r="X7" s="53"/>
      <c r="Y7" s="53"/>
      <c r="Z7" s="53"/>
      <c r="AA7" s="53"/>
      <c r="AB7" s="53"/>
      <c r="AC7" s="53"/>
      <c r="AD7" s="62">
        <f t="shared" si="0"/>
        <v>21400</v>
      </c>
      <c r="AE7" s="55">
        <f t="shared" si="1"/>
        <v>9108000</v>
      </c>
      <c r="AG7" s="57" t="s">
        <v>810</v>
      </c>
    </row>
    <row r="8" spans="1:33">
      <c r="A8" s="47">
        <v>6</v>
      </c>
      <c r="B8" s="56">
        <v>4971710580044</v>
      </c>
      <c r="C8" s="57" t="s">
        <v>674</v>
      </c>
      <c r="D8" s="75" t="s">
        <v>1088</v>
      </c>
      <c r="E8" s="48" t="s">
        <v>675</v>
      </c>
      <c r="F8" s="58"/>
      <c r="G8" s="59"/>
      <c r="H8" s="60"/>
      <c r="I8" s="61"/>
      <c r="J8" s="58"/>
      <c r="K8" s="59"/>
      <c r="L8" s="49"/>
      <c r="M8" s="50"/>
      <c r="N8" s="49">
        <v>60</v>
      </c>
      <c r="O8" s="50">
        <v>39600</v>
      </c>
      <c r="P8" s="49">
        <v>1240</v>
      </c>
      <c r="Q8" s="53">
        <v>818400</v>
      </c>
      <c r="R8" s="49">
        <v>4000</v>
      </c>
      <c r="S8" s="53">
        <v>2640000</v>
      </c>
      <c r="T8" s="49">
        <v>2500</v>
      </c>
      <c r="U8" s="53">
        <v>1650000</v>
      </c>
      <c r="V8" s="49"/>
      <c r="W8" s="53"/>
      <c r="X8" s="53"/>
      <c r="Y8" s="53"/>
      <c r="Z8" s="53"/>
      <c r="AA8" s="53"/>
      <c r="AB8" s="53"/>
      <c r="AC8" s="53"/>
      <c r="AD8" s="62">
        <f t="shared" si="0"/>
        <v>7800</v>
      </c>
      <c r="AE8" s="55">
        <f t="shared" si="1"/>
        <v>5148000</v>
      </c>
      <c r="AG8" s="57" t="s">
        <v>783</v>
      </c>
    </row>
    <row r="9" spans="1:33">
      <c r="A9" s="47">
        <v>7</v>
      </c>
      <c r="B9" s="56">
        <v>4971710590500</v>
      </c>
      <c r="C9" s="57" t="s">
        <v>783</v>
      </c>
      <c r="D9" s="75" t="s">
        <v>1088</v>
      </c>
      <c r="E9" s="48" t="s">
        <v>891</v>
      </c>
      <c r="F9" s="58"/>
      <c r="G9" s="59"/>
      <c r="H9" s="60"/>
      <c r="I9" s="61"/>
      <c r="J9" s="58"/>
      <c r="K9" s="59"/>
      <c r="L9" s="49">
        <v>3600</v>
      </c>
      <c r="M9" s="50">
        <v>2376000</v>
      </c>
      <c r="N9" s="49">
        <v>3000</v>
      </c>
      <c r="O9" s="50">
        <v>1980000</v>
      </c>
      <c r="P9" s="49"/>
      <c r="Q9" s="53"/>
      <c r="R9" s="49">
        <v>100</v>
      </c>
      <c r="S9" s="53">
        <v>66000</v>
      </c>
      <c r="T9" s="49"/>
      <c r="U9" s="53"/>
      <c r="V9" s="49"/>
      <c r="W9" s="53"/>
      <c r="X9" s="53"/>
      <c r="Y9" s="53"/>
      <c r="Z9" s="53"/>
      <c r="AA9" s="53"/>
      <c r="AB9" s="53"/>
      <c r="AC9" s="53"/>
      <c r="AD9" s="62">
        <f t="shared" si="0"/>
        <v>6700</v>
      </c>
      <c r="AE9" s="55">
        <f t="shared" si="1"/>
        <v>4422000</v>
      </c>
      <c r="AG9" s="57" t="s">
        <v>808</v>
      </c>
    </row>
    <row r="10" spans="1:33">
      <c r="A10" s="47">
        <v>8</v>
      </c>
      <c r="B10" s="56">
        <v>4971710579291</v>
      </c>
      <c r="C10" s="57" t="s">
        <v>808</v>
      </c>
      <c r="D10" s="75" t="s">
        <v>1088</v>
      </c>
      <c r="E10" s="48" t="s">
        <v>893</v>
      </c>
      <c r="F10" s="58"/>
      <c r="G10" s="59"/>
      <c r="H10" s="60"/>
      <c r="I10" s="61"/>
      <c r="J10" s="58"/>
      <c r="K10" s="59"/>
      <c r="L10" s="49"/>
      <c r="M10" s="50"/>
      <c r="N10" s="49">
        <v>5712</v>
      </c>
      <c r="O10" s="50">
        <v>3769920</v>
      </c>
      <c r="P10" s="49">
        <v>744</v>
      </c>
      <c r="Q10" s="53">
        <v>491040</v>
      </c>
      <c r="R10" s="49"/>
      <c r="S10" s="53"/>
      <c r="T10" s="49"/>
      <c r="U10" s="53"/>
      <c r="V10" s="49"/>
      <c r="W10" s="53"/>
      <c r="X10" s="53"/>
      <c r="Y10" s="53"/>
      <c r="Z10" s="53"/>
      <c r="AA10" s="53"/>
      <c r="AB10" s="53"/>
      <c r="AC10" s="53"/>
      <c r="AD10" s="62">
        <f t="shared" si="0"/>
        <v>6456</v>
      </c>
      <c r="AE10" s="55">
        <f t="shared" si="1"/>
        <v>4260960</v>
      </c>
      <c r="AG10" s="57" t="s">
        <v>442</v>
      </c>
    </row>
    <row r="11" spans="1:33" hidden="1">
      <c r="A11" s="47">
        <v>9</v>
      </c>
      <c r="B11" s="56">
        <v>4971710551006</v>
      </c>
      <c r="C11" s="57" t="s">
        <v>442</v>
      </c>
      <c r="D11" s="75" t="s">
        <v>884</v>
      </c>
      <c r="E11" s="48" t="s">
        <v>1081</v>
      </c>
      <c r="F11" s="58">
        <v>1296</v>
      </c>
      <c r="G11" s="59">
        <v>926640</v>
      </c>
      <c r="H11" s="60">
        <v>1252</v>
      </c>
      <c r="I11" s="61">
        <v>447590</v>
      </c>
      <c r="J11" s="58">
        <v>842</v>
      </c>
      <c r="K11" s="59">
        <v>602030</v>
      </c>
      <c r="L11" s="49">
        <v>36</v>
      </c>
      <c r="M11" s="50">
        <v>25740</v>
      </c>
      <c r="N11" s="49">
        <v>518</v>
      </c>
      <c r="O11" s="50">
        <v>370370</v>
      </c>
      <c r="P11" s="49">
        <v>72</v>
      </c>
      <c r="Q11" s="53">
        <v>51480</v>
      </c>
      <c r="R11" s="49">
        <v>354</v>
      </c>
      <c r="S11" s="53">
        <v>253110</v>
      </c>
      <c r="T11" s="49">
        <v>600</v>
      </c>
      <c r="U11" s="53">
        <v>429000</v>
      </c>
      <c r="V11" s="49">
        <v>1974</v>
      </c>
      <c r="W11" s="53">
        <v>1411410</v>
      </c>
      <c r="X11" s="53"/>
      <c r="Y11" s="53"/>
      <c r="Z11" s="53"/>
      <c r="AA11" s="53"/>
      <c r="AB11" s="53"/>
      <c r="AC11" s="53"/>
      <c r="AD11" s="62">
        <f t="shared" si="0"/>
        <v>6944</v>
      </c>
      <c r="AE11" s="55">
        <f t="shared" si="1"/>
        <v>4517370</v>
      </c>
      <c r="AG11" s="57" t="s">
        <v>674</v>
      </c>
    </row>
    <row r="12" spans="1:33" hidden="1">
      <c r="A12" s="47">
        <v>10</v>
      </c>
      <c r="B12" s="56">
        <v>4971710595789</v>
      </c>
      <c r="C12" s="57" t="s">
        <v>806</v>
      </c>
      <c r="D12" s="75" t="s">
        <v>1080</v>
      </c>
      <c r="E12" s="48" t="s">
        <v>982</v>
      </c>
      <c r="F12" s="58"/>
      <c r="G12" s="59"/>
      <c r="H12" s="60"/>
      <c r="I12" s="61"/>
      <c r="J12" s="58"/>
      <c r="K12" s="59"/>
      <c r="L12" s="49"/>
      <c r="M12" s="50"/>
      <c r="N12" s="49">
        <v>748</v>
      </c>
      <c r="O12" s="50">
        <v>740520</v>
      </c>
      <c r="P12" s="49"/>
      <c r="Q12" s="53"/>
      <c r="R12" s="49">
        <v>1150</v>
      </c>
      <c r="S12" s="53">
        <v>1138500</v>
      </c>
      <c r="T12" s="49"/>
      <c r="U12" s="53"/>
      <c r="V12" s="49">
        <v>3800</v>
      </c>
      <c r="W12" s="53">
        <v>3762000</v>
      </c>
      <c r="X12" s="53"/>
      <c r="Y12" s="53"/>
      <c r="Z12" s="53"/>
      <c r="AA12" s="53"/>
      <c r="AB12" s="53"/>
      <c r="AC12" s="53"/>
      <c r="AD12" s="62">
        <f t="shared" si="0"/>
        <v>5698</v>
      </c>
      <c r="AE12" s="55">
        <f t="shared" si="1"/>
        <v>5641020</v>
      </c>
      <c r="AG12" s="57" t="s">
        <v>408</v>
      </c>
    </row>
    <row r="13" spans="1:33" hidden="1">
      <c r="A13" s="47">
        <v>11</v>
      </c>
      <c r="B13" s="56">
        <v>4971710571837</v>
      </c>
      <c r="C13" s="57" t="s">
        <v>897</v>
      </c>
      <c r="D13" s="75" t="s">
        <v>884</v>
      </c>
      <c r="E13" s="48" t="s">
        <v>564</v>
      </c>
      <c r="F13" s="58">
        <v>920</v>
      </c>
      <c r="G13" s="59">
        <v>657800</v>
      </c>
      <c r="H13" s="60">
        <v>1656</v>
      </c>
      <c r="I13" s="61">
        <v>592020</v>
      </c>
      <c r="J13" s="58">
        <v>742</v>
      </c>
      <c r="K13" s="59">
        <v>530530</v>
      </c>
      <c r="L13" s="49">
        <v>24</v>
      </c>
      <c r="M13" s="50">
        <v>17160</v>
      </c>
      <c r="N13" s="49"/>
      <c r="O13" s="50"/>
      <c r="P13" s="49">
        <v>50</v>
      </c>
      <c r="Q13" s="53">
        <v>35750</v>
      </c>
      <c r="R13" s="49">
        <v>12</v>
      </c>
      <c r="S13" s="53">
        <v>8580</v>
      </c>
      <c r="T13" s="49">
        <v>42</v>
      </c>
      <c r="U13" s="53">
        <v>30030</v>
      </c>
      <c r="V13" s="49">
        <v>798</v>
      </c>
      <c r="W13" s="53">
        <v>570570</v>
      </c>
      <c r="X13" s="53"/>
      <c r="Y13" s="53"/>
      <c r="Z13" s="53"/>
      <c r="AA13" s="53"/>
      <c r="AB13" s="53">
        <v>555</v>
      </c>
      <c r="AC13" s="53">
        <v>396825</v>
      </c>
      <c r="AD13" s="62">
        <f t="shared" si="0"/>
        <v>4799</v>
      </c>
      <c r="AE13" s="55">
        <f t="shared" si="1"/>
        <v>2839265</v>
      </c>
      <c r="AG13" s="57" t="s">
        <v>563</v>
      </c>
    </row>
    <row r="14" spans="1:33" hidden="1">
      <c r="A14" s="47">
        <v>12</v>
      </c>
      <c r="B14" s="56">
        <v>4971710580600</v>
      </c>
      <c r="C14" s="57" t="s">
        <v>910</v>
      </c>
      <c r="D14" s="75" t="s">
        <v>1085</v>
      </c>
      <c r="E14" s="48" t="s">
        <v>1084</v>
      </c>
      <c r="F14" s="58"/>
      <c r="G14" s="59"/>
      <c r="H14" s="60"/>
      <c r="I14" s="61"/>
      <c r="J14" s="58"/>
      <c r="K14" s="59"/>
      <c r="L14" s="49"/>
      <c r="M14" s="50"/>
      <c r="N14" s="49">
        <v>660</v>
      </c>
      <c r="O14" s="50">
        <v>1706100</v>
      </c>
      <c r="P14" s="49"/>
      <c r="Q14" s="53"/>
      <c r="R14" s="49">
        <v>302</v>
      </c>
      <c r="S14" s="53">
        <v>780670</v>
      </c>
      <c r="T14" s="49">
        <v>858</v>
      </c>
      <c r="U14" s="53">
        <v>2217930</v>
      </c>
      <c r="V14" s="49">
        <v>1510</v>
      </c>
      <c r="W14" s="53">
        <v>3903350</v>
      </c>
      <c r="X14" s="53"/>
      <c r="Y14" s="53"/>
      <c r="Z14" s="53"/>
      <c r="AA14" s="53"/>
      <c r="AB14" s="53">
        <v>620</v>
      </c>
      <c r="AC14" s="53">
        <v>1670900</v>
      </c>
      <c r="AD14" s="62">
        <f t="shared" si="0"/>
        <v>3950</v>
      </c>
      <c r="AE14" s="55">
        <f t="shared" si="1"/>
        <v>10278950</v>
      </c>
      <c r="AG14" s="57" t="s">
        <v>784</v>
      </c>
    </row>
    <row r="15" spans="1:33">
      <c r="A15" s="47">
        <v>13</v>
      </c>
      <c r="B15" s="56">
        <v>4971710590524</v>
      </c>
      <c r="C15" s="57" t="s">
        <v>784</v>
      </c>
      <c r="D15" s="75" t="s">
        <v>1088</v>
      </c>
      <c r="E15" s="48" t="s">
        <v>894</v>
      </c>
      <c r="F15" s="58"/>
      <c r="G15" s="59"/>
      <c r="H15" s="60"/>
      <c r="I15" s="61"/>
      <c r="J15" s="58"/>
      <c r="K15" s="59"/>
      <c r="L15" s="49">
        <v>356</v>
      </c>
      <c r="M15" s="50">
        <v>234960</v>
      </c>
      <c r="N15" s="49">
        <v>2700</v>
      </c>
      <c r="O15" s="50">
        <v>1782000</v>
      </c>
      <c r="P15" s="49"/>
      <c r="Q15" s="53"/>
      <c r="R15" s="49">
        <v>700</v>
      </c>
      <c r="S15" s="53">
        <v>462000</v>
      </c>
      <c r="T15" s="49"/>
      <c r="U15" s="53"/>
      <c r="V15" s="49"/>
      <c r="W15" s="53"/>
      <c r="X15" s="53"/>
      <c r="Y15" s="53"/>
      <c r="Z15" s="53"/>
      <c r="AA15" s="53"/>
      <c r="AB15" s="53"/>
      <c r="AC15" s="53"/>
      <c r="AD15" s="62">
        <f t="shared" si="0"/>
        <v>3756</v>
      </c>
      <c r="AE15" s="55">
        <f t="shared" si="1"/>
        <v>2478960</v>
      </c>
      <c r="AG15" s="57" t="s">
        <v>477</v>
      </c>
    </row>
    <row r="16" spans="1:33" hidden="1">
      <c r="A16" s="47">
        <v>14</v>
      </c>
      <c r="B16" s="56">
        <v>4971710577341</v>
      </c>
      <c r="C16" s="57" t="s">
        <v>618</v>
      </c>
      <c r="D16" s="75" t="s">
        <v>1080</v>
      </c>
      <c r="E16" s="48" t="s">
        <v>619</v>
      </c>
      <c r="F16" s="58">
        <v>388</v>
      </c>
      <c r="G16" s="59">
        <v>1067000</v>
      </c>
      <c r="H16" s="60">
        <v>406</v>
      </c>
      <c r="I16" s="61">
        <v>574750</v>
      </c>
      <c r="J16" s="58">
        <v>198</v>
      </c>
      <c r="K16" s="59">
        <v>544500</v>
      </c>
      <c r="L16" s="49">
        <v>80</v>
      </c>
      <c r="M16" s="50">
        <v>220000</v>
      </c>
      <c r="N16" s="49">
        <v>774</v>
      </c>
      <c r="O16" s="50">
        <v>2128500</v>
      </c>
      <c r="P16" s="49">
        <v>54</v>
      </c>
      <c r="Q16" s="53">
        <v>148500</v>
      </c>
      <c r="R16" s="49">
        <v>44</v>
      </c>
      <c r="S16" s="53">
        <v>121000</v>
      </c>
      <c r="T16" s="49">
        <v>250</v>
      </c>
      <c r="U16" s="53">
        <v>687500</v>
      </c>
      <c r="V16" s="49">
        <v>678</v>
      </c>
      <c r="W16" s="53">
        <v>1864500</v>
      </c>
      <c r="X16" s="53"/>
      <c r="Y16" s="53"/>
      <c r="Z16" s="53"/>
      <c r="AA16" s="53"/>
      <c r="AB16" s="53">
        <v>480</v>
      </c>
      <c r="AC16" s="53">
        <v>1425600</v>
      </c>
      <c r="AD16" s="62">
        <f t="shared" si="0"/>
        <v>3352</v>
      </c>
      <c r="AE16" s="55">
        <f t="shared" si="1"/>
        <v>8781850</v>
      </c>
      <c r="AG16" s="57" t="s">
        <v>610</v>
      </c>
    </row>
    <row r="17" spans="1:33" hidden="1">
      <c r="A17" s="47">
        <v>15</v>
      </c>
      <c r="B17" s="56">
        <v>4971710546071</v>
      </c>
      <c r="C17" s="57" t="s">
        <v>983</v>
      </c>
      <c r="D17" s="75" t="s">
        <v>1080</v>
      </c>
      <c r="E17" s="48" t="s">
        <v>855</v>
      </c>
      <c r="F17" s="58">
        <v>488</v>
      </c>
      <c r="G17" s="59">
        <v>778360</v>
      </c>
      <c r="H17" s="60">
        <v>272</v>
      </c>
      <c r="I17" s="61">
        <v>236060</v>
      </c>
      <c r="J17" s="58">
        <v>154</v>
      </c>
      <c r="K17" s="59">
        <v>245630</v>
      </c>
      <c r="L17" s="49">
        <v>122</v>
      </c>
      <c r="M17" s="50">
        <v>194590</v>
      </c>
      <c r="N17" s="49">
        <v>600</v>
      </c>
      <c r="O17" s="50">
        <v>957000</v>
      </c>
      <c r="P17" s="49">
        <v>30</v>
      </c>
      <c r="Q17" s="53">
        <v>47850</v>
      </c>
      <c r="R17" s="49">
        <v>6</v>
      </c>
      <c r="S17" s="53">
        <v>9570</v>
      </c>
      <c r="T17" s="49">
        <v>290</v>
      </c>
      <c r="U17" s="53">
        <v>462550</v>
      </c>
      <c r="V17" s="49">
        <v>952</v>
      </c>
      <c r="W17" s="53">
        <v>1518440</v>
      </c>
      <c r="X17" s="53"/>
      <c r="Y17" s="53"/>
      <c r="Z17" s="53"/>
      <c r="AA17" s="53"/>
      <c r="AB17" s="53">
        <v>240</v>
      </c>
      <c r="AC17" s="53">
        <v>382800</v>
      </c>
      <c r="AD17" s="62">
        <f t="shared" si="0"/>
        <v>3154</v>
      </c>
      <c r="AE17" s="55">
        <f t="shared" si="1"/>
        <v>4832850</v>
      </c>
      <c r="AG17" s="57" t="s">
        <v>768</v>
      </c>
    </row>
    <row r="18" spans="1:33" hidden="1">
      <c r="A18" s="47">
        <v>16</v>
      </c>
      <c r="B18" s="56">
        <v>4971710580396</v>
      </c>
      <c r="C18" s="57" t="s">
        <v>677</v>
      </c>
      <c r="D18" s="75" t="s">
        <v>1080</v>
      </c>
      <c r="E18" s="48" t="s">
        <v>619</v>
      </c>
      <c r="F18" s="58">
        <v>320</v>
      </c>
      <c r="G18" s="59">
        <v>1460800</v>
      </c>
      <c r="H18" s="60">
        <v>464</v>
      </c>
      <c r="I18" s="61">
        <v>1168640</v>
      </c>
      <c r="J18" s="58">
        <v>310</v>
      </c>
      <c r="K18" s="59">
        <v>1415150</v>
      </c>
      <c r="L18" s="49">
        <v>120</v>
      </c>
      <c r="M18" s="50">
        <v>547800</v>
      </c>
      <c r="N18" s="49">
        <v>531</v>
      </c>
      <c r="O18" s="50">
        <v>2424015</v>
      </c>
      <c r="P18" s="49">
        <v>80</v>
      </c>
      <c r="Q18" s="53">
        <v>365200</v>
      </c>
      <c r="R18" s="49">
        <v>6</v>
      </c>
      <c r="S18" s="53">
        <v>27390</v>
      </c>
      <c r="T18" s="49">
        <v>200</v>
      </c>
      <c r="U18" s="53">
        <v>913000</v>
      </c>
      <c r="V18" s="49">
        <v>1102</v>
      </c>
      <c r="W18" s="53">
        <v>5030630</v>
      </c>
      <c r="X18" s="53"/>
      <c r="Y18" s="53"/>
      <c r="Z18" s="53"/>
      <c r="AA18" s="53"/>
      <c r="AB18" s="53">
        <v>48</v>
      </c>
      <c r="AC18" s="53">
        <v>237600</v>
      </c>
      <c r="AD18" s="62">
        <f t="shared" si="0"/>
        <v>3181</v>
      </c>
      <c r="AE18" s="55">
        <f t="shared" si="1"/>
        <v>13590225</v>
      </c>
      <c r="AG18" s="57" t="s">
        <v>806</v>
      </c>
    </row>
    <row r="19" spans="1:33" hidden="1">
      <c r="A19" s="47">
        <v>17</v>
      </c>
      <c r="B19" s="56">
        <v>4971710539189</v>
      </c>
      <c r="C19" s="57" t="s">
        <v>408</v>
      </c>
      <c r="D19" s="75" t="s">
        <v>884</v>
      </c>
      <c r="E19" s="48" t="s">
        <v>409</v>
      </c>
      <c r="F19" s="58">
        <v>1329</v>
      </c>
      <c r="G19" s="59">
        <v>804045</v>
      </c>
      <c r="H19" s="60">
        <v>904</v>
      </c>
      <c r="I19" s="61">
        <v>273460</v>
      </c>
      <c r="J19" s="58">
        <v>302</v>
      </c>
      <c r="K19" s="59">
        <v>182710</v>
      </c>
      <c r="L19" s="49">
        <v>24</v>
      </c>
      <c r="M19" s="50">
        <v>14520</v>
      </c>
      <c r="N19" s="49">
        <v>802</v>
      </c>
      <c r="O19" s="50">
        <v>485210</v>
      </c>
      <c r="P19" s="49">
        <v>53</v>
      </c>
      <c r="Q19" s="53">
        <v>32065</v>
      </c>
      <c r="R19" s="49"/>
      <c r="S19" s="53"/>
      <c r="T19" s="49"/>
      <c r="U19" s="53"/>
      <c r="V19" s="49"/>
      <c r="W19" s="53"/>
      <c r="X19" s="53"/>
      <c r="Y19" s="53"/>
      <c r="Z19" s="53"/>
      <c r="AA19" s="53"/>
      <c r="AB19" s="53"/>
      <c r="AC19" s="53"/>
      <c r="AD19" s="62">
        <f t="shared" si="0"/>
        <v>3414</v>
      </c>
      <c r="AE19" s="55">
        <f t="shared" si="1"/>
        <v>1792010</v>
      </c>
      <c r="AG19" s="57" t="s">
        <v>444</v>
      </c>
    </row>
    <row r="20" spans="1:33">
      <c r="A20" s="47">
        <v>18</v>
      </c>
      <c r="B20" s="56">
        <v>4971710576573</v>
      </c>
      <c r="C20" s="57" t="s">
        <v>610</v>
      </c>
      <c r="D20" s="75" t="s">
        <v>1088</v>
      </c>
      <c r="E20" s="48" t="s">
        <v>981</v>
      </c>
      <c r="F20" s="58">
        <v>882</v>
      </c>
      <c r="G20" s="59">
        <v>388080</v>
      </c>
      <c r="H20" s="60">
        <v>232</v>
      </c>
      <c r="I20" s="61">
        <v>51040</v>
      </c>
      <c r="J20" s="58">
        <v>11</v>
      </c>
      <c r="K20" s="59">
        <v>4840</v>
      </c>
      <c r="L20" s="49">
        <v>502</v>
      </c>
      <c r="M20" s="50">
        <v>220880</v>
      </c>
      <c r="N20" s="49">
        <v>28</v>
      </c>
      <c r="O20" s="50">
        <v>12320</v>
      </c>
      <c r="P20" s="49">
        <v>168</v>
      </c>
      <c r="Q20" s="53">
        <v>73920</v>
      </c>
      <c r="R20" s="49">
        <v>152</v>
      </c>
      <c r="S20" s="53">
        <v>66880</v>
      </c>
      <c r="T20" s="49">
        <v>192</v>
      </c>
      <c r="U20" s="53">
        <v>84480</v>
      </c>
      <c r="V20" s="49">
        <v>810</v>
      </c>
      <c r="W20" s="53">
        <v>356400</v>
      </c>
      <c r="X20" s="53"/>
      <c r="Y20" s="53"/>
      <c r="Z20" s="53"/>
      <c r="AA20" s="53"/>
      <c r="AB20" s="53">
        <v>83</v>
      </c>
      <c r="AC20" s="53">
        <v>39259</v>
      </c>
      <c r="AD20" s="62">
        <f t="shared" si="0"/>
        <v>3060</v>
      </c>
      <c r="AE20" s="55">
        <f t="shared" si="1"/>
        <v>1298099</v>
      </c>
      <c r="AG20" s="57" t="s">
        <v>618</v>
      </c>
    </row>
    <row r="21" spans="1:33" hidden="1">
      <c r="A21" s="47">
        <v>19</v>
      </c>
      <c r="B21" s="56">
        <v>4971710588163</v>
      </c>
      <c r="C21" s="57" t="s">
        <v>788</v>
      </c>
      <c r="D21" s="75" t="s">
        <v>1082</v>
      </c>
      <c r="E21" s="48" t="s">
        <v>988</v>
      </c>
      <c r="F21" s="58"/>
      <c r="G21" s="59"/>
      <c r="H21" s="60"/>
      <c r="I21" s="61"/>
      <c r="J21" s="58"/>
      <c r="K21" s="59"/>
      <c r="L21" s="49">
        <v>32</v>
      </c>
      <c r="M21" s="50">
        <v>22880</v>
      </c>
      <c r="N21" s="49"/>
      <c r="O21" s="50"/>
      <c r="P21" s="49">
        <v>122</v>
      </c>
      <c r="Q21" s="53">
        <v>87230</v>
      </c>
      <c r="R21" s="49">
        <v>200</v>
      </c>
      <c r="S21" s="53">
        <v>143000</v>
      </c>
      <c r="T21" s="49">
        <v>20</v>
      </c>
      <c r="U21" s="53">
        <v>14300</v>
      </c>
      <c r="V21" s="49">
        <v>2483</v>
      </c>
      <c r="W21" s="53">
        <v>1775345</v>
      </c>
      <c r="X21" s="53"/>
      <c r="Y21" s="53"/>
      <c r="Z21" s="53"/>
      <c r="AA21" s="53"/>
      <c r="AB21" s="53">
        <v>30</v>
      </c>
      <c r="AC21" s="53">
        <v>21450</v>
      </c>
      <c r="AD21" s="62">
        <f t="shared" si="0"/>
        <v>2887</v>
      </c>
      <c r="AE21" s="55">
        <f t="shared" si="1"/>
        <v>2064205</v>
      </c>
      <c r="AG21" s="57">
        <f>VLOOKUP(AF21,[1]OBK!$E:$F,2,0)</f>
        <v>0</v>
      </c>
    </row>
    <row r="22" spans="1:33" hidden="1">
      <c r="A22" s="47">
        <v>20</v>
      </c>
      <c r="B22" s="56">
        <v>4971710595543</v>
      </c>
      <c r="C22" s="57" t="s">
        <v>768</v>
      </c>
      <c r="D22" s="75" t="s">
        <v>884</v>
      </c>
      <c r="E22" s="48" t="s">
        <v>769</v>
      </c>
      <c r="F22" s="58"/>
      <c r="G22" s="59"/>
      <c r="H22" s="60">
        <v>1080</v>
      </c>
      <c r="I22" s="61">
        <v>415800</v>
      </c>
      <c r="J22" s="58">
        <v>400</v>
      </c>
      <c r="K22" s="59">
        <v>308000</v>
      </c>
      <c r="L22" s="49">
        <v>490</v>
      </c>
      <c r="M22" s="50">
        <v>377300</v>
      </c>
      <c r="N22" s="49">
        <v>365</v>
      </c>
      <c r="O22" s="50">
        <v>281050</v>
      </c>
      <c r="P22" s="49">
        <v>358</v>
      </c>
      <c r="Q22" s="53">
        <v>275660</v>
      </c>
      <c r="R22" s="49">
        <v>90</v>
      </c>
      <c r="S22" s="53">
        <v>69300</v>
      </c>
      <c r="T22" s="49">
        <v>50</v>
      </c>
      <c r="U22" s="53">
        <v>38500</v>
      </c>
      <c r="V22" s="49">
        <v>210</v>
      </c>
      <c r="W22" s="53">
        <v>161700</v>
      </c>
      <c r="X22" s="53"/>
      <c r="Y22" s="53"/>
      <c r="Z22" s="53"/>
      <c r="AA22" s="53"/>
      <c r="AB22" s="53">
        <v>120</v>
      </c>
      <c r="AC22" s="53">
        <v>92400</v>
      </c>
      <c r="AD22" s="62">
        <f t="shared" si="0"/>
        <v>3163</v>
      </c>
      <c r="AE22" s="55">
        <f t="shared" si="1"/>
        <v>2019710</v>
      </c>
      <c r="AG22" s="57" t="s">
        <v>677</v>
      </c>
    </row>
    <row r="23" spans="1:33" hidden="1">
      <c r="A23" s="47">
        <v>21</v>
      </c>
      <c r="B23" s="56">
        <v>4971710576641</v>
      </c>
      <c r="C23" s="57" t="s">
        <v>617</v>
      </c>
      <c r="D23" s="75" t="s">
        <v>1080</v>
      </c>
      <c r="E23" s="48" t="s">
        <v>616</v>
      </c>
      <c r="F23" s="58">
        <v>130</v>
      </c>
      <c r="G23" s="59">
        <v>235950</v>
      </c>
      <c r="H23" s="60">
        <v>124</v>
      </c>
      <c r="I23" s="61">
        <v>123420</v>
      </c>
      <c r="J23" s="58">
        <v>74</v>
      </c>
      <c r="K23" s="59">
        <v>134310</v>
      </c>
      <c r="L23" s="49">
        <v>135</v>
      </c>
      <c r="M23" s="50">
        <v>245025</v>
      </c>
      <c r="N23" s="49">
        <v>634</v>
      </c>
      <c r="O23" s="50">
        <v>1150710</v>
      </c>
      <c r="P23" s="49">
        <v>80</v>
      </c>
      <c r="Q23" s="53">
        <v>145200</v>
      </c>
      <c r="R23" s="49">
        <v>2</v>
      </c>
      <c r="S23" s="53">
        <v>3630</v>
      </c>
      <c r="T23" s="49">
        <v>126</v>
      </c>
      <c r="U23" s="53">
        <v>228690</v>
      </c>
      <c r="V23" s="49">
        <v>1282</v>
      </c>
      <c r="W23" s="53">
        <v>2326830</v>
      </c>
      <c r="X23" s="53"/>
      <c r="Y23" s="53"/>
      <c r="Z23" s="53"/>
      <c r="AA23" s="53"/>
      <c r="AB23" s="53"/>
      <c r="AC23" s="53"/>
      <c r="AD23" s="62">
        <f t="shared" si="0"/>
        <v>2587</v>
      </c>
      <c r="AE23" s="55">
        <f t="shared" si="1"/>
        <v>4593765</v>
      </c>
      <c r="AG23" s="57" t="s">
        <v>20</v>
      </c>
    </row>
    <row r="24" spans="1:33" hidden="1">
      <c r="A24" s="47">
        <v>22</v>
      </c>
      <c r="B24" s="56">
        <v>4971710549812</v>
      </c>
      <c r="C24" s="57" t="s">
        <v>437</v>
      </c>
      <c r="D24" s="75" t="s">
        <v>884</v>
      </c>
      <c r="E24" s="48" t="s">
        <v>435</v>
      </c>
      <c r="F24" s="58">
        <v>120</v>
      </c>
      <c r="G24" s="59">
        <v>455400</v>
      </c>
      <c r="H24" s="60">
        <v>192</v>
      </c>
      <c r="I24" s="61">
        <v>409860</v>
      </c>
      <c r="J24" s="58">
        <v>139</v>
      </c>
      <c r="K24" s="59">
        <v>527505</v>
      </c>
      <c r="L24" s="49">
        <v>170</v>
      </c>
      <c r="M24" s="50">
        <v>645150</v>
      </c>
      <c r="N24" s="49">
        <v>157</v>
      </c>
      <c r="O24" s="50">
        <v>595815</v>
      </c>
      <c r="P24" s="49">
        <v>104</v>
      </c>
      <c r="Q24" s="53">
        <v>394680</v>
      </c>
      <c r="R24" s="49">
        <v>190</v>
      </c>
      <c r="S24" s="53">
        <v>721050</v>
      </c>
      <c r="T24" s="49">
        <v>260</v>
      </c>
      <c r="U24" s="53">
        <v>986700</v>
      </c>
      <c r="V24" s="49">
        <v>1196</v>
      </c>
      <c r="W24" s="53">
        <v>4538820</v>
      </c>
      <c r="X24" s="53"/>
      <c r="Y24" s="53"/>
      <c r="Z24" s="53"/>
      <c r="AA24" s="53"/>
      <c r="AB24" s="53"/>
      <c r="AC24" s="53"/>
      <c r="AD24" s="62">
        <f t="shared" si="0"/>
        <v>2528</v>
      </c>
      <c r="AE24" s="55">
        <f t="shared" si="1"/>
        <v>9274980</v>
      </c>
      <c r="AG24" s="57" t="s">
        <v>617</v>
      </c>
    </row>
    <row r="25" spans="1:33" hidden="1">
      <c r="A25" s="47">
        <v>23</v>
      </c>
      <c r="B25" s="56">
        <v>4971710580372</v>
      </c>
      <c r="C25" s="57" t="s">
        <v>676</v>
      </c>
      <c r="D25" s="75" t="s">
        <v>1080</v>
      </c>
      <c r="E25" s="48" t="s">
        <v>619</v>
      </c>
      <c r="F25" s="58">
        <v>320</v>
      </c>
      <c r="G25" s="59">
        <v>844800</v>
      </c>
      <c r="H25" s="60">
        <v>266</v>
      </c>
      <c r="I25" s="61">
        <v>359040</v>
      </c>
      <c r="J25" s="58">
        <v>68</v>
      </c>
      <c r="K25" s="59">
        <v>179520</v>
      </c>
      <c r="L25" s="49">
        <v>50</v>
      </c>
      <c r="M25" s="50">
        <v>132000</v>
      </c>
      <c r="N25" s="49"/>
      <c r="O25" s="50"/>
      <c r="P25" s="49">
        <v>628</v>
      </c>
      <c r="Q25" s="53">
        <v>1657920</v>
      </c>
      <c r="R25" s="49">
        <v>68</v>
      </c>
      <c r="S25" s="53">
        <v>179520</v>
      </c>
      <c r="T25" s="49">
        <v>120</v>
      </c>
      <c r="U25" s="53">
        <v>316800</v>
      </c>
      <c r="V25" s="49">
        <v>848</v>
      </c>
      <c r="W25" s="53">
        <v>2238720</v>
      </c>
      <c r="X25" s="53"/>
      <c r="Y25" s="53"/>
      <c r="Z25" s="53"/>
      <c r="AA25" s="53"/>
      <c r="AB25" s="53">
        <v>60</v>
      </c>
      <c r="AC25" s="53">
        <v>171600</v>
      </c>
      <c r="AD25" s="62">
        <f t="shared" si="0"/>
        <v>2428</v>
      </c>
      <c r="AE25" s="55">
        <f t="shared" si="1"/>
        <v>6079920</v>
      </c>
      <c r="AG25" s="57" t="s">
        <v>462</v>
      </c>
    </row>
    <row r="26" spans="1:33" hidden="1">
      <c r="A26" s="47">
        <v>24</v>
      </c>
      <c r="B26" s="56">
        <v>4971710557787</v>
      </c>
      <c r="C26" s="57" t="s">
        <v>462</v>
      </c>
      <c r="D26" s="75" t="s">
        <v>1078</v>
      </c>
      <c r="E26" s="48" t="s">
        <v>1077</v>
      </c>
      <c r="F26" s="58">
        <v>224</v>
      </c>
      <c r="G26" s="59">
        <v>110880</v>
      </c>
      <c r="H26" s="60">
        <v>12</v>
      </c>
      <c r="I26" s="61">
        <v>2970</v>
      </c>
      <c r="J26" s="58">
        <v>150</v>
      </c>
      <c r="K26" s="59">
        <v>74250</v>
      </c>
      <c r="L26" s="49">
        <v>282</v>
      </c>
      <c r="M26" s="50">
        <v>139590</v>
      </c>
      <c r="N26" s="49">
        <v>150</v>
      </c>
      <c r="O26" s="50">
        <v>74250</v>
      </c>
      <c r="P26" s="49">
        <v>62</v>
      </c>
      <c r="Q26" s="53">
        <v>30690</v>
      </c>
      <c r="R26" s="49">
        <v>226</v>
      </c>
      <c r="S26" s="53">
        <v>111870</v>
      </c>
      <c r="T26" s="49">
        <v>302</v>
      </c>
      <c r="U26" s="53">
        <v>149490</v>
      </c>
      <c r="V26" s="49">
        <v>548</v>
      </c>
      <c r="W26" s="53">
        <v>271260</v>
      </c>
      <c r="X26" s="53"/>
      <c r="Y26" s="53"/>
      <c r="Z26" s="53"/>
      <c r="AA26" s="53"/>
      <c r="AB26" s="53">
        <v>312</v>
      </c>
      <c r="AC26" s="53">
        <v>154440</v>
      </c>
      <c r="AD26" s="62">
        <f t="shared" si="0"/>
        <v>2268</v>
      </c>
      <c r="AE26" s="55">
        <f t="shared" si="1"/>
        <v>1119690</v>
      </c>
      <c r="AG26" s="57" t="s">
        <v>676</v>
      </c>
    </row>
    <row r="27" spans="1:33" hidden="1">
      <c r="A27" s="47">
        <v>25</v>
      </c>
      <c r="B27" s="56">
        <v>4971710549782</v>
      </c>
      <c r="C27" s="57" t="s">
        <v>434</v>
      </c>
      <c r="D27" s="75" t="s">
        <v>1080</v>
      </c>
      <c r="E27" s="48" t="s">
        <v>1083</v>
      </c>
      <c r="F27" s="58">
        <v>230</v>
      </c>
      <c r="G27" s="59">
        <v>670450</v>
      </c>
      <c r="H27" s="60">
        <v>100</v>
      </c>
      <c r="I27" s="61">
        <v>145750</v>
      </c>
      <c r="J27" s="58">
        <v>118</v>
      </c>
      <c r="K27" s="59">
        <v>343970</v>
      </c>
      <c r="L27" s="49">
        <v>100</v>
      </c>
      <c r="M27" s="50">
        <v>291500</v>
      </c>
      <c r="N27" s="49">
        <v>60</v>
      </c>
      <c r="O27" s="50">
        <v>174900</v>
      </c>
      <c r="P27" s="49">
        <v>88</v>
      </c>
      <c r="Q27" s="53">
        <v>256520</v>
      </c>
      <c r="R27" s="49">
        <v>197</v>
      </c>
      <c r="S27" s="53">
        <v>574255</v>
      </c>
      <c r="T27" s="49">
        <v>235</v>
      </c>
      <c r="U27" s="53">
        <v>685025</v>
      </c>
      <c r="V27" s="49">
        <v>1171</v>
      </c>
      <c r="W27" s="53">
        <v>3413465</v>
      </c>
      <c r="X27" s="53"/>
      <c r="Y27" s="53"/>
      <c r="Z27" s="53"/>
      <c r="AA27" s="53"/>
      <c r="AB27" s="53"/>
      <c r="AC27" s="53"/>
      <c r="AD27" s="62">
        <f t="shared" si="0"/>
        <v>2299</v>
      </c>
      <c r="AE27" s="55">
        <f t="shared" si="1"/>
        <v>6555835</v>
      </c>
      <c r="AG27" s="57" t="s">
        <v>615</v>
      </c>
    </row>
    <row r="28" spans="1:33" hidden="1">
      <c r="A28" s="47">
        <v>26</v>
      </c>
      <c r="B28" s="56">
        <v>4971710522839</v>
      </c>
      <c r="C28" s="57" t="s">
        <v>390</v>
      </c>
      <c r="D28" s="75" t="s">
        <v>1082</v>
      </c>
      <c r="E28" s="48" t="s">
        <v>391</v>
      </c>
      <c r="F28" s="58">
        <v>120</v>
      </c>
      <c r="G28" s="59">
        <v>52800</v>
      </c>
      <c r="H28" s="60"/>
      <c r="I28" s="61"/>
      <c r="J28" s="58">
        <v>160</v>
      </c>
      <c r="K28" s="59">
        <v>70400</v>
      </c>
      <c r="L28" s="49">
        <v>200</v>
      </c>
      <c r="M28" s="50">
        <v>88000</v>
      </c>
      <c r="N28" s="49"/>
      <c r="O28" s="50"/>
      <c r="P28" s="49"/>
      <c r="Q28" s="53"/>
      <c r="R28" s="49">
        <v>300</v>
      </c>
      <c r="S28" s="53">
        <v>132000</v>
      </c>
      <c r="T28" s="49">
        <v>300</v>
      </c>
      <c r="U28" s="53">
        <v>132000</v>
      </c>
      <c r="V28" s="49">
        <v>1100</v>
      </c>
      <c r="W28" s="53">
        <v>484000</v>
      </c>
      <c r="X28" s="53"/>
      <c r="Y28" s="53"/>
      <c r="Z28" s="53"/>
      <c r="AA28" s="53"/>
      <c r="AB28" s="53"/>
      <c r="AC28" s="53"/>
      <c r="AD28" s="62">
        <f t="shared" si="0"/>
        <v>2180</v>
      </c>
      <c r="AE28" s="55">
        <f t="shared" si="1"/>
        <v>959200</v>
      </c>
      <c r="AG28" s="57" t="s">
        <v>738</v>
      </c>
    </row>
    <row r="29" spans="1:33" hidden="1">
      <c r="A29" s="47">
        <v>27</v>
      </c>
      <c r="B29" s="56">
        <v>4971710592955</v>
      </c>
      <c r="C29" s="57" t="s">
        <v>738</v>
      </c>
      <c r="D29" s="75" t="s">
        <v>884</v>
      </c>
      <c r="E29" s="48" t="s">
        <v>739</v>
      </c>
      <c r="F29" s="58">
        <v>65</v>
      </c>
      <c r="G29" s="59">
        <v>39325</v>
      </c>
      <c r="H29" s="60">
        <v>650</v>
      </c>
      <c r="I29" s="61">
        <v>196625</v>
      </c>
      <c r="J29" s="58">
        <v>39</v>
      </c>
      <c r="K29" s="59">
        <v>23595</v>
      </c>
      <c r="L29" s="49">
        <v>341</v>
      </c>
      <c r="M29" s="50">
        <v>206305</v>
      </c>
      <c r="N29" s="49">
        <v>32</v>
      </c>
      <c r="O29" s="50">
        <v>19360</v>
      </c>
      <c r="P29" s="49"/>
      <c r="Q29" s="53"/>
      <c r="R29" s="49">
        <v>436</v>
      </c>
      <c r="S29" s="53">
        <v>263780</v>
      </c>
      <c r="T29" s="49">
        <v>30</v>
      </c>
      <c r="U29" s="53">
        <v>18150</v>
      </c>
      <c r="V29" s="49"/>
      <c r="W29" s="53"/>
      <c r="X29" s="53"/>
      <c r="Y29" s="53"/>
      <c r="Z29" s="53"/>
      <c r="AA29" s="53"/>
      <c r="AB29" s="53">
        <v>786</v>
      </c>
      <c r="AC29" s="53">
        <v>475530</v>
      </c>
      <c r="AD29" s="62">
        <f t="shared" si="0"/>
        <v>2379</v>
      </c>
      <c r="AE29" s="55">
        <f t="shared" si="1"/>
        <v>1242670</v>
      </c>
      <c r="AG29" s="57" t="s">
        <v>437</v>
      </c>
    </row>
    <row r="30" spans="1:33" hidden="1">
      <c r="A30" s="47">
        <v>28</v>
      </c>
      <c r="B30" s="56">
        <v>4971710573992</v>
      </c>
      <c r="C30" s="57" t="s">
        <v>911</v>
      </c>
      <c r="D30" s="75" t="s">
        <v>1085</v>
      </c>
      <c r="E30" s="48" t="s">
        <v>861</v>
      </c>
      <c r="F30" s="58"/>
      <c r="G30" s="59"/>
      <c r="H30" s="60"/>
      <c r="I30" s="61"/>
      <c r="J30" s="58"/>
      <c r="K30" s="59"/>
      <c r="L30" s="49"/>
      <c r="M30" s="50"/>
      <c r="N30" s="49">
        <v>237</v>
      </c>
      <c r="O30" s="50">
        <v>703890</v>
      </c>
      <c r="P30" s="49">
        <v>20</v>
      </c>
      <c r="Q30" s="53">
        <v>59400</v>
      </c>
      <c r="R30" s="49">
        <v>150</v>
      </c>
      <c r="S30" s="53">
        <v>445500</v>
      </c>
      <c r="T30" s="49">
        <v>635</v>
      </c>
      <c r="U30" s="53">
        <v>1885950</v>
      </c>
      <c r="V30" s="49">
        <v>903</v>
      </c>
      <c r="W30" s="53">
        <v>2681910</v>
      </c>
      <c r="X30" s="53"/>
      <c r="Y30" s="53"/>
      <c r="Z30" s="53"/>
      <c r="AA30" s="53"/>
      <c r="AB30" s="53">
        <v>79</v>
      </c>
      <c r="AC30" s="53">
        <v>252010</v>
      </c>
      <c r="AD30" s="62">
        <f t="shared" si="0"/>
        <v>2024</v>
      </c>
      <c r="AE30" s="55">
        <f t="shared" si="1"/>
        <v>6028660</v>
      </c>
      <c r="AG30" s="57" t="s">
        <v>537</v>
      </c>
    </row>
    <row r="31" spans="1:33" hidden="1">
      <c r="A31" s="47">
        <v>29</v>
      </c>
      <c r="B31" s="56">
        <v>4971710573855</v>
      </c>
      <c r="C31" s="57" t="s">
        <v>985</v>
      </c>
      <c r="D31" s="75" t="s">
        <v>1085</v>
      </c>
      <c r="E31" s="48" t="s">
        <v>858</v>
      </c>
      <c r="F31" s="58"/>
      <c r="G31" s="59"/>
      <c r="H31" s="60"/>
      <c r="I31" s="61"/>
      <c r="J31" s="58"/>
      <c r="K31" s="59"/>
      <c r="L31" s="49"/>
      <c r="M31" s="50"/>
      <c r="N31" s="49">
        <v>270</v>
      </c>
      <c r="O31" s="50">
        <v>519750</v>
      </c>
      <c r="P31" s="49"/>
      <c r="Q31" s="53"/>
      <c r="R31" s="49">
        <v>162</v>
      </c>
      <c r="S31" s="53">
        <v>311850</v>
      </c>
      <c r="T31" s="49">
        <v>372</v>
      </c>
      <c r="U31" s="53">
        <v>716100</v>
      </c>
      <c r="V31" s="49">
        <v>915</v>
      </c>
      <c r="W31" s="53">
        <v>1761375</v>
      </c>
      <c r="X31" s="53"/>
      <c r="Y31" s="53"/>
      <c r="Z31" s="53"/>
      <c r="AA31" s="53"/>
      <c r="AB31" s="53">
        <v>129</v>
      </c>
      <c r="AC31" s="53">
        <v>269610</v>
      </c>
      <c r="AD31" s="63">
        <f t="shared" si="0"/>
        <v>1848</v>
      </c>
      <c r="AE31" s="55">
        <f t="shared" si="1"/>
        <v>3578685</v>
      </c>
      <c r="AG31" s="57" t="s">
        <v>434</v>
      </c>
    </row>
    <row r="32" spans="1:33" hidden="1">
      <c r="A32" s="47">
        <v>30</v>
      </c>
      <c r="B32" s="56">
        <v>4971710576634</v>
      </c>
      <c r="C32" s="57" t="s">
        <v>615</v>
      </c>
      <c r="D32" s="75" t="s">
        <v>1080</v>
      </c>
      <c r="E32" s="48" t="s">
        <v>616</v>
      </c>
      <c r="F32" s="58">
        <v>195</v>
      </c>
      <c r="G32" s="59">
        <v>375375</v>
      </c>
      <c r="H32" s="60">
        <v>152</v>
      </c>
      <c r="I32" s="61">
        <v>157850</v>
      </c>
      <c r="J32" s="58">
        <v>6</v>
      </c>
      <c r="K32" s="59">
        <v>11550</v>
      </c>
      <c r="L32" s="49">
        <v>70</v>
      </c>
      <c r="M32" s="50">
        <v>134750</v>
      </c>
      <c r="N32" s="49">
        <v>597</v>
      </c>
      <c r="O32" s="50">
        <v>1149225</v>
      </c>
      <c r="P32" s="49">
        <v>18</v>
      </c>
      <c r="Q32" s="53">
        <v>34650</v>
      </c>
      <c r="R32" s="49">
        <v>16</v>
      </c>
      <c r="S32" s="53">
        <v>30800</v>
      </c>
      <c r="T32" s="49">
        <v>120</v>
      </c>
      <c r="U32" s="53">
        <v>231000</v>
      </c>
      <c r="V32" s="49">
        <v>656</v>
      </c>
      <c r="W32" s="53">
        <v>1262800</v>
      </c>
      <c r="X32" s="53"/>
      <c r="Y32" s="53"/>
      <c r="Z32" s="53"/>
      <c r="AA32" s="53"/>
      <c r="AB32" s="53">
        <v>61</v>
      </c>
      <c r="AC32" s="53">
        <v>117425</v>
      </c>
      <c r="AD32" s="62">
        <f t="shared" si="0"/>
        <v>1891</v>
      </c>
      <c r="AE32" s="55">
        <f t="shared" si="1"/>
        <v>3505425</v>
      </c>
      <c r="AG32" s="57" t="s">
        <v>398</v>
      </c>
    </row>
    <row r="33" spans="1:33" hidden="1">
      <c r="A33" s="47">
        <v>31</v>
      </c>
      <c r="B33" s="56">
        <v>4971710571868</v>
      </c>
      <c r="C33" s="57" t="s">
        <v>912</v>
      </c>
      <c r="D33" s="75" t="s">
        <v>1085</v>
      </c>
      <c r="E33" s="48" t="s">
        <v>857</v>
      </c>
      <c r="F33" s="58"/>
      <c r="G33" s="59"/>
      <c r="H33" s="60"/>
      <c r="I33" s="61"/>
      <c r="J33" s="58"/>
      <c r="K33" s="59"/>
      <c r="L33" s="49"/>
      <c r="M33" s="50"/>
      <c r="N33" s="49">
        <v>274</v>
      </c>
      <c r="O33" s="50">
        <v>572660</v>
      </c>
      <c r="P33" s="49">
        <v>20</v>
      </c>
      <c r="Q33" s="53">
        <v>41800</v>
      </c>
      <c r="R33" s="49">
        <v>6</v>
      </c>
      <c r="S33" s="53">
        <v>12540</v>
      </c>
      <c r="T33" s="49">
        <v>600</v>
      </c>
      <c r="U33" s="53">
        <v>1254000</v>
      </c>
      <c r="V33" s="49">
        <v>683</v>
      </c>
      <c r="W33" s="53">
        <v>1427470</v>
      </c>
      <c r="X33" s="53"/>
      <c r="Y33" s="53"/>
      <c r="Z33" s="53"/>
      <c r="AA33" s="53"/>
      <c r="AB33" s="53">
        <v>205</v>
      </c>
      <c r="AC33" s="53">
        <v>462275</v>
      </c>
      <c r="AD33" s="63">
        <f t="shared" si="0"/>
        <v>1788</v>
      </c>
      <c r="AE33" s="55">
        <f t="shared" si="1"/>
        <v>3770745</v>
      </c>
      <c r="AG33" s="57" t="s">
        <v>436</v>
      </c>
    </row>
    <row r="34" spans="1:33" hidden="1">
      <c r="A34" s="47">
        <v>32</v>
      </c>
      <c r="B34" s="56">
        <v>4971710561395</v>
      </c>
      <c r="C34" s="57" t="s">
        <v>477</v>
      </c>
      <c r="D34" s="75" t="s">
        <v>1080</v>
      </c>
      <c r="E34" s="48" t="s">
        <v>478</v>
      </c>
      <c r="F34" s="58">
        <v>394</v>
      </c>
      <c r="G34" s="59">
        <v>390060</v>
      </c>
      <c r="H34" s="60">
        <v>480</v>
      </c>
      <c r="I34" s="61">
        <v>249480</v>
      </c>
      <c r="J34" s="58">
        <v>250</v>
      </c>
      <c r="K34" s="59">
        <v>247500</v>
      </c>
      <c r="L34" s="49">
        <v>676</v>
      </c>
      <c r="M34" s="50">
        <v>669240</v>
      </c>
      <c r="N34" s="49"/>
      <c r="O34" s="50"/>
      <c r="P34" s="49">
        <v>131</v>
      </c>
      <c r="Q34" s="53">
        <v>129690</v>
      </c>
      <c r="R34" s="49"/>
      <c r="S34" s="53"/>
      <c r="T34" s="49">
        <v>6</v>
      </c>
      <c r="U34" s="53">
        <v>5940</v>
      </c>
      <c r="V34" s="49">
        <v>6</v>
      </c>
      <c r="W34" s="53">
        <v>5940</v>
      </c>
      <c r="X34" s="53"/>
      <c r="Y34" s="53"/>
      <c r="Z34" s="53"/>
      <c r="AA34" s="53"/>
      <c r="AB34" s="53"/>
      <c r="AC34" s="53"/>
      <c r="AD34" s="62">
        <f t="shared" si="0"/>
        <v>1943</v>
      </c>
      <c r="AE34" s="55">
        <f t="shared" si="1"/>
        <v>1697850</v>
      </c>
      <c r="AG34" s="57" t="s">
        <v>390</v>
      </c>
    </row>
    <row r="35" spans="1:33" hidden="1">
      <c r="A35" s="47">
        <v>33</v>
      </c>
      <c r="B35" s="56">
        <v>4971710568899</v>
      </c>
      <c r="C35" s="57" t="s">
        <v>537</v>
      </c>
      <c r="D35" s="75" t="s">
        <v>1080</v>
      </c>
      <c r="E35" s="48" t="s">
        <v>538</v>
      </c>
      <c r="F35" s="58">
        <v>30</v>
      </c>
      <c r="G35" s="59">
        <v>44550</v>
      </c>
      <c r="H35" s="60">
        <v>156</v>
      </c>
      <c r="I35" s="61">
        <v>124740</v>
      </c>
      <c r="J35" s="58">
        <v>112</v>
      </c>
      <c r="K35" s="59">
        <v>166320</v>
      </c>
      <c r="L35" s="49">
        <v>46</v>
      </c>
      <c r="M35" s="50">
        <v>68310</v>
      </c>
      <c r="N35" s="49">
        <v>626</v>
      </c>
      <c r="O35" s="50">
        <v>929610</v>
      </c>
      <c r="P35" s="49">
        <v>60</v>
      </c>
      <c r="Q35" s="53">
        <v>89100</v>
      </c>
      <c r="R35" s="49">
        <v>2</v>
      </c>
      <c r="S35" s="53">
        <v>2970</v>
      </c>
      <c r="T35" s="49">
        <v>48</v>
      </c>
      <c r="U35" s="53">
        <v>71280</v>
      </c>
      <c r="V35" s="49">
        <v>646</v>
      </c>
      <c r="W35" s="53">
        <v>959310</v>
      </c>
      <c r="X35" s="53"/>
      <c r="Y35" s="53"/>
      <c r="Z35" s="53"/>
      <c r="AA35" s="53"/>
      <c r="AB35" s="53">
        <v>100</v>
      </c>
      <c r="AC35" s="53">
        <v>148500</v>
      </c>
      <c r="AD35" s="62">
        <f t="shared" si="0"/>
        <v>1826</v>
      </c>
      <c r="AE35" s="55">
        <f t="shared" si="1"/>
        <v>2604690</v>
      </c>
      <c r="AG35" s="57" t="s">
        <v>456</v>
      </c>
    </row>
    <row r="36" spans="1:33" hidden="1">
      <c r="A36" s="47">
        <v>34</v>
      </c>
      <c r="B36" s="56">
        <v>4971710549805</v>
      </c>
      <c r="C36" s="57" t="s">
        <v>436</v>
      </c>
      <c r="D36" s="75" t="s">
        <v>1080</v>
      </c>
      <c r="E36" s="48" t="s">
        <v>435</v>
      </c>
      <c r="F36" s="58">
        <v>317</v>
      </c>
      <c r="G36" s="59">
        <v>871750</v>
      </c>
      <c r="H36" s="60">
        <v>124</v>
      </c>
      <c r="I36" s="61">
        <v>203500</v>
      </c>
      <c r="J36" s="58">
        <v>70</v>
      </c>
      <c r="K36" s="59">
        <v>192500</v>
      </c>
      <c r="L36" s="49">
        <v>30</v>
      </c>
      <c r="M36" s="50">
        <v>82500</v>
      </c>
      <c r="N36" s="49">
        <v>311</v>
      </c>
      <c r="O36" s="50">
        <v>855250</v>
      </c>
      <c r="P36" s="49">
        <v>6</v>
      </c>
      <c r="Q36" s="53">
        <v>16500</v>
      </c>
      <c r="R36" s="49">
        <v>47</v>
      </c>
      <c r="S36" s="53">
        <v>129250</v>
      </c>
      <c r="T36" s="49"/>
      <c r="U36" s="53"/>
      <c r="V36" s="49">
        <v>649</v>
      </c>
      <c r="W36" s="53">
        <v>1784750</v>
      </c>
      <c r="X36" s="53"/>
      <c r="Y36" s="53"/>
      <c r="Z36" s="53"/>
      <c r="AA36" s="53"/>
      <c r="AB36" s="53"/>
      <c r="AC36" s="53"/>
      <c r="AD36" s="62">
        <f t="shared" si="0"/>
        <v>1554</v>
      </c>
      <c r="AE36" s="55">
        <f t="shared" si="1"/>
        <v>4136000</v>
      </c>
      <c r="AG36" s="57" t="s">
        <v>454</v>
      </c>
    </row>
    <row r="37" spans="1:33" hidden="1">
      <c r="A37" s="47">
        <v>35</v>
      </c>
      <c r="B37" s="56">
        <v>4971710581928</v>
      </c>
      <c r="C37" s="57" t="s">
        <v>984</v>
      </c>
      <c r="D37" s="75" t="s">
        <v>1085</v>
      </c>
      <c r="E37" s="48" t="s">
        <v>857</v>
      </c>
      <c r="F37" s="58"/>
      <c r="G37" s="59"/>
      <c r="H37" s="60"/>
      <c r="I37" s="61"/>
      <c r="J37" s="58"/>
      <c r="K37" s="59"/>
      <c r="L37" s="49"/>
      <c r="M37" s="50"/>
      <c r="N37" s="49">
        <v>462</v>
      </c>
      <c r="O37" s="50">
        <v>813120</v>
      </c>
      <c r="P37" s="49">
        <v>20</v>
      </c>
      <c r="Q37" s="53">
        <v>35200</v>
      </c>
      <c r="R37" s="49">
        <v>12</v>
      </c>
      <c r="S37" s="53">
        <v>21120</v>
      </c>
      <c r="T37" s="49">
        <v>320</v>
      </c>
      <c r="U37" s="53">
        <v>563200</v>
      </c>
      <c r="V37" s="49">
        <v>508</v>
      </c>
      <c r="W37" s="53">
        <v>894080</v>
      </c>
      <c r="X37" s="53"/>
      <c r="Y37" s="53"/>
      <c r="Z37" s="53"/>
      <c r="AA37" s="53"/>
      <c r="AB37" s="53">
        <v>177</v>
      </c>
      <c r="AC37" s="53">
        <v>330990</v>
      </c>
      <c r="AD37" s="62">
        <f t="shared" si="0"/>
        <v>1499</v>
      </c>
      <c r="AE37" s="55">
        <f t="shared" si="1"/>
        <v>2657710</v>
      </c>
      <c r="AG37" s="57">
        <f>VLOOKUP(AF37,[2]SEK!$E:$F,2,0)</f>
        <v>0</v>
      </c>
    </row>
    <row r="38" spans="1:33" hidden="1">
      <c r="A38" s="47">
        <v>36</v>
      </c>
      <c r="B38" s="56">
        <v>4971710556827</v>
      </c>
      <c r="C38" s="57" t="s">
        <v>446</v>
      </c>
      <c r="D38" s="75" t="s">
        <v>884</v>
      </c>
      <c r="E38" s="48" t="s">
        <v>447</v>
      </c>
      <c r="F38" s="58">
        <v>65</v>
      </c>
      <c r="G38" s="59">
        <v>64350</v>
      </c>
      <c r="H38" s="60">
        <v>204</v>
      </c>
      <c r="I38" s="61">
        <v>100980</v>
      </c>
      <c r="J38" s="58">
        <v>230</v>
      </c>
      <c r="K38" s="59">
        <v>227700</v>
      </c>
      <c r="L38" s="49">
        <v>30</v>
      </c>
      <c r="M38" s="50">
        <v>29700</v>
      </c>
      <c r="N38" s="49">
        <v>62</v>
      </c>
      <c r="O38" s="50">
        <v>61380</v>
      </c>
      <c r="P38" s="49">
        <v>9</v>
      </c>
      <c r="Q38" s="53">
        <v>8910</v>
      </c>
      <c r="R38" s="49">
        <v>4</v>
      </c>
      <c r="S38" s="53">
        <v>3960</v>
      </c>
      <c r="T38" s="49">
        <v>60</v>
      </c>
      <c r="U38" s="53">
        <v>59400</v>
      </c>
      <c r="V38" s="49">
        <v>475</v>
      </c>
      <c r="W38" s="53">
        <v>470250</v>
      </c>
      <c r="X38" s="53"/>
      <c r="Y38" s="53"/>
      <c r="Z38" s="53"/>
      <c r="AA38" s="53"/>
      <c r="AB38" s="53">
        <v>154</v>
      </c>
      <c r="AC38" s="53">
        <v>152460</v>
      </c>
      <c r="AD38" s="62">
        <f t="shared" si="0"/>
        <v>1293</v>
      </c>
      <c r="AE38" s="55">
        <f t="shared" si="1"/>
        <v>1179090</v>
      </c>
      <c r="AG38" s="57" t="s">
        <v>446</v>
      </c>
    </row>
    <row r="39" spans="1:33" hidden="1">
      <c r="A39" s="47">
        <v>37</v>
      </c>
      <c r="B39" s="56">
        <v>4971710524055</v>
      </c>
      <c r="C39" s="57" t="s">
        <v>398</v>
      </c>
      <c r="D39" s="75" t="s">
        <v>884</v>
      </c>
      <c r="E39" s="48" t="s">
        <v>399</v>
      </c>
      <c r="F39" s="58">
        <v>291</v>
      </c>
      <c r="G39" s="59">
        <v>176055</v>
      </c>
      <c r="H39" s="60">
        <v>244</v>
      </c>
      <c r="I39" s="61">
        <v>73810</v>
      </c>
      <c r="J39" s="58">
        <v>250</v>
      </c>
      <c r="K39" s="59">
        <v>151250</v>
      </c>
      <c r="L39" s="49">
        <v>6</v>
      </c>
      <c r="M39" s="50">
        <v>3630</v>
      </c>
      <c r="N39" s="49">
        <v>40</v>
      </c>
      <c r="O39" s="50">
        <v>24200</v>
      </c>
      <c r="P39" s="49">
        <v>100</v>
      </c>
      <c r="Q39" s="53">
        <v>60500</v>
      </c>
      <c r="R39" s="49">
        <v>40</v>
      </c>
      <c r="S39" s="53">
        <v>24200</v>
      </c>
      <c r="T39" s="49">
        <v>100</v>
      </c>
      <c r="U39" s="53">
        <v>60500</v>
      </c>
      <c r="V39" s="49">
        <v>200</v>
      </c>
      <c r="W39" s="53">
        <v>121000</v>
      </c>
      <c r="X39" s="53"/>
      <c r="Y39" s="53"/>
      <c r="Z39" s="53"/>
      <c r="AA39" s="53"/>
      <c r="AB39" s="53">
        <v>140</v>
      </c>
      <c r="AC39" s="53">
        <v>84700</v>
      </c>
      <c r="AD39" s="62">
        <f t="shared" si="0"/>
        <v>1411</v>
      </c>
      <c r="AE39" s="55">
        <f t="shared" si="1"/>
        <v>779845</v>
      </c>
      <c r="AG39" s="57">
        <f>VLOOKUP(AF39,[1]OBK!$E:$F,2,0)</f>
        <v>0</v>
      </c>
    </row>
    <row r="40" spans="1:33" hidden="1">
      <c r="A40" s="47">
        <v>38</v>
      </c>
      <c r="B40" s="56">
        <v>4971710595529</v>
      </c>
      <c r="C40" s="57" t="s">
        <v>764</v>
      </c>
      <c r="D40" s="75" t="s">
        <v>884</v>
      </c>
      <c r="E40" s="48" t="s">
        <v>765</v>
      </c>
      <c r="F40" s="58"/>
      <c r="G40" s="59"/>
      <c r="H40" s="60">
        <v>58</v>
      </c>
      <c r="I40" s="61">
        <v>22330</v>
      </c>
      <c r="J40" s="58">
        <v>136</v>
      </c>
      <c r="K40" s="59">
        <v>104720</v>
      </c>
      <c r="L40" s="49">
        <v>174</v>
      </c>
      <c r="M40" s="50">
        <v>133980</v>
      </c>
      <c r="N40" s="49">
        <v>165</v>
      </c>
      <c r="O40" s="50">
        <v>127050</v>
      </c>
      <c r="P40" s="49">
        <v>242</v>
      </c>
      <c r="Q40" s="53">
        <v>186340</v>
      </c>
      <c r="R40" s="49">
        <v>194</v>
      </c>
      <c r="S40" s="53">
        <v>149380</v>
      </c>
      <c r="T40" s="49"/>
      <c r="U40" s="53"/>
      <c r="V40" s="49">
        <v>206</v>
      </c>
      <c r="W40" s="53">
        <v>158620</v>
      </c>
      <c r="X40" s="53"/>
      <c r="Y40" s="53"/>
      <c r="Z40" s="53"/>
      <c r="AA40" s="53"/>
      <c r="AB40" s="53">
        <v>126</v>
      </c>
      <c r="AC40" s="53">
        <v>97020</v>
      </c>
      <c r="AD40" s="62">
        <f t="shared" si="0"/>
        <v>1301</v>
      </c>
      <c r="AE40" s="55">
        <f t="shared" si="1"/>
        <v>979440</v>
      </c>
      <c r="AG40" s="57" t="s">
        <v>764</v>
      </c>
    </row>
    <row r="41" spans="1:33" hidden="1">
      <c r="A41" s="47">
        <v>39</v>
      </c>
      <c r="B41" s="56">
        <v>4971710556865</v>
      </c>
      <c r="C41" s="57" t="s">
        <v>454</v>
      </c>
      <c r="D41" s="75" t="s">
        <v>884</v>
      </c>
      <c r="E41" s="48" t="s">
        <v>455</v>
      </c>
      <c r="F41" s="58">
        <v>172</v>
      </c>
      <c r="G41" s="59">
        <v>151360</v>
      </c>
      <c r="H41" s="60">
        <v>456</v>
      </c>
      <c r="I41" s="61">
        <v>200640</v>
      </c>
      <c r="J41" s="58">
        <v>60</v>
      </c>
      <c r="K41" s="59">
        <v>52800</v>
      </c>
      <c r="L41" s="49">
        <v>68</v>
      </c>
      <c r="M41" s="50">
        <v>59840</v>
      </c>
      <c r="N41" s="49">
        <v>72</v>
      </c>
      <c r="O41" s="50">
        <v>63360</v>
      </c>
      <c r="P41" s="49">
        <v>15</v>
      </c>
      <c r="Q41" s="53">
        <v>13200</v>
      </c>
      <c r="R41" s="49">
        <v>108</v>
      </c>
      <c r="S41" s="53">
        <v>95040</v>
      </c>
      <c r="T41" s="49">
        <v>20</v>
      </c>
      <c r="U41" s="53">
        <v>17600</v>
      </c>
      <c r="V41" s="49">
        <v>312</v>
      </c>
      <c r="W41" s="53">
        <v>274560</v>
      </c>
      <c r="X41" s="53"/>
      <c r="Y41" s="53"/>
      <c r="Z41" s="53"/>
      <c r="AA41" s="53"/>
      <c r="AB41" s="53">
        <v>180</v>
      </c>
      <c r="AC41" s="53">
        <v>158400</v>
      </c>
      <c r="AD41" s="62">
        <f t="shared" si="0"/>
        <v>1463</v>
      </c>
      <c r="AE41" s="55">
        <f t="shared" si="1"/>
        <v>1086800</v>
      </c>
      <c r="AG41" s="57" t="s">
        <v>479</v>
      </c>
    </row>
    <row r="42" spans="1:33" hidden="1">
      <c r="A42" s="47">
        <v>40</v>
      </c>
      <c r="B42" s="56">
        <v>4971710571790</v>
      </c>
      <c r="C42" s="57" t="s">
        <v>555</v>
      </c>
      <c r="D42" s="75" t="s">
        <v>884</v>
      </c>
      <c r="E42" s="48" t="s">
        <v>556</v>
      </c>
      <c r="F42" s="58">
        <v>15</v>
      </c>
      <c r="G42" s="59">
        <v>9900</v>
      </c>
      <c r="H42" s="60">
        <v>624</v>
      </c>
      <c r="I42" s="61">
        <v>205920</v>
      </c>
      <c r="J42" s="58">
        <v>150</v>
      </c>
      <c r="K42" s="59">
        <v>99000</v>
      </c>
      <c r="L42" s="49">
        <v>138</v>
      </c>
      <c r="M42" s="50">
        <v>91080</v>
      </c>
      <c r="N42" s="49"/>
      <c r="O42" s="50"/>
      <c r="P42" s="49"/>
      <c r="Q42" s="53"/>
      <c r="R42" s="49">
        <v>8</v>
      </c>
      <c r="S42" s="53">
        <v>5280</v>
      </c>
      <c r="T42" s="49"/>
      <c r="U42" s="53"/>
      <c r="V42" s="49">
        <v>556</v>
      </c>
      <c r="W42" s="53">
        <v>366960</v>
      </c>
      <c r="X42" s="53"/>
      <c r="Y42" s="53"/>
      <c r="Z42" s="53"/>
      <c r="AA42" s="53"/>
      <c r="AB42" s="53">
        <v>24</v>
      </c>
      <c r="AC42" s="53">
        <v>15840</v>
      </c>
      <c r="AD42" s="62">
        <f t="shared" si="0"/>
        <v>1515</v>
      </c>
      <c r="AE42" s="55">
        <f t="shared" si="1"/>
        <v>793980</v>
      </c>
      <c r="AG42" s="57" t="s">
        <v>555</v>
      </c>
    </row>
    <row r="43" spans="1:33" hidden="1">
      <c r="A43" s="47">
        <v>41</v>
      </c>
      <c r="B43" s="56">
        <v>4971710556841</v>
      </c>
      <c r="C43" s="57" t="s">
        <v>450</v>
      </c>
      <c r="D43" s="75" t="s">
        <v>884</v>
      </c>
      <c r="E43" s="48" t="s">
        <v>451</v>
      </c>
      <c r="F43" s="58">
        <v>170</v>
      </c>
      <c r="G43" s="59">
        <v>168300</v>
      </c>
      <c r="H43" s="60">
        <v>260</v>
      </c>
      <c r="I43" s="61">
        <v>128700</v>
      </c>
      <c r="J43" s="58">
        <v>72</v>
      </c>
      <c r="K43" s="59">
        <v>71280</v>
      </c>
      <c r="L43" s="49">
        <v>30</v>
      </c>
      <c r="M43" s="50">
        <v>29700</v>
      </c>
      <c r="N43" s="49">
        <v>38</v>
      </c>
      <c r="O43" s="50">
        <v>37620</v>
      </c>
      <c r="P43" s="49">
        <v>10</v>
      </c>
      <c r="Q43" s="53">
        <v>9900</v>
      </c>
      <c r="R43" s="49">
        <v>2</v>
      </c>
      <c r="S43" s="53">
        <v>1980</v>
      </c>
      <c r="T43" s="49">
        <v>30</v>
      </c>
      <c r="U43" s="53">
        <v>29700</v>
      </c>
      <c r="V43" s="49">
        <v>520</v>
      </c>
      <c r="W43" s="53">
        <v>514800</v>
      </c>
      <c r="X43" s="53"/>
      <c r="Y43" s="53"/>
      <c r="Z43" s="53"/>
      <c r="AA43" s="53"/>
      <c r="AB43" s="53">
        <v>50</v>
      </c>
      <c r="AC43" s="53">
        <v>49500</v>
      </c>
      <c r="AD43" s="62">
        <f t="shared" si="0"/>
        <v>1182</v>
      </c>
      <c r="AE43" s="55">
        <f t="shared" si="1"/>
        <v>1041480</v>
      </c>
      <c r="AG43" s="57" t="s">
        <v>565</v>
      </c>
    </row>
    <row r="44" spans="1:33" hidden="1">
      <c r="A44" s="47">
        <v>42</v>
      </c>
      <c r="B44" s="56">
        <v>4971710278521</v>
      </c>
      <c r="C44" s="57" t="s">
        <v>5</v>
      </c>
      <c r="D44" s="75" t="s">
        <v>1080</v>
      </c>
      <c r="E44" s="48" t="s">
        <v>6</v>
      </c>
      <c r="F44" s="58"/>
      <c r="G44" s="59"/>
      <c r="H44" s="60"/>
      <c r="I44" s="61"/>
      <c r="J44" s="58">
        <v>60</v>
      </c>
      <c r="K44" s="59">
        <v>148500</v>
      </c>
      <c r="L44" s="49"/>
      <c r="M44" s="50"/>
      <c r="N44" s="49">
        <v>385</v>
      </c>
      <c r="O44" s="50">
        <v>952875</v>
      </c>
      <c r="P44" s="49"/>
      <c r="Q44" s="53"/>
      <c r="R44" s="49">
        <v>32</v>
      </c>
      <c r="S44" s="53">
        <v>79200</v>
      </c>
      <c r="T44" s="49">
        <v>84</v>
      </c>
      <c r="U44" s="53">
        <v>207900</v>
      </c>
      <c r="V44" s="49">
        <v>408</v>
      </c>
      <c r="W44" s="53">
        <v>1009800</v>
      </c>
      <c r="X44" s="53"/>
      <c r="Y44" s="53"/>
      <c r="Z44" s="53"/>
      <c r="AA44" s="53"/>
      <c r="AB44" s="53">
        <v>120</v>
      </c>
      <c r="AC44" s="53">
        <v>297000</v>
      </c>
      <c r="AD44" s="62">
        <f t="shared" si="0"/>
        <v>1089</v>
      </c>
      <c r="AE44" s="55">
        <f t="shared" si="1"/>
        <v>2695275</v>
      </c>
      <c r="AG44" s="57" t="s">
        <v>460</v>
      </c>
    </row>
    <row r="45" spans="1:33" hidden="1">
      <c r="A45" s="47">
        <v>43</v>
      </c>
      <c r="B45" s="56">
        <v>4971710557718</v>
      </c>
      <c r="C45" s="57" t="s">
        <v>456</v>
      </c>
      <c r="D45" s="75" t="s">
        <v>1078</v>
      </c>
      <c r="E45" s="48" t="s">
        <v>457</v>
      </c>
      <c r="F45" s="58">
        <v>142</v>
      </c>
      <c r="G45" s="59">
        <v>93720</v>
      </c>
      <c r="H45" s="60">
        <v>64</v>
      </c>
      <c r="I45" s="61">
        <v>22440</v>
      </c>
      <c r="J45" s="58">
        <v>24</v>
      </c>
      <c r="K45" s="59">
        <v>15840</v>
      </c>
      <c r="L45" s="49">
        <v>172</v>
      </c>
      <c r="M45" s="50">
        <v>113520</v>
      </c>
      <c r="N45" s="49">
        <v>112</v>
      </c>
      <c r="O45" s="50">
        <v>73920</v>
      </c>
      <c r="P45" s="49"/>
      <c r="Q45" s="53"/>
      <c r="R45" s="49">
        <v>236</v>
      </c>
      <c r="S45" s="53">
        <v>155760</v>
      </c>
      <c r="T45" s="49">
        <v>100</v>
      </c>
      <c r="U45" s="53">
        <v>66000</v>
      </c>
      <c r="V45" s="49">
        <v>32</v>
      </c>
      <c r="W45" s="53">
        <v>21120</v>
      </c>
      <c r="X45" s="53"/>
      <c r="Y45" s="53"/>
      <c r="Z45" s="53"/>
      <c r="AA45" s="53"/>
      <c r="AB45" s="53">
        <v>104</v>
      </c>
      <c r="AC45" s="53">
        <v>68640</v>
      </c>
      <c r="AD45" s="62">
        <f t="shared" si="0"/>
        <v>986</v>
      </c>
      <c r="AE45" s="55">
        <f t="shared" si="1"/>
        <v>630960</v>
      </c>
      <c r="AG45" s="57" t="s">
        <v>690</v>
      </c>
    </row>
    <row r="46" spans="1:33" hidden="1">
      <c r="A46" s="47">
        <v>44</v>
      </c>
      <c r="B46" s="56">
        <v>4971710568103</v>
      </c>
      <c r="C46" s="57" t="s">
        <v>1013</v>
      </c>
      <c r="D46" s="75" t="s">
        <v>1080</v>
      </c>
      <c r="E46" s="48" t="s">
        <v>863</v>
      </c>
      <c r="F46" s="58"/>
      <c r="G46" s="59"/>
      <c r="H46" s="60">
        <v>60</v>
      </c>
      <c r="I46" s="61">
        <v>82500</v>
      </c>
      <c r="J46" s="58"/>
      <c r="K46" s="59"/>
      <c r="L46" s="49"/>
      <c r="M46" s="50"/>
      <c r="N46" s="49">
        <v>22</v>
      </c>
      <c r="O46" s="50">
        <v>60500</v>
      </c>
      <c r="P46" s="49"/>
      <c r="Q46" s="53"/>
      <c r="R46" s="49">
        <v>2</v>
      </c>
      <c r="S46" s="53">
        <v>5500</v>
      </c>
      <c r="T46" s="49"/>
      <c r="U46" s="53"/>
      <c r="V46" s="49">
        <v>1008</v>
      </c>
      <c r="W46" s="53">
        <v>2772000</v>
      </c>
      <c r="X46" s="53"/>
      <c r="Y46" s="53"/>
      <c r="Z46" s="53"/>
      <c r="AA46" s="53"/>
      <c r="AB46" s="53"/>
      <c r="AC46" s="53"/>
      <c r="AD46" s="62">
        <f t="shared" si="0"/>
        <v>1092</v>
      </c>
      <c r="AE46" s="55">
        <f t="shared" si="1"/>
        <v>2920500</v>
      </c>
      <c r="AG46" s="57" t="s">
        <v>88</v>
      </c>
    </row>
    <row r="47" spans="1:33" hidden="1">
      <c r="A47" s="47">
        <v>45</v>
      </c>
      <c r="B47" s="56">
        <v>4971710593037</v>
      </c>
      <c r="C47" s="57" t="s">
        <v>754</v>
      </c>
      <c r="D47" s="75" t="s">
        <v>884</v>
      </c>
      <c r="E47" s="48" t="s">
        <v>755</v>
      </c>
      <c r="F47" s="58">
        <v>120</v>
      </c>
      <c r="G47" s="59">
        <v>112200</v>
      </c>
      <c r="H47" s="60">
        <v>388</v>
      </c>
      <c r="I47" s="61">
        <v>181390</v>
      </c>
      <c r="J47" s="58">
        <v>50</v>
      </c>
      <c r="K47" s="59">
        <v>46750</v>
      </c>
      <c r="L47" s="49">
        <v>42</v>
      </c>
      <c r="M47" s="50">
        <v>39270</v>
      </c>
      <c r="N47" s="49">
        <v>125</v>
      </c>
      <c r="O47" s="50">
        <v>116875</v>
      </c>
      <c r="P47" s="49"/>
      <c r="Q47" s="53"/>
      <c r="R47" s="49">
        <v>172</v>
      </c>
      <c r="S47" s="53">
        <v>160820</v>
      </c>
      <c r="T47" s="49">
        <v>30</v>
      </c>
      <c r="U47" s="53">
        <v>28050</v>
      </c>
      <c r="V47" s="49">
        <v>20</v>
      </c>
      <c r="W47" s="53">
        <v>18700</v>
      </c>
      <c r="X47" s="53"/>
      <c r="Y47" s="53"/>
      <c r="Z47" s="53"/>
      <c r="AA47" s="53"/>
      <c r="AB47" s="53">
        <v>242</v>
      </c>
      <c r="AC47" s="53">
        <v>226270</v>
      </c>
      <c r="AD47" s="62">
        <f t="shared" si="0"/>
        <v>1189</v>
      </c>
      <c r="AE47" s="55">
        <f t="shared" si="1"/>
        <v>930325</v>
      </c>
      <c r="AG47" s="57" t="s">
        <v>14</v>
      </c>
    </row>
    <row r="48" spans="1:33">
      <c r="A48" s="47">
        <v>46</v>
      </c>
      <c r="B48" s="56">
        <v>4971710563238</v>
      </c>
      <c r="C48" s="57" t="s">
        <v>479</v>
      </c>
      <c r="D48" s="75" t="s">
        <v>1088</v>
      </c>
      <c r="E48" s="48" t="s">
        <v>480</v>
      </c>
      <c r="F48" s="58">
        <v>120</v>
      </c>
      <c r="G48" s="59">
        <v>79200</v>
      </c>
      <c r="H48" s="60"/>
      <c r="I48" s="61"/>
      <c r="J48" s="58">
        <v>240</v>
      </c>
      <c r="K48" s="59">
        <v>158400</v>
      </c>
      <c r="L48" s="49">
        <v>80</v>
      </c>
      <c r="M48" s="50">
        <v>52800</v>
      </c>
      <c r="N48" s="49">
        <v>180</v>
      </c>
      <c r="O48" s="50">
        <v>118800</v>
      </c>
      <c r="P48" s="49"/>
      <c r="Q48" s="53"/>
      <c r="R48" s="49">
        <v>45</v>
      </c>
      <c r="S48" s="53">
        <v>29700</v>
      </c>
      <c r="T48" s="49">
        <v>25</v>
      </c>
      <c r="U48" s="53">
        <v>16500</v>
      </c>
      <c r="V48" s="49">
        <v>96</v>
      </c>
      <c r="W48" s="53">
        <v>63360</v>
      </c>
      <c r="X48" s="53"/>
      <c r="Y48" s="53"/>
      <c r="Z48" s="53"/>
      <c r="AA48" s="53"/>
      <c r="AB48" s="53">
        <v>200</v>
      </c>
      <c r="AC48" s="53">
        <v>132000</v>
      </c>
      <c r="AD48" s="62">
        <f t="shared" si="0"/>
        <v>986</v>
      </c>
      <c r="AE48" s="55">
        <f t="shared" si="1"/>
        <v>650760</v>
      </c>
      <c r="AG48" s="57" t="s">
        <v>450</v>
      </c>
    </row>
    <row r="49" spans="1:33" hidden="1">
      <c r="A49" s="47">
        <v>47</v>
      </c>
      <c r="B49" s="56">
        <v>4971710570250</v>
      </c>
      <c r="C49" s="57" t="s">
        <v>994</v>
      </c>
      <c r="D49" s="75" t="s">
        <v>1085</v>
      </c>
      <c r="E49" s="48" t="s">
        <v>860</v>
      </c>
      <c r="F49" s="58"/>
      <c r="G49" s="59"/>
      <c r="H49" s="60"/>
      <c r="I49" s="61"/>
      <c r="J49" s="58"/>
      <c r="K49" s="59"/>
      <c r="L49" s="49"/>
      <c r="M49" s="50"/>
      <c r="N49" s="49">
        <v>234</v>
      </c>
      <c r="O49" s="50">
        <v>514800</v>
      </c>
      <c r="P49" s="49"/>
      <c r="Q49" s="53"/>
      <c r="R49" s="49"/>
      <c r="S49" s="53"/>
      <c r="T49" s="49"/>
      <c r="U49" s="53"/>
      <c r="V49" s="49">
        <v>316</v>
      </c>
      <c r="W49" s="53">
        <v>695200</v>
      </c>
      <c r="X49" s="53"/>
      <c r="Y49" s="53"/>
      <c r="Z49" s="53"/>
      <c r="AA49" s="53"/>
      <c r="AB49" s="53">
        <v>321</v>
      </c>
      <c r="AC49" s="53">
        <v>759165</v>
      </c>
      <c r="AD49" s="63">
        <f t="shared" si="0"/>
        <v>871</v>
      </c>
      <c r="AE49" s="55">
        <f t="shared" si="1"/>
        <v>1969165</v>
      </c>
      <c r="AG49" s="57" t="s">
        <v>613</v>
      </c>
    </row>
    <row r="50" spans="1:33" hidden="1">
      <c r="A50" s="47">
        <v>48</v>
      </c>
      <c r="B50" s="56">
        <v>4971710489194</v>
      </c>
      <c r="C50" s="57" t="s">
        <v>88</v>
      </c>
      <c r="D50" s="75" t="s">
        <v>884</v>
      </c>
      <c r="E50" s="48" t="s">
        <v>89</v>
      </c>
      <c r="F50" s="58">
        <v>70</v>
      </c>
      <c r="G50" s="59">
        <v>38500</v>
      </c>
      <c r="H50" s="60">
        <v>180</v>
      </c>
      <c r="I50" s="61">
        <v>49500</v>
      </c>
      <c r="J50" s="58"/>
      <c r="K50" s="59"/>
      <c r="L50" s="49"/>
      <c r="M50" s="50"/>
      <c r="N50" s="49">
        <v>260</v>
      </c>
      <c r="O50" s="50">
        <v>143000</v>
      </c>
      <c r="P50" s="49">
        <v>160</v>
      </c>
      <c r="Q50" s="53">
        <v>88000</v>
      </c>
      <c r="R50" s="49">
        <v>15</v>
      </c>
      <c r="S50" s="53">
        <v>8250</v>
      </c>
      <c r="T50" s="49">
        <v>30</v>
      </c>
      <c r="U50" s="53">
        <v>16500</v>
      </c>
      <c r="V50" s="49">
        <v>165</v>
      </c>
      <c r="W50" s="53">
        <v>90750</v>
      </c>
      <c r="X50" s="53"/>
      <c r="Y50" s="53"/>
      <c r="Z50" s="53"/>
      <c r="AA50" s="53"/>
      <c r="AB50" s="53">
        <v>80</v>
      </c>
      <c r="AC50" s="53">
        <v>44000</v>
      </c>
      <c r="AD50" s="62">
        <f t="shared" si="0"/>
        <v>960</v>
      </c>
      <c r="AE50" s="55">
        <f t="shared" si="1"/>
        <v>478500</v>
      </c>
      <c r="AG50" s="57" t="s">
        <v>754</v>
      </c>
    </row>
    <row r="51" spans="1:33" hidden="1">
      <c r="A51" s="47">
        <v>49</v>
      </c>
      <c r="B51" s="56">
        <v>4971710585278</v>
      </c>
      <c r="C51" s="57" t="s">
        <v>991</v>
      </c>
      <c r="D51" s="75" t="s">
        <v>1085</v>
      </c>
      <c r="E51" s="48" t="s">
        <v>862</v>
      </c>
      <c r="F51" s="58"/>
      <c r="G51" s="59"/>
      <c r="H51" s="60"/>
      <c r="I51" s="61"/>
      <c r="J51" s="58"/>
      <c r="K51" s="59"/>
      <c r="L51" s="49"/>
      <c r="M51" s="50"/>
      <c r="N51" s="49">
        <v>192</v>
      </c>
      <c r="O51" s="50">
        <v>211200</v>
      </c>
      <c r="P51" s="49"/>
      <c r="Q51" s="53"/>
      <c r="R51" s="49">
        <v>100</v>
      </c>
      <c r="S51" s="53">
        <v>110000</v>
      </c>
      <c r="T51" s="49"/>
      <c r="U51" s="53"/>
      <c r="V51" s="49">
        <v>354</v>
      </c>
      <c r="W51" s="53">
        <v>389400</v>
      </c>
      <c r="X51" s="53"/>
      <c r="Y51" s="53"/>
      <c r="Z51" s="53"/>
      <c r="AA51" s="53"/>
      <c r="AB51" s="53">
        <v>202</v>
      </c>
      <c r="AC51" s="53">
        <v>255530</v>
      </c>
      <c r="AD51" s="62">
        <f t="shared" si="0"/>
        <v>848</v>
      </c>
      <c r="AE51" s="55">
        <f t="shared" si="1"/>
        <v>966130</v>
      </c>
      <c r="AG51" s="57">
        <f>VLOOKUP(AF51,[1]OBK!$E:$F,2,0)</f>
        <v>0</v>
      </c>
    </row>
    <row r="52" spans="1:33" hidden="1">
      <c r="A52" s="47">
        <v>50</v>
      </c>
      <c r="B52" s="56">
        <v>4971710295818</v>
      </c>
      <c r="C52" s="57" t="s">
        <v>986</v>
      </c>
      <c r="D52" s="75" t="s">
        <v>1080</v>
      </c>
      <c r="E52" s="48" t="s">
        <v>13</v>
      </c>
      <c r="F52" s="58">
        <v>122</v>
      </c>
      <c r="G52" s="59">
        <v>496540</v>
      </c>
      <c r="H52" s="60">
        <v>192</v>
      </c>
      <c r="I52" s="61">
        <v>463980</v>
      </c>
      <c r="J52" s="58">
        <v>105</v>
      </c>
      <c r="K52" s="59">
        <v>427350</v>
      </c>
      <c r="L52" s="49">
        <v>66</v>
      </c>
      <c r="M52" s="50">
        <v>268620</v>
      </c>
      <c r="N52" s="49">
        <v>148</v>
      </c>
      <c r="O52" s="50">
        <v>602360</v>
      </c>
      <c r="P52" s="49">
        <v>50</v>
      </c>
      <c r="Q52" s="53">
        <v>203500</v>
      </c>
      <c r="R52" s="49">
        <v>44</v>
      </c>
      <c r="S52" s="53">
        <v>179080</v>
      </c>
      <c r="T52" s="49"/>
      <c r="U52" s="53"/>
      <c r="V52" s="49">
        <v>170</v>
      </c>
      <c r="W52" s="53">
        <v>691900</v>
      </c>
      <c r="X52" s="53"/>
      <c r="Y52" s="53"/>
      <c r="Z52" s="53"/>
      <c r="AA52" s="53"/>
      <c r="AB52" s="53"/>
      <c r="AC52" s="53"/>
      <c r="AD52" s="62">
        <f t="shared" si="0"/>
        <v>897</v>
      </c>
      <c r="AE52" s="55">
        <f t="shared" si="1"/>
        <v>3333330</v>
      </c>
      <c r="AG52" s="57" t="s">
        <v>694</v>
      </c>
    </row>
    <row r="53" spans="1:33" hidden="1">
      <c r="A53" s="47">
        <v>51</v>
      </c>
      <c r="B53" s="56">
        <v>4971710557732</v>
      </c>
      <c r="C53" s="57" t="s">
        <v>460</v>
      </c>
      <c r="D53" s="75" t="s">
        <v>1078</v>
      </c>
      <c r="E53" s="48" t="s">
        <v>461</v>
      </c>
      <c r="F53" s="58">
        <v>132</v>
      </c>
      <c r="G53" s="59">
        <v>87120</v>
      </c>
      <c r="H53" s="60">
        <v>64</v>
      </c>
      <c r="I53" s="61">
        <v>22440</v>
      </c>
      <c r="J53" s="58">
        <v>6</v>
      </c>
      <c r="K53" s="59">
        <v>3960</v>
      </c>
      <c r="L53" s="49">
        <v>66</v>
      </c>
      <c r="M53" s="50">
        <v>43560</v>
      </c>
      <c r="N53" s="49">
        <v>112</v>
      </c>
      <c r="O53" s="50">
        <v>73920</v>
      </c>
      <c r="P53" s="49"/>
      <c r="Q53" s="53"/>
      <c r="R53" s="49">
        <v>188</v>
      </c>
      <c r="S53" s="53">
        <v>124080</v>
      </c>
      <c r="T53" s="49">
        <v>106</v>
      </c>
      <c r="U53" s="53">
        <v>69960</v>
      </c>
      <c r="V53" s="49">
        <v>10</v>
      </c>
      <c r="W53" s="53">
        <v>6600</v>
      </c>
      <c r="X53" s="53"/>
      <c r="Y53" s="53"/>
      <c r="Z53" s="53"/>
      <c r="AA53" s="53"/>
      <c r="AB53" s="53"/>
      <c r="AC53" s="53"/>
      <c r="AD53" s="62">
        <f t="shared" si="0"/>
        <v>684</v>
      </c>
      <c r="AE53" s="55">
        <f t="shared" si="1"/>
        <v>431640</v>
      </c>
      <c r="AG53" s="57" t="s">
        <v>5</v>
      </c>
    </row>
    <row r="54" spans="1:33" hidden="1">
      <c r="A54" s="47">
        <v>52</v>
      </c>
      <c r="B54" s="56">
        <v>4971710557725</v>
      </c>
      <c r="C54" s="57" t="s">
        <v>458</v>
      </c>
      <c r="D54" s="75" t="s">
        <v>1078</v>
      </c>
      <c r="E54" s="48" t="s">
        <v>459</v>
      </c>
      <c r="F54" s="58">
        <v>125</v>
      </c>
      <c r="G54" s="59">
        <v>82500</v>
      </c>
      <c r="H54" s="60">
        <v>66</v>
      </c>
      <c r="I54" s="61">
        <v>23760</v>
      </c>
      <c r="J54" s="58">
        <v>40</v>
      </c>
      <c r="K54" s="59">
        <v>26400</v>
      </c>
      <c r="L54" s="49">
        <v>120</v>
      </c>
      <c r="M54" s="50">
        <v>79200</v>
      </c>
      <c r="N54" s="49">
        <v>112</v>
      </c>
      <c r="O54" s="50">
        <v>73920</v>
      </c>
      <c r="P54" s="49"/>
      <c r="Q54" s="53"/>
      <c r="R54" s="49">
        <v>72</v>
      </c>
      <c r="S54" s="53">
        <v>47520</v>
      </c>
      <c r="T54" s="49">
        <v>104</v>
      </c>
      <c r="U54" s="53">
        <v>68640</v>
      </c>
      <c r="V54" s="49">
        <v>30</v>
      </c>
      <c r="W54" s="53">
        <v>19800</v>
      </c>
      <c r="X54" s="53"/>
      <c r="Y54" s="53"/>
      <c r="Z54" s="53"/>
      <c r="AA54" s="53"/>
      <c r="AB54" s="53">
        <v>123</v>
      </c>
      <c r="AC54" s="53">
        <v>81180</v>
      </c>
      <c r="AD54" s="62">
        <f t="shared" si="0"/>
        <v>792</v>
      </c>
      <c r="AE54" s="55">
        <f t="shared" si="1"/>
        <v>502920</v>
      </c>
      <c r="AG54" s="57" t="s">
        <v>758</v>
      </c>
    </row>
    <row r="55" spans="1:33" hidden="1">
      <c r="A55" s="47">
        <v>53</v>
      </c>
      <c r="B55" s="56">
        <v>4971710595499</v>
      </c>
      <c r="C55" s="57" t="s">
        <v>758</v>
      </c>
      <c r="D55" s="75" t="s">
        <v>884</v>
      </c>
      <c r="E55" s="48" t="s">
        <v>759</v>
      </c>
      <c r="F55" s="58"/>
      <c r="G55" s="59"/>
      <c r="H55" s="60">
        <v>124</v>
      </c>
      <c r="I55" s="61">
        <v>47740</v>
      </c>
      <c r="J55" s="58">
        <v>220</v>
      </c>
      <c r="K55" s="59">
        <v>169400</v>
      </c>
      <c r="L55" s="49">
        <v>110</v>
      </c>
      <c r="M55" s="50">
        <v>84700</v>
      </c>
      <c r="N55" s="49">
        <v>38</v>
      </c>
      <c r="O55" s="50">
        <v>29260</v>
      </c>
      <c r="P55" s="49">
        <v>216</v>
      </c>
      <c r="Q55" s="53">
        <v>166320</v>
      </c>
      <c r="R55" s="49"/>
      <c r="S55" s="53"/>
      <c r="T55" s="49">
        <v>20</v>
      </c>
      <c r="U55" s="53">
        <v>15400</v>
      </c>
      <c r="V55" s="49">
        <v>65</v>
      </c>
      <c r="W55" s="53">
        <v>50050</v>
      </c>
      <c r="X55" s="53"/>
      <c r="Y55" s="53"/>
      <c r="Z55" s="53"/>
      <c r="AA55" s="53"/>
      <c r="AB55" s="53">
        <v>30</v>
      </c>
      <c r="AC55" s="53">
        <v>23100</v>
      </c>
      <c r="AD55" s="62">
        <f t="shared" si="0"/>
        <v>823</v>
      </c>
      <c r="AE55" s="55">
        <f t="shared" si="1"/>
        <v>585970</v>
      </c>
      <c r="AG55" s="57" t="s">
        <v>463</v>
      </c>
    </row>
    <row r="56" spans="1:33" hidden="1">
      <c r="A56" s="47">
        <v>54</v>
      </c>
      <c r="B56" s="56">
        <v>4971710576627</v>
      </c>
      <c r="C56" s="57" t="s">
        <v>613</v>
      </c>
      <c r="D56" s="75" t="s">
        <v>884</v>
      </c>
      <c r="E56" s="48" t="s">
        <v>614</v>
      </c>
      <c r="F56" s="58">
        <v>10</v>
      </c>
      <c r="G56" s="59">
        <v>7700</v>
      </c>
      <c r="H56" s="60">
        <v>604</v>
      </c>
      <c r="I56" s="61">
        <v>232540</v>
      </c>
      <c r="J56" s="58">
        <v>30</v>
      </c>
      <c r="K56" s="59">
        <v>23100</v>
      </c>
      <c r="L56" s="49">
        <v>12</v>
      </c>
      <c r="M56" s="50">
        <v>9240</v>
      </c>
      <c r="N56" s="49">
        <v>30</v>
      </c>
      <c r="O56" s="50">
        <v>23100</v>
      </c>
      <c r="P56" s="49"/>
      <c r="Q56" s="53"/>
      <c r="R56" s="49">
        <v>96</v>
      </c>
      <c r="S56" s="53">
        <v>73920</v>
      </c>
      <c r="T56" s="49">
        <v>36</v>
      </c>
      <c r="U56" s="53">
        <v>27720</v>
      </c>
      <c r="V56" s="49">
        <v>20</v>
      </c>
      <c r="W56" s="53">
        <v>15400</v>
      </c>
      <c r="X56" s="53"/>
      <c r="Y56" s="53"/>
      <c r="Z56" s="53"/>
      <c r="AA56" s="53"/>
      <c r="AB56" s="53">
        <v>200</v>
      </c>
      <c r="AC56" s="53">
        <v>154000</v>
      </c>
      <c r="AD56" s="62">
        <f t="shared" si="0"/>
        <v>1038</v>
      </c>
      <c r="AE56" s="55">
        <f t="shared" si="1"/>
        <v>566720</v>
      </c>
      <c r="AG56" s="57" t="s">
        <v>458</v>
      </c>
    </row>
    <row r="57" spans="1:33" hidden="1">
      <c r="A57" s="47">
        <v>55</v>
      </c>
      <c r="B57" s="56">
        <v>4971710582864</v>
      </c>
      <c r="C57" s="57" t="s">
        <v>694</v>
      </c>
      <c r="D57" s="75" t="s">
        <v>884</v>
      </c>
      <c r="E57" s="48" t="s">
        <v>695</v>
      </c>
      <c r="F57" s="58"/>
      <c r="G57" s="59"/>
      <c r="H57" s="60">
        <v>632</v>
      </c>
      <c r="I57" s="61">
        <v>225940</v>
      </c>
      <c r="J57" s="58">
        <v>8</v>
      </c>
      <c r="K57" s="59">
        <v>5720</v>
      </c>
      <c r="L57" s="49">
        <v>6</v>
      </c>
      <c r="M57" s="50">
        <v>4290</v>
      </c>
      <c r="N57" s="49">
        <v>42</v>
      </c>
      <c r="O57" s="50">
        <v>30030</v>
      </c>
      <c r="P57" s="49"/>
      <c r="Q57" s="53"/>
      <c r="R57" s="49">
        <v>2</v>
      </c>
      <c r="S57" s="53">
        <v>1430</v>
      </c>
      <c r="T57" s="49"/>
      <c r="U57" s="53"/>
      <c r="V57" s="49">
        <v>354</v>
      </c>
      <c r="W57" s="53">
        <v>253110</v>
      </c>
      <c r="X57" s="53"/>
      <c r="Y57" s="53"/>
      <c r="Z57" s="53"/>
      <c r="AA57" s="53"/>
      <c r="AB57" s="53"/>
      <c r="AC57" s="53"/>
      <c r="AD57" s="62">
        <f t="shared" si="0"/>
        <v>1044</v>
      </c>
      <c r="AE57" s="55">
        <f t="shared" si="1"/>
        <v>520520</v>
      </c>
      <c r="AG57" s="57" t="s">
        <v>122</v>
      </c>
    </row>
    <row r="58" spans="1:33" hidden="1">
      <c r="A58" s="47">
        <v>56</v>
      </c>
      <c r="B58" s="56">
        <v>4971710561210</v>
      </c>
      <c r="C58" s="57" t="s">
        <v>463</v>
      </c>
      <c r="D58" s="75" t="s">
        <v>884</v>
      </c>
      <c r="E58" s="48" t="s">
        <v>464</v>
      </c>
      <c r="F58" s="58">
        <v>91</v>
      </c>
      <c r="G58" s="59">
        <v>70070</v>
      </c>
      <c r="H58" s="60">
        <v>160</v>
      </c>
      <c r="I58" s="61">
        <v>61600</v>
      </c>
      <c r="J58" s="58">
        <v>2</v>
      </c>
      <c r="K58" s="59">
        <v>1540</v>
      </c>
      <c r="L58" s="49">
        <v>84</v>
      </c>
      <c r="M58" s="50">
        <v>64680</v>
      </c>
      <c r="N58" s="49">
        <v>108</v>
      </c>
      <c r="O58" s="50">
        <v>83160</v>
      </c>
      <c r="P58" s="49">
        <v>5</v>
      </c>
      <c r="Q58" s="53">
        <v>3850</v>
      </c>
      <c r="R58" s="49">
        <v>66</v>
      </c>
      <c r="S58" s="53">
        <v>50820</v>
      </c>
      <c r="T58" s="49">
        <v>40</v>
      </c>
      <c r="U58" s="53">
        <v>30800</v>
      </c>
      <c r="V58" s="49">
        <v>87</v>
      </c>
      <c r="W58" s="53">
        <v>66990</v>
      </c>
      <c r="X58" s="53"/>
      <c r="Y58" s="53"/>
      <c r="Z58" s="53"/>
      <c r="AA58" s="53"/>
      <c r="AB58" s="53">
        <v>148</v>
      </c>
      <c r="AC58" s="53">
        <v>113960</v>
      </c>
      <c r="AD58" s="62">
        <f t="shared" si="0"/>
        <v>791</v>
      </c>
      <c r="AE58" s="55">
        <f t="shared" si="1"/>
        <v>547470</v>
      </c>
      <c r="AG58" s="57" t="s">
        <v>756</v>
      </c>
    </row>
    <row r="59" spans="1:33" hidden="1">
      <c r="A59" s="47">
        <v>57</v>
      </c>
      <c r="B59" s="56">
        <v>4971710599923</v>
      </c>
      <c r="C59" s="57" t="s">
        <v>973</v>
      </c>
      <c r="D59" s="75" t="s">
        <v>1080</v>
      </c>
      <c r="E59" s="48" t="s">
        <v>974</v>
      </c>
      <c r="F59" s="58"/>
      <c r="G59" s="59"/>
      <c r="H59" s="60"/>
      <c r="I59" s="61"/>
      <c r="J59" s="58"/>
      <c r="K59" s="59"/>
      <c r="L59" s="49"/>
      <c r="M59" s="50"/>
      <c r="N59" s="49"/>
      <c r="O59" s="50"/>
      <c r="P59" s="49"/>
      <c r="Q59" s="53"/>
      <c r="R59" s="49"/>
      <c r="S59" s="53"/>
      <c r="T59" s="49"/>
      <c r="U59" s="53"/>
      <c r="V59" s="49">
        <v>180</v>
      </c>
      <c r="W59" s="53">
        <v>297000</v>
      </c>
      <c r="X59" s="53"/>
      <c r="Y59" s="53"/>
      <c r="Z59" s="53"/>
      <c r="AA59" s="53"/>
      <c r="AB59" s="53">
        <v>517</v>
      </c>
      <c r="AC59" s="53">
        <v>853050</v>
      </c>
      <c r="AD59" s="63">
        <f t="shared" si="0"/>
        <v>697</v>
      </c>
      <c r="AE59" s="55">
        <f t="shared" si="1"/>
        <v>1150050</v>
      </c>
      <c r="AG59" s="57" t="s">
        <v>120</v>
      </c>
    </row>
    <row r="60" spans="1:33">
      <c r="A60" s="47">
        <v>58</v>
      </c>
      <c r="B60" s="56">
        <v>4971710556766</v>
      </c>
      <c r="C60" s="57" t="s">
        <v>444</v>
      </c>
      <c r="D60" s="75" t="s">
        <v>1088</v>
      </c>
      <c r="E60" s="48" t="s">
        <v>445</v>
      </c>
      <c r="F60" s="58">
        <v>410</v>
      </c>
      <c r="G60" s="59">
        <v>270600</v>
      </c>
      <c r="H60" s="60">
        <v>276</v>
      </c>
      <c r="I60" s="61">
        <v>91080</v>
      </c>
      <c r="J60" s="58">
        <v>18</v>
      </c>
      <c r="K60" s="59">
        <v>11880</v>
      </c>
      <c r="L60" s="49">
        <v>120</v>
      </c>
      <c r="M60" s="50">
        <v>79200</v>
      </c>
      <c r="N60" s="49"/>
      <c r="O60" s="50"/>
      <c r="P60" s="49"/>
      <c r="Q60" s="53"/>
      <c r="R60" s="49"/>
      <c r="S60" s="53"/>
      <c r="T60" s="49"/>
      <c r="U60" s="53"/>
      <c r="V60" s="49"/>
      <c r="W60" s="53"/>
      <c r="X60" s="53"/>
      <c r="Y60" s="53"/>
      <c r="Z60" s="53"/>
      <c r="AA60" s="53"/>
      <c r="AB60" s="53"/>
      <c r="AC60" s="53"/>
      <c r="AD60" s="62">
        <f t="shared" si="0"/>
        <v>824</v>
      </c>
      <c r="AE60" s="55">
        <f t="shared" si="1"/>
        <v>452760</v>
      </c>
      <c r="AG60" s="57" t="s">
        <v>432</v>
      </c>
    </row>
    <row r="61" spans="1:33" hidden="1">
      <c r="A61" s="47">
        <v>59</v>
      </c>
      <c r="B61" s="56">
        <v>4971710494211</v>
      </c>
      <c r="C61" s="57" t="s">
        <v>122</v>
      </c>
      <c r="D61" s="75" t="s">
        <v>884</v>
      </c>
      <c r="E61" s="48" t="s">
        <v>123</v>
      </c>
      <c r="F61" s="58">
        <v>26</v>
      </c>
      <c r="G61" s="59">
        <v>7721</v>
      </c>
      <c r="H61" s="60">
        <v>24</v>
      </c>
      <c r="I61" s="61">
        <v>3564</v>
      </c>
      <c r="J61" s="58">
        <v>10</v>
      </c>
      <c r="K61" s="59">
        <v>2970</v>
      </c>
      <c r="L61" s="49">
        <v>68</v>
      </c>
      <c r="M61" s="50">
        <v>20196</v>
      </c>
      <c r="N61" s="49">
        <v>40</v>
      </c>
      <c r="O61" s="50">
        <v>11880</v>
      </c>
      <c r="P61" s="49">
        <v>12</v>
      </c>
      <c r="Q61" s="53">
        <v>3564</v>
      </c>
      <c r="R61" s="49">
        <v>204</v>
      </c>
      <c r="S61" s="53">
        <v>60588</v>
      </c>
      <c r="T61" s="49">
        <v>104</v>
      </c>
      <c r="U61" s="53">
        <v>30888</v>
      </c>
      <c r="V61" s="49">
        <v>76</v>
      </c>
      <c r="W61" s="53">
        <v>22572</v>
      </c>
      <c r="X61" s="53"/>
      <c r="Y61" s="53"/>
      <c r="Z61" s="53"/>
      <c r="AA61" s="53"/>
      <c r="AB61" s="53">
        <v>126</v>
      </c>
      <c r="AC61" s="53">
        <v>37422</v>
      </c>
      <c r="AD61" s="62">
        <f t="shared" si="0"/>
        <v>690</v>
      </c>
      <c r="AE61" s="55">
        <f t="shared" si="1"/>
        <v>201365</v>
      </c>
      <c r="AG61" s="57" t="s">
        <v>260</v>
      </c>
    </row>
    <row r="62" spans="1:33" hidden="1">
      <c r="A62" s="47">
        <v>60</v>
      </c>
      <c r="B62" s="56">
        <v>4971710541212</v>
      </c>
      <c r="C62" s="57" t="s">
        <v>432</v>
      </c>
      <c r="D62" s="75" t="s">
        <v>1080</v>
      </c>
      <c r="E62" s="48" t="s">
        <v>433</v>
      </c>
      <c r="F62" s="58">
        <v>138</v>
      </c>
      <c r="G62" s="59">
        <v>242880</v>
      </c>
      <c r="H62" s="60">
        <v>20</v>
      </c>
      <c r="I62" s="61">
        <v>28160</v>
      </c>
      <c r="J62" s="58"/>
      <c r="K62" s="59"/>
      <c r="L62" s="49">
        <v>43</v>
      </c>
      <c r="M62" s="50">
        <v>75680</v>
      </c>
      <c r="N62" s="49">
        <v>319</v>
      </c>
      <c r="O62" s="50">
        <v>561440</v>
      </c>
      <c r="P62" s="49"/>
      <c r="Q62" s="53"/>
      <c r="R62" s="49">
        <v>1</v>
      </c>
      <c r="S62" s="53">
        <v>1760</v>
      </c>
      <c r="T62" s="49"/>
      <c r="U62" s="53"/>
      <c r="V62" s="49">
        <v>156</v>
      </c>
      <c r="W62" s="53">
        <v>274560</v>
      </c>
      <c r="X62" s="53"/>
      <c r="Y62" s="53"/>
      <c r="Z62" s="53"/>
      <c r="AA62" s="53"/>
      <c r="AB62" s="53"/>
      <c r="AC62" s="53"/>
      <c r="AD62" s="62">
        <f t="shared" si="0"/>
        <v>677</v>
      </c>
      <c r="AE62" s="55">
        <f t="shared" si="1"/>
        <v>1184480</v>
      </c>
      <c r="AG62" s="57" t="s">
        <v>716</v>
      </c>
    </row>
    <row r="63" spans="1:33" hidden="1">
      <c r="A63" s="47">
        <v>61</v>
      </c>
      <c r="B63" s="56">
        <v>4971710592993</v>
      </c>
      <c r="C63" s="57" t="s">
        <v>746</v>
      </c>
      <c r="D63" s="75" t="s">
        <v>884</v>
      </c>
      <c r="E63" s="48" t="s">
        <v>747</v>
      </c>
      <c r="F63" s="58">
        <v>65</v>
      </c>
      <c r="G63" s="59">
        <v>39325</v>
      </c>
      <c r="H63" s="60"/>
      <c r="I63" s="61"/>
      <c r="J63" s="58"/>
      <c r="K63" s="59"/>
      <c r="L63" s="49"/>
      <c r="M63" s="50"/>
      <c r="N63" s="49"/>
      <c r="O63" s="50"/>
      <c r="P63" s="49"/>
      <c r="Q63" s="53"/>
      <c r="R63" s="49">
        <v>232</v>
      </c>
      <c r="S63" s="53">
        <v>140360</v>
      </c>
      <c r="T63" s="49">
        <v>30</v>
      </c>
      <c r="U63" s="53">
        <v>18150</v>
      </c>
      <c r="V63" s="49">
        <v>8</v>
      </c>
      <c r="W63" s="53">
        <v>4840</v>
      </c>
      <c r="X63" s="53"/>
      <c r="Y63" s="53"/>
      <c r="Z63" s="53"/>
      <c r="AA63" s="53"/>
      <c r="AB63" s="53">
        <v>330</v>
      </c>
      <c r="AC63" s="53">
        <v>199650</v>
      </c>
      <c r="AD63" s="62">
        <f t="shared" si="0"/>
        <v>665</v>
      </c>
      <c r="AE63" s="55">
        <f t="shared" si="1"/>
        <v>402325</v>
      </c>
      <c r="AG63" s="57">
        <f>VLOOKUP(AF63,[2]SEK!$E:$F,2,0)</f>
        <v>0</v>
      </c>
    </row>
    <row r="64" spans="1:33" hidden="1">
      <c r="A64" s="47">
        <v>62</v>
      </c>
      <c r="B64" s="56">
        <v>4971710593044</v>
      </c>
      <c r="C64" s="57" t="s">
        <v>756</v>
      </c>
      <c r="D64" s="75" t="s">
        <v>884</v>
      </c>
      <c r="E64" s="48" t="s">
        <v>757</v>
      </c>
      <c r="F64" s="58">
        <v>120</v>
      </c>
      <c r="G64" s="59">
        <v>112200</v>
      </c>
      <c r="H64" s="60">
        <v>394</v>
      </c>
      <c r="I64" s="61">
        <v>184195</v>
      </c>
      <c r="J64" s="58">
        <v>12</v>
      </c>
      <c r="K64" s="59">
        <v>11220</v>
      </c>
      <c r="L64" s="49">
        <v>36</v>
      </c>
      <c r="M64" s="50">
        <v>33660</v>
      </c>
      <c r="N64" s="49">
        <v>100</v>
      </c>
      <c r="O64" s="50">
        <v>93500</v>
      </c>
      <c r="P64" s="49"/>
      <c r="Q64" s="53"/>
      <c r="R64" s="49">
        <v>102</v>
      </c>
      <c r="S64" s="53">
        <v>95370</v>
      </c>
      <c r="T64" s="49"/>
      <c r="U64" s="53"/>
      <c r="V64" s="49">
        <v>15</v>
      </c>
      <c r="W64" s="53">
        <v>14025</v>
      </c>
      <c r="X64" s="53"/>
      <c r="Y64" s="53"/>
      <c r="Z64" s="53"/>
      <c r="AA64" s="53"/>
      <c r="AB64" s="53">
        <v>82</v>
      </c>
      <c r="AC64" s="53">
        <v>76670</v>
      </c>
      <c r="AD64" s="62">
        <f t="shared" si="0"/>
        <v>861</v>
      </c>
      <c r="AE64" s="55">
        <f t="shared" si="1"/>
        <v>620840</v>
      </c>
      <c r="AG64" s="57" t="s">
        <v>766</v>
      </c>
    </row>
    <row r="65" spans="1:33" hidden="1">
      <c r="A65" s="47">
        <v>63</v>
      </c>
      <c r="B65" s="56">
        <v>4971710582857</v>
      </c>
      <c r="C65" s="57" t="s">
        <v>692</v>
      </c>
      <c r="D65" s="75" t="s">
        <v>884</v>
      </c>
      <c r="E65" s="48" t="s">
        <v>693</v>
      </c>
      <c r="F65" s="58">
        <v>150</v>
      </c>
      <c r="G65" s="59">
        <v>107250</v>
      </c>
      <c r="H65" s="60">
        <v>152</v>
      </c>
      <c r="I65" s="61">
        <v>54340</v>
      </c>
      <c r="J65" s="58">
        <v>8</v>
      </c>
      <c r="K65" s="59">
        <v>5720</v>
      </c>
      <c r="L65" s="49">
        <v>6</v>
      </c>
      <c r="M65" s="50">
        <v>4290</v>
      </c>
      <c r="N65" s="49">
        <v>2</v>
      </c>
      <c r="O65" s="50">
        <v>1430</v>
      </c>
      <c r="P65" s="49"/>
      <c r="Q65" s="53"/>
      <c r="R65" s="49">
        <v>2</v>
      </c>
      <c r="S65" s="53">
        <v>1430</v>
      </c>
      <c r="T65" s="49">
        <v>10</v>
      </c>
      <c r="U65" s="53">
        <v>7150</v>
      </c>
      <c r="V65" s="49">
        <v>300</v>
      </c>
      <c r="W65" s="53">
        <v>214500</v>
      </c>
      <c r="X65" s="53"/>
      <c r="Y65" s="53"/>
      <c r="Z65" s="53"/>
      <c r="AA65" s="53"/>
      <c r="AB65" s="53">
        <v>82</v>
      </c>
      <c r="AC65" s="53">
        <v>58630</v>
      </c>
      <c r="AD65" s="62">
        <f t="shared" si="0"/>
        <v>712</v>
      </c>
      <c r="AE65" s="55">
        <f t="shared" si="1"/>
        <v>454740</v>
      </c>
      <c r="AG65" s="57" t="s">
        <v>94</v>
      </c>
    </row>
    <row r="66" spans="1:33" hidden="1">
      <c r="A66" s="47">
        <v>64</v>
      </c>
      <c r="B66" s="56">
        <v>4971710508833</v>
      </c>
      <c r="C66" s="57" t="s">
        <v>200</v>
      </c>
      <c r="D66" s="75" t="s">
        <v>884</v>
      </c>
      <c r="E66" s="48" t="s">
        <v>201</v>
      </c>
      <c r="F66" s="58">
        <v>6</v>
      </c>
      <c r="G66" s="59">
        <v>5280</v>
      </c>
      <c r="H66" s="60"/>
      <c r="I66" s="61"/>
      <c r="J66" s="58"/>
      <c r="K66" s="59"/>
      <c r="L66" s="49">
        <v>50</v>
      </c>
      <c r="M66" s="50">
        <v>44000</v>
      </c>
      <c r="N66" s="49"/>
      <c r="O66" s="50"/>
      <c r="P66" s="49"/>
      <c r="Q66" s="53"/>
      <c r="R66" s="49">
        <v>35</v>
      </c>
      <c r="S66" s="53">
        <v>30800</v>
      </c>
      <c r="T66" s="49">
        <v>20</v>
      </c>
      <c r="U66" s="53">
        <v>17600</v>
      </c>
      <c r="V66" s="49">
        <v>250</v>
      </c>
      <c r="W66" s="53">
        <v>220000</v>
      </c>
      <c r="X66" s="53"/>
      <c r="Y66" s="53"/>
      <c r="Z66" s="53"/>
      <c r="AA66" s="53"/>
      <c r="AB66" s="53">
        <v>260</v>
      </c>
      <c r="AC66" s="53">
        <v>228800</v>
      </c>
      <c r="AD66" s="62">
        <f t="shared" si="0"/>
        <v>621</v>
      </c>
      <c r="AE66" s="55">
        <f t="shared" si="1"/>
        <v>546480</v>
      </c>
      <c r="AG66" s="57" t="s">
        <v>469</v>
      </c>
    </row>
    <row r="67" spans="1:33" hidden="1">
      <c r="A67" s="47">
        <v>65</v>
      </c>
      <c r="B67" s="56">
        <v>4971710580471</v>
      </c>
      <c r="C67" s="57" t="s">
        <v>682</v>
      </c>
      <c r="D67" s="75" t="s">
        <v>1078</v>
      </c>
      <c r="E67" s="48" t="s">
        <v>683</v>
      </c>
      <c r="F67" s="58">
        <v>120</v>
      </c>
      <c r="G67" s="59">
        <v>79200</v>
      </c>
      <c r="H67" s="60">
        <v>4</v>
      </c>
      <c r="I67" s="61">
        <v>1320</v>
      </c>
      <c r="J67" s="58">
        <v>32</v>
      </c>
      <c r="K67" s="59">
        <v>21120</v>
      </c>
      <c r="L67" s="49">
        <v>12</v>
      </c>
      <c r="M67" s="50">
        <v>7920</v>
      </c>
      <c r="N67" s="49">
        <v>60</v>
      </c>
      <c r="O67" s="50">
        <v>39600</v>
      </c>
      <c r="P67" s="49">
        <v>6</v>
      </c>
      <c r="Q67" s="53">
        <v>3960</v>
      </c>
      <c r="R67" s="49">
        <v>105</v>
      </c>
      <c r="S67" s="53">
        <v>69300</v>
      </c>
      <c r="T67" s="49">
        <v>154</v>
      </c>
      <c r="U67" s="53">
        <v>101640</v>
      </c>
      <c r="V67" s="49">
        <v>6</v>
      </c>
      <c r="W67" s="53">
        <v>3960</v>
      </c>
      <c r="X67" s="53"/>
      <c r="Y67" s="53"/>
      <c r="Z67" s="53"/>
      <c r="AA67" s="53"/>
      <c r="AB67" s="53">
        <v>120</v>
      </c>
      <c r="AC67" s="53">
        <v>79200</v>
      </c>
      <c r="AD67" s="62">
        <f t="shared" si="0"/>
        <v>619</v>
      </c>
      <c r="AE67" s="55">
        <f t="shared" si="1"/>
        <v>407220</v>
      </c>
      <c r="AG67" s="57" t="s">
        <v>611</v>
      </c>
    </row>
    <row r="68" spans="1:33" hidden="1">
      <c r="A68" s="47">
        <v>66</v>
      </c>
      <c r="B68" s="56">
        <v>4971710523065</v>
      </c>
      <c r="C68" s="57" t="s">
        <v>394</v>
      </c>
      <c r="D68" s="75" t="s">
        <v>1078</v>
      </c>
      <c r="E68" s="48" t="s">
        <v>395</v>
      </c>
      <c r="F68" s="58">
        <v>96</v>
      </c>
      <c r="G68" s="59">
        <v>84480</v>
      </c>
      <c r="H68" s="60">
        <v>12</v>
      </c>
      <c r="I68" s="61">
        <v>5280</v>
      </c>
      <c r="J68" s="58">
        <v>78</v>
      </c>
      <c r="K68" s="59">
        <v>68640</v>
      </c>
      <c r="L68" s="49">
        <v>11</v>
      </c>
      <c r="M68" s="50">
        <v>9680</v>
      </c>
      <c r="N68" s="49">
        <v>80</v>
      </c>
      <c r="O68" s="50">
        <v>70400</v>
      </c>
      <c r="P68" s="49"/>
      <c r="Q68" s="53"/>
      <c r="R68" s="49">
        <v>98</v>
      </c>
      <c r="S68" s="53">
        <v>86240</v>
      </c>
      <c r="T68" s="49">
        <v>66</v>
      </c>
      <c r="U68" s="53">
        <v>58080</v>
      </c>
      <c r="V68" s="49">
        <v>90</v>
      </c>
      <c r="W68" s="53">
        <v>79200</v>
      </c>
      <c r="X68" s="53"/>
      <c r="Y68" s="53"/>
      <c r="Z68" s="53"/>
      <c r="AA68" s="53"/>
      <c r="AB68" s="53">
        <v>90</v>
      </c>
      <c r="AC68" s="53">
        <v>79200</v>
      </c>
      <c r="AD68" s="62">
        <f t="shared" ref="AD68:AD131" si="2">F68+H68+J68+L68+N68+P68+R68+T68+V68+X68+Z68+AB68</f>
        <v>621</v>
      </c>
      <c r="AE68" s="55">
        <f t="shared" ref="AE68:AE131" si="3">G68+I68+K68+M68+O68+Q68+S68+U68+W68+Y68+AA68+AC68</f>
        <v>541200</v>
      </c>
      <c r="AG68" s="57" t="s">
        <v>541</v>
      </c>
    </row>
    <row r="69" spans="1:33" hidden="1">
      <c r="A69" s="47">
        <v>67</v>
      </c>
      <c r="B69" s="56">
        <v>4971710582338</v>
      </c>
      <c r="C69" s="57" t="s">
        <v>993</v>
      </c>
      <c r="D69" s="75" t="s">
        <v>1085</v>
      </c>
      <c r="E69" s="48" t="s">
        <v>860</v>
      </c>
      <c r="F69" s="58"/>
      <c r="G69" s="59"/>
      <c r="H69" s="60"/>
      <c r="I69" s="61"/>
      <c r="J69" s="58"/>
      <c r="K69" s="59"/>
      <c r="L69" s="49"/>
      <c r="M69" s="50"/>
      <c r="N69" s="49">
        <v>266</v>
      </c>
      <c r="O69" s="50">
        <v>526680</v>
      </c>
      <c r="P69" s="49"/>
      <c r="Q69" s="53"/>
      <c r="R69" s="49"/>
      <c r="S69" s="53"/>
      <c r="T69" s="49"/>
      <c r="U69" s="53"/>
      <c r="V69" s="49">
        <v>130</v>
      </c>
      <c r="W69" s="53">
        <v>257400</v>
      </c>
      <c r="X69" s="53"/>
      <c r="Y69" s="53"/>
      <c r="Z69" s="53"/>
      <c r="AA69" s="53"/>
      <c r="AB69" s="53">
        <v>216</v>
      </c>
      <c r="AC69" s="53">
        <v>463320</v>
      </c>
      <c r="AD69" s="62">
        <f t="shared" si="2"/>
        <v>612</v>
      </c>
      <c r="AE69" s="55">
        <f t="shared" si="3"/>
        <v>1247400</v>
      </c>
      <c r="AG69" s="57" t="s">
        <v>394</v>
      </c>
    </row>
    <row r="70" spans="1:33" hidden="1">
      <c r="A70" s="47">
        <v>68</v>
      </c>
      <c r="B70" s="56">
        <v>4971710599954</v>
      </c>
      <c r="C70" s="57" t="s">
        <v>975</v>
      </c>
      <c r="D70" s="75" t="s">
        <v>1080</v>
      </c>
      <c r="E70" s="48" t="s">
        <v>976</v>
      </c>
      <c r="F70" s="58"/>
      <c r="G70" s="59"/>
      <c r="H70" s="60"/>
      <c r="I70" s="61"/>
      <c r="J70" s="58"/>
      <c r="K70" s="59"/>
      <c r="L70" s="49"/>
      <c r="M70" s="50"/>
      <c r="N70" s="49"/>
      <c r="O70" s="50"/>
      <c r="P70" s="49"/>
      <c r="Q70" s="53"/>
      <c r="R70" s="49"/>
      <c r="S70" s="53"/>
      <c r="T70" s="49"/>
      <c r="U70" s="53"/>
      <c r="V70" s="49">
        <v>600</v>
      </c>
      <c r="W70" s="53">
        <v>858000</v>
      </c>
      <c r="X70" s="53"/>
      <c r="Y70" s="53"/>
      <c r="Z70" s="53"/>
      <c r="AA70" s="53"/>
      <c r="AB70" s="53"/>
      <c r="AC70" s="53"/>
      <c r="AD70" s="63">
        <f t="shared" si="2"/>
        <v>600</v>
      </c>
      <c r="AE70" s="55">
        <f t="shared" si="3"/>
        <v>858000</v>
      </c>
      <c r="AG70" s="57">
        <f>VLOOKUP(AF70,[2]SEK!$E:$F,2,0)</f>
        <v>0</v>
      </c>
    </row>
    <row r="71" spans="1:33" hidden="1">
      <c r="A71" s="47">
        <v>69</v>
      </c>
      <c r="B71" s="56">
        <v>4971710585254</v>
      </c>
      <c r="C71" s="57" t="s">
        <v>997</v>
      </c>
      <c r="D71" s="75" t="s">
        <v>1085</v>
      </c>
      <c r="E71" s="48" t="s">
        <v>859</v>
      </c>
      <c r="F71" s="58"/>
      <c r="G71" s="59"/>
      <c r="H71" s="60"/>
      <c r="I71" s="61"/>
      <c r="J71" s="58"/>
      <c r="K71" s="59"/>
      <c r="L71" s="49"/>
      <c r="M71" s="50"/>
      <c r="N71" s="49">
        <v>192</v>
      </c>
      <c r="O71" s="50">
        <v>264000</v>
      </c>
      <c r="P71" s="49"/>
      <c r="Q71" s="53"/>
      <c r="R71" s="49"/>
      <c r="S71" s="53"/>
      <c r="T71" s="49">
        <v>20</v>
      </c>
      <c r="U71" s="53">
        <v>27500</v>
      </c>
      <c r="V71" s="49">
        <v>275</v>
      </c>
      <c r="W71" s="53">
        <v>378125</v>
      </c>
      <c r="X71" s="53"/>
      <c r="Y71" s="53"/>
      <c r="Z71" s="53"/>
      <c r="AA71" s="53"/>
      <c r="AB71" s="53">
        <v>99</v>
      </c>
      <c r="AC71" s="53">
        <v>147015</v>
      </c>
      <c r="AD71" s="63">
        <f t="shared" si="2"/>
        <v>586</v>
      </c>
      <c r="AE71" s="55">
        <f t="shared" si="3"/>
        <v>816640</v>
      </c>
      <c r="AG71" s="57" t="s">
        <v>132</v>
      </c>
    </row>
    <row r="72" spans="1:33" hidden="1">
      <c r="A72" s="47">
        <v>70</v>
      </c>
      <c r="B72" s="56">
        <v>4971710494914</v>
      </c>
      <c r="C72" s="57" t="s">
        <v>132</v>
      </c>
      <c r="D72" s="75" t="s">
        <v>884</v>
      </c>
      <c r="E72" s="48" t="s">
        <v>133</v>
      </c>
      <c r="F72" s="58"/>
      <c r="G72" s="59"/>
      <c r="H72" s="60">
        <v>40</v>
      </c>
      <c r="I72" s="61">
        <v>13200</v>
      </c>
      <c r="J72" s="58">
        <v>20</v>
      </c>
      <c r="K72" s="59">
        <v>13200</v>
      </c>
      <c r="L72" s="49">
        <v>130</v>
      </c>
      <c r="M72" s="50">
        <v>85800</v>
      </c>
      <c r="N72" s="49">
        <v>50</v>
      </c>
      <c r="O72" s="50">
        <v>33000</v>
      </c>
      <c r="P72" s="49">
        <v>100</v>
      </c>
      <c r="Q72" s="53">
        <v>66000</v>
      </c>
      <c r="R72" s="49">
        <v>100</v>
      </c>
      <c r="S72" s="53">
        <v>66000</v>
      </c>
      <c r="T72" s="49"/>
      <c r="U72" s="53"/>
      <c r="V72" s="49"/>
      <c r="W72" s="53"/>
      <c r="X72" s="53"/>
      <c r="Y72" s="53"/>
      <c r="Z72" s="53"/>
      <c r="AA72" s="53"/>
      <c r="AB72" s="53">
        <v>150</v>
      </c>
      <c r="AC72" s="53">
        <v>99000</v>
      </c>
      <c r="AD72" s="62">
        <f t="shared" si="2"/>
        <v>590</v>
      </c>
      <c r="AE72" s="55">
        <f t="shared" si="3"/>
        <v>376200</v>
      </c>
      <c r="AG72" s="57" t="s">
        <v>752</v>
      </c>
    </row>
    <row r="73" spans="1:33" hidden="1">
      <c r="A73" s="47">
        <v>71</v>
      </c>
      <c r="B73" s="56">
        <v>4971710299212</v>
      </c>
      <c r="C73" s="57" t="s">
        <v>14</v>
      </c>
      <c r="D73" s="75" t="s">
        <v>1080</v>
      </c>
      <c r="E73" s="48" t="s">
        <v>15</v>
      </c>
      <c r="F73" s="58">
        <v>562</v>
      </c>
      <c r="G73" s="59">
        <v>556380</v>
      </c>
      <c r="H73" s="60"/>
      <c r="I73" s="61"/>
      <c r="J73" s="58"/>
      <c r="K73" s="59"/>
      <c r="L73" s="49"/>
      <c r="M73" s="50"/>
      <c r="N73" s="49"/>
      <c r="O73" s="50"/>
      <c r="P73" s="49"/>
      <c r="Q73" s="53"/>
      <c r="R73" s="49"/>
      <c r="S73" s="53"/>
      <c r="T73" s="49"/>
      <c r="U73" s="53"/>
      <c r="V73" s="49"/>
      <c r="W73" s="53"/>
      <c r="X73" s="53"/>
      <c r="Y73" s="53"/>
      <c r="Z73" s="53"/>
      <c r="AA73" s="53"/>
      <c r="AB73" s="53"/>
      <c r="AC73" s="53"/>
      <c r="AD73" s="62">
        <f t="shared" si="2"/>
        <v>562</v>
      </c>
      <c r="AE73" s="55">
        <f t="shared" si="3"/>
        <v>556380</v>
      </c>
      <c r="AG73" s="57">
        <f>VLOOKUP(AF73,[2]SEK!$E:$F,2,0)</f>
        <v>0</v>
      </c>
    </row>
    <row r="74" spans="1:33" hidden="1">
      <c r="A74" s="47">
        <v>72</v>
      </c>
      <c r="B74" s="56">
        <v>4971710595536</v>
      </c>
      <c r="C74" s="57" t="s">
        <v>766</v>
      </c>
      <c r="D74" s="75" t="s">
        <v>884</v>
      </c>
      <c r="E74" s="48" t="s">
        <v>767</v>
      </c>
      <c r="F74" s="58"/>
      <c r="G74" s="59"/>
      <c r="H74" s="60">
        <v>128</v>
      </c>
      <c r="I74" s="61">
        <v>49280</v>
      </c>
      <c r="J74" s="58">
        <v>136</v>
      </c>
      <c r="K74" s="59">
        <v>104720</v>
      </c>
      <c r="L74" s="49">
        <v>176</v>
      </c>
      <c r="M74" s="50">
        <v>135520</v>
      </c>
      <c r="N74" s="49">
        <v>30</v>
      </c>
      <c r="O74" s="50">
        <v>23100</v>
      </c>
      <c r="P74" s="49">
        <v>86</v>
      </c>
      <c r="Q74" s="53">
        <v>66220</v>
      </c>
      <c r="R74" s="49"/>
      <c r="S74" s="53"/>
      <c r="T74" s="49"/>
      <c r="U74" s="53"/>
      <c r="V74" s="49">
        <v>65</v>
      </c>
      <c r="W74" s="53">
        <v>50050</v>
      </c>
      <c r="X74" s="53"/>
      <c r="Y74" s="53"/>
      <c r="Z74" s="53"/>
      <c r="AA74" s="53"/>
      <c r="AB74" s="53"/>
      <c r="AC74" s="53"/>
      <c r="AD74" s="62">
        <f t="shared" si="2"/>
        <v>621</v>
      </c>
      <c r="AE74" s="55">
        <f t="shared" si="3"/>
        <v>428890</v>
      </c>
      <c r="AG74" s="57" t="s">
        <v>112</v>
      </c>
    </row>
    <row r="75" spans="1:33" hidden="1">
      <c r="A75" s="47">
        <v>73</v>
      </c>
      <c r="B75" s="56">
        <v>4971710494204</v>
      </c>
      <c r="C75" s="57" t="s">
        <v>120</v>
      </c>
      <c r="D75" s="75" t="s">
        <v>884</v>
      </c>
      <c r="E75" s="48" t="s">
        <v>121</v>
      </c>
      <c r="F75" s="58">
        <v>80</v>
      </c>
      <c r="G75" s="59">
        <v>23760</v>
      </c>
      <c r="H75" s="60">
        <v>304</v>
      </c>
      <c r="I75" s="61">
        <v>45144</v>
      </c>
      <c r="J75" s="58">
        <v>6</v>
      </c>
      <c r="K75" s="59">
        <v>1782</v>
      </c>
      <c r="L75" s="49">
        <v>56</v>
      </c>
      <c r="M75" s="50">
        <v>16632</v>
      </c>
      <c r="N75" s="49">
        <v>106</v>
      </c>
      <c r="O75" s="50">
        <v>31482</v>
      </c>
      <c r="P75" s="49">
        <v>6</v>
      </c>
      <c r="Q75" s="53">
        <v>1782</v>
      </c>
      <c r="R75" s="49">
        <v>16</v>
      </c>
      <c r="S75" s="53">
        <v>4752</v>
      </c>
      <c r="T75" s="49">
        <v>6</v>
      </c>
      <c r="U75" s="53">
        <v>1782</v>
      </c>
      <c r="V75" s="49">
        <v>10</v>
      </c>
      <c r="W75" s="53">
        <v>2970</v>
      </c>
      <c r="X75" s="53"/>
      <c r="Y75" s="53"/>
      <c r="Z75" s="53"/>
      <c r="AA75" s="53"/>
      <c r="AB75" s="53">
        <v>114</v>
      </c>
      <c r="AC75" s="53">
        <v>33858</v>
      </c>
      <c r="AD75" s="62">
        <f t="shared" si="2"/>
        <v>704</v>
      </c>
      <c r="AE75" s="55">
        <f t="shared" si="3"/>
        <v>163944</v>
      </c>
      <c r="AG75" s="57" t="s">
        <v>10</v>
      </c>
    </row>
    <row r="76" spans="1:33" hidden="1">
      <c r="A76" s="47">
        <v>74</v>
      </c>
      <c r="B76" s="56">
        <v>4971710494167</v>
      </c>
      <c r="C76" s="57" t="s">
        <v>112</v>
      </c>
      <c r="D76" s="75" t="s">
        <v>884</v>
      </c>
      <c r="E76" s="48" t="s">
        <v>113</v>
      </c>
      <c r="F76" s="58">
        <v>62</v>
      </c>
      <c r="G76" s="59">
        <v>18413</v>
      </c>
      <c r="H76" s="60">
        <v>188</v>
      </c>
      <c r="I76" s="61">
        <v>27918</v>
      </c>
      <c r="J76" s="58"/>
      <c r="K76" s="59"/>
      <c r="L76" s="49">
        <v>68</v>
      </c>
      <c r="M76" s="50">
        <v>20196</v>
      </c>
      <c r="N76" s="49">
        <v>106</v>
      </c>
      <c r="O76" s="50">
        <v>31482</v>
      </c>
      <c r="P76" s="49">
        <v>18</v>
      </c>
      <c r="Q76" s="53">
        <v>5346</v>
      </c>
      <c r="R76" s="49">
        <v>6</v>
      </c>
      <c r="S76" s="53">
        <v>1782</v>
      </c>
      <c r="T76" s="49">
        <v>12</v>
      </c>
      <c r="U76" s="53">
        <v>3564</v>
      </c>
      <c r="V76" s="49">
        <v>54</v>
      </c>
      <c r="W76" s="53">
        <v>16038</v>
      </c>
      <c r="X76" s="53"/>
      <c r="Y76" s="53"/>
      <c r="Z76" s="53"/>
      <c r="AA76" s="53"/>
      <c r="AB76" s="53">
        <v>108</v>
      </c>
      <c r="AC76" s="53">
        <v>32076</v>
      </c>
      <c r="AD76" s="62">
        <f t="shared" si="2"/>
        <v>622</v>
      </c>
      <c r="AE76" s="55">
        <f t="shared" si="3"/>
        <v>156815</v>
      </c>
      <c r="AG76" s="57" t="s">
        <v>688</v>
      </c>
    </row>
    <row r="77" spans="1:33" hidden="1">
      <c r="A77" s="47">
        <v>75</v>
      </c>
      <c r="B77" s="56">
        <v>4971710295252</v>
      </c>
      <c r="C77" s="57" t="s">
        <v>987</v>
      </c>
      <c r="D77" s="75" t="s">
        <v>1080</v>
      </c>
      <c r="E77" s="48" t="s">
        <v>856</v>
      </c>
      <c r="F77" s="58">
        <v>120</v>
      </c>
      <c r="G77" s="59">
        <v>138600</v>
      </c>
      <c r="H77" s="60">
        <v>148</v>
      </c>
      <c r="I77" s="61">
        <v>106260</v>
      </c>
      <c r="J77" s="58">
        <v>62</v>
      </c>
      <c r="K77" s="59">
        <v>71610</v>
      </c>
      <c r="L77" s="49">
        <v>86</v>
      </c>
      <c r="M77" s="50">
        <v>99330</v>
      </c>
      <c r="N77" s="49">
        <v>160</v>
      </c>
      <c r="O77" s="50">
        <v>184800</v>
      </c>
      <c r="P77" s="49"/>
      <c r="Q77" s="53"/>
      <c r="R77" s="49"/>
      <c r="S77" s="53"/>
      <c r="T77" s="49"/>
      <c r="U77" s="53"/>
      <c r="V77" s="49"/>
      <c r="W77" s="53"/>
      <c r="X77" s="53"/>
      <c r="Y77" s="53"/>
      <c r="Z77" s="53"/>
      <c r="AA77" s="53"/>
      <c r="AB77" s="53"/>
      <c r="AC77" s="53"/>
      <c r="AD77" s="62">
        <f t="shared" si="2"/>
        <v>576</v>
      </c>
      <c r="AE77" s="55">
        <f t="shared" si="3"/>
        <v>600600</v>
      </c>
      <c r="AG77" s="57" t="s">
        <v>278</v>
      </c>
    </row>
    <row r="78" spans="1:33" hidden="1">
      <c r="A78" s="47">
        <v>76</v>
      </c>
      <c r="B78" s="56">
        <v>4971710513622</v>
      </c>
      <c r="C78" s="57" t="s">
        <v>260</v>
      </c>
      <c r="D78" s="75" t="s">
        <v>1078</v>
      </c>
      <c r="E78" s="48" t="s">
        <v>261</v>
      </c>
      <c r="F78" s="58">
        <v>246</v>
      </c>
      <c r="G78" s="59">
        <v>74291</v>
      </c>
      <c r="H78" s="60"/>
      <c r="I78" s="61"/>
      <c r="J78" s="58"/>
      <c r="K78" s="59"/>
      <c r="L78" s="49">
        <v>6</v>
      </c>
      <c r="M78" s="50">
        <v>1812</v>
      </c>
      <c r="N78" s="49">
        <v>60</v>
      </c>
      <c r="O78" s="50">
        <v>18120</v>
      </c>
      <c r="P78" s="49">
        <v>24</v>
      </c>
      <c r="Q78" s="53">
        <v>7248</v>
      </c>
      <c r="R78" s="49">
        <v>64</v>
      </c>
      <c r="S78" s="53">
        <v>19328</v>
      </c>
      <c r="T78" s="49">
        <v>30</v>
      </c>
      <c r="U78" s="53">
        <v>9060</v>
      </c>
      <c r="V78" s="49">
        <v>25</v>
      </c>
      <c r="W78" s="53">
        <v>7550</v>
      </c>
      <c r="X78" s="53"/>
      <c r="Y78" s="53"/>
      <c r="Z78" s="53"/>
      <c r="AA78" s="53"/>
      <c r="AB78" s="53">
        <v>50</v>
      </c>
      <c r="AC78" s="53">
        <v>15100</v>
      </c>
      <c r="AD78" s="62">
        <f t="shared" si="2"/>
        <v>505</v>
      </c>
      <c r="AE78" s="55">
        <f t="shared" si="3"/>
        <v>152509</v>
      </c>
      <c r="AG78" s="57" t="s">
        <v>465</v>
      </c>
    </row>
    <row r="79" spans="1:33" hidden="1">
      <c r="A79" s="47">
        <v>77</v>
      </c>
      <c r="B79" s="56">
        <v>4971710595512</v>
      </c>
      <c r="C79" s="57" t="s">
        <v>762</v>
      </c>
      <c r="D79" s="75" t="s">
        <v>884</v>
      </c>
      <c r="E79" s="48" t="s">
        <v>763</v>
      </c>
      <c r="F79" s="58"/>
      <c r="G79" s="59"/>
      <c r="H79" s="60">
        <v>98</v>
      </c>
      <c r="I79" s="61">
        <v>37730</v>
      </c>
      <c r="J79" s="58">
        <v>67</v>
      </c>
      <c r="K79" s="59">
        <v>51590</v>
      </c>
      <c r="L79" s="49">
        <v>100</v>
      </c>
      <c r="M79" s="50">
        <v>77000</v>
      </c>
      <c r="N79" s="49">
        <v>60</v>
      </c>
      <c r="O79" s="50">
        <v>46200</v>
      </c>
      <c r="P79" s="49">
        <v>60</v>
      </c>
      <c r="Q79" s="53">
        <v>46200</v>
      </c>
      <c r="R79" s="49"/>
      <c r="S79" s="53"/>
      <c r="T79" s="49"/>
      <c r="U79" s="53"/>
      <c r="V79" s="49">
        <v>95</v>
      </c>
      <c r="W79" s="53">
        <v>73150</v>
      </c>
      <c r="X79" s="53"/>
      <c r="Y79" s="53"/>
      <c r="Z79" s="53"/>
      <c r="AA79" s="53"/>
      <c r="AB79" s="53">
        <v>70</v>
      </c>
      <c r="AC79" s="53">
        <v>53900</v>
      </c>
      <c r="AD79" s="62">
        <f t="shared" si="2"/>
        <v>550</v>
      </c>
      <c r="AE79" s="55">
        <f t="shared" si="3"/>
        <v>385770</v>
      </c>
      <c r="AG79" s="57" t="s">
        <v>714</v>
      </c>
    </row>
    <row r="80" spans="1:33" hidden="1">
      <c r="A80" s="47">
        <v>78</v>
      </c>
      <c r="B80" s="56">
        <v>4971710599985</v>
      </c>
      <c r="C80" s="57" t="s">
        <v>979</v>
      </c>
      <c r="D80" s="75" t="s">
        <v>1080</v>
      </c>
      <c r="E80" s="48" t="s">
        <v>978</v>
      </c>
      <c r="F80" s="58"/>
      <c r="G80" s="59"/>
      <c r="H80" s="60"/>
      <c r="I80" s="61"/>
      <c r="J80" s="58"/>
      <c r="K80" s="59"/>
      <c r="L80" s="49"/>
      <c r="M80" s="50"/>
      <c r="N80" s="49"/>
      <c r="O80" s="50"/>
      <c r="P80" s="49"/>
      <c r="Q80" s="53"/>
      <c r="R80" s="49"/>
      <c r="S80" s="53"/>
      <c r="T80" s="49"/>
      <c r="U80" s="53"/>
      <c r="V80" s="49">
        <v>500</v>
      </c>
      <c r="W80" s="53">
        <v>797500</v>
      </c>
      <c r="X80" s="53"/>
      <c r="Y80" s="53"/>
      <c r="Z80" s="53"/>
      <c r="AA80" s="53"/>
      <c r="AB80" s="53"/>
      <c r="AC80" s="53"/>
      <c r="AD80" s="63">
        <f t="shared" si="2"/>
        <v>500</v>
      </c>
      <c r="AE80" s="55">
        <f t="shared" si="3"/>
        <v>797500</v>
      </c>
      <c r="AG80" s="57" t="s">
        <v>682</v>
      </c>
    </row>
    <row r="81" spans="1:33" hidden="1">
      <c r="A81" s="47">
        <v>79</v>
      </c>
      <c r="B81" s="56">
        <v>4971710585261</v>
      </c>
      <c r="C81" s="57" t="s">
        <v>992</v>
      </c>
      <c r="D81" s="75" t="s">
        <v>1085</v>
      </c>
      <c r="E81" s="48" t="s">
        <v>859</v>
      </c>
      <c r="F81" s="58"/>
      <c r="G81" s="59"/>
      <c r="H81" s="60"/>
      <c r="I81" s="61"/>
      <c r="J81" s="58"/>
      <c r="K81" s="59"/>
      <c r="L81" s="49"/>
      <c r="M81" s="50"/>
      <c r="N81" s="49">
        <v>268</v>
      </c>
      <c r="O81" s="50">
        <v>294800</v>
      </c>
      <c r="P81" s="49"/>
      <c r="Q81" s="53"/>
      <c r="R81" s="49"/>
      <c r="S81" s="53"/>
      <c r="T81" s="49"/>
      <c r="U81" s="53"/>
      <c r="V81" s="49">
        <v>40</v>
      </c>
      <c r="W81" s="53">
        <v>44000</v>
      </c>
      <c r="X81" s="53"/>
      <c r="Y81" s="53"/>
      <c r="Z81" s="53"/>
      <c r="AA81" s="53"/>
      <c r="AB81" s="53">
        <v>162</v>
      </c>
      <c r="AC81" s="53">
        <v>196020</v>
      </c>
      <c r="AD81" s="62">
        <f t="shared" si="2"/>
        <v>470</v>
      </c>
      <c r="AE81" s="55">
        <f t="shared" si="3"/>
        <v>534820</v>
      </c>
      <c r="AG81" s="57" t="s">
        <v>517</v>
      </c>
    </row>
    <row r="82" spans="1:33" hidden="1">
      <c r="A82" s="47">
        <v>80</v>
      </c>
      <c r="B82" s="56">
        <v>4971710561227</v>
      </c>
      <c r="C82" s="57" t="s">
        <v>465</v>
      </c>
      <c r="D82" s="75" t="s">
        <v>884</v>
      </c>
      <c r="E82" s="48" t="s">
        <v>466</v>
      </c>
      <c r="F82" s="58">
        <v>67</v>
      </c>
      <c r="G82" s="59">
        <v>51590</v>
      </c>
      <c r="H82" s="60">
        <v>80</v>
      </c>
      <c r="I82" s="61">
        <v>30800</v>
      </c>
      <c r="J82" s="58">
        <v>12</v>
      </c>
      <c r="K82" s="59">
        <v>9240</v>
      </c>
      <c r="L82" s="49">
        <v>42</v>
      </c>
      <c r="M82" s="50">
        <v>32340</v>
      </c>
      <c r="N82" s="49">
        <v>66</v>
      </c>
      <c r="O82" s="50">
        <v>50820</v>
      </c>
      <c r="P82" s="49">
        <v>7</v>
      </c>
      <c r="Q82" s="53">
        <v>5390</v>
      </c>
      <c r="R82" s="49">
        <v>30</v>
      </c>
      <c r="S82" s="53">
        <v>23100</v>
      </c>
      <c r="T82" s="49">
        <v>32</v>
      </c>
      <c r="U82" s="53">
        <v>24640</v>
      </c>
      <c r="V82" s="49">
        <v>20</v>
      </c>
      <c r="W82" s="53">
        <v>15400</v>
      </c>
      <c r="X82" s="53"/>
      <c r="Y82" s="53"/>
      <c r="Z82" s="53"/>
      <c r="AA82" s="53"/>
      <c r="AB82" s="53">
        <v>149</v>
      </c>
      <c r="AC82" s="53">
        <v>114730</v>
      </c>
      <c r="AD82" s="62">
        <f t="shared" si="2"/>
        <v>505</v>
      </c>
      <c r="AE82" s="55">
        <f t="shared" si="3"/>
        <v>358050</v>
      </c>
      <c r="AG82" s="57" t="s">
        <v>788</v>
      </c>
    </row>
    <row r="83" spans="1:33" hidden="1">
      <c r="A83" s="47">
        <v>81</v>
      </c>
      <c r="B83" s="56">
        <v>4971710569193</v>
      </c>
      <c r="C83" s="57" t="s">
        <v>541</v>
      </c>
      <c r="D83" s="75" t="s">
        <v>1078</v>
      </c>
      <c r="E83" s="48" t="s">
        <v>542</v>
      </c>
      <c r="F83" s="58">
        <v>137</v>
      </c>
      <c r="G83" s="59">
        <v>90420</v>
      </c>
      <c r="H83" s="60">
        <v>12</v>
      </c>
      <c r="I83" s="61">
        <v>3960</v>
      </c>
      <c r="J83" s="58"/>
      <c r="K83" s="59"/>
      <c r="L83" s="49">
        <v>62</v>
      </c>
      <c r="M83" s="50">
        <v>40920</v>
      </c>
      <c r="N83" s="49">
        <v>50</v>
      </c>
      <c r="O83" s="50">
        <v>33000</v>
      </c>
      <c r="P83" s="49">
        <v>12</v>
      </c>
      <c r="Q83" s="53">
        <v>7920</v>
      </c>
      <c r="R83" s="49"/>
      <c r="S83" s="53"/>
      <c r="T83" s="49">
        <v>6</v>
      </c>
      <c r="U83" s="53">
        <v>3960</v>
      </c>
      <c r="V83" s="49">
        <v>54</v>
      </c>
      <c r="W83" s="53">
        <v>35640</v>
      </c>
      <c r="X83" s="53"/>
      <c r="Y83" s="53"/>
      <c r="Z83" s="53"/>
      <c r="AA83" s="53"/>
      <c r="AB83" s="53">
        <v>50</v>
      </c>
      <c r="AC83" s="53">
        <v>33000</v>
      </c>
      <c r="AD83" s="62">
        <f t="shared" si="2"/>
        <v>383</v>
      </c>
      <c r="AE83" s="55">
        <f t="shared" si="3"/>
        <v>248820</v>
      </c>
      <c r="AG83" s="57" t="s">
        <v>471</v>
      </c>
    </row>
    <row r="84" spans="1:33" hidden="1">
      <c r="A84" s="47">
        <v>82</v>
      </c>
      <c r="B84" s="56">
        <v>4971710595475</v>
      </c>
      <c r="C84" s="57" t="s">
        <v>786</v>
      </c>
      <c r="D84" s="75" t="s">
        <v>884</v>
      </c>
      <c r="E84" s="48" t="s">
        <v>998</v>
      </c>
      <c r="F84" s="58"/>
      <c r="G84" s="59"/>
      <c r="H84" s="60"/>
      <c r="I84" s="61"/>
      <c r="J84" s="58"/>
      <c r="K84" s="59"/>
      <c r="L84" s="49">
        <v>200</v>
      </c>
      <c r="M84" s="50">
        <v>165000</v>
      </c>
      <c r="N84" s="49"/>
      <c r="O84" s="50"/>
      <c r="P84" s="49"/>
      <c r="Q84" s="53"/>
      <c r="R84" s="49"/>
      <c r="S84" s="53"/>
      <c r="T84" s="49"/>
      <c r="U84" s="53"/>
      <c r="V84" s="49"/>
      <c r="W84" s="53"/>
      <c r="X84" s="53"/>
      <c r="Y84" s="53"/>
      <c r="Z84" s="53"/>
      <c r="AA84" s="53"/>
      <c r="AB84" s="53">
        <v>251</v>
      </c>
      <c r="AC84" s="53">
        <v>207075</v>
      </c>
      <c r="AD84" s="62">
        <f t="shared" si="2"/>
        <v>451</v>
      </c>
      <c r="AE84" s="55">
        <f t="shared" si="3"/>
        <v>372075</v>
      </c>
      <c r="AG84" s="57" t="s">
        <v>258</v>
      </c>
    </row>
    <row r="85" spans="1:33" hidden="1">
      <c r="A85" s="47">
        <v>83</v>
      </c>
      <c r="B85" s="56">
        <v>4971710490756</v>
      </c>
      <c r="C85" s="57" t="s">
        <v>94</v>
      </c>
      <c r="D85" s="75" t="s">
        <v>884</v>
      </c>
      <c r="E85" s="48" t="s">
        <v>95</v>
      </c>
      <c r="F85" s="58">
        <v>150</v>
      </c>
      <c r="G85" s="59">
        <v>82500</v>
      </c>
      <c r="H85" s="60">
        <v>360</v>
      </c>
      <c r="I85" s="61">
        <v>99000</v>
      </c>
      <c r="J85" s="58"/>
      <c r="K85" s="59"/>
      <c r="L85" s="49">
        <v>30</v>
      </c>
      <c r="M85" s="50">
        <v>16500</v>
      </c>
      <c r="N85" s="49"/>
      <c r="O85" s="50"/>
      <c r="P85" s="49"/>
      <c r="Q85" s="53"/>
      <c r="R85" s="49">
        <v>30</v>
      </c>
      <c r="S85" s="53">
        <v>16500</v>
      </c>
      <c r="T85" s="49"/>
      <c r="U85" s="53"/>
      <c r="V85" s="49"/>
      <c r="W85" s="53"/>
      <c r="X85" s="53"/>
      <c r="Y85" s="53"/>
      <c r="Z85" s="53"/>
      <c r="AA85" s="53"/>
      <c r="AB85" s="53">
        <v>60</v>
      </c>
      <c r="AC85" s="53">
        <v>33000</v>
      </c>
      <c r="AD85" s="62">
        <f t="shared" si="2"/>
        <v>630</v>
      </c>
      <c r="AE85" s="55">
        <f t="shared" si="3"/>
        <v>247500</v>
      </c>
      <c r="AG85" s="57" t="s">
        <v>692</v>
      </c>
    </row>
    <row r="86" spans="1:33" hidden="1">
      <c r="A86" s="47">
        <v>84</v>
      </c>
      <c r="B86" s="56">
        <v>4971710523058</v>
      </c>
      <c r="C86" s="57" t="s">
        <v>392</v>
      </c>
      <c r="D86" s="75" t="s">
        <v>1078</v>
      </c>
      <c r="E86" s="48" t="s">
        <v>393</v>
      </c>
      <c r="F86" s="58">
        <v>47</v>
      </c>
      <c r="G86" s="59">
        <v>41360</v>
      </c>
      <c r="H86" s="60">
        <v>12</v>
      </c>
      <c r="I86" s="61">
        <v>5280</v>
      </c>
      <c r="J86" s="58">
        <v>48</v>
      </c>
      <c r="K86" s="59">
        <v>42240</v>
      </c>
      <c r="L86" s="49">
        <v>25</v>
      </c>
      <c r="M86" s="50">
        <v>22000</v>
      </c>
      <c r="N86" s="49">
        <v>54</v>
      </c>
      <c r="O86" s="50">
        <v>47520</v>
      </c>
      <c r="P86" s="49"/>
      <c r="Q86" s="53"/>
      <c r="R86" s="49">
        <v>64</v>
      </c>
      <c r="S86" s="53">
        <v>56320</v>
      </c>
      <c r="T86" s="49">
        <v>54</v>
      </c>
      <c r="U86" s="53">
        <v>47520</v>
      </c>
      <c r="V86" s="49">
        <v>80</v>
      </c>
      <c r="W86" s="53">
        <v>70400</v>
      </c>
      <c r="X86" s="53"/>
      <c r="Y86" s="53"/>
      <c r="Z86" s="53"/>
      <c r="AA86" s="53"/>
      <c r="AB86" s="53">
        <v>70</v>
      </c>
      <c r="AC86" s="53">
        <v>61600</v>
      </c>
      <c r="AD86" s="62">
        <f t="shared" si="2"/>
        <v>454</v>
      </c>
      <c r="AE86" s="55">
        <f t="shared" si="3"/>
        <v>394240</v>
      </c>
      <c r="AG86" s="57" t="s">
        <v>762</v>
      </c>
    </row>
    <row r="87" spans="1:33" hidden="1">
      <c r="A87" s="47">
        <v>85</v>
      </c>
      <c r="B87" s="56">
        <v>4971710593020</v>
      </c>
      <c r="C87" s="57" t="s">
        <v>752</v>
      </c>
      <c r="D87" s="75" t="s">
        <v>884</v>
      </c>
      <c r="E87" s="48" t="s">
        <v>753</v>
      </c>
      <c r="F87" s="58">
        <v>65</v>
      </c>
      <c r="G87" s="59">
        <v>39325</v>
      </c>
      <c r="H87" s="60">
        <v>226</v>
      </c>
      <c r="I87" s="61">
        <v>68365</v>
      </c>
      <c r="J87" s="58">
        <v>24</v>
      </c>
      <c r="K87" s="59">
        <v>14520</v>
      </c>
      <c r="L87" s="49">
        <v>40</v>
      </c>
      <c r="M87" s="50">
        <v>24200</v>
      </c>
      <c r="N87" s="49">
        <v>12</v>
      </c>
      <c r="O87" s="50">
        <v>7260</v>
      </c>
      <c r="P87" s="49">
        <v>170</v>
      </c>
      <c r="Q87" s="53">
        <v>102850</v>
      </c>
      <c r="R87" s="49">
        <v>2</v>
      </c>
      <c r="S87" s="53">
        <v>1210</v>
      </c>
      <c r="T87" s="49">
        <v>20</v>
      </c>
      <c r="U87" s="53">
        <v>12100</v>
      </c>
      <c r="V87" s="49">
        <v>2</v>
      </c>
      <c r="W87" s="53">
        <v>1210</v>
      </c>
      <c r="X87" s="53"/>
      <c r="Y87" s="53"/>
      <c r="Z87" s="53"/>
      <c r="AA87" s="53"/>
      <c r="AB87" s="53"/>
      <c r="AC87" s="53"/>
      <c r="AD87" s="62">
        <f t="shared" si="2"/>
        <v>561</v>
      </c>
      <c r="AE87" s="55">
        <f t="shared" si="3"/>
        <v>271040</v>
      </c>
      <c r="AG87" s="57" t="s">
        <v>272</v>
      </c>
    </row>
    <row r="88" spans="1:33" hidden="1">
      <c r="A88" s="47">
        <v>86</v>
      </c>
      <c r="B88" s="56">
        <v>4971710592962</v>
      </c>
      <c r="C88" s="57" t="s">
        <v>740</v>
      </c>
      <c r="D88" s="75" t="s">
        <v>884</v>
      </c>
      <c r="E88" s="48" t="s">
        <v>741</v>
      </c>
      <c r="F88" s="58">
        <v>65</v>
      </c>
      <c r="G88" s="59">
        <v>39325</v>
      </c>
      <c r="H88" s="60">
        <v>270</v>
      </c>
      <c r="I88" s="61">
        <v>81675</v>
      </c>
      <c r="J88" s="58">
        <v>64</v>
      </c>
      <c r="K88" s="59">
        <v>38720</v>
      </c>
      <c r="L88" s="49">
        <v>12</v>
      </c>
      <c r="M88" s="50">
        <v>7260</v>
      </c>
      <c r="N88" s="49">
        <v>35</v>
      </c>
      <c r="O88" s="50">
        <v>21175</v>
      </c>
      <c r="P88" s="49">
        <v>14</v>
      </c>
      <c r="Q88" s="53">
        <v>8470</v>
      </c>
      <c r="R88" s="49">
        <v>2</v>
      </c>
      <c r="S88" s="53">
        <v>1210</v>
      </c>
      <c r="T88" s="49"/>
      <c r="U88" s="53"/>
      <c r="V88" s="49">
        <v>25</v>
      </c>
      <c r="W88" s="53">
        <v>15125</v>
      </c>
      <c r="X88" s="53"/>
      <c r="Y88" s="53"/>
      <c r="Z88" s="53"/>
      <c r="AA88" s="53"/>
      <c r="AB88" s="53">
        <v>92</v>
      </c>
      <c r="AC88" s="53">
        <v>55660</v>
      </c>
      <c r="AD88" s="62">
        <f t="shared" si="2"/>
        <v>579</v>
      </c>
      <c r="AE88" s="55">
        <f t="shared" si="3"/>
        <v>268620</v>
      </c>
      <c r="AG88" s="57" t="s">
        <v>740</v>
      </c>
    </row>
    <row r="89" spans="1:33" hidden="1">
      <c r="A89" s="47">
        <v>87</v>
      </c>
      <c r="B89" s="56">
        <v>4971710561258</v>
      </c>
      <c r="C89" s="57" t="s">
        <v>471</v>
      </c>
      <c r="D89" s="75" t="s">
        <v>884</v>
      </c>
      <c r="E89" s="48" t="s">
        <v>472</v>
      </c>
      <c r="F89" s="58">
        <v>83</v>
      </c>
      <c r="G89" s="59">
        <v>63910</v>
      </c>
      <c r="H89" s="60">
        <v>28</v>
      </c>
      <c r="I89" s="61">
        <v>10780</v>
      </c>
      <c r="J89" s="58">
        <v>8</v>
      </c>
      <c r="K89" s="59">
        <v>6160</v>
      </c>
      <c r="L89" s="49">
        <v>36</v>
      </c>
      <c r="M89" s="50">
        <v>27720</v>
      </c>
      <c r="N89" s="49">
        <v>82</v>
      </c>
      <c r="O89" s="50">
        <v>63140</v>
      </c>
      <c r="P89" s="49">
        <v>5</v>
      </c>
      <c r="Q89" s="53">
        <v>3850</v>
      </c>
      <c r="R89" s="49">
        <v>2</v>
      </c>
      <c r="S89" s="53">
        <v>1540</v>
      </c>
      <c r="T89" s="49">
        <v>2</v>
      </c>
      <c r="U89" s="53">
        <v>1540</v>
      </c>
      <c r="V89" s="49">
        <v>54</v>
      </c>
      <c r="W89" s="53">
        <v>41580</v>
      </c>
      <c r="X89" s="53"/>
      <c r="Y89" s="53"/>
      <c r="Z89" s="53"/>
      <c r="AA89" s="53"/>
      <c r="AB89" s="53">
        <v>154</v>
      </c>
      <c r="AC89" s="53">
        <v>118580</v>
      </c>
      <c r="AD89" s="62">
        <f t="shared" si="2"/>
        <v>454</v>
      </c>
      <c r="AE89" s="55">
        <f t="shared" si="3"/>
        <v>338800</v>
      </c>
      <c r="AG89" s="57" t="s">
        <v>448</v>
      </c>
    </row>
    <row r="90" spans="1:33" hidden="1">
      <c r="A90" s="47">
        <v>88</v>
      </c>
      <c r="B90" s="56">
        <v>4971710588132</v>
      </c>
      <c r="C90" s="57" t="s">
        <v>718</v>
      </c>
      <c r="D90" s="75" t="s">
        <v>884</v>
      </c>
      <c r="E90" s="48" t="s">
        <v>719</v>
      </c>
      <c r="F90" s="58"/>
      <c r="G90" s="59"/>
      <c r="H90" s="60">
        <v>600</v>
      </c>
      <c r="I90" s="61">
        <v>214500</v>
      </c>
      <c r="J90" s="58"/>
      <c r="K90" s="59"/>
      <c r="L90" s="49"/>
      <c r="M90" s="50"/>
      <c r="N90" s="49"/>
      <c r="O90" s="50"/>
      <c r="P90" s="49">
        <v>20</v>
      </c>
      <c r="Q90" s="53">
        <v>14300</v>
      </c>
      <c r="R90" s="49"/>
      <c r="S90" s="53"/>
      <c r="T90" s="49"/>
      <c r="U90" s="53"/>
      <c r="V90" s="49">
        <v>118</v>
      </c>
      <c r="W90" s="53">
        <v>84370</v>
      </c>
      <c r="X90" s="53"/>
      <c r="Y90" s="53"/>
      <c r="Z90" s="53"/>
      <c r="AA90" s="53"/>
      <c r="AB90" s="53"/>
      <c r="AC90" s="53"/>
      <c r="AD90" s="62">
        <f t="shared" si="2"/>
        <v>738</v>
      </c>
      <c r="AE90" s="55">
        <f t="shared" si="3"/>
        <v>313170</v>
      </c>
      <c r="AG90" s="57" t="s">
        <v>718</v>
      </c>
    </row>
    <row r="91" spans="1:33" hidden="1">
      <c r="A91" s="47">
        <v>89</v>
      </c>
      <c r="B91" s="56">
        <v>4971710593013</v>
      </c>
      <c r="C91" s="57" t="s">
        <v>750</v>
      </c>
      <c r="D91" s="75" t="s">
        <v>884</v>
      </c>
      <c r="E91" s="48" t="s">
        <v>751</v>
      </c>
      <c r="F91" s="58">
        <v>65</v>
      </c>
      <c r="G91" s="59">
        <v>39325</v>
      </c>
      <c r="H91" s="60">
        <v>216</v>
      </c>
      <c r="I91" s="61">
        <v>65340</v>
      </c>
      <c r="J91" s="58">
        <v>35</v>
      </c>
      <c r="K91" s="59">
        <v>21175</v>
      </c>
      <c r="L91" s="49">
        <v>2</v>
      </c>
      <c r="M91" s="50">
        <v>1210</v>
      </c>
      <c r="N91" s="49">
        <v>60</v>
      </c>
      <c r="O91" s="50">
        <v>36300</v>
      </c>
      <c r="P91" s="49">
        <v>14</v>
      </c>
      <c r="Q91" s="53">
        <v>8470</v>
      </c>
      <c r="R91" s="49"/>
      <c r="S91" s="53"/>
      <c r="T91" s="49"/>
      <c r="U91" s="53"/>
      <c r="V91" s="49">
        <v>30</v>
      </c>
      <c r="W91" s="53">
        <v>18150</v>
      </c>
      <c r="X91" s="53"/>
      <c r="Y91" s="53"/>
      <c r="Z91" s="53"/>
      <c r="AA91" s="53"/>
      <c r="AB91" s="53">
        <v>122</v>
      </c>
      <c r="AC91" s="53">
        <v>73810</v>
      </c>
      <c r="AD91" s="62">
        <f t="shared" si="2"/>
        <v>544</v>
      </c>
      <c r="AE91" s="55">
        <f t="shared" si="3"/>
        <v>263780</v>
      </c>
      <c r="AG91" s="57" t="s">
        <v>539</v>
      </c>
    </row>
    <row r="92" spans="1:33" hidden="1">
      <c r="A92" s="47">
        <v>90</v>
      </c>
      <c r="B92" s="56">
        <v>4971710593006</v>
      </c>
      <c r="C92" s="57" t="s">
        <v>748</v>
      </c>
      <c r="D92" s="75" t="s">
        <v>884</v>
      </c>
      <c r="E92" s="48" t="s">
        <v>749</v>
      </c>
      <c r="F92" s="58">
        <v>65</v>
      </c>
      <c r="G92" s="59">
        <v>39325</v>
      </c>
      <c r="H92" s="60">
        <v>238</v>
      </c>
      <c r="I92" s="61">
        <v>71995</v>
      </c>
      <c r="J92" s="58">
        <v>39</v>
      </c>
      <c r="K92" s="59">
        <v>23595</v>
      </c>
      <c r="L92" s="49">
        <v>6</v>
      </c>
      <c r="M92" s="50">
        <v>3630</v>
      </c>
      <c r="N92" s="49"/>
      <c r="O92" s="50"/>
      <c r="P92" s="49"/>
      <c r="Q92" s="53"/>
      <c r="R92" s="49">
        <v>47</v>
      </c>
      <c r="S92" s="53">
        <v>28435</v>
      </c>
      <c r="T92" s="49">
        <v>30</v>
      </c>
      <c r="U92" s="53">
        <v>18150</v>
      </c>
      <c r="V92" s="49">
        <v>2</v>
      </c>
      <c r="W92" s="53">
        <v>1210</v>
      </c>
      <c r="X92" s="53"/>
      <c r="Y92" s="53"/>
      <c r="Z92" s="53"/>
      <c r="AA92" s="53"/>
      <c r="AB92" s="53">
        <v>120</v>
      </c>
      <c r="AC92" s="53">
        <v>72600</v>
      </c>
      <c r="AD92" s="62">
        <f t="shared" si="2"/>
        <v>547</v>
      </c>
      <c r="AE92" s="55">
        <f t="shared" si="3"/>
        <v>258940</v>
      </c>
      <c r="AG92" s="57" t="s">
        <v>732</v>
      </c>
    </row>
    <row r="93" spans="1:33" hidden="1">
      <c r="A93" s="47">
        <v>91</v>
      </c>
      <c r="B93" s="56">
        <v>4971710566147</v>
      </c>
      <c r="C93" s="57" t="s">
        <v>517</v>
      </c>
      <c r="D93" s="75" t="s">
        <v>1078</v>
      </c>
      <c r="E93" s="48" t="s">
        <v>518</v>
      </c>
      <c r="F93" s="58">
        <v>152</v>
      </c>
      <c r="G93" s="59">
        <v>83600</v>
      </c>
      <c r="H93" s="60"/>
      <c r="I93" s="61"/>
      <c r="J93" s="58">
        <v>2</v>
      </c>
      <c r="K93" s="59">
        <v>1100</v>
      </c>
      <c r="L93" s="49">
        <v>1</v>
      </c>
      <c r="M93" s="50">
        <v>550</v>
      </c>
      <c r="N93" s="49">
        <v>80</v>
      </c>
      <c r="O93" s="50">
        <v>44000</v>
      </c>
      <c r="P93" s="49">
        <v>6</v>
      </c>
      <c r="Q93" s="53">
        <v>3300</v>
      </c>
      <c r="R93" s="49">
        <v>44</v>
      </c>
      <c r="S93" s="53">
        <v>24200</v>
      </c>
      <c r="T93" s="49">
        <v>6</v>
      </c>
      <c r="U93" s="53">
        <v>3300</v>
      </c>
      <c r="V93" s="49">
        <v>66</v>
      </c>
      <c r="W93" s="53">
        <v>36300</v>
      </c>
      <c r="X93" s="53"/>
      <c r="Y93" s="53"/>
      <c r="Z93" s="53"/>
      <c r="AA93" s="53"/>
      <c r="AB93" s="53">
        <v>50</v>
      </c>
      <c r="AC93" s="53">
        <v>27500</v>
      </c>
      <c r="AD93" s="62">
        <f t="shared" si="2"/>
        <v>407</v>
      </c>
      <c r="AE93" s="55">
        <f t="shared" si="3"/>
        <v>223850</v>
      </c>
      <c r="AG93" s="57" t="s">
        <v>567</v>
      </c>
    </row>
    <row r="94" spans="1:33" hidden="1">
      <c r="A94" s="47">
        <v>92</v>
      </c>
      <c r="B94" s="56">
        <v>4971710556834</v>
      </c>
      <c r="C94" s="57" t="s">
        <v>448</v>
      </c>
      <c r="D94" s="75" t="s">
        <v>884</v>
      </c>
      <c r="E94" s="48" t="s">
        <v>449</v>
      </c>
      <c r="F94" s="58">
        <v>50</v>
      </c>
      <c r="G94" s="59">
        <v>49500</v>
      </c>
      <c r="H94" s="60">
        <v>38</v>
      </c>
      <c r="I94" s="61">
        <v>18810</v>
      </c>
      <c r="J94" s="58">
        <v>2</v>
      </c>
      <c r="K94" s="59">
        <v>1980</v>
      </c>
      <c r="L94" s="49">
        <v>32</v>
      </c>
      <c r="M94" s="50">
        <v>31680</v>
      </c>
      <c r="N94" s="49">
        <v>55</v>
      </c>
      <c r="O94" s="50">
        <v>54450</v>
      </c>
      <c r="P94" s="49">
        <v>7</v>
      </c>
      <c r="Q94" s="53">
        <v>6930</v>
      </c>
      <c r="R94" s="49">
        <v>4</v>
      </c>
      <c r="S94" s="53">
        <v>3960</v>
      </c>
      <c r="T94" s="49">
        <v>30</v>
      </c>
      <c r="U94" s="53">
        <v>29700</v>
      </c>
      <c r="V94" s="49">
        <v>120</v>
      </c>
      <c r="W94" s="53">
        <v>118800</v>
      </c>
      <c r="X94" s="53"/>
      <c r="Y94" s="53"/>
      <c r="Z94" s="53"/>
      <c r="AA94" s="53"/>
      <c r="AB94" s="53">
        <v>82</v>
      </c>
      <c r="AC94" s="53">
        <v>81180</v>
      </c>
      <c r="AD94" s="62">
        <f t="shared" si="2"/>
        <v>420</v>
      </c>
      <c r="AE94" s="55">
        <f t="shared" si="3"/>
        <v>396990</v>
      </c>
      <c r="AG94" s="57" t="s">
        <v>760</v>
      </c>
    </row>
    <row r="95" spans="1:33" hidden="1">
      <c r="A95" s="47">
        <v>93</v>
      </c>
      <c r="B95" s="56">
        <v>4971710513615</v>
      </c>
      <c r="C95" s="57" t="s">
        <v>258</v>
      </c>
      <c r="D95" s="75" t="s">
        <v>1078</v>
      </c>
      <c r="E95" s="48" t="s">
        <v>259</v>
      </c>
      <c r="F95" s="58">
        <v>116</v>
      </c>
      <c r="G95" s="59">
        <v>35031</v>
      </c>
      <c r="H95" s="60"/>
      <c r="I95" s="61"/>
      <c r="J95" s="58"/>
      <c r="K95" s="59"/>
      <c r="L95" s="49">
        <v>6</v>
      </c>
      <c r="M95" s="50">
        <v>1812</v>
      </c>
      <c r="N95" s="49"/>
      <c r="O95" s="50"/>
      <c r="P95" s="49">
        <v>72</v>
      </c>
      <c r="Q95" s="53">
        <v>21744</v>
      </c>
      <c r="R95" s="49">
        <v>94</v>
      </c>
      <c r="S95" s="53">
        <v>28388</v>
      </c>
      <c r="T95" s="49">
        <v>30</v>
      </c>
      <c r="U95" s="53">
        <v>9060</v>
      </c>
      <c r="V95" s="49">
        <v>25</v>
      </c>
      <c r="W95" s="53">
        <v>7550</v>
      </c>
      <c r="X95" s="53"/>
      <c r="Y95" s="53"/>
      <c r="Z95" s="53"/>
      <c r="AA95" s="53"/>
      <c r="AB95" s="53">
        <v>50</v>
      </c>
      <c r="AC95" s="53">
        <v>15100</v>
      </c>
      <c r="AD95" s="62">
        <f t="shared" si="2"/>
        <v>393</v>
      </c>
      <c r="AE95" s="55">
        <f t="shared" si="3"/>
        <v>118685</v>
      </c>
      <c r="AG95" s="57" t="s">
        <v>728</v>
      </c>
    </row>
    <row r="96" spans="1:33" hidden="1">
      <c r="A96" s="47">
        <v>94</v>
      </c>
      <c r="B96" s="56">
        <v>4971710513684</v>
      </c>
      <c r="C96" s="57" t="s">
        <v>272</v>
      </c>
      <c r="D96" s="75" t="s">
        <v>1078</v>
      </c>
      <c r="E96" s="48" t="s">
        <v>273</v>
      </c>
      <c r="F96" s="58">
        <v>120</v>
      </c>
      <c r="G96" s="59">
        <v>66000</v>
      </c>
      <c r="H96" s="60">
        <v>40</v>
      </c>
      <c r="I96" s="61">
        <v>11000</v>
      </c>
      <c r="J96" s="58"/>
      <c r="K96" s="59"/>
      <c r="L96" s="49">
        <v>6</v>
      </c>
      <c r="M96" s="50">
        <v>3300</v>
      </c>
      <c r="N96" s="49">
        <v>60</v>
      </c>
      <c r="O96" s="50">
        <v>33000</v>
      </c>
      <c r="P96" s="49"/>
      <c r="Q96" s="53"/>
      <c r="R96" s="49">
        <v>64</v>
      </c>
      <c r="S96" s="53">
        <v>35200</v>
      </c>
      <c r="T96" s="49">
        <v>30</v>
      </c>
      <c r="U96" s="53">
        <v>16500</v>
      </c>
      <c r="V96" s="49">
        <v>10</v>
      </c>
      <c r="W96" s="53">
        <v>5500</v>
      </c>
      <c r="X96" s="53"/>
      <c r="Y96" s="53"/>
      <c r="Z96" s="53"/>
      <c r="AA96" s="53"/>
      <c r="AB96" s="53">
        <v>50</v>
      </c>
      <c r="AC96" s="53">
        <v>27500</v>
      </c>
      <c r="AD96" s="62">
        <f t="shared" si="2"/>
        <v>380</v>
      </c>
      <c r="AE96" s="55">
        <f t="shared" si="3"/>
        <v>198000</v>
      </c>
      <c r="AG96" s="57" t="s">
        <v>726</v>
      </c>
    </row>
    <row r="97" spans="1:33" hidden="1">
      <c r="A97" s="47">
        <v>95</v>
      </c>
      <c r="B97" s="56">
        <v>4971710595505</v>
      </c>
      <c r="C97" s="57" t="s">
        <v>760</v>
      </c>
      <c r="D97" s="75" t="s">
        <v>884</v>
      </c>
      <c r="E97" s="48" t="s">
        <v>761</v>
      </c>
      <c r="F97" s="58"/>
      <c r="G97" s="59"/>
      <c r="H97" s="60">
        <v>78</v>
      </c>
      <c r="I97" s="61">
        <v>30030</v>
      </c>
      <c r="J97" s="58">
        <v>115</v>
      </c>
      <c r="K97" s="59">
        <v>88550</v>
      </c>
      <c r="L97" s="49">
        <v>80</v>
      </c>
      <c r="M97" s="50">
        <v>61600</v>
      </c>
      <c r="N97" s="49">
        <v>60</v>
      </c>
      <c r="O97" s="50">
        <v>46200</v>
      </c>
      <c r="P97" s="49">
        <v>20</v>
      </c>
      <c r="Q97" s="53">
        <v>15400</v>
      </c>
      <c r="R97" s="49"/>
      <c r="S97" s="53"/>
      <c r="T97" s="49"/>
      <c r="U97" s="53"/>
      <c r="V97" s="49">
        <v>45</v>
      </c>
      <c r="W97" s="53">
        <v>34650</v>
      </c>
      <c r="X97" s="53"/>
      <c r="Y97" s="53"/>
      <c r="Z97" s="53"/>
      <c r="AA97" s="53"/>
      <c r="AB97" s="53"/>
      <c r="AC97" s="53"/>
      <c r="AD97" s="62">
        <f t="shared" si="2"/>
        <v>398</v>
      </c>
      <c r="AE97" s="55">
        <f t="shared" si="3"/>
        <v>276430</v>
      </c>
      <c r="AG97" s="57" t="s">
        <v>90</v>
      </c>
    </row>
    <row r="98" spans="1:33" hidden="1">
      <c r="A98" s="47">
        <v>96</v>
      </c>
      <c r="B98" s="56">
        <v>4971710576610</v>
      </c>
      <c r="C98" s="57" t="s">
        <v>611</v>
      </c>
      <c r="D98" s="75" t="s">
        <v>884</v>
      </c>
      <c r="E98" s="48" t="s">
        <v>612</v>
      </c>
      <c r="F98" s="58">
        <v>10</v>
      </c>
      <c r="G98" s="59">
        <v>7700</v>
      </c>
      <c r="H98" s="60">
        <v>304</v>
      </c>
      <c r="I98" s="61">
        <v>117040</v>
      </c>
      <c r="J98" s="58">
        <v>30</v>
      </c>
      <c r="K98" s="59">
        <v>23100</v>
      </c>
      <c r="L98" s="49">
        <v>6</v>
      </c>
      <c r="M98" s="50">
        <v>4620</v>
      </c>
      <c r="N98" s="49"/>
      <c r="O98" s="50"/>
      <c r="P98" s="49"/>
      <c r="Q98" s="53"/>
      <c r="R98" s="49">
        <v>30</v>
      </c>
      <c r="S98" s="53">
        <v>23100</v>
      </c>
      <c r="T98" s="49">
        <v>34</v>
      </c>
      <c r="U98" s="53">
        <v>26180</v>
      </c>
      <c r="V98" s="49">
        <v>8</v>
      </c>
      <c r="W98" s="53">
        <v>6160</v>
      </c>
      <c r="X98" s="53"/>
      <c r="Y98" s="53"/>
      <c r="Z98" s="53"/>
      <c r="AA98" s="53"/>
      <c r="AB98" s="53">
        <v>86</v>
      </c>
      <c r="AC98" s="53">
        <v>66220</v>
      </c>
      <c r="AD98" s="62">
        <f t="shared" si="2"/>
        <v>508</v>
      </c>
      <c r="AE98" s="55">
        <f t="shared" si="3"/>
        <v>274120</v>
      </c>
      <c r="AG98" s="57" t="s">
        <v>734</v>
      </c>
    </row>
    <row r="99" spans="1:33" hidden="1">
      <c r="A99" s="47">
        <v>97</v>
      </c>
      <c r="B99" s="56">
        <v>4971710571844</v>
      </c>
      <c r="C99" s="57" t="s">
        <v>565</v>
      </c>
      <c r="D99" s="75" t="s">
        <v>884</v>
      </c>
      <c r="E99" s="48" t="s">
        <v>566</v>
      </c>
      <c r="F99" s="58">
        <v>100</v>
      </c>
      <c r="G99" s="59">
        <v>71500</v>
      </c>
      <c r="H99" s="60">
        <v>220</v>
      </c>
      <c r="I99" s="61">
        <v>78650</v>
      </c>
      <c r="J99" s="58">
        <v>30</v>
      </c>
      <c r="K99" s="59">
        <v>21450</v>
      </c>
      <c r="L99" s="49"/>
      <c r="M99" s="50"/>
      <c r="N99" s="49">
        <v>115</v>
      </c>
      <c r="O99" s="50">
        <v>82225</v>
      </c>
      <c r="P99" s="49"/>
      <c r="Q99" s="53"/>
      <c r="R99" s="49"/>
      <c r="S99" s="53"/>
      <c r="T99" s="49"/>
      <c r="U99" s="53"/>
      <c r="V99" s="49"/>
      <c r="W99" s="53"/>
      <c r="X99" s="53"/>
      <c r="Y99" s="53"/>
      <c r="Z99" s="53"/>
      <c r="AA99" s="53"/>
      <c r="AB99" s="53"/>
      <c r="AC99" s="53"/>
      <c r="AD99" s="62">
        <f t="shared" si="2"/>
        <v>465</v>
      </c>
      <c r="AE99" s="55">
        <f t="shared" si="3"/>
        <v>253825</v>
      </c>
      <c r="AG99" s="57" t="s">
        <v>736</v>
      </c>
    </row>
    <row r="100" spans="1:33" hidden="1">
      <c r="A100" s="47">
        <v>98</v>
      </c>
      <c r="B100" s="56">
        <v>4971710561234</v>
      </c>
      <c r="C100" s="57" t="s">
        <v>467</v>
      </c>
      <c r="D100" s="75" t="s">
        <v>884</v>
      </c>
      <c r="E100" s="48" t="s">
        <v>468</v>
      </c>
      <c r="F100" s="58">
        <v>97</v>
      </c>
      <c r="G100" s="59">
        <v>74690</v>
      </c>
      <c r="H100" s="60">
        <v>28</v>
      </c>
      <c r="I100" s="61">
        <v>10780</v>
      </c>
      <c r="J100" s="58">
        <v>12</v>
      </c>
      <c r="K100" s="59">
        <v>9240</v>
      </c>
      <c r="L100" s="49">
        <v>42</v>
      </c>
      <c r="M100" s="50">
        <v>32340</v>
      </c>
      <c r="N100" s="49">
        <v>2</v>
      </c>
      <c r="O100" s="50">
        <v>1540</v>
      </c>
      <c r="P100" s="49">
        <v>5</v>
      </c>
      <c r="Q100" s="53">
        <v>3850</v>
      </c>
      <c r="R100" s="49">
        <v>5</v>
      </c>
      <c r="S100" s="53">
        <v>3850</v>
      </c>
      <c r="T100" s="49">
        <v>30</v>
      </c>
      <c r="U100" s="53">
        <v>23100</v>
      </c>
      <c r="V100" s="49"/>
      <c r="W100" s="53"/>
      <c r="X100" s="53"/>
      <c r="Y100" s="53"/>
      <c r="Z100" s="53"/>
      <c r="AA100" s="53"/>
      <c r="AB100" s="53">
        <v>144</v>
      </c>
      <c r="AC100" s="53">
        <v>110880</v>
      </c>
      <c r="AD100" s="62">
        <f t="shared" si="2"/>
        <v>365</v>
      </c>
      <c r="AE100" s="55">
        <f t="shared" si="3"/>
        <v>270270</v>
      </c>
      <c r="AG100" s="57" t="s">
        <v>36</v>
      </c>
    </row>
    <row r="101" spans="1:33" hidden="1">
      <c r="A101" s="47">
        <v>99</v>
      </c>
      <c r="B101" s="56">
        <v>4971710513714</v>
      </c>
      <c r="C101" s="57" t="s">
        <v>278</v>
      </c>
      <c r="D101" s="75" t="s">
        <v>1078</v>
      </c>
      <c r="E101" s="48" t="s">
        <v>279</v>
      </c>
      <c r="F101" s="58">
        <v>156</v>
      </c>
      <c r="G101" s="59">
        <v>85800</v>
      </c>
      <c r="H101" s="60"/>
      <c r="I101" s="61"/>
      <c r="J101" s="58"/>
      <c r="K101" s="59"/>
      <c r="L101" s="49">
        <v>30</v>
      </c>
      <c r="M101" s="50">
        <v>16500</v>
      </c>
      <c r="N101" s="49">
        <v>30</v>
      </c>
      <c r="O101" s="50">
        <v>16500</v>
      </c>
      <c r="P101" s="49"/>
      <c r="Q101" s="53"/>
      <c r="R101" s="49">
        <v>30</v>
      </c>
      <c r="S101" s="53">
        <v>16500</v>
      </c>
      <c r="T101" s="49">
        <v>30</v>
      </c>
      <c r="U101" s="53">
        <v>16500</v>
      </c>
      <c r="V101" s="49">
        <v>10</v>
      </c>
      <c r="W101" s="53">
        <v>5500</v>
      </c>
      <c r="X101" s="53"/>
      <c r="Y101" s="53"/>
      <c r="Z101" s="53"/>
      <c r="AA101" s="53"/>
      <c r="AB101" s="53">
        <v>60</v>
      </c>
      <c r="AC101" s="53">
        <v>33000</v>
      </c>
      <c r="AD101" s="62">
        <f t="shared" si="2"/>
        <v>346</v>
      </c>
      <c r="AE101" s="55">
        <f t="shared" si="3"/>
        <v>190300</v>
      </c>
      <c r="AG101" s="57" t="s">
        <v>730</v>
      </c>
    </row>
    <row r="102" spans="1:33" hidden="1">
      <c r="A102" s="47">
        <v>100</v>
      </c>
      <c r="B102" s="56">
        <v>4971710564907</v>
      </c>
      <c r="C102" s="57" t="s">
        <v>499</v>
      </c>
      <c r="D102" s="75" t="s">
        <v>1078</v>
      </c>
      <c r="E102" s="48" t="s">
        <v>500</v>
      </c>
      <c r="F102" s="58">
        <v>86</v>
      </c>
      <c r="G102" s="59">
        <v>47300</v>
      </c>
      <c r="H102" s="60">
        <v>8</v>
      </c>
      <c r="I102" s="61">
        <v>2200</v>
      </c>
      <c r="J102" s="58"/>
      <c r="K102" s="59"/>
      <c r="L102" s="49">
        <v>30</v>
      </c>
      <c r="M102" s="50">
        <v>16500</v>
      </c>
      <c r="N102" s="49">
        <v>50</v>
      </c>
      <c r="O102" s="50">
        <v>27500</v>
      </c>
      <c r="P102" s="49">
        <v>6</v>
      </c>
      <c r="Q102" s="53">
        <v>3300</v>
      </c>
      <c r="R102" s="49">
        <v>44</v>
      </c>
      <c r="S102" s="53">
        <v>24200</v>
      </c>
      <c r="T102" s="49">
        <v>52</v>
      </c>
      <c r="U102" s="53">
        <v>28600</v>
      </c>
      <c r="V102" s="49">
        <v>18</v>
      </c>
      <c r="W102" s="53">
        <v>9900</v>
      </c>
      <c r="X102" s="53"/>
      <c r="Y102" s="53"/>
      <c r="Z102" s="53"/>
      <c r="AA102" s="53"/>
      <c r="AB102" s="53">
        <v>50</v>
      </c>
      <c r="AC102" s="53">
        <v>27500</v>
      </c>
      <c r="AD102" s="62">
        <f t="shared" si="2"/>
        <v>344</v>
      </c>
      <c r="AE102" s="55">
        <f t="shared" si="3"/>
        <v>187000</v>
      </c>
      <c r="AG102" s="57" t="s">
        <v>392</v>
      </c>
    </row>
    <row r="103" spans="1:33" hidden="1">
      <c r="A103" s="47">
        <v>101</v>
      </c>
      <c r="B103" s="56">
        <v>4971710295245</v>
      </c>
      <c r="C103" s="57" t="s">
        <v>10</v>
      </c>
      <c r="D103" s="75" t="s">
        <v>1080</v>
      </c>
      <c r="E103" s="48" t="s">
        <v>11</v>
      </c>
      <c r="F103" s="58">
        <v>150</v>
      </c>
      <c r="G103" s="59">
        <v>198000</v>
      </c>
      <c r="H103" s="60"/>
      <c r="I103" s="61"/>
      <c r="J103" s="58"/>
      <c r="K103" s="59"/>
      <c r="L103" s="49">
        <v>56</v>
      </c>
      <c r="M103" s="50">
        <v>73920</v>
      </c>
      <c r="N103" s="49">
        <v>132</v>
      </c>
      <c r="O103" s="50">
        <v>174240</v>
      </c>
      <c r="P103" s="49"/>
      <c r="Q103" s="53"/>
      <c r="R103" s="49"/>
      <c r="S103" s="53"/>
      <c r="T103" s="49"/>
      <c r="U103" s="53"/>
      <c r="V103" s="49"/>
      <c r="W103" s="53"/>
      <c r="X103" s="53"/>
      <c r="Y103" s="53"/>
      <c r="Z103" s="53"/>
      <c r="AA103" s="53"/>
      <c r="AB103" s="53"/>
      <c r="AC103" s="53"/>
      <c r="AD103" s="62">
        <f t="shared" si="2"/>
        <v>338</v>
      </c>
      <c r="AE103" s="55">
        <f t="shared" si="3"/>
        <v>446160</v>
      </c>
      <c r="AG103" s="57">
        <f>VLOOKUP(AF103,[2]SEK!$E:$F,2,0)</f>
        <v>0</v>
      </c>
    </row>
    <row r="104" spans="1:33" hidden="1">
      <c r="A104" s="47">
        <v>102</v>
      </c>
      <c r="B104" s="56">
        <v>4971710599978</v>
      </c>
      <c r="C104" s="57" t="s">
        <v>977</v>
      </c>
      <c r="D104" s="75" t="s">
        <v>1080</v>
      </c>
      <c r="E104" s="48" t="s">
        <v>978</v>
      </c>
      <c r="F104" s="58"/>
      <c r="G104" s="59"/>
      <c r="H104" s="60"/>
      <c r="I104" s="61"/>
      <c r="J104" s="58"/>
      <c r="K104" s="59"/>
      <c r="L104" s="49"/>
      <c r="M104" s="50"/>
      <c r="N104" s="49"/>
      <c r="O104" s="50"/>
      <c r="P104" s="49"/>
      <c r="Q104" s="53"/>
      <c r="R104" s="49"/>
      <c r="S104" s="53"/>
      <c r="T104" s="49"/>
      <c r="U104" s="53"/>
      <c r="V104" s="49">
        <v>180</v>
      </c>
      <c r="W104" s="53">
        <v>346500</v>
      </c>
      <c r="X104" s="53"/>
      <c r="Y104" s="53"/>
      <c r="Z104" s="53"/>
      <c r="AA104" s="53"/>
      <c r="AB104" s="53">
        <v>157</v>
      </c>
      <c r="AC104" s="53">
        <v>302225</v>
      </c>
      <c r="AD104" s="63">
        <f t="shared" si="2"/>
        <v>337</v>
      </c>
      <c r="AE104" s="55">
        <f t="shared" si="3"/>
        <v>648725</v>
      </c>
      <c r="AG104" s="57" t="s">
        <v>827</v>
      </c>
    </row>
    <row r="105" spans="1:33" hidden="1">
      <c r="A105" s="47">
        <v>103</v>
      </c>
      <c r="B105" s="56">
        <v>4971710494853</v>
      </c>
      <c r="C105" s="57" t="s">
        <v>124</v>
      </c>
      <c r="D105" s="75" t="s">
        <v>884</v>
      </c>
      <c r="E105" s="48" t="s">
        <v>125</v>
      </c>
      <c r="F105" s="58">
        <v>80</v>
      </c>
      <c r="G105" s="59">
        <v>48400</v>
      </c>
      <c r="H105" s="60">
        <v>96</v>
      </c>
      <c r="I105" s="61">
        <v>29040</v>
      </c>
      <c r="J105" s="58"/>
      <c r="K105" s="59"/>
      <c r="L105" s="49">
        <v>6</v>
      </c>
      <c r="M105" s="50">
        <v>3630</v>
      </c>
      <c r="N105" s="49">
        <v>50</v>
      </c>
      <c r="O105" s="50">
        <v>30250</v>
      </c>
      <c r="P105" s="49">
        <v>2</v>
      </c>
      <c r="Q105" s="53">
        <v>1210</v>
      </c>
      <c r="R105" s="49">
        <v>20</v>
      </c>
      <c r="S105" s="53">
        <v>12100</v>
      </c>
      <c r="T105" s="49"/>
      <c r="U105" s="53"/>
      <c r="V105" s="49">
        <v>130</v>
      </c>
      <c r="W105" s="53">
        <v>78650</v>
      </c>
      <c r="X105" s="53"/>
      <c r="Y105" s="53"/>
      <c r="Z105" s="53"/>
      <c r="AA105" s="53"/>
      <c r="AB105" s="53"/>
      <c r="AC105" s="53"/>
      <c r="AD105" s="62">
        <f t="shared" si="2"/>
        <v>384</v>
      </c>
      <c r="AE105" s="55">
        <f t="shared" si="3"/>
        <v>203280</v>
      </c>
      <c r="AG105" s="57" t="s">
        <v>828</v>
      </c>
    </row>
    <row r="106" spans="1:33" hidden="1">
      <c r="A106" s="47">
        <v>104</v>
      </c>
      <c r="B106" s="56">
        <v>4971710561265</v>
      </c>
      <c r="C106" s="57" t="s">
        <v>473</v>
      </c>
      <c r="D106" s="75" t="s">
        <v>884</v>
      </c>
      <c r="E106" s="48" t="s">
        <v>474</v>
      </c>
      <c r="F106" s="58">
        <v>80</v>
      </c>
      <c r="G106" s="59">
        <v>61600</v>
      </c>
      <c r="H106" s="60">
        <v>26</v>
      </c>
      <c r="I106" s="61">
        <v>10010</v>
      </c>
      <c r="J106" s="58">
        <v>2</v>
      </c>
      <c r="K106" s="59">
        <v>1540</v>
      </c>
      <c r="L106" s="49">
        <v>6</v>
      </c>
      <c r="M106" s="50">
        <v>4620</v>
      </c>
      <c r="N106" s="49">
        <v>2</v>
      </c>
      <c r="O106" s="50">
        <v>1540</v>
      </c>
      <c r="P106" s="49">
        <v>8</v>
      </c>
      <c r="Q106" s="53">
        <v>6160</v>
      </c>
      <c r="R106" s="49">
        <v>2</v>
      </c>
      <c r="S106" s="53">
        <v>1540</v>
      </c>
      <c r="T106" s="49">
        <v>20</v>
      </c>
      <c r="U106" s="53">
        <v>15400</v>
      </c>
      <c r="V106" s="49">
        <v>24</v>
      </c>
      <c r="W106" s="53">
        <v>18480</v>
      </c>
      <c r="X106" s="53"/>
      <c r="Y106" s="53"/>
      <c r="Z106" s="53"/>
      <c r="AA106" s="53"/>
      <c r="AB106" s="53">
        <v>160</v>
      </c>
      <c r="AC106" s="53">
        <v>123200</v>
      </c>
      <c r="AD106" s="62">
        <f t="shared" si="2"/>
        <v>330</v>
      </c>
      <c r="AE106" s="55">
        <f t="shared" si="3"/>
        <v>244090</v>
      </c>
      <c r="AG106" s="57" t="s">
        <v>746</v>
      </c>
    </row>
    <row r="107" spans="1:33" hidden="1">
      <c r="A107" s="47">
        <v>105</v>
      </c>
      <c r="B107" s="56">
        <v>4971710556858</v>
      </c>
      <c r="C107" s="57" t="s">
        <v>452</v>
      </c>
      <c r="D107" s="75" t="s">
        <v>884</v>
      </c>
      <c r="E107" s="48" t="s">
        <v>453</v>
      </c>
      <c r="F107" s="58">
        <v>85</v>
      </c>
      <c r="G107" s="59">
        <v>70125</v>
      </c>
      <c r="H107" s="60">
        <v>62</v>
      </c>
      <c r="I107" s="61">
        <v>25575</v>
      </c>
      <c r="J107" s="58"/>
      <c r="K107" s="59"/>
      <c r="L107" s="49">
        <v>20</v>
      </c>
      <c r="M107" s="50">
        <v>16500</v>
      </c>
      <c r="N107" s="49">
        <v>25</v>
      </c>
      <c r="O107" s="50">
        <v>20625</v>
      </c>
      <c r="P107" s="49">
        <v>30</v>
      </c>
      <c r="Q107" s="53">
        <v>24750</v>
      </c>
      <c r="R107" s="49">
        <v>10</v>
      </c>
      <c r="S107" s="53">
        <v>8250</v>
      </c>
      <c r="T107" s="49">
        <v>20</v>
      </c>
      <c r="U107" s="53">
        <v>16500</v>
      </c>
      <c r="V107" s="49">
        <v>15</v>
      </c>
      <c r="W107" s="53">
        <v>12375</v>
      </c>
      <c r="X107" s="53"/>
      <c r="Y107" s="53"/>
      <c r="Z107" s="53"/>
      <c r="AA107" s="53"/>
      <c r="AB107" s="53">
        <v>80</v>
      </c>
      <c r="AC107" s="53">
        <v>66000</v>
      </c>
      <c r="AD107" s="62">
        <f t="shared" si="2"/>
        <v>347</v>
      </c>
      <c r="AE107" s="55">
        <f t="shared" si="3"/>
        <v>260700</v>
      </c>
      <c r="AG107" s="57">
        <f>VLOOKUP(AF107,[2]SEK!$E:$F,2,0)</f>
        <v>0</v>
      </c>
    </row>
    <row r="108" spans="1:33" hidden="1">
      <c r="A108" s="47">
        <v>106</v>
      </c>
      <c r="B108" s="56">
        <v>4971710591088</v>
      </c>
      <c r="C108" s="57" t="s">
        <v>734</v>
      </c>
      <c r="D108" s="75" t="s">
        <v>884</v>
      </c>
      <c r="E108" s="48" t="s">
        <v>735</v>
      </c>
      <c r="F108" s="58"/>
      <c r="G108" s="59"/>
      <c r="H108" s="60">
        <v>600</v>
      </c>
      <c r="I108" s="61">
        <v>231000</v>
      </c>
      <c r="J108" s="58">
        <v>6</v>
      </c>
      <c r="K108" s="59">
        <v>4620</v>
      </c>
      <c r="L108" s="49"/>
      <c r="M108" s="50"/>
      <c r="N108" s="49"/>
      <c r="O108" s="50"/>
      <c r="P108" s="49"/>
      <c r="Q108" s="53"/>
      <c r="R108" s="49"/>
      <c r="S108" s="53"/>
      <c r="T108" s="49"/>
      <c r="U108" s="53"/>
      <c r="V108" s="49"/>
      <c r="W108" s="53"/>
      <c r="X108" s="53"/>
      <c r="Y108" s="53"/>
      <c r="Z108" s="53"/>
      <c r="AA108" s="53"/>
      <c r="AB108" s="53"/>
      <c r="AC108" s="53"/>
      <c r="AD108" s="62">
        <f t="shared" si="2"/>
        <v>606</v>
      </c>
      <c r="AE108" s="55">
        <f t="shared" si="3"/>
        <v>235620</v>
      </c>
      <c r="AG108" s="57" t="s">
        <v>124</v>
      </c>
    </row>
    <row r="109" spans="1:33" hidden="1">
      <c r="A109" s="47">
        <v>107</v>
      </c>
      <c r="B109" s="56">
        <v>4971710591095</v>
      </c>
      <c r="C109" s="57" t="s">
        <v>736</v>
      </c>
      <c r="D109" s="75" t="s">
        <v>884</v>
      </c>
      <c r="E109" s="48" t="s">
        <v>737</v>
      </c>
      <c r="F109" s="58"/>
      <c r="G109" s="59"/>
      <c r="H109" s="60">
        <v>600</v>
      </c>
      <c r="I109" s="61">
        <v>231000</v>
      </c>
      <c r="J109" s="58">
        <v>6</v>
      </c>
      <c r="K109" s="59">
        <v>4620</v>
      </c>
      <c r="L109" s="49"/>
      <c r="M109" s="50"/>
      <c r="N109" s="49"/>
      <c r="O109" s="50"/>
      <c r="P109" s="49"/>
      <c r="Q109" s="53"/>
      <c r="R109" s="49"/>
      <c r="S109" s="53"/>
      <c r="T109" s="49"/>
      <c r="U109" s="53"/>
      <c r="V109" s="49"/>
      <c r="W109" s="53"/>
      <c r="X109" s="53"/>
      <c r="Y109" s="53"/>
      <c r="Z109" s="53"/>
      <c r="AA109" s="53"/>
      <c r="AB109" s="53"/>
      <c r="AC109" s="53"/>
      <c r="AD109" s="62">
        <f t="shared" si="2"/>
        <v>606</v>
      </c>
      <c r="AE109" s="55">
        <f t="shared" si="3"/>
        <v>235620</v>
      </c>
      <c r="AG109" s="57" t="s">
        <v>250</v>
      </c>
    </row>
    <row r="110" spans="1:33" hidden="1">
      <c r="A110" s="47">
        <v>108</v>
      </c>
      <c r="B110" s="56">
        <v>4971710580488</v>
      </c>
      <c r="C110" s="57" t="s">
        <v>684</v>
      </c>
      <c r="D110" s="75" t="s">
        <v>1078</v>
      </c>
      <c r="E110" s="48" t="s">
        <v>685</v>
      </c>
      <c r="F110" s="58"/>
      <c r="G110" s="59"/>
      <c r="H110" s="60"/>
      <c r="I110" s="61"/>
      <c r="J110" s="58">
        <v>4</v>
      </c>
      <c r="K110" s="59">
        <v>1848</v>
      </c>
      <c r="L110" s="49">
        <v>102</v>
      </c>
      <c r="M110" s="50">
        <v>47124</v>
      </c>
      <c r="N110" s="49"/>
      <c r="O110" s="50"/>
      <c r="P110" s="49">
        <v>6</v>
      </c>
      <c r="Q110" s="53">
        <v>2772</v>
      </c>
      <c r="R110" s="49">
        <v>65</v>
      </c>
      <c r="S110" s="53">
        <v>30030</v>
      </c>
      <c r="T110" s="49"/>
      <c r="U110" s="53"/>
      <c r="V110" s="49">
        <v>4</v>
      </c>
      <c r="W110" s="53">
        <v>1848</v>
      </c>
      <c r="X110" s="53"/>
      <c r="Y110" s="53"/>
      <c r="Z110" s="53"/>
      <c r="AA110" s="53"/>
      <c r="AB110" s="53">
        <v>124</v>
      </c>
      <c r="AC110" s="53">
        <v>57288</v>
      </c>
      <c r="AD110" s="62">
        <f t="shared" si="2"/>
        <v>305</v>
      </c>
      <c r="AE110" s="55">
        <f t="shared" si="3"/>
        <v>140910</v>
      </c>
      <c r="AG110" s="57" t="s">
        <v>750</v>
      </c>
    </row>
    <row r="111" spans="1:33" hidden="1">
      <c r="A111" s="47">
        <v>109</v>
      </c>
      <c r="B111" s="56">
        <v>4971710494174</v>
      </c>
      <c r="C111" s="57" t="s">
        <v>114</v>
      </c>
      <c r="D111" s="75" t="s">
        <v>884</v>
      </c>
      <c r="E111" s="48" t="s">
        <v>115</v>
      </c>
      <c r="F111" s="58">
        <v>40</v>
      </c>
      <c r="G111" s="59">
        <v>11880</v>
      </c>
      <c r="H111" s="60">
        <v>88</v>
      </c>
      <c r="I111" s="61">
        <v>13068</v>
      </c>
      <c r="J111" s="58"/>
      <c r="K111" s="59"/>
      <c r="L111" s="49">
        <v>16</v>
      </c>
      <c r="M111" s="50">
        <v>4752</v>
      </c>
      <c r="N111" s="49">
        <v>52</v>
      </c>
      <c r="O111" s="50">
        <v>15444</v>
      </c>
      <c r="P111" s="49">
        <v>4</v>
      </c>
      <c r="Q111" s="53">
        <v>1188</v>
      </c>
      <c r="R111" s="49">
        <v>10</v>
      </c>
      <c r="S111" s="53">
        <v>2970</v>
      </c>
      <c r="T111" s="49">
        <v>12</v>
      </c>
      <c r="U111" s="53">
        <v>3564</v>
      </c>
      <c r="V111" s="49">
        <v>62</v>
      </c>
      <c r="W111" s="53">
        <v>18414</v>
      </c>
      <c r="X111" s="53"/>
      <c r="Y111" s="53"/>
      <c r="Z111" s="53"/>
      <c r="AA111" s="53"/>
      <c r="AB111" s="53">
        <v>64</v>
      </c>
      <c r="AC111" s="53">
        <v>19008</v>
      </c>
      <c r="AD111" s="62">
        <f t="shared" si="2"/>
        <v>348</v>
      </c>
      <c r="AE111" s="55">
        <f t="shared" si="3"/>
        <v>90288</v>
      </c>
      <c r="AG111" s="57" t="s">
        <v>696</v>
      </c>
    </row>
    <row r="112" spans="1:33" hidden="1">
      <c r="A112" s="47">
        <v>110</v>
      </c>
      <c r="B112" s="56">
        <v>4971710494198</v>
      </c>
      <c r="C112" s="57" t="s">
        <v>118</v>
      </c>
      <c r="D112" s="75" t="s">
        <v>884</v>
      </c>
      <c r="E112" s="48" t="s">
        <v>119</v>
      </c>
      <c r="F112" s="58">
        <v>30</v>
      </c>
      <c r="G112" s="59">
        <v>8910</v>
      </c>
      <c r="H112" s="60">
        <v>64</v>
      </c>
      <c r="I112" s="61">
        <v>9504</v>
      </c>
      <c r="J112" s="58">
        <v>6</v>
      </c>
      <c r="K112" s="59">
        <v>1782</v>
      </c>
      <c r="L112" s="49">
        <v>16</v>
      </c>
      <c r="M112" s="50">
        <v>4752</v>
      </c>
      <c r="N112" s="49">
        <v>54</v>
      </c>
      <c r="O112" s="50">
        <v>16038</v>
      </c>
      <c r="P112" s="49">
        <v>6</v>
      </c>
      <c r="Q112" s="53">
        <v>1782</v>
      </c>
      <c r="R112" s="49">
        <v>12</v>
      </c>
      <c r="S112" s="53">
        <v>3564</v>
      </c>
      <c r="T112" s="49">
        <v>36</v>
      </c>
      <c r="U112" s="53">
        <v>10692</v>
      </c>
      <c r="V112" s="49"/>
      <c r="W112" s="53"/>
      <c r="X112" s="53"/>
      <c r="Y112" s="53"/>
      <c r="Z112" s="53"/>
      <c r="AA112" s="53"/>
      <c r="AB112" s="53">
        <v>108</v>
      </c>
      <c r="AC112" s="53">
        <v>32076</v>
      </c>
      <c r="AD112" s="62">
        <f t="shared" si="2"/>
        <v>332</v>
      </c>
      <c r="AE112" s="55">
        <f t="shared" si="3"/>
        <v>89100</v>
      </c>
      <c r="AG112" s="57" t="s">
        <v>499</v>
      </c>
    </row>
    <row r="113" spans="1:33" hidden="1">
      <c r="A113" s="47">
        <v>111</v>
      </c>
      <c r="B113" s="56">
        <v>4971710523072</v>
      </c>
      <c r="C113" s="57" t="s">
        <v>396</v>
      </c>
      <c r="D113" s="75" t="s">
        <v>1078</v>
      </c>
      <c r="E113" s="48" t="s">
        <v>397</v>
      </c>
      <c r="F113" s="58">
        <v>47</v>
      </c>
      <c r="G113" s="59">
        <v>41360</v>
      </c>
      <c r="H113" s="60">
        <v>4</v>
      </c>
      <c r="I113" s="61">
        <v>1760</v>
      </c>
      <c r="J113" s="58">
        <v>30</v>
      </c>
      <c r="K113" s="59">
        <v>26400</v>
      </c>
      <c r="L113" s="49">
        <v>29</v>
      </c>
      <c r="M113" s="50">
        <v>25520</v>
      </c>
      <c r="N113" s="49">
        <v>30</v>
      </c>
      <c r="O113" s="50">
        <v>26400</v>
      </c>
      <c r="P113" s="49">
        <v>6</v>
      </c>
      <c r="Q113" s="53">
        <v>5280</v>
      </c>
      <c r="R113" s="49">
        <v>4</v>
      </c>
      <c r="S113" s="53">
        <v>3520</v>
      </c>
      <c r="T113" s="49">
        <v>42</v>
      </c>
      <c r="U113" s="53">
        <v>36960</v>
      </c>
      <c r="V113" s="49">
        <v>60</v>
      </c>
      <c r="W113" s="53">
        <v>52800</v>
      </c>
      <c r="X113" s="53"/>
      <c r="Y113" s="53"/>
      <c r="Z113" s="53"/>
      <c r="AA113" s="53"/>
      <c r="AB113" s="53">
        <v>50</v>
      </c>
      <c r="AC113" s="53">
        <v>44000</v>
      </c>
      <c r="AD113" s="62">
        <f t="shared" si="2"/>
        <v>302</v>
      </c>
      <c r="AE113" s="55">
        <f t="shared" si="3"/>
        <v>264000</v>
      </c>
      <c r="AG113" s="57" t="s">
        <v>748</v>
      </c>
    </row>
    <row r="114" spans="1:33">
      <c r="A114" s="47">
        <v>112</v>
      </c>
      <c r="B114" s="56">
        <v>4971710597707</v>
      </c>
      <c r="C114" s="57" t="s">
        <v>823</v>
      </c>
      <c r="D114" s="75" t="s">
        <v>1088</v>
      </c>
      <c r="E114" s="48" t="s">
        <v>999</v>
      </c>
      <c r="F114" s="58"/>
      <c r="G114" s="59"/>
      <c r="H114" s="60"/>
      <c r="I114" s="61"/>
      <c r="J114" s="58"/>
      <c r="K114" s="59"/>
      <c r="L114" s="49"/>
      <c r="M114" s="50"/>
      <c r="N114" s="49"/>
      <c r="O114" s="50"/>
      <c r="P114" s="49">
        <v>100</v>
      </c>
      <c r="Q114" s="53">
        <v>24700</v>
      </c>
      <c r="R114" s="49"/>
      <c r="S114" s="53"/>
      <c r="T114" s="49">
        <v>20</v>
      </c>
      <c r="U114" s="53">
        <v>4940</v>
      </c>
      <c r="V114" s="49">
        <v>180</v>
      </c>
      <c r="W114" s="53">
        <v>44460</v>
      </c>
      <c r="X114" s="53"/>
      <c r="Y114" s="53"/>
      <c r="Z114" s="53"/>
      <c r="AA114" s="53"/>
      <c r="AB114" s="53"/>
      <c r="AC114" s="53"/>
      <c r="AD114" s="63">
        <f t="shared" si="2"/>
        <v>300</v>
      </c>
      <c r="AE114" s="55">
        <f t="shared" si="3"/>
        <v>74100</v>
      </c>
      <c r="AG114" s="57" t="s">
        <v>543</v>
      </c>
    </row>
    <row r="115" spans="1:33" hidden="1">
      <c r="A115" s="47">
        <v>113</v>
      </c>
      <c r="B115" s="56">
        <v>4971710596953</v>
      </c>
      <c r="C115" s="57" t="s">
        <v>827</v>
      </c>
      <c r="D115" s="75" t="s">
        <v>884</v>
      </c>
      <c r="E115" s="48" t="s">
        <v>989</v>
      </c>
      <c r="F115" s="58"/>
      <c r="G115" s="59"/>
      <c r="H115" s="60"/>
      <c r="I115" s="61"/>
      <c r="J115" s="58"/>
      <c r="K115" s="59"/>
      <c r="L115" s="49"/>
      <c r="M115" s="50"/>
      <c r="N115" s="49"/>
      <c r="O115" s="50"/>
      <c r="P115" s="49">
        <v>204</v>
      </c>
      <c r="Q115" s="53">
        <v>157080</v>
      </c>
      <c r="R115" s="49">
        <v>96</v>
      </c>
      <c r="S115" s="53">
        <v>73920</v>
      </c>
      <c r="T115" s="49"/>
      <c r="U115" s="53"/>
      <c r="V115" s="49"/>
      <c r="W115" s="53"/>
      <c r="X115" s="53"/>
      <c r="Y115" s="53"/>
      <c r="Z115" s="53"/>
      <c r="AA115" s="53"/>
      <c r="AB115" s="53"/>
      <c r="AC115" s="53"/>
      <c r="AD115" s="63">
        <f t="shared" si="2"/>
        <v>300</v>
      </c>
      <c r="AE115" s="55">
        <f t="shared" si="3"/>
        <v>231000</v>
      </c>
      <c r="AG115" s="57" t="s">
        <v>304</v>
      </c>
    </row>
    <row r="116" spans="1:33" hidden="1">
      <c r="A116" s="47">
        <v>114</v>
      </c>
      <c r="B116" s="56">
        <v>4971710596946</v>
      </c>
      <c r="C116" s="57" t="s">
        <v>828</v>
      </c>
      <c r="D116" s="75" t="s">
        <v>884</v>
      </c>
      <c r="E116" s="48" t="s">
        <v>990</v>
      </c>
      <c r="F116" s="58"/>
      <c r="G116" s="59"/>
      <c r="H116" s="60"/>
      <c r="I116" s="61"/>
      <c r="J116" s="58"/>
      <c r="K116" s="59"/>
      <c r="L116" s="49"/>
      <c r="M116" s="50"/>
      <c r="N116" s="49"/>
      <c r="O116" s="50"/>
      <c r="P116" s="49">
        <v>204</v>
      </c>
      <c r="Q116" s="53">
        <v>157080</v>
      </c>
      <c r="R116" s="49">
        <v>96</v>
      </c>
      <c r="S116" s="53">
        <v>73920</v>
      </c>
      <c r="T116" s="49"/>
      <c r="U116" s="53"/>
      <c r="V116" s="49"/>
      <c r="W116" s="53"/>
      <c r="X116" s="53"/>
      <c r="Y116" s="53"/>
      <c r="Z116" s="53"/>
      <c r="AA116" s="53"/>
      <c r="AB116" s="53"/>
      <c r="AC116" s="53"/>
      <c r="AD116" s="63">
        <f t="shared" si="2"/>
        <v>300</v>
      </c>
      <c r="AE116" s="55">
        <f t="shared" si="3"/>
        <v>231000</v>
      </c>
      <c r="AG116" s="57">
        <f>VLOOKUP(AF116,[2]SEK!$E:$F,2,0)</f>
        <v>0</v>
      </c>
    </row>
    <row r="117" spans="1:33" hidden="1">
      <c r="A117" s="47">
        <v>115</v>
      </c>
      <c r="B117" s="56">
        <v>4971710592986</v>
      </c>
      <c r="C117" s="57" t="s">
        <v>744</v>
      </c>
      <c r="D117" s="75" t="s">
        <v>884</v>
      </c>
      <c r="E117" s="48" t="s">
        <v>745</v>
      </c>
      <c r="F117" s="58">
        <v>65</v>
      </c>
      <c r="G117" s="59">
        <v>39325</v>
      </c>
      <c r="H117" s="60">
        <v>216</v>
      </c>
      <c r="I117" s="61">
        <v>65340</v>
      </c>
      <c r="J117" s="58">
        <v>10</v>
      </c>
      <c r="K117" s="59">
        <v>6050</v>
      </c>
      <c r="L117" s="49">
        <v>38</v>
      </c>
      <c r="M117" s="50">
        <v>22990</v>
      </c>
      <c r="N117" s="49"/>
      <c r="O117" s="50"/>
      <c r="P117" s="49">
        <v>2</v>
      </c>
      <c r="Q117" s="53">
        <v>1210</v>
      </c>
      <c r="R117" s="49">
        <v>2</v>
      </c>
      <c r="S117" s="53">
        <v>1210</v>
      </c>
      <c r="T117" s="49">
        <v>10</v>
      </c>
      <c r="U117" s="53">
        <v>6050</v>
      </c>
      <c r="V117" s="49">
        <v>4</v>
      </c>
      <c r="W117" s="53">
        <v>2420</v>
      </c>
      <c r="X117" s="53"/>
      <c r="Y117" s="53"/>
      <c r="Z117" s="53"/>
      <c r="AA117" s="53"/>
      <c r="AB117" s="53">
        <v>60</v>
      </c>
      <c r="AC117" s="53">
        <v>36300</v>
      </c>
      <c r="AD117" s="62">
        <f t="shared" si="2"/>
        <v>407</v>
      </c>
      <c r="AE117" s="55">
        <f t="shared" si="3"/>
        <v>180895</v>
      </c>
      <c r="AG117" s="57" t="s">
        <v>487</v>
      </c>
    </row>
    <row r="118" spans="1:33" hidden="1">
      <c r="A118" s="47">
        <v>116</v>
      </c>
      <c r="B118" s="56">
        <v>4971710580457</v>
      </c>
      <c r="C118" s="57" t="s">
        <v>678</v>
      </c>
      <c r="D118" s="75" t="s">
        <v>1078</v>
      </c>
      <c r="E118" s="48" t="s">
        <v>679</v>
      </c>
      <c r="F118" s="58">
        <v>30</v>
      </c>
      <c r="G118" s="59">
        <v>19800</v>
      </c>
      <c r="H118" s="60">
        <v>64</v>
      </c>
      <c r="I118" s="61">
        <v>22440</v>
      </c>
      <c r="J118" s="58"/>
      <c r="K118" s="59"/>
      <c r="L118" s="49">
        <v>34</v>
      </c>
      <c r="M118" s="50">
        <v>22440</v>
      </c>
      <c r="N118" s="49"/>
      <c r="O118" s="50"/>
      <c r="P118" s="49">
        <v>12</v>
      </c>
      <c r="Q118" s="53">
        <v>7920</v>
      </c>
      <c r="R118" s="49">
        <v>80</v>
      </c>
      <c r="S118" s="53">
        <v>52800</v>
      </c>
      <c r="T118" s="49">
        <v>38</v>
      </c>
      <c r="U118" s="53">
        <v>25080</v>
      </c>
      <c r="V118" s="49">
        <v>8</v>
      </c>
      <c r="W118" s="53">
        <v>5280</v>
      </c>
      <c r="X118" s="53"/>
      <c r="Y118" s="53"/>
      <c r="Z118" s="53"/>
      <c r="AA118" s="53"/>
      <c r="AB118" s="53">
        <v>60</v>
      </c>
      <c r="AC118" s="53">
        <v>39600</v>
      </c>
      <c r="AD118" s="62">
        <f t="shared" si="2"/>
        <v>326</v>
      </c>
      <c r="AE118" s="55">
        <f t="shared" si="3"/>
        <v>195360</v>
      </c>
      <c r="AG118" s="57" t="s">
        <v>9</v>
      </c>
    </row>
    <row r="119" spans="1:33" hidden="1">
      <c r="A119" s="47">
        <v>117</v>
      </c>
      <c r="B119" s="56">
        <v>4971710494181</v>
      </c>
      <c r="C119" s="57" t="s">
        <v>116</v>
      </c>
      <c r="D119" s="75" t="s">
        <v>884</v>
      </c>
      <c r="E119" s="48" t="s">
        <v>117</v>
      </c>
      <c r="F119" s="58">
        <v>10</v>
      </c>
      <c r="G119" s="59">
        <v>2970</v>
      </c>
      <c r="H119" s="60">
        <v>64</v>
      </c>
      <c r="I119" s="61">
        <v>9504</v>
      </c>
      <c r="J119" s="58"/>
      <c r="K119" s="59"/>
      <c r="L119" s="49">
        <v>62</v>
      </c>
      <c r="M119" s="50">
        <v>18414</v>
      </c>
      <c r="N119" s="49">
        <v>2</v>
      </c>
      <c r="O119" s="50">
        <v>594</v>
      </c>
      <c r="P119" s="49">
        <v>6</v>
      </c>
      <c r="Q119" s="53">
        <v>1782</v>
      </c>
      <c r="R119" s="49">
        <v>62</v>
      </c>
      <c r="S119" s="53">
        <v>18414</v>
      </c>
      <c r="T119" s="49">
        <v>60</v>
      </c>
      <c r="U119" s="53">
        <v>17820</v>
      </c>
      <c r="V119" s="49"/>
      <c r="W119" s="53"/>
      <c r="X119" s="53"/>
      <c r="Y119" s="53"/>
      <c r="Z119" s="53"/>
      <c r="AA119" s="53"/>
      <c r="AB119" s="53">
        <v>60</v>
      </c>
      <c r="AC119" s="53">
        <v>17820</v>
      </c>
      <c r="AD119" s="62">
        <f t="shared" si="2"/>
        <v>326</v>
      </c>
      <c r="AE119" s="55">
        <f t="shared" si="3"/>
        <v>87318</v>
      </c>
      <c r="AG119" s="57" t="s">
        <v>452</v>
      </c>
    </row>
    <row r="120" spans="1:33" hidden="1">
      <c r="A120" s="47">
        <v>118</v>
      </c>
      <c r="B120" s="56">
        <v>4971710569209</v>
      </c>
      <c r="C120" s="57" t="s">
        <v>543</v>
      </c>
      <c r="D120" s="75" t="s">
        <v>1078</v>
      </c>
      <c r="E120" s="48" t="s">
        <v>544</v>
      </c>
      <c r="F120" s="58">
        <v>123</v>
      </c>
      <c r="G120" s="59">
        <v>81180</v>
      </c>
      <c r="H120" s="60">
        <v>4</v>
      </c>
      <c r="I120" s="61">
        <v>1320</v>
      </c>
      <c r="J120" s="58"/>
      <c r="K120" s="59"/>
      <c r="L120" s="49">
        <v>36</v>
      </c>
      <c r="M120" s="50">
        <v>23760</v>
      </c>
      <c r="N120" s="49">
        <v>4</v>
      </c>
      <c r="O120" s="50">
        <v>2640</v>
      </c>
      <c r="P120" s="49"/>
      <c r="Q120" s="53"/>
      <c r="R120" s="49">
        <v>66</v>
      </c>
      <c r="S120" s="53">
        <v>43560</v>
      </c>
      <c r="T120" s="49">
        <v>4</v>
      </c>
      <c r="U120" s="53">
        <v>2640</v>
      </c>
      <c r="V120" s="49"/>
      <c r="W120" s="53"/>
      <c r="X120" s="53"/>
      <c r="Y120" s="53"/>
      <c r="Z120" s="53"/>
      <c r="AA120" s="53"/>
      <c r="AB120" s="53">
        <v>50</v>
      </c>
      <c r="AC120" s="53">
        <v>33000</v>
      </c>
      <c r="AD120" s="62">
        <f t="shared" si="2"/>
        <v>287</v>
      </c>
      <c r="AE120" s="55">
        <f t="shared" si="3"/>
        <v>188100</v>
      </c>
      <c r="AG120" s="57">
        <f>VLOOKUP(AF120,[2]SEK!$E:$F,2,0)</f>
        <v>0</v>
      </c>
    </row>
    <row r="121" spans="1:33" hidden="1">
      <c r="A121" s="47">
        <v>119</v>
      </c>
      <c r="B121" s="56">
        <v>4971710580754</v>
      </c>
      <c r="C121" s="57" t="s">
        <v>688</v>
      </c>
      <c r="D121" s="75" t="s">
        <v>884</v>
      </c>
      <c r="E121" s="48" t="s">
        <v>689</v>
      </c>
      <c r="F121" s="58">
        <v>40</v>
      </c>
      <c r="G121" s="59">
        <v>26400</v>
      </c>
      <c r="H121" s="60"/>
      <c r="I121" s="61"/>
      <c r="J121" s="58">
        <v>100</v>
      </c>
      <c r="K121" s="59">
        <v>66000</v>
      </c>
      <c r="L121" s="49">
        <v>60</v>
      </c>
      <c r="M121" s="50">
        <v>39600</v>
      </c>
      <c r="N121" s="49">
        <v>60</v>
      </c>
      <c r="O121" s="50">
        <v>39600</v>
      </c>
      <c r="P121" s="49">
        <v>20</v>
      </c>
      <c r="Q121" s="53">
        <v>13200</v>
      </c>
      <c r="R121" s="49"/>
      <c r="S121" s="53"/>
      <c r="T121" s="49"/>
      <c r="U121" s="53"/>
      <c r="V121" s="49"/>
      <c r="W121" s="53"/>
      <c r="X121" s="53"/>
      <c r="Y121" s="53"/>
      <c r="Z121" s="53"/>
      <c r="AA121" s="53"/>
      <c r="AB121" s="53"/>
      <c r="AC121" s="53"/>
      <c r="AD121" s="62">
        <f t="shared" si="2"/>
        <v>280</v>
      </c>
      <c r="AE121" s="55">
        <f t="shared" si="3"/>
        <v>184800</v>
      </c>
      <c r="AG121" s="57" t="s">
        <v>509</v>
      </c>
    </row>
    <row r="122" spans="1:33" hidden="1">
      <c r="A122" s="47">
        <v>120</v>
      </c>
      <c r="B122" s="56">
        <v>4971710568547</v>
      </c>
      <c r="C122" s="57" t="s">
        <v>521</v>
      </c>
      <c r="D122" s="75" t="s">
        <v>884</v>
      </c>
      <c r="E122" s="48" t="s">
        <v>522</v>
      </c>
      <c r="F122" s="58"/>
      <c r="G122" s="59"/>
      <c r="H122" s="60">
        <v>40</v>
      </c>
      <c r="I122" s="61">
        <v>13200</v>
      </c>
      <c r="J122" s="58"/>
      <c r="K122" s="59"/>
      <c r="L122" s="49">
        <v>50</v>
      </c>
      <c r="M122" s="50">
        <v>33000</v>
      </c>
      <c r="N122" s="49">
        <v>20</v>
      </c>
      <c r="O122" s="50">
        <v>13200</v>
      </c>
      <c r="P122" s="49"/>
      <c r="Q122" s="53"/>
      <c r="R122" s="49">
        <v>37</v>
      </c>
      <c r="S122" s="53">
        <v>24420</v>
      </c>
      <c r="T122" s="49">
        <v>50</v>
      </c>
      <c r="U122" s="53">
        <v>33000</v>
      </c>
      <c r="V122" s="49">
        <v>32</v>
      </c>
      <c r="W122" s="53">
        <v>21120</v>
      </c>
      <c r="X122" s="53"/>
      <c r="Y122" s="53"/>
      <c r="Z122" s="53"/>
      <c r="AA122" s="53"/>
      <c r="AB122" s="53">
        <v>70</v>
      </c>
      <c r="AC122" s="53">
        <v>46200</v>
      </c>
      <c r="AD122" s="62">
        <f t="shared" si="2"/>
        <v>299</v>
      </c>
      <c r="AE122" s="55">
        <f t="shared" si="3"/>
        <v>184140</v>
      </c>
      <c r="AG122" s="57" t="s">
        <v>467</v>
      </c>
    </row>
    <row r="123" spans="1:33" hidden="1">
      <c r="A123" s="47">
        <v>121</v>
      </c>
      <c r="B123" s="56">
        <v>4971710598575</v>
      </c>
      <c r="C123" s="57" t="s">
        <v>817</v>
      </c>
      <c r="D123" s="75" t="s">
        <v>884</v>
      </c>
      <c r="E123" s="48" t="s">
        <v>1003</v>
      </c>
      <c r="F123" s="58"/>
      <c r="G123" s="59"/>
      <c r="H123" s="60"/>
      <c r="I123" s="61"/>
      <c r="J123" s="58"/>
      <c r="K123" s="59"/>
      <c r="L123" s="49"/>
      <c r="M123" s="50"/>
      <c r="N123" s="49"/>
      <c r="O123" s="50"/>
      <c r="P123" s="49">
        <v>65</v>
      </c>
      <c r="Q123" s="53">
        <v>35750</v>
      </c>
      <c r="R123" s="49">
        <v>12</v>
      </c>
      <c r="S123" s="53">
        <v>6600</v>
      </c>
      <c r="T123" s="49">
        <v>2</v>
      </c>
      <c r="U123" s="53">
        <v>1100</v>
      </c>
      <c r="V123" s="49">
        <v>119</v>
      </c>
      <c r="W123" s="53">
        <v>65450</v>
      </c>
      <c r="X123" s="53"/>
      <c r="Y123" s="53"/>
      <c r="Z123" s="53"/>
      <c r="AA123" s="53"/>
      <c r="AB123" s="53">
        <v>80</v>
      </c>
      <c r="AC123" s="53">
        <v>44000</v>
      </c>
      <c r="AD123" s="63">
        <f t="shared" si="2"/>
        <v>278</v>
      </c>
      <c r="AE123" s="55">
        <f t="shared" si="3"/>
        <v>152900</v>
      </c>
      <c r="AG123" s="57" t="s">
        <v>698</v>
      </c>
    </row>
    <row r="124" spans="1:33" hidden="1">
      <c r="A124" s="47">
        <v>122</v>
      </c>
      <c r="B124" s="56">
        <v>4971710576009</v>
      </c>
      <c r="C124" s="57" t="s">
        <v>604</v>
      </c>
      <c r="D124" s="75" t="s">
        <v>884</v>
      </c>
      <c r="E124" s="48" t="s">
        <v>605</v>
      </c>
      <c r="F124" s="58">
        <v>65</v>
      </c>
      <c r="G124" s="59">
        <v>42900</v>
      </c>
      <c r="H124" s="60">
        <v>8</v>
      </c>
      <c r="I124" s="61">
        <v>2640</v>
      </c>
      <c r="J124" s="58">
        <v>2</v>
      </c>
      <c r="K124" s="59">
        <v>1320</v>
      </c>
      <c r="L124" s="49">
        <v>20</v>
      </c>
      <c r="M124" s="50">
        <v>13200</v>
      </c>
      <c r="N124" s="49">
        <v>62</v>
      </c>
      <c r="O124" s="50">
        <v>40920</v>
      </c>
      <c r="P124" s="49">
        <v>15</v>
      </c>
      <c r="Q124" s="53">
        <v>9900</v>
      </c>
      <c r="R124" s="49"/>
      <c r="S124" s="53"/>
      <c r="T124" s="49"/>
      <c r="U124" s="53"/>
      <c r="V124" s="49">
        <v>38</v>
      </c>
      <c r="W124" s="53">
        <v>25080</v>
      </c>
      <c r="X124" s="53"/>
      <c r="Y124" s="53"/>
      <c r="Z124" s="53"/>
      <c r="AA124" s="53"/>
      <c r="AB124" s="53">
        <v>70</v>
      </c>
      <c r="AC124" s="53">
        <v>46200</v>
      </c>
      <c r="AD124" s="62">
        <f t="shared" si="2"/>
        <v>280</v>
      </c>
      <c r="AE124" s="55">
        <f t="shared" si="3"/>
        <v>182160</v>
      </c>
      <c r="AG124" s="57" t="s">
        <v>521</v>
      </c>
    </row>
    <row r="125" spans="1:33" hidden="1">
      <c r="A125" s="47">
        <v>123</v>
      </c>
      <c r="B125" s="56">
        <v>4971710515817</v>
      </c>
      <c r="C125" s="57" t="s">
        <v>316</v>
      </c>
      <c r="D125" s="75" t="s">
        <v>884</v>
      </c>
      <c r="E125" s="48" t="s">
        <v>317</v>
      </c>
      <c r="F125" s="58">
        <v>40</v>
      </c>
      <c r="G125" s="59">
        <v>20880</v>
      </c>
      <c r="H125" s="60">
        <v>8</v>
      </c>
      <c r="I125" s="61">
        <v>2088</v>
      </c>
      <c r="J125" s="58">
        <v>14</v>
      </c>
      <c r="K125" s="59">
        <v>7308</v>
      </c>
      <c r="L125" s="49">
        <v>36</v>
      </c>
      <c r="M125" s="50">
        <v>18792</v>
      </c>
      <c r="N125" s="49">
        <v>2</v>
      </c>
      <c r="O125" s="50">
        <v>1044</v>
      </c>
      <c r="P125" s="49">
        <v>56</v>
      </c>
      <c r="Q125" s="53">
        <v>29232</v>
      </c>
      <c r="R125" s="49">
        <v>38</v>
      </c>
      <c r="S125" s="53">
        <v>19836</v>
      </c>
      <c r="T125" s="49">
        <v>50</v>
      </c>
      <c r="U125" s="53">
        <v>26100</v>
      </c>
      <c r="V125" s="49">
        <v>8</v>
      </c>
      <c r="W125" s="53">
        <v>4176</v>
      </c>
      <c r="X125" s="53"/>
      <c r="Y125" s="53"/>
      <c r="Z125" s="53"/>
      <c r="AA125" s="53"/>
      <c r="AB125" s="53">
        <v>28</v>
      </c>
      <c r="AC125" s="53">
        <v>14616</v>
      </c>
      <c r="AD125" s="62">
        <f t="shared" si="2"/>
        <v>280</v>
      </c>
      <c r="AE125" s="55">
        <f t="shared" si="3"/>
        <v>144072</v>
      </c>
      <c r="AG125" s="57">
        <f>VLOOKUP(AF125,[2]SEK!$E:$F,2,0)</f>
        <v>0</v>
      </c>
    </row>
    <row r="126" spans="1:33" hidden="1">
      <c r="A126" s="47">
        <v>124</v>
      </c>
      <c r="B126" s="56">
        <v>4971710598537</v>
      </c>
      <c r="C126" s="57" t="s">
        <v>821</v>
      </c>
      <c r="D126" s="75" t="s">
        <v>884</v>
      </c>
      <c r="E126" s="48" t="s">
        <v>829</v>
      </c>
      <c r="F126" s="58"/>
      <c r="G126" s="59"/>
      <c r="H126" s="60"/>
      <c r="I126" s="61"/>
      <c r="J126" s="58"/>
      <c r="K126" s="59"/>
      <c r="L126" s="49"/>
      <c r="M126" s="50"/>
      <c r="N126" s="49"/>
      <c r="O126" s="50"/>
      <c r="P126" s="49">
        <v>60</v>
      </c>
      <c r="Q126" s="53">
        <v>39600</v>
      </c>
      <c r="R126" s="49">
        <v>2</v>
      </c>
      <c r="S126" s="53">
        <v>1320</v>
      </c>
      <c r="T126" s="49">
        <v>17</v>
      </c>
      <c r="U126" s="53">
        <v>11220</v>
      </c>
      <c r="V126" s="49">
        <v>57</v>
      </c>
      <c r="W126" s="53">
        <v>37620</v>
      </c>
      <c r="X126" s="53"/>
      <c r="Y126" s="53"/>
      <c r="Z126" s="53"/>
      <c r="AA126" s="53"/>
      <c r="AB126" s="53">
        <v>128</v>
      </c>
      <c r="AC126" s="53">
        <v>84480</v>
      </c>
      <c r="AD126" s="63">
        <f t="shared" si="2"/>
        <v>264</v>
      </c>
      <c r="AE126" s="55">
        <f t="shared" si="3"/>
        <v>174240</v>
      </c>
      <c r="AG126" s="57">
        <f>VLOOKUP(AF126,[2]SEK!$E:$F,2,0)</f>
        <v>0</v>
      </c>
    </row>
    <row r="127" spans="1:33" hidden="1">
      <c r="A127" s="47">
        <v>125</v>
      </c>
      <c r="B127" s="56">
        <v>4971710569186</v>
      </c>
      <c r="C127" s="57" t="s">
        <v>539</v>
      </c>
      <c r="D127" s="75" t="s">
        <v>1078</v>
      </c>
      <c r="E127" s="48" t="s">
        <v>540</v>
      </c>
      <c r="F127" s="58">
        <v>42</v>
      </c>
      <c r="G127" s="59">
        <v>27720</v>
      </c>
      <c r="H127" s="60"/>
      <c r="I127" s="61"/>
      <c r="J127" s="58"/>
      <c r="K127" s="59"/>
      <c r="L127" s="49">
        <v>42</v>
      </c>
      <c r="M127" s="50">
        <v>27720</v>
      </c>
      <c r="N127" s="49">
        <v>52</v>
      </c>
      <c r="O127" s="50">
        <v>34320</v>
      </c>
      <c r="P127" s="49"/>
      <c r="Q127" s="53"/>
      <c r="R127" s="49">
        <v>64</v>
      </c>
      <c r="S127" s="53">
        <v>42240</v>
      </c>
      <c r="T127" s="49"/>
      <c r="U127" s="53"/>
      <c r="V127" s="49">
        <v>2</v>
      </c>
      <c r="W127" s="53">
        <v>1320</v>
      </c>
      <c r="X127" s="53"/>
      <c r="Y127" s="53"/>
      <c r="Z127" s="53"/>
      <c r="AA127" s="53"/>
      <c r="AB127" s="53">
        <v>50</v>
      </c>
      <c r="AC127" s="53">
        <v>33000</v>
      </c>
      <c r="AD127" s="62">
        <f t="shared" si="2"/>
        <v>252</v>
      </c>
      <c r="AE127" s="55">
        <f t="shared" si="3"/>
        <v>166320</v>
      </c>
      <c r="AG127" s="57">
        <f>VLOOKUP(AF127,[2]SEK!$E:$F,2,0)</f>
        <v>0</v>
      </c>
    </row>
    <row r="128" spans="1:33" hidden="1">
      <c r="A128" s="47">
        <v>126</v>
      </c>
      <c r="B128" s="56">
        <v>4971710568561</v>
      </c>
      <c r="C128" s="57" t="s">
        <v>525</v>
      </c>
      <c r="D128" s="75" t="s">
        <v>884</v>
      </c>
      <c r="E128" s="48" t="s">
        <v>526</v>
      </c>
      <c r="F128" s="58">
        <v>50</v>
      </c>
      <c r="G128" s="59">
        <v>33000</v>
      </c>
      <c r="H128" s="60"/>
      <c r="I128" s="61"/>
      <c r="J128" s="58"/>
      <c r="K128" s="59"/>
      <c r="L128" s="49">
        <v>50</v>
      </c>
      <c r="M128" s="50">
        <v>33000</v>
      </c>
      <c r="N128" s="49"/>
      <c r="O128" s="50"/>
      <c r="P128" s="49"/>
      <c r="Q128" s="53"/>
      <c r="R128" s="49">
        <v>40</v>
      </c>
      <c r="S128" s="53">
        <v>26400</v>
      </c>
      <c r="T128" s="49">
        <v>50</v>
      </c>
      <c r="U128" s="53">
        <v>33000</v>
      </c>
      <c r="V128" s="49">
        <v>50</v>
      </c>
      <c r="W128" s="53">
        <v>33000</v>
      </c>
      <c r="X128" s="53"/>
      <c r="Y128" s="53"/>
      <c r="Z128" s="53"/>
      <c r="AA128" s="53"/>
      <c r="AB128" s="53">
        <v>10</v>
      </c>
      <c r="AC128" s="53">
        <v>6600</v>
      </c>
      <c r="AD128" s="62">
        <f t="shared" si="2"/>
        <v>250</v>
      </c>
      <c r="AE128" s="55">
        <f t="shared" si="3"/>
        <v>165000</v>
      </c>
      <c r="AG128" s="57" t="s">
        <v>604</v>
      </c>
    </row>
    <row r="129" spans="1:33" hidden="1">
      <c r="A129" s="47">
        <v>127</v>
      </c>
      <c r="B129" s="56">
        <v>4971710575989</v>
      </c>
      <c r="C129" s="57" t="s">
        <v>600</v>
      </c>
      <c r="D129" s="75" t="s">
        <v>884</v>
      </c>
      <c r="E129" s="48" t="s">
        <v>601</v>
      </c>
      <c r="F129" s="58">
        <v>45</v>
      </c>
      <c r="G129" s="59">
        <v>29700</v>
      </c>
      <c r="H129" s="60">
        <v>8</v>
      </c>
      <c r="I129" s="61">
        <v>2640</v>
      </c>
      <c r="J129" s="58">
        <v>5</v>
      </c>
      <c r="K129" s="59">
        <v>3300</v>
      </c>
      <c r="L129" s="49">
        <v>57</v>
      </c>
      <c r="M129" s="50">
        <v>37620</v>
      </c>
      <c r="N129" s="49">
        <v>2</v>
      </c>
      <c r="O129" s="50">
        <v>1320</v>
      </c>
      <c r="P129" s="49">
        <v>17</v>
      </c>
      <c r="Q129" s="53">
        <v>11220</v>
      </c>
      <c r="R129" s="49"/>
      <c r="S129" s="53"/>
      <c r="T129" s="49">
        <v>32</v>
      </c>
      <c r="U129" s="53">
        <v>21120</v>
      </c>
      <c r="V129" s="49">
        <v>5</v>
      </c>
      <c r="W129" s="53">
        <v>3300</v>
      </c>
      <c r="X129" s="53"/>
      <c r="Y129" s="53"/>
      <c r="Z129" s="53"/>
      <c r="AA129" s="53"/>
      <c r="AB129" s="53">
        <v>82</v>
      </c>
      <c r="AC129" s="53">
        <v>54120</v>
      </c>
      <c r="AD129" s="62">
        <f t="shared" si="2"/>
        <v>253</v>
      </c>
      <c r="AE129" s="55">
        <f t="shared" si="3"/>
        <v>164340</v>
      </c>
      <c r="AG129" s="57" t="s">
        <v>316</v>
      </c>
    </row>
    <row r="130" spans="1:33" hidden="1">
      <c r="A130" s="47">
        <v>128</v>
      </c>
      <c r="B130" s="56">
        <v>4971710584059</v>
      </c>
      <c r="C130" s="57" t="s">
        <v>700</v>
      </c>
      <c r="D130" s="75" t="s">
        <v>884</v>
      </c>
      <c r="E130" s="48" t="s">
        <v>701</v>
      </c>
      <c r="F130" s="58">
        <v>100</v>
      </c>
      <c r="G130" s="59">
        <v>71500</v>
      </c>
      <c r="H130" s="60">
        <v>80</v>
      </c>
      <c r="I130" s="61">
        <v>28600</v>
      </c>
      <c r="J130" s="58">
        <v>14</v>
      </c>
      <c r="K130" s="59">
        <v>10010</v>
      </c>
      <c r="L130" s="49"/>
      <c r="M130" s="50"/>
      <c r="N130" s="49">
        <v>2</v>
      </c>
      <c r="O130" s="50">
        <v>1430</v>
      </c>
      <c r="P130" s="49"/>
      <c r="Q130" s="53"/>
      <c r="R130" s="49"/>
      <c r="S130" s="53"/>
      <c r="T130" s="49"/>
      <c r="U130" s="53"/>
      <c r="V130" s="49">
        <v>18</v>
      </c>
      <c r="W130" s="53">
        <v>12870</v>
      </c>
      <c r="X130" s="53"/>
      <c r="Y130" s="53"/>
      <c r="Z130" s="53"/>
      <c r="AA130" s="53"/>
      <c r="AB130" s="53">
        <v>75</v>
      </c>
      <c r="AC130" s="53">
        <v>53625</v>
      </c>
      <c r="AD130" s="62">
        <f t="shared" si="2"/>
        <v>289</v>
      </c>
      <c r="AE130" s="55">
        <f t="shared" si="3"/>
        <v>178035</v>
      </c>
      <c r="AG130" s="57" t="s">
        <v>744</v>
      </c>
    </row>
    <row r="131" spans="1:33" hidden="1">
      <c r="A131" s="47">
        <v>129</v>
      </c>
      <c r="B131" s="56">
        <v>4971710513639</v>
      </c>
      <c r="C131" s="57" t="s">
        <v>262</v>
      </c>
      <c r="D131" s="75" t="s">
        <v>1078</v>
      </c>
      <c r="E131" s="48" t="s">
        <v>263</v>
      </c>
      <c r="F131" s="58">
        <v>30</v>
      </c>
      <c r="G131" s="59">
        <v>9060</v>
      </c>
      <c r="H131" s="60"/>
      <c r="I131" s="61"/>
      <c r="J131" s="58"/>
      <c r="K131" s="59"/>
      <c r="L131" s="49">
        <v>6</v>
      </c>
      <c r="M131" s="50">
        <v>1812</v>
      </c>
      <c r="N131" s="49">
        <v>30</v>
      </c>
      <c r="O131" s="50">
        <v>9060</v>
      </c>
      <c r="P131" s="49">
        <v>24</v>
      </c>
      <c r="Q131" s="53">
        <v>7248</v>
      </c>
      <c r="R131" s="49">
        <v>64</v>
      </c>
      <c r="S131" s="53">
        <v>19328</v>
      </c>
      <c r="T131" s="49">
        <v>20</v>
      </c>
      <c r="U131" s="53">
        <v>6040</v>
      </c>
      <c r="V131" s="49">
        <v>25</v>
      </c>
      <c r="W131" s="53">
        <v>7550</v>
      </c>
      <c r="X131" s="53"/>
      <c r="Y131" s="53"/>
      <c r="Z131" s="53"/>
      <c r="AA131" s="53"/>
      <c r="AB131" s="53">
        <v>50</v>
      </c>
      <c r="AC131" s="53">
        <v>15100</v>
      </c>
      <c r="AD131" s="62">
        <f t="shared" si="2"/>
        <v>249</v>
      </c>
      <c r="AE131" s="55">
        <f t="shared" si="3"/>
        <v>75198</v>
      </c>
      <c r="AG131" s="57" t="s">
        <v>114</v>
      </c>
    </row>
    <row r="132" spans="1:33" hidden="1">
      <c r="A132" s="47">
        <v>130</v>
      </c>
      <c r="B132" s="56">
        <v>4971710513691</v>
      </c>
      <c r="C132" s="57" t="s">
        <v>274</v>
      </c>
      <c r="D132" s="75" t="s">
        <v>1078</v>
      </c>
      <c r="E132" s="48" t="s">
        <v>275</v>
      </c>
      <c r="F132" s="58">
        <v>50</v>
      </c>
      <c r="G132" s="59">
        <v>27500</v>
      </c>
      <c r="H132" s="60"/>
      <c r="I132" s="61"/>
      <c r="J132" s="58"/>
      <c r="K132" s="59"/>
      <c r="L132" s="49">
        <v>36</v>
      </c>
      <c r="M132" s="50">
        <v>19800</v>
      </c>
      <c r="N132" s="49">
        <v>50</v>
      </c>
      <c r="O132" s="50">
        <v>27500</v>
      </c>
      <c r="P132" s="49"/>
      <c r="Q132" s="53"/>
      <c r="R132" s="49"/>
      <c r="S132" s="53"/>
      <c r="T132" s="49"/>
      <c r="U132" s="53"/>
      <c r="V132" s="49">
        <v>60</v>
      </c>
      <c r="W132" s="53">
        <v>33000</v>
      </c>
      <c r="X132" s="53"/>
      <c r="Y132" s="53"/>
      <c r="Z132" s="53"/>
      <c r="AA132" s="53"/>
      <c r="AB132" s="53">
        <v>50</v>
      </c>
      <c r="AC132" s="53">
        <v>27500</v>
      </c>
      <c r="AD132" s="62">
        <f t="shared" ref="AD132:AD195" si="4">F132+H132+J132+L132+N132+P132+R132+T132+V132+X132+Z132+AB132</f>
        <v>246</v>
      </c>
      <c r="AE132" s="55">
        <f t="shared" ref="AE132:AE195" si="5">G132+I132+K132+M132+O132+Q132+S132+U132+W132+Y132+AA132+AC132</f>
        <v>135300</v>
      </c>
      <c r="AG132" s="57" t="s">
        <v>489</v>
      </c>
    </row>
    <row r="133" spans="1:33" hidden="1">
      <c r="A133" s="47">
        <v>131</v>
      </c>
      <c r="B133" s="56">
        <v>4971710508864</v>
      </c>
      <c r="C133" s="57" t="s">
        <v>202</v>
      </c>
      <c r="D133" s="75" t="s">
        <v>884</v>
      </c>
      <c r="E133" s="48" t="s">
        <v>203</v>
      </c>
      <c r="F133" s="58">
        <v>6</v>
      </c>
      <c r="G133" s="59">
        <v>5280</v>
      </c>
      <c r="H133" s="60"/>
      <c r="I133" s="61"/>
      <c r="J133" s="58"/>
      <c r="K133" s="59"/>
      <c r="L133" s="49">
        <v>30</v>
      </c>
      <c r="M133" s="50">
        <v>26400</v>
      </c>
      <c r="N133" s="49"/>
      <c r="O133" s="50"/>
      <c r="P133" s="49"/>
      <c r="Q133" s="53"/>
      <c r="R133" s="49"/>
      <c r="S133" s="53"/>
      <c r="T133" s="49">
        <v>20</v>
      </c>
      <c r="U133" s="53">
        <v>17600</v>
      </c>
      <c r="V133" s="49">
        <v>15</v>
      </c>
      <c r="W133" s="53">
        <v>13200</v>
      </c>
      <c r="X133" s="53"/>
      <c r="Y133" s="53"/>
      <c r="Z133" s="53"/>
      <c r="AA133" s="53"/>
      <c r="AB133" s="53">
        <v>171</v>
      </c>
      <c r="AC133" s="53">
        <v>150480</v>
      </c>
      <c r="AD133" s="62">
        <f t="shared" si="4"/>
        <v>242</v>
      </c>
      <c r="AE133" s="55">
        <f t="shared" si="5"/>
        <v>212960</v>
      </c>
      <c r="AG133" s="57" t="s">
        <v>12</v>
      </c>
    </row>
    <row r="134" spans="1:33" hidden="1">
      <c r="A134" s="47">
        <v>132</v>
      </c>
      <c r="B134" s="56">
        <v>4971710584707</v>
      </c>
      <c r="C134" s="57" t="s">
        <v>708</v>
      </c>
      <c r="D134" s="75" t="s">
        <v>1078</v>
      </c>
      <c r="E134" s="48" t="s">
        <v>709</v>
      </c>
      <c r="F134" s="58">
        <v>30</v>
      </c>
      <c r="G134" s="59">
        <v>10710</v>
      </c>
      <c r="H134" s="60">
        <v>4</v>
      </c>
      <c r="I134" s="61">
        <v>714</v>
      </c>
      <c r="J134" s="58"/>
      <c r="K134" s="59"/>
      <c r="L134" s="49">
        <v>32</v>
      </c>
      <c r="M134" s="50">
        <v>11424</v>
      </c>
      <c r="N134" s="49"/>
      <c r="O134" s="50"/>
      <c r="P134" s="49">
        <v>6</v>
      </c>
      <c r="Q134" s="53">
        <v>2142</v>
      </c>
      <c r="R134" s="49">
        <v>50</v>
      </c>
      <c r="S134" s="53">
        <v>17850</v>
      </c>
      <c r="T134" s="49">
        <v>36</v>
      </c>
      <c r="U134" s="53">
        <v>12852</v>
      </c>
      <c r="V134" s="49">
        <v>36</v>
      </c>
      <c r="W134" s="53">
        <v>12852</v>
      </c>
      <c r="X134" s="53"/>
      <c r="Y134" s="53"/>
      <c r="Z134" s="53"/>
      <c r="AA134" s="53"/>
      <c r="AB134" s="53">
        <v>50</v>
      </c>
      <c r="AC134" s="53">
        <v>17850</v>
      </c>
      <c r="AD134" s="62">
        <f t="shared" si="4"/>
        <v>244</v>
      </c>
      <c r="AE134" s="55">
        <f t="shared" si="5"/>
        <v>86394</v>
      </c>
      <c r="AG134" s="57" t="s">
        <v>511</v>
      </c>
    </row>
    <row r="135" spans="1:33" hidden="1">
      <c r="A135" s="47">
        <v>133</v>
      </c>
      <c r="B135" s="56">
        <v>4971710564761</v>
      </c>
      <c r="C135" s="57" t="s">
        <v>487</v>
      </c>
      <c r="D135" s="75" t="s">
        <v>884</v>
      </c>
      <c r="E135" s="48" t="s">
        <v>488</v>
      </c>
      <c r="F135" s="58">
        <v>40</v>
      </c>
      <c r="G135" s="59">
        <v>26400</v>
      </c>
      <c r="H135" s="60"/>
      <c r="I135" s="61"/>
      <c r="J135" s="58">
        <v>32</v>
      </c>
      <c r="K135" s="59">
        <v>21120</v>
      </c>
      <c r="L135" s="49">
        <v>8</v>
      </c>
      <c r="M135" s="50">
        <v>5280</v>
      </c>
      <c r="N135" s="49">
        <v>62</v>
      </c>
      <c r="O135" s="50">
        <v>40920</v>
      </c>
      <c r="P135" s="49">
        <v>6</v>
      </c>
      <c r="Q135" s="53">
        <v>3960</v>
      </c>
      <c r="R135" s="49">
        <v>24</v>
      </c>
      <c r="S135" s="53">
        <v>15840</v>
      </c>
      <c r="T135" s="49"/>
      <c r="U135" s="53"/>
      <c r="V135" s="49">
        <v>30</v>
      </c>
      <c r="W135" s="53">
        <v>19800</v>
      </c>
      <c r="X135" s="53"/>
      <c r="Y135" s="53"/>
      <c r="Z135" s="53"/>
      <c r="AA135" s="53"/>
      <c r="AB135" s="53">
        <v>36</v>
      </c>
      <c r="AC135" s="53">
        <v>23760</v>
      </c>
      <c r="AD135" s="62">
        <f t="shared" si="4"/>
        <v>238</v>
      </c>
      <c r="AE135" s="55">
        <f t="shared" si="5"/>
        <v>157080</v>
      </c>
      <c r="AG135" s="57" t="s">
        <v>678</v>
      </c>
    </row>
    <row r="136" spans="1:33" hidden="1">
      <c r="A136" s="47">
        <v>134</v>
      </c>
      <c r="B136" s="56">
        <v>4971710577402</v>
      </c>
      <c r="C136" s="57" t="s">
        <v>622</v>
      </c>
      <c r="D136" s="75" t="s">
        <v>884</v>
      </c>
      <c r="E136" s="48" t="s">
        <v>623</v>
      </c>
      <c r="F136" s="58">
        <v>25</v>
      </c>
      <c r="G136" s="59">
        <v>16500</v>
      </c>
      <c r="H136" s="60">
        <v>4</v>
      </c>
      <c r="I136" s="61">
        <v>1320</v>
      </c>
      <c r="J136" s="58">
        <v>30</v>
      </c>
      <c r="K136" s="59">
        <v>19800</v>
      </c>
      <c r="L136" s="49">
        <v>56</v>
      </c>
      <c r="M136" s="50">
        <v>36960</v>
      </c>
      <c r="N136" s="49">
        <v>4</v>
      </c>
      <c r="O136" s="50">
        <v>2640</v>
      </c>
      <c r="P136" s="49"/>
      <c r="Q136" s="53"/>
      <c r="R136" s="49">
        <v>6</v>
      </c>
      <c r="S136" s="53">
        <v>3960</v>
      </c>
      <c r="T136" s="49"/>
      <c r="U136" s="53"/>
      <c r="V136" s="49">
        <v>54</v>
      </c>
      <c r="W136" s="53">
        <v>35640</v>
      </c>
      <c r="X136" s="53"/>
      <c r="Y136" s="53"/>
      <c r="Z136" s="53"/>
      <c r="AA136" s="53"/>
      <c r="AB136" s="53">
        <v>60</v>
      </c>
      <c r="AC136" s="53">
        <v>39600</v>
      </c>
      <c r="AD136" s="62">
        <f t="shared" si="4"/>
        <v>239</v>
      </c>
      <c r="AE136" s="55">
        <f t="shared" si="5"/>
        <v>156420</v>
      </c>
      <c r="AG136" s="57" t="s">
        <v>515</v>
      </c>
    </row>
    <row r="137" spans="1:33" hidden="1">
      <c r="A137" s="47">
        <v>135</v>
      </c>
      <c r="B137" s="56">
        <v>4971710571813</v>
      </c>
      <c r="C137" s="57" t="s">
        <v>559</v>
      </c>
      <c r="D137" s="75" t="s">
        <v>884</v>
      </c>
      <c r="E137" s="48" t="s">
        <v>560</v>
      </c>
      <c r="F137" s="58">
        <v>5</v>
      </c>
      <c r="G137" s="59">
        <v>3300</v>
      </c>
      <c r="H137" s="60">
        <v>116</v>
      </c>
      <c r="I137" s="61">
        <v>38280</v>
      </c>
      <c r="J137" s="58"/>
      <c r="K137" s="59"/>
      <c r="L137" s="49">
        <v>16</v>
      </c>
      <c r="M137" s="50">
        <v>10560</v>
      </c>
      <c r="N137" s="49">
        <v>30</v>
      </c>
      <c r="O137" s="50">
        <v>19800</v>
      </c>
      <c r="P137" s="49">
        <v>4</v>
      </c>
      <c r="Q137" s="53">
        <v>2640</v>
      </c>
      <c r="R137" s="49"/>
      <c r="S137" s="53"/>
      <c r="T137" s="49"/>
      <c r="U137" s="53"/>
      <c r="V137" s="49">
        <v>100</v>
      </c>
      <c r="W137" s="53">
        <v>66000</v>
      </c>
      <c r="X137" s="53"/>
      <c r="Y137" s="53"/>
      <c r="Z137" s="53"/>
      <c r="AA137" s="53"/>
      <c r="AB137" s="53">
        <v>20</v>
      </c>
      <c r="AC137" s="53">
        <v>13200</v>
      </c>
      <c r="AD137" s="62">
        <f t="shared" si="4"/>
        <v>291</v>
      </c>
      <c r="AE137" s="55">
        <f t="shared" si="5"/>
        <v>153780</v>
      </c>
      <c r="AG137" s="57" t="s">
        <v>700</v>
      </c>
    </row>
    <row r="138" spans="1:33" hidden="1">
      <c r="A138" s="47">
        <v>136</v>
      </c>
      <c r="B138" s="56">
        <v>4971710575996</v>
      </c>
      <c r="C138" s="57" t="s">
        <v>602</v>
      </c>
      <c r="D138" s="75" t="s">
        <v>884</v>
      </c>
      <c r="E138" s="48" t="s">
        <v>603</v>
      </c>
      <c r="F138" s="58">
        <v>60</v>
      </c>
      <c r="G138" s="59">
        <v>39600</v>
      </c>
      <c r="H138" s="60"/>
      <c r="I138" s="61"/>
      <c r="J138" s="58">
        <v>7</v>
      </c>
      <c r="K138" s="59">
        <v>4620</v>
      </c>
      <c r="L138" s="49">
        <v>20</v>
      </c>
      <c r="M138" s="50">
        <v>13200</v>
      </c>
      <c r="N138" s="49">
        <v>36</v>
      </c>
      <c r="O138" s="50">
        <v>23760</v>
      </c>
      <c r="P138" s="49"/>
      <c r="Q138" s="53"/>
      <c r="R138" s="49"/>
      <c r="S138" s="53"/>
      <c r="T138" s="49">
        <v>4</v>
      </c>
      <c r="U138" s="53">
        <v>2640</v>
      </c>
      <c r="V138" s="49">
        <v>33</v>
      </c>
      <c r="W138" s="53">
        <v>21780</v>
      </c>
      <c r="X138" s="53"/>
      <c r="Y138" s="53"/>
      <c r="Z138" s="53"/>
      <c r="AA138" s="53"/>
      <c r="AB138" s="53">
        <v>70</v>
      </c>
      <c r="AC138" s="53">
        <v>46200</v>
      </c>
      <c r="AD138" s="62">
        <f t="shared" si="4"/>
        <v>230</v>
      </c>
      <c r="AE138" s="55">
        <f t="shared" si="5"/>
        <v>151800</v>
      </c>
      <c r="AG138" s="57" t="s">
        <v>396</v>
      </c>
    </row>
    <row r="139" spans="1:33" hidden="1">
      <c r="A139" s="47">
        <v>137</v>
      </c>
      <c r="B139" s="56">
        <v>4971710490732</v>
      </c>
      <c r="C139" s="57" t="s">
        <v>92</v>
      </c>
      <c r="D139" s="75" t="s">
        <v>884</v>
      </c>
      <c r="E139" s="48" t="s">
        <v>93</v>
      </c>
      <c r="F139" s="58">
        <v>20</v>
      </c>
      <c r="G139" s="59">
        <v>11000</v>
      </c>
      <c r="H139" s="60"/>
      <c r="I139" s="61"/>
      <c r="J139" s="58"/>
      <c r="K139" s="59"/>
      <c r="L139" s="49"/>
      <c r="M139" s="50"/>
      <c r="N139" s="49">
        <v>30</v>
      </c>
      <c r="O139" s="50">
        <v>16500</v>
      </c>
      <c r="P139" s="49"/>
      <c r="Q139" s="53"/>
      <c r="R139" s="49">
        <v>60</v>
      </c>
      <c r="S139" s="53">
        <v>33000</v>
      </c>
      <c r="T139" s="49"/>
      <c r="U139" s="53"/>
      <c r="V139" s="49">
        <v>60</v>
      </c>
      <c r="W139" s="53">
        <v>33000</v>
      </c>
      <c r="X139" s="53"/>
      <c r="Y139" s="53"/>
      <c r="Z139" s="53"/>
      <c r="AA139" s="53"/>
      <c r="AB139" s="53">
        <v>60</v>
      </c>
      <c r="AC139" s="53">
        <v>33000</v>
      </c>
      <c r="AD139" s="62">
        <f t="shared" si="4"/>
        <v>230</v>
      </c>
      <c r="AE139" s="55">
        <f t="shared" si="5"/>
        <v>126500</v>
      </c>
      <c r="AG139" s="57" t="s">
        <v>364</v>
      </c>
    </row>
    <row r="140" spans="1:33" hidden="1">
      <c r="A140" s="47">
        <v>138</v>
      </c>
      <c r="B140" s="56">
        <v>4971710585285</v>
      </c>
      <c r="C140" s="57" t="s">
        <v>995</v>
      </c>
      <c r="D140" s="75" t="s">
        <v>1085</v>
      </c>
      <c r="E140" s="48" t="s">
        <v>859</v>
      </c>
      <c r="F140" s="58"/>
      <c r="G140" s="59"/>
      <c r="H140" s="60"/>
      <c r="I140" s="61"/>
      <c r="J140" s="58"/>
      <c r="K140" s="59"/>
      <c r="L140" s="49"/>
      <c r="M140" s="50"/>
      <c r="N140" s="49">
        <v>230</v>
      </c>
      <c r="O140" s="50">
        <v>75900</v>
      </c>
      <c r="P140" s="49"/>
      <c r="Q140" s="53"/>
      <c r="R140" s="49"/>
      <c r="S140" s="53"/>
      <c r="T140" s="49"/>
      <c r="U140" s="53"/>
      <c r="V140" s="49"/>
      <c r="W140" s="53"/>
      <c r="X140" s="53"/>
      <c r="Y140" s="53"/>
      <c r="Z140" s="53"/>
      <c r="AA140" s="53"/>
      <c r="AB140" s="53"/>
      <c r="AC140" s="53"/>
      <c r="AD140" s="62">
        <f t="shared" si="4"/>
        <v>230</v>
      </c>
      <c r="AE140" s="55">
        <f t="shared" si="5"/>
        <v>75900</v>
      </c>
      <c r="AG140" s="57" t="s">
        <v>274</v>
      </c>
    </row>
    <row r="141" spans="1:33" hidden="1">
      <c r="A141" s="47">
        <v>139</v>
      </c>
      <c r="B141" s="56">
        <v>4971710585292</v>
      </c>
      <c r="C141" s="57" t="s">
        <v>996</v>
      </c>
      <c r="D141" s="75" t="s">
        <v>1085</v>
      </c>
      <c r="E141" s="48" t="s">
        <v>862</v>
      </c>
      <c r="F141" s="58"/>
      <c r="G141" s="59"/>
      <c r="H141" s="60"/>
      <c r="I141" s="61"/>
      <c r="J141" s="58"/>
      <c r="K141" s="59"/>
      <c r="L141" s="49"/>
      <c r="M141" s="50"/>
      <c r="N141" s="49">
        <v>230</v>
      </c>
      <c r="O141" s="50">
        <v>63250</v>
      </c>
      <c r="P141" s="49"/>
      <c r="Q141" s="53"/>
      <c r="R141" s="49"/>
      <c r="S141" s="53"/>
      <c r="T141" s="49"/>
      <c r="U141" s="53"/>
      <c r="V141" s="49"/>
      <c r="W141" s="53"/>
      <c r="X141" s="53"/>
      <c r="Y141" s="53"/>
      <c r="Z141" s="53"/>
      <c r="AA141" s="53"/>
      <c r="AB141" s="53"/>
      <c r="AC141" s="53"/>
      <c r="AD141" s="62">
        <f t="shared" si="4"/>
        <v>230</v>
      </c>
      <c r="AE141" s="55">
        <f t="shared" si="5"/>
        <v>63250</v>
      </c>
      <c r="AG141" s="57" t="s">
        <v>742</v>
      </c>
    </row>
    <row r="142" spans="1:33" hidden="1">
      <c r="A142" s="47">
        <v>140</v>
      </c>
      <c r="B142" s="56">
        <v>4971710522426</v>
      </c>
      <c r="C142" s="57" t="s">
        <v>384</v>
      </c>
      <c r="D142" s="75" t="s">
        <v>1078</v>
      </c>
      <c r="E142" s="48" t="s">
        <v>385</v>
      </c>
      <c r="F142" s="58">
        <v>30</v>
      </c>
      <c r="G142" s="59">
        <v>9900</v>
      </c>
      <c r="H142" s="60">
        <v>4</v>
      </c>
      <c r="I142" s="61">
        <v>660</v>
      </c>
      <c r="J142" s="58">
        <v>9</v>
      </c>
      <c r="K142" s="59">
        <v>2970</v>
      </c>
      <c r="L142" s="49">
        <v>6</v>
      </c>
      <c r="M142" s="50">
        <v>1980</v>
      </c>
      <c r="N142" s="49">
        <v>30</v>
      </c>
      <c r="O142" s="50">
        <v>9900</v>
      </c>
      <c r="P142" s="49">
        <v>52</v>
      </c>
      <c r="Q142" s="53">
        <v>17160</v>
      </c>
      <c r="R142" s="49">
        <v>66</v>
      </c>
      <c r="S142" s="53">
        <v>21780</v>
      </c>
      <c r="T142" s="49"/>
      <c r="U142" s="53"/>
      <c r="V142" s="49">
        <v>34</v>
      </c>
      <c r="W142" s="53">
        <v>11220</v>
      </c>
      <c r="X142" s="53"/>
      <c r="Y142" s="53"/>
      <c r="Z142" s="53"/>
      <c r="AA142" s="53"/>
      <c r="AB142" s="53"/>
      <c r="AC142" s="53"/>
      <c r="AD142" s="62">
        <f t="shared" si="4"/>
        <v>231</v>
      </c>
      <c r="AE142" s="55">
        <f t="shared" si="5"/>
        <v>75570</v>
      </c>
      <c r="AG142" s="57" t="s">
        <v>400</v>
      </c>
    </row>
    <row r="143" spans="1:33" hidden="1">
      <c r="A143" s="47">
        <v>141</v>
      </c>
      <c r="B143" s="56">
        <v>4971710566130</v>
      </c>
      <c r="C143" s="57" t="s">
        <v>515</v>
      </c>
      <c r="D143" s="75" t="s">
        <v>1078</v>
      </c>
      <c r="E143" s="48" t="s">
        <v>516</v>
      </c>
      <c r="F143" s="58">
        <v>102</v>
      </c>
      <c r="G143" s="59">
        <v>56100</v>
      </c>
      <c r="H143" s="60">
        <v>12</v>
      </c>
      <c r="I143" s="61">
        <v>3300</v>
      </c>
      <c r="J143" s="58"/>
      <c r="K143" s="59"/>
      <c r="L143" s="49">
        <v>6</v>
      </c>
      <c r="M143" s="50">
        <v>3300</v>
      </c>
      <c r="N143" s="49">
        <v>50</v>
      </c>
      <c r="O143" s="50">
        <v>27500</v>
      </c>
      <c r="P143" s="49">
        <v>4</v>
      </c>
      <c r="Q143" s="53">
        <v>2200</v>
      </c>
      <c r="R143" s="49">
        <v>6</v>
      </c>
      <c r="S143" s="53">
        <v>3300</v>
      </c>
      <c r="T143" s="49"/>
      <c r="U143" s="53"/>
      <c r="V143" s="49">
        <v>50</v>
      </c>
      <c r="W143" s="53">
        <v>27500</v>
      </c>
      <c r="X143" s="53"/>
      <c r="Y143" s="53"/>
      <c r="Z143" s="53"/>
      <c r="AA143" s="53"/>
      <c r="AB143" s="53">
        <v>4</v>
      </c>
      <c r="AC143" s="53">
        <v>2200</v>
      </c>
      <c r="AD143" s="62">
        <f t="shared" si="4"/>
        <v>234</v>
      </c>
      <c r="AE143" s="55">
        <f t="shared" si="5"/>
        <v>125400</v>
      </c>
      <c r="AG143" s="57" t="s">
        <v>116</v>
      </c>
    </row>
    <row r="144" spans="1:33" hidden="1">
      <c r="A144" s="47">
        <v>142</v>
      </c>
      <c r="B144" s="56">
        <v>4971710598520</v>
      </c>
      <c r="C144" s="57" t="s">
        <v>822</v>
      </c>
      <c r="D144" s="75" t="s">
        <v>884</v>
      </c>
      <c r="E144" s="48" t="s">
        <v>830</v>
      </c>
      <c r="F144" s="58"/>
      <c r="G144" s="59"/>
      <c r="H144" s="60"/>
      <c r="I144" s="61"/>
      <c r="J144" s="58"/>
      <c r="K144" s="59"/>
      <c r="L144" s="49"/>
      <c r="M144" s="50"/>
      <c r="N144" s="49"/>
      <c r="O144" s="50"/>
      <c r="P144" s="49">
        <v>59</v>
      </c>
      <c r="Q144" s="53">
        <v>38940</v>
      </c>
      <c r="R144" s="49">
        <v>2</v>
      </c>
      <c r="S144" s="53">
        <v>1320</v>
      </c>
      <c r="T144" s="49">
        <v>2</v>
      </c>
      <c r="U144" s="53">
        <v>1320</v>
      </c>
      <c r="V144" s="49">
        <v>46</v>
      </c>
      <c r="W144" s="53">
        <v>30360</v>
      </c>
      <c r="X144" s="53"/>
      <c r="Y144" s="53"/>
      <c r="Z144" s="53"/>
      <c r="AA144" s="53"/>
      <c r="AB144" s="53">
        <v>114</v>
      </c>
      <c r="AC144" s="53">
        <v>75240</v>
      </c>
      <c r="AD144" s="63">
        <f t="shared" si="4"/>
        <v>223</v>
      </c>
      <c r="AE144" s="55">
        <f t="shared" si="5"/>
        <v>147180</v>
      </c>
      <c r="AG144" s="57" t="s">
        <v>384</v>
      </c>
    </row>
    <row r="145" spans="1:33" hidden="1">
      <c r="A145" s="47">
        <v>143</v>
      </c>
      <c r="B145" s="56">
        <v>4971710583991</v>
      </c>
      <c r="C145" s="57" t="s">
        <v>696</v>
      </c>
      <c r="D145" s="75" t="s">
        <v>884</v>
      </c>
      <c r="E145" s="48" t="s">
        <v>697</v>
      </c>
      <c r="F145" s="58">
        <v>60</v>
      </c>
      <c r="G145" s="59">
        <v>42900</v>
      </c>
      <c r="H145" s="60">
        <v>20</v>
      </c>
      <c r="I145" s="61">
        <v>7150</v>
      </c>
      <c r="J145" s="58">
        <v>22</v>
      </c>
      <c r="K145" s="59">
        <v>15730</v>
      </c>
      <c r="L145" s="49">
        <v>13</v>
      </c>
      <c r="M145" s="50">
        <v>9295</v>
      </c>
      <c r="N145" s="49">
        <v>104</v>
      </c>
      <c r="O145" s="50">
        <v>74360</v>
      </c>
      <c r="P145" s="49">
        <v>5</v>
      </c>
      <c r="Q145" s="53">
        <v>3575</v>
      </c>
      <c r="R145" s="49">
        <v>3</v>
      </c>
      <c r="S145" s="53">
        <v>2145</v>
      </c>
      <c r="T145" s="49"/>
      <c r="U145" s="53"/>
      <c r="V145" s="49">
        <v>5</v>
      </c>
      <c r="W145" s="53">
        <v>3575</v>
      </c>
      <c r="X145" s="53"/>
      <c r="Y145" s="53"/>
      <c r="Z145" s="53"/>
      <c r="AA145" s="53"/>
      <c r="AB145" s="53">
        <v>1</v>
      </c>
      <c r="AC145" s="53">
        <v>715</v>
      </c>
      <c r="AD145" s="62">
        <f t="shared" si="4"/>
        <v>233</v>
      </c>
      <c r="AE145" s="55">
        <f t="shared" si="5"/>
        <v>159445</v>
      </c>
      <c r="AG145" s="57" t="s">
        <v>262</v>
      </c>
    </row>
    <row r="146" spans="1:33" hidden="1">
      <c r="A146" s="47">
        <v>144</v>
      </c>
      <c r="B146" s="56">
        <v>4971710484236</v>
      </c>
      <c r="C146" s="57" t="s">
        <v>32</v>
      </c>
      <c r="D146" s="75" t="s">
        <v>884</v>
      </c>
      <c r="E146" s="48" t="s">
        <v>33</v>
      </c>
      <c r="F146" s="58">
        <v>60</v>
      </c>
      <c r="G146" s="59">
        <v>26400</v>
      </c>
      <c r="H146" s="60"/>
      <c r="I146" s="61"/>
      <c r="J146" s="58">
        <v>10</v>
      </c>
      <c r="K146" s="59">
        <v>4400</v>
      </c>
      <c r="L146" s="49">
        <v>30</v>
      </c>
      <c r="M146" s="50">
        <v>13200</v>
      </c>
      <c r="N146" s="49">
        <v>30</v>
      </c>
      <c r="O146" s="50">
        <v>13200</v>
      </c>
      <c r="P146" s="49">
        <v>40</v>
      </c>
      <c r="Q146" s="53">
        <v>17600</v>
      </c>
      <c r="R146" s="49"/>
      <c r="S146" s="53"/>
      <c r="T146" s="49"/>
      <c r="U146" s="53"/>
      <c r="V146" s="49">
        <v>50</v>
      </c>
      <c r="W146" s="53">
        <v>22000</v>
      </c>
      <c r="X146" s="53"/>
      <c r="Y146" s="53"/>
      <c r="Z146" s="53"/>
      <c r="AA146" s="53"/>
      <c r="AB146" s="53"/>
      <c r="AC146" s="53"/>
      <c r="AD146" s="62">
        <f t="shared" si="4"/>
        <v>220</v>
      </c>
      <c r="AE146" s="55">
        <f t="shared" si="5"/>
        <v>96800</v>
      </c>
      <c r="AG146" s="57" t="s">
        <v>280</v>
      </c>
    </row>
    <row r="147" spans="1:33" hidden="1">
      <c r="A147" s="47">
        <v>145</v>
      </c>
      <c r="B147" s="56">
        <v>4971710592979</v>
      </c>
      <c r="C147" s="57" t="s">
        <v>742</v>
      </c>
      <c r="D147" s="75" t="s">
        <v>884</v>
      </c>
      <c r="E147" s="48" t="s">
        <v>743</v>
      </c>
      <c r="F147" s="58">
        <v>65</v>
      </c>
      <c r="G147" s="59">
        <v>39325</v>
      </c>
      <c r="H147" s="60">
        <v>216</v>
      </c>
      <c r="I147" s="61">
        <v>65340</v>
      </c>
      <c r="J147" s="58">
        <v>5</v>
      </c>
      <c r="K147" s="59">
        <v>3025</v>
      </c>
      <c r="L147" s="49">
        <v>36</v>
      </c>
      <c r="M147" s="50">
        <v>21780</v>
      </c>
      <c r="N147" s="49"/>
      <c r="O147" s="50"/>
      <c r="P147" s="49">
        <v>2</v>
      </c>
      <c r="Q147" s="53">
        <v>1210</v>
      </c>
      <c r="R147" s="49"/>
      <c r="S147" s="53"/>
      <c r="T147" s="49"/>
      <c r="U147" s="53"/>
      <c r="V147" s="49">
        <v>2</v>
      </c>
      <c r="W147" s="53">
        <v>1210</v>
      </c>
      <c r="X147" s="53"/>
      <c r="Y147" s="53"/>
      <c r="Z147" s="53"/>
      <c r="AA147" s="53"/>
      <c r="AB147" s="53"/>
      <c r="AC147" s="53"/>
      <c r="AD147" s="62">
        <f t="shared" si="4"/>
        <v>326</v>
      </c>
      <c r="AE147" s="55">
        <f t="shared" si="5"/>
        <v>131890</v>
      </c>
      <c r="AG147" s="57" t="s">
        <v>704</v>
      </c>
    </row>
    <row r="148" spans="1:33" hidden="1">
      <c r="A148" s="47">
        <v>146</v>
      </c>
      <c r="B148" s="56">
        <v>4971710524277</v>
      </c>
      <c r="C148" s="57" t="s">
        <v>400</v>
      </c>
      <c r="D148" s="75" t="s">
        <v>884</v>
      </c>
      <c r="E148" s="48" t="s">
        <v>401</v>
      </c>
      <c r="F148" s="58">
        <v>132</v>
      </c>
      <c r="G148" s="59">
        <v>108900</v>
      </c>
      <c r="H148" s="60">
        <v>4</v>
      </c>
      <c r="I148" s="61">
        <v>1650</v>
      </c>
      <c r="J148" s="58"/>
      <c r="K148" s="59"/>
      <c r="L148" s="49"/>
      <c r="M148" s="50"/>
      <c r="N148" s="49">
        <v>10</v>
      </c>
      <c r="O148" s="50">
        <v>8250</v>
      </c>
      <c r="P148" s="49"/>
      <c r="Q148" s="53"/>
      <c r="R148" s="49"/>
      <c r="S148" s="53"/>
      <c r="T148" s="49">
        <v>20</v>
      </c>
      <c r="U148" s="53">
        <v>16500</v>
      </c>
      <c r="V148" s="49">
        <v>52</v>
      </c>
      <c r="W148" s="53">
        <v>42900</v>
      </c>
      <c r="X148" s="53"/>
      <c r="Y148" s="53"/>
      <c r="Z148" s="53"/>
      <c r="AA148" s="53"/>
      <c r="AB148" s="53"/>
      <c r="AC148" s="53"/>
      <c r="AD148" s="62">
        <f t="shared" si="4"/>
        <v>218</v>
      </c>
      <c r="AE148" s="55">
        <f t="shared" si="5"/>
        <v>178200</v>
      </c>
      <c r="AG148" s="57" t="s">
        <v>684</v>
      </c>
    </row>
    <row r="149" spans="1:33" hidden="1">
      <c r="A149" s="47">
        <v>147</v>
      </c>
      <c r="B149" s="56">
        <v>4971710578577</v>
      </c>
      <c r="C149" s="57" t="s">
        <v>630</v>
      </c>
      <c r="D149" s="75" t="s">
        <v>1078</v>
      </c>
      <c r="E149" s="48" t="s">
        <v>631</v>
      </c>
      <c r="F149" s="58">
        <v>21</v>
      </c>
      <c r="G149" s="59">
        <v>11550</v>
      </c>
      <c r="H149" s="60">
        <v>4</v>
      </c>
      <c r="I149" s="61">
        <v>1100</v>
      </c>
      <c r="J149" s="58">
        <v>30</v>
      </c>
      <c r="K149" s="59">
        <v>16500</v>
      </c>
      <c r="L149" s="49">
        <v>4</v>
      </c>
      <c r="M149" s="50">
        <v>2200</v>
      </c>
      <c r="N149" s="49">
        <v>30</v>
      </c>
      <c r="O149" s="50">
        <v>16500</v>
      </c>
      <c r="P149" s="49"/>
      <c r="Q149" s="53"/>
      <c r="R149" s="49"/>
      <c r="S149" s="53"/>
      <c r="T149" s="49">
        <v>4</v>
      </c>
      <c r="U149" s="53">
        <v>2200</v>
      </c>
      <c r="V149" s="49">
        <v>64</v>
      </c>
      <c r="W149" s="53">
        <v>35200</v>
      </c>
      <c r="X149" s="53"/>
      <c r="Y149" s="53"/>
      <c r="Z149" s="53"/>
      <c r="AA149" s="53"/>
      <c r="AB149" s="53">
        <v>60</v>
      </c>
      <c r="AC149" s="53">
        <v>33000</v>
      </c>
      <c r="AD149" s="62">
        <f t="shared" si="4"/>
        <v>217</v>
      </c>
      <c r="AE149" s="55">
        <f t="shared" si="5"/>
        <v>118250</v>
      </c>
      <c r="AG149" s="57" t="s">
        <v>505</v>
      </c>
    </row>
    <row r="150" spans="1:33" hidden="1">
      <c r="A150" s="47">
        <v>148</v>
      </c>
      <c r="B150" s="56">
        <v>4971710564914</v>
      </c>
      <c r="C150" s="57" t="s">
        <v>501</v>
      </c>
      <c r="D150" s="75" t="s">
        <v>1078</v>
      </c>
      <c r="E150" s="48" t="s">
        <v>502</v>
      </c>
      <c r="F150" s="58"/>
      <c r="G150" s="59"/>
      <c r="H150" s="60"/>
      <c r="I150" s="61"/>
      <c r="J150" s="58">
        <v>30</v>
      </c>
      <c r="K150" s="59">
        <v>16500</v>
      </c>
      <c r="L150" s="49"/>
      <c r="M150" s="50"/>
      <c r="N150" s="49">
        <v>51</v>
      </c>
      <c r="O150" s="50">
        <v>28050</v>
      </c>
      <c r="P150" s="49"/>
      <c r="Q150" s="53"/>
      <c r="R150" s="49">
        <v>42</v>
      </c>
      <c r="S150" s="53">
        <v>23100</v>
      </c>
      <c r="T150" s="49">
        <v>30</v>
      </c>
      <c r="U150" s="53">
        <v>16500</v>
      </c>
      <c r="V150" s="49">
        <v>12</v>
      </c>
      <c r="W150" s="53">
        <v>6600</v>
      </c>
      <c r="X150" s="53"/>
      <c r="Y150" s="53"/>
      <c r="Z150" s="53"/>
      <c r="AA150" s="53"/>
      <c r="AB150" s="53">
        <v>50</v>
      </c>
      <c r="AC150" s="53">
        <v>27500</v>
      </c>
      <c r="AD150" s="62">
        <f t="shared" si="4"/>
        <v>215</v>
      </c>
      <c r="AE150" s="55">
        <f t="shared" si="5"/>
        <v>118250</v>
      </c>
      <c r="AG150" s="57" t="s">
        <v>557</v>
      </c>
    </row>
    <row r="151" spans="1:33" hidden="1">
      <c r="A151" s="47">
        <v>149</v>
      </c>
      <c r="B151" s="56">
        <v>4971710595482</v>
      </c>
      <c r="C151" s="57" t="s">
        <v>785</v>
      </c>
      <c r="D151" s="75" t="s">
        <v>884</v>
      </c>
      <c r="E151" s="48" t="s">
        <v>998</v>
      </c>
      <c r="F151" s="58"/>
      <c r="G151" s="59"/>
      <c r="H151" s="60"/>
      <c r="I151" s="61"/>
      <c r="J151" s="58"/>
      <c r="K151" s="59"/>
      <c r="L151" s="49">
        <v>200</v>
      </c>
      <c r="M151" s="50">
        <v>165000</v>
      </c>
      <c r="N151" s="49"/>
      <c r="O151" s="50"/>
      <c r="P151" s="49"/>
      <c r="Q151" s="53"/>
      <c r="R151" s="49"/>
      <c r="S151" s="53"/>
      <c r="T151" s="49"/>
      <c r="U151" s="53"/>
      <c r="V151" s="49"/>
      <c r="W151" s="53"/>
      <c r="X151" s="53"/>
      <c r="Y151" s="53"/>
      <c r="Z151" s="53"/>
      <c r="AA151" s="53"/>
      <c r="AB151" s="53">
        <v>11</v>
      </c>
      <c r="AC151" s="53">
        <v>9075</v>
      </c>
      <c r="AD151" s="62">
        <f t="shared" si="4"/>
        <v>211</v>
      </c>
      <c r="AE151" s="55">
        <f t="shared" si="5"/>
        <v>174075</v>
      </c>
      <c r="AG151" s="57" t="s">
        <v>473</v>
      </c>
    </row>
    <row r="152" spans="1:33" hidden="1">
      <c r="A152" s="47">
        <v>150</v>
      </c>
      <c r="B152" s="56">
        <v>4971710489200</v>
      </c>
      <c r="C152" s="57" t="s">
        <v>90</v>
      </c>
      <c r="D152" s="75" t="s">
        <v>884</v>
      </c>
      <c r="E152" s="48" t="s">
        <v>91</v>
      </c>
      <c r="F152" s="58">
        <v>20</v>
      </c>
      <c r="G152" s="59">
        <v>11000</v>
      </c>
      <c r="H152" s="60"/>
      <c r="I152" s="61"/>
      <c r="J152" s="58">
        <v>10</v>
      </c>
      <c r="K152" s="59">
        <v>5500</v>
      </c>
      <c r="L152" s="49">
        <v>10</v>
      </c>
      <c r="M152" s="50">
        <v>5500</v>
      </c>
      <c r="N152" s="49"/>
      <c r="O152" s="50"/>
      <c r="P152" s="49">
        <v>20</v>
      </c>
      <c r="Q152" s="53">
        <v>11000</v>
      </c>
      <c r="R152" s="49"/>
      <c r="S152" s="53"/>
      <c r="T152" s="49"/>
      <c r="U152" s="53"/>
      <c r="V152" s="49">
        <v>130</v>
      </c>
      <c r="W152" s="53">
        <v>71500</v>
      </c>
      <c r="X152" s="53"/>
      <c r="Y152" s="53"/>
      <c r="Z152" s="53"/>
      <c r="AA152" s="53"/>
      <c r="AB152" s="53">
        <v>20</v>
      </c>
      <c r="AC152" s="53">
        <v>11000</v>
      </c>
      <c r="AD152" s="62">
        <f t="shared" si="4"/>
        <v>210</v>
      </c>
      <c r="AE152" s="55">
        <f t="shared" si="5"/>
        <v>115500</v>
      </c>
      <c r="AG152" s="57" t="s">
        <v>785</v>
      </c>
    </row>
    <row r="153" spans="1:33" hidden="1">
      <c r="A153" s="47">
        <v>151</v>
      </c>
      <c r="B153" s="56">
        <v>4971710584073</v>
      </c>
      <c r="C153" s="57" t="s">
        <v>704</v>
      </c>
      <c r="D153" s="75" t="s">
        <v>884</v>
      </c>
      <c r="E153" s="48" t="s">
        <v>705</v>
      </c>
      <c r="F153" s="58">
        <v>90</v>
      </c>
      <c r="G153" s="59">
        <v>64350</v>
      </c>
      <c r="H153" s="60">
        <v>12</v>
      </c>
      <c r="I153" s="61">
        <v>4290</v>
      </c>
      <c r="J153" s="58">
        <v>14</v>
      </c>
      <c r="K153" s="59">
        <v>10010</v>
      </c>
      <c r="L153" s="49"/>
      <c r="M153" s="50"/>
      <c r="N153" s="49">
        <v>2</v>
      </c>
      <c r="O153" s="50">
        <v>1430</v>
      </c>
      <c r="P153" s="49">
        <v>35</v>
      </c>
      <c r="Q153" s="53">
        <v>25025</v>
      </c>
      <c r="R153" s="49"/>
      <c r="S153" s="53"/>
      <c r="T153" s="49"/>
      <c r="U153" s="53"/>
      <c r="V153" s="49"/>
      <c r="W153" s="53"/>
      <c r="X153" s="53"/>
      <c r="Y153" s="53"/>
      <c r="Z153" s="53"/>
      <c r="AA153" s="53"/>
      <c r="AB153" s="53">
        <v>60</v>
      </c>
      <c r="AC153" s="53">
        <v>42900</v>
      </c>
      <c r="AD153" s="62">
        <f t="shared" si="4"/>
        <v>213</v>
      </c>
      <c r="AE153" s="55">
        <f t="shared" si="5"/>
        <v>148005</v>
      </c>
      <c r="AG153" s="57" t="s">
        <v>786</v>
      </c>
    </row>
    <row r="154" spans="1:33" hidden="1">
      <c r="A154" s="47">
        <v>152</v>
      </c>
      <c r="B154" s="56">
        <v>4971710516692</v>
      </c>
      <c r="C154" s="57" t="s">
        <v>320</v>
      </c>
      <c r="D154" s="75" t="s">
        <v>1078</v>
      </c>
      <c r="E154" s="48" t="s">
        <v>321</v>
      </c>
      <c r="F154" s="58"/>
      <c r="G154" s="59"/>
      <c r="H154" s="60">
        <v>100</v>
      </c>
      <c r="I154" s="61">
        <v>27500</v>
      </c>
      <c r="J154" s="58"/>
      <c r="K154" s="59"/>
      <c r="L154" s="49">
        <v>6</v>
      </c>
      <c r="M154" s="50">
        <v>3300</v>
      </c>
      <c r="N154" s="49">
        <v>30</v>
      </c>
      <c r="O154" s="50">
        <v>16500</v>
      </c>
      <c r="P154" s="49"/>
      <c r="Q154" s="53"/>
      <c r="R154" s="49"/>
      <c r="S154" s="53"/>
      <c r="T154" s="49">
        <v>30</v>
      </c>
      <c r="U154" s="53">
        <v>16500</v>
      </c>
      <c r="V154" s="49"/>
      <c r="W154" s="53"/>
      <c r="X154" s="53"/>
      <c r="Y154" s="53"/>
      <c r="Z154" s="53"/>
      <c r="AA154" s="53"/>
      <c r="AB154" s="53">
        <v>90</v>
      </c>
      <c r="AC154" s="53">
        <v>49500</v>
      </c>
      <c r="AD154" s="62">
        <f t="shared" si="4"/>
        <v>256</v>
      </c>
      <c r="AE154" s="55">
        <f t="shared" si="5"/>
        <v>113300</v>
      </c>
      <c r="AG154" s="57" t="s">
        <v>525</v>
      </c>
    </row>
    <row r="155" spans="1:33" hidden="1">
      <c r="A155" s="47">
        <v>153</v>
      </c>
      <c r="B155" s="56">
        <v>4971710515800</v>
      </c>
      <c r="C155" s="57" t="s">
        <v>314</v>
      </c>
      <c r="D155" s="75" t="s">
        <v>884</v>
      </c>
      <c r="E155" s="48" t="s">
        <v>315</v>
      </c>
      <c r="F155" s="58"/>
      <c r="G155" s="59"/>
      <c r="H155" s="60">
        <v>12</v>
      </c>
      <c r="I155" s="61">
        <v>3132</v>
      </c>
      <c r="J155" s="58">
        <v>10</v>
      </c>
      <c r="K155" s="59">
        <v>5220</v>
      </c>
      <c r="L155" s="49">
        <v>36</v>
      </c>
      <c r="M155" s="50">
        <v>18792</v>
      </c>
      <c r="N155" s="49"/>
      <c r="O155" s="50"/>
      <c r="P155" s="49">
        <v>62</v>
      </c>
      <c r="Q155" s="53">
        <v>32364</v>
      </c>
      <c r="R155" s="49">
        <v>34</v>
      </c>
      <c r="S155" s="53">
        <v>17748</v>
      </c>
      <c r="T155" s="49">
        <v>50</v>
      </c>
      <c r="U155" s="53">
        <v>26100</v>
      </c>
      <c r="V155" s="49">
        <v>6</v>
      </c>
      <c r="W155" s="53">
        <v>3132</v>
      </c>
      <c r="X155" s="53"/>
      <c r="Y155" s="53"/>
      <c r="Z155" s="53"/>
      <c r="AA155" s="53"/>
      <c r="AB155" s="53"/>
      <c r="AC155" s="53"/>
      <c r="AD155" s="62">
        <f t="shared" si="4"/>
        <v>210</v>
      </c>
      <c r="AE155" s="55">
        <f t="shared" si="5"/>
        <v>106488</v>
      </c>
      <c r="AG155" s="57" t="s">
        <v>118</v>
      </c>
    </row>
    <row r="156" spans="1:33" hidden="1">
      <c r="A156" s="47">
        <v>154</v>
      </c>
      <c r="B156" s="56">
        <v>4971710561241</v>
      </c>
      <c r="C156" s="57" t="s">
        <v>469</v>
      </c>
      <c r="D156" s="75" t="s">
        <v>884</v>
      </c>
      <c r="E156" s="48" t="s">
        <v>470</v>
      </c>
      <c r="F156" s="58">
        <v>12</v>
      </c>
      <c r="G156" s="59">
        <v>9240</v>
      </c>
      <c r="H156" s="60">
        <v>20</v>
      </c>
      <c r="I156" s="61">
        <v>7700</v>
      </c>
      <c r="J156" s="58">
        <v>2</v>
      </c>
      <c r="K156" s="59">
        <v>1540</v>
      </c>
      <c r="L156" s="49">
        <v>26</v>
      </c>
      <c r="M156" s="50">
        <v>20020</v>
      </c>
      <c r="N156" s="49">
        <v>2</v>
      </c>
      <c r="O156" s="50">
        <v>1540</v>
      </c>
      <c r="P156" s="49">
        <v>10</v>
      </c>
      <c r="Q156" s="53">
        <v>7700</v>
      </c>
      <c r="R156" s="49">
        <v>32</v>
      </c>
      <c r="S156" s="53">
        <v>24640</v>
      </c>
      <c r="T156" s="49">
        <v>20</v>
      </c>
      <c r="U156" s="53">
        <v>15400</v>
      </c>
      <c r="V156" s="49">
        <v>4</v>
      </c>
      <c r="W156" s="53">
        <v>3080</v>
      </c>
      <c r="X156" s="53"/>
      <c r="Y156" s="53"/>
      <c r="Z156" s="53"/>
      <c r="AA156" s="53"/>
      <c r="AB156" s="53">
        <v>81</v>
      </c>
      <c r="AC156" s="53">
        <v>62370</v>
      </c>
      <c r="AD156" s="62">
        <f t="shared" si="4"/>
        <v>209</v>
      </c>
      <c r="AE156" s="55">
        <f t="shared" si="5"/>
        <v>153230</v>
      </c>
      <c r="AG156" s="57" t="s">
        <v>495</v>
      </c>
    </row>
    <row r="157" spans="1:33" hidden="1">
      <c r="A157" s="47">
        <v>155</v>
      </c>
      <c r="B157" s="56">
        <v>4971710564778</v>
      </c>
      <c r="C157" s="57" t="s">
        <v>489</v>
      </c>
      <c r="D157" s="75" t="s">
        <v>884</v>
      </c>
      <c r="E157" s="48" t="s">
        <v>490</v>
      </c>
      <c r="F157" s="58">
        <v>90</v>
      </c>
      <c r="G157" s="59">
        <v>59400</v>
      </c>
      <c r="H157" s="60"/>
      <c r="I157" s="61"/>
      <c r="J157" s="58">
        <v>2</v>
      </c>
      <c r="K157" s="59">
        <v>1320</v>
      </c>
      <c r="L157" s="49">
        <v>14</v>
      </c>
      <c r="M157" s="50">
        <v>9240</v>
      </c>
      <c r="N157" s="49">
        <v>2</v>
      </c>
      <c r="O157" s="50">
        <v>1320</v>
      </c>
      <c r="P157" s="49"/>
      <c r="Q157" s="53"/>
      <c r="R157" s="49">
        <v>52</v>
      </c>
      <c r="S157" s="53">
        <v>34320</v>
      </c>
      <c r="T157" s="49">
        <v>4</v>
      </c>
      <c r="U157" s="53">
        <v>2640</v>
      </c>
      <c r="V157" s="49">
        <v>4</v>
      </c>
      <c r="W157" s="53">
        <v>2640</v>
      </c>
      <c r="X157" s="53"/>
      <c r="Y157" s="53"/>
      <c r="Z157" s="53"/>
      <c r="AA157" s="53"/>
      <c r="AB157" s="53">
        <v>30</v>
      </c>
      <c r="AC157" s="53">
        <v>19800</v>
      </c>
      <c r="AD157" s="62">
        <f t="shared" si="4"/>
        <v>198</v>
      </c>
      <c r="AE157" s="55">
        <f t="shared" si="5"/>
        <v>130680</v>
      </c>
      <c r="AG157" s="57" t="s">
        <v>314</v>
      </c>
    </row>
    <row r="158" spans="1:33" hidden="1">
      <c r="A158" s="47">
        <v>156</v>
      </c>
      <c r="B158" s="56">
        <v>4971710512274</v>
      </c>
      <c r="C158" s="57" t="s">
        <v>250</v>
      </c>
      <c r="D158" s="75" t="s">
        <v>884</v>
      </c>
      <c r="E158" s="48" t="s">
        <v>251</v>
      </c>
      <c r="F158" s="58">
        <v>30</v>
      </c>
      <c r="G158" s="59">
        <v>13200</v>
      </c>
      <c r="H158" s="60"/>
      <c r="I158" s="61"/>
      <c r="J158" s="58">
        <v>10</v>
      </c>
      <c r="K158" s="59">
        <v>4400</v>
      </c>
      <c r="L158" s="49">
        <v>26</v>
      </c>
      <c r="M158" s="50">
        <v>11440</v>
      </c>
      <c r="N158" s="49"/>
      <c r="O158" s="50"/>
      <c r="P158" s="49">
        <v>50</v>
      </c>
      <c r="Q158" s="53">
        <v>22000</v>
      </c>
      <c r="R158" s="49">
        <v>50</v>
      </c>
      <c r="S158" s="53">
        <v>22000</v>
      </c>
      <c r="T158" s="49">
        <v>30</v>
      </c>
      <c r="U158" s="53">
        <v>13200</v>
      </c>
      <c r="V158" s="49"/>
      <c r="W158" s="53"/>
      <c r="X158" s="53"/>
      <c r="Y158" s="53"/>
      <c r="Z158" s="53"/>
      <c r="AA158" s="53"/>
      <c r="AB158" s="53"/>
      <c r="AC158" s="53"/>
      <c r="AD158" s="62">
        <f t="shared" si="4"/>
        <v>196</v>
      </c>
      <c r="AE158" s="55">
        <f t="shared" si="5"/>
        <v>86240</v>
      </c>
      <c r="AG158" s="57" t="s">
        <v>622</v>
      </c>
    </row>
    <row r="159" spans="1:33" hidden="1">
      <c r="A159" s="47">
        <v>157</v>
      </c>
      <c r="B159" s="56">
        <v>4971710565102</v>
      </c>
      <c r="C159" s="57" t="s">
        <v>511</v>
      </c>
      <c r="D159" s="75" t="s">
        <v>1078</v>
      </c>
      <c r="E159" s="48" t="s">
        <v>512</v>
      </c>
      <c r="F159" s="58">
        <v>12</v>
      </c>
      <c r="G159" s="59">
        <v>7920</v>
      </c>
      <c r="H159" s="60"/>
      <c r="I159" s="61"/>
      <c r="J159" s="58">
        <v>2</v>
      </c>
      <c r="K159" s="59">
        <v>1320</v>
      </c>
      <c r="L159" s="49">
        <v>32</v>
      </c>
      <c r="M159" s="50">
        <v>21120</v>
      </c>
      <c r="N159" s="49"/>
      <c r="O159" s="50"/>
      <c r="P159" s="49"/>
      <c r="Q159" s="53"/>
      <c r="R159" s="49">
        <v>84</v>
      </c>
      <c r="S159" s="53">
        <v>55440</v>
      </c>
      <c r="T159" s="49">
        <v>30</v>
      </c>
      <c r="U159" s="53">
        <v>19800</v>
      </c>
      <c r="V159" s="49">
        <v>2</v>
      </c>
      <c r="W159" s="53">
        <v>1320</v>
      </c>
      <c r="X159" s="53"/>
      <c r="Y159" s="53"/>
      <c r="Z159" s="53"/>
      <c r="AA159" s="53"/>
      <c r="AB159" s="53">
        <v>30</v>
      </c>
      <c r="AC159" s="53">
        <v>19800</v>
      </c>
      <c r="AD159" s="62">
        <f t="shared" si="4"/>
        <v>192</v>
      </c>
      <c r="AE159" s="55">
        <f t="shared" si="5"/>
        <v>126720</v>
      </c>
      <c r="AG159" s="57">
        <f>VLOOKUP(AF159,[2]SEK!$E:$F,2,0)</f>
        <v>0</v>
      </c>
    </row>
    <row r="160" spans="1:33" hidden="1">
      <c r="A160" s="47">
        <v>158</v>
      </c>
      <c r="B160" s="56">
        <v>4971710507607</v>
      </c>
      <c r="C160" s="57" t="s">
        <v>182</v>
      </c>
      <c r="D160" s="75" t="s">
        <v>884</v>
      </c>
      <c r="E160" s="48" t="s">
        <v>183</v>
      </c>
      <c r="F160" s="58"/>
      <c r="G160" s="59"/>
      <c r="H160" s="60">
        <v>16</v>
      </c>
      <c r="I160" s="61">
        <v>5280</v>
      </c>
      <c r="J160" s="58"/>
      <c r="K160" s="59"/>
      <c r="L160" s="49">
        <v>18</v>
      </c>
      <c r="M160" s="50">
        <v>11880</v>
      </c>
      <c r="N160" s="49"/>
      <c r="O160" s="50"/>
      <c r="P160" s="49"/>
      <c r="Q160" s="53"/>
      <c r="R160" s="49">
        <v>12</v>
      </c>
      <c r="S160" s="53">
        <v>7920</v>
      </c>
      <c r="T160" s="49">
        <v>10</v>
      </c>
      <c r="U160" s="53">
        <v>6600</v>
      </c>
      <c r="V160" s="49">
        <v>130</v>
      </c>
      <c r="W160" s="53">
        <v>85800</v>
      </c>
      <c r="X160" s="53"/>
      <c r="Y160" s="53"/>
      <c r="Z160" s="53"/>
      <c r="AA160" s="53"/>
      <c r="AB160" s="53">
        <v>14</v>
      </c>
      <c r="AC160" s="53">
        <v>9240</v>
      </c>
      <c r="AD160" s="62">
        <f t="shared" si="4"/>
        <v>200</v>
      </c>
      <c r="AE160" s="55">
        <f t="shared" si="5"/>
        <v>126720</v>
      </c>
      <c r="AG160" s="57" t="s">
        <v>491</v>
      </c>
    </row>
    <row r="161" spans="1:33" hidden="1">
      <c r="A161" s="47">
        <v>159</v>
      </c>
      <c r="B161" s="56">
        <v>4971710485721</v>
      </c>
      <c r="C161" s="57" t="s">
        <v>42</v>
      </c>
      <c r="D161" s="75" t="s">
        <v>884</v>
      </c>
      <c r="E161" s="48" t="s">
        <v>43</v>
      </c>
      <c r="F161" s="58">
        <v>40</v>
      </c>
      <c r="G161" s="59">
        <v>22000</v>
      </c>
      <c r="H161" s="60"/>
      <c r="I161" s="61"/>
      <c r="J161" s="58"/>
      <c r="K161" s="59"/>
      <c r="L161" s="49">
        <v>20</v>
      </c>
      <c r="M161" s="50">
        <v>11000</v>
      </c>
      <c r="N161" s="49">
        <v>50</v>
      </c>
      <c r="O161" s="50">
        <v>27500</v>
      </c>
      <c r="P161" s="49"/>
      <c r="Q161" s="53"/>
      <c r="R161" s="49"/>
      <c r="S161" s="53"/>
      <c r="T161" s="49"/>
      <c r="U161" s="53"/>
      <c r="V161" s="49">
        <v>30</v>
      </c>
      <c r="W161" s="53">
        <v>16500</v>
      </c>
      <c r="X161" s="53"/>
      <c r="Y161" s="53"/>
      <c r="Z161" s="53"/>
      <c r="AA161" s="53"/>
      <c r="AB161" s="53">
        <v>50</v>
      </c>
      <c r="AC161" s="53">
        <v>27500</v>
      </c>
      <c r="AD161" s="62">
        <f t="shared" si="4"/>
        <v>190</v>
      </c>
      <c r="AE161" s="55">
        <f t="shared" si="5"/>
        <v>104500</v>
      </c>
      <c r="AG161" s="57" t="s">
        <v>294</v>
      </c>
    </row>
    <row r="162" spans="1:33" hidden="1">
      <c r="A162" s="47">
        <v>160</v>
      </c>
      <c r="B162" s="56">
        <v>4971710489156</v>
      </c>
      <c r="C162" s="57" t="s">
        <v>84</v>
      </c>
      <c r="D162" s="75" t="s">
        <v>884</v>
      </c>
      <c r="E162" s="48" t="s">
        <v>85</v>
      </c>
      <c r="F162" s="58">
        <v>70</v>
      </c>
      <c r="G162" s="59">
        <v>38500</v>
      </c>
      <c r="H162" s="60"/>
      <c r="I162" s="61"/>
      <c r="J162" s="58"/>
      <c r="K162" s="59"/>
      <c r="L162" s="49">
        <v>20</v>
      </c>
      <c r="M162" s="50">
        <v>11000</v>
      </c>
      <c r="N162" s="49">
        <v>30</v>
      </c>
      <c r="O162" s="50">
        <v>16500</v>
      </c>
      <c r="P162" s="49"/>
      <c r="Q162" s="53"/>
      <c r="R162" s="49">
        <v>20</v>
      </c>
      <c r="S162" s="53">
        <v>11000</v>
      </c>
      <c r="T162" s="49">
        <v>20</v>
      </c>
      <c r="U162" s="53">
        <v>11000</v>
      </c>
      <c r="V162" s="49">
        <v>30</v>
      </c>
      <c r="W162" s="53">
        <v>16500</v>
      </c>
      <c r="X162" s="53"/>
      <c r="Y162" s="53"/>
      <c r="Z162" s="53"/>
      <c r="AA162" s="53"/>
      <c r="AB162" s="53"/>
      <c r="AC162" s="53"/>
      <c r="AD162" s="62">
        <f t="shared" si="4"/>
        <v>190</v>
      </c>
      <c r="AE162" s="55">
        <f t="shared" si="5"/>
        <v>104500</v>
      </c>
      <c r="AG162" s="57" t="s">
        <v>298</v>
      </c>
    </row>
    <row r="163" spans="1:33" hidden="1">
      <c r="A163" s="47">
        <v>161</v>
      </c>
      <c r="B163" s="56">
        <v>4971710515787</v>
      </c>
      <c r="C163" s="57" t="s">
        <v>310</v>
      </c>
      <c r="D163" s="75" t="s">
        <v>884</v>
      </c>
      <c r="E163" s="48" t="s">
        <v>311</v>
      </c>
      <c r="F163" s="58"/>
      <c r="G163" s="59"/>
      <c r="H163" s="60">
        <v>12</v>
      </c>
      <c r="I163" s="61">
        <v>3132</v>
      </c>
      <c r="J163" s="58"/>
      <c r="K163" s="59"/>
      <c r="L163" s="49">
        <v>36</v>
      </c>
      <c r="M163" s="50">
        <v>18792</v>
      </c>
      <c r="N163" s="49"/>
      <c r="O163" s="50"/>
      <c r="P163" s="49">
        <v>56</v>
      </c>
      <c r="Q163" s="53">
        <v>29232</v>
      </c>
      <c r="R163" s="49">
        <v>36</v>
      </c>
      <c r="S163" s="53">
        <v>18792</v>
      </c>
      <c r="T163" s="49">
        <v>50</v>
      </c>
      <c r="U163" s="53">
        <v>26100</v>
      </c>
      <c r="V163" s="49">
        <v>6</v>
      </c>
      <c r="W163" s="53">
        <v>3132</v>
      </c>
      <c r="X163" s="53"/>
      <c r="Y163" s="53"/>
      <c r="Z163" s="53"/>
      <c r="AA163" s="53"/>
      <c r="AB163" s="53"/>
      <c r="AC163" s="53"/>
      <c r="AD163" s="62">
        <f t="shared" si="4"/>
        <v>196</v>
      </c>
      <c r="AE163" s="55">
        <f t="shared" si="5"/>
        <v>99180</v>
      </c>
      <c r="AG163" s="57" t="s">
        <v>600</v>
      </c>
    </row>
    <row r="164" spans="1:33" hidden="1">
      <c r="A164" s="47">
        <v>162</v>
      </c>
      <c r="B164" s="56">
        <v>4971710513677</v>
      </c>
      <c r="C164" s="57" t="s">
        <v>270</v>
      </c>
      <c r="D164" s="75" t="s">
        <v>1078</v>
      </c>
      <c r="E164" s="48" t="s">
        <v>271</v>
      </c>
      <c r="F164" s="58"/>
      <c r="G164" s="59"/>
      <c r="H164" s="60">
        <v>40</v>
      </c>
      <c r="I164" s="61">
        <v>11000</v>
      </c>
      <c r="J164" s="58"/>
      <c r="K164" s="59"/>
      <c r="L164" s="49">
        <v>26</v>
      </c>
      <c r="M164" s="50">
        <v>14300</v>
      </c>
      <c r="N164" s="49"/>
      <c r="O164" s="50"/>
      <c r="P164" s="49"/>
      <c r="Q164" s="53"/>
      <c r="R164" s="49">
        <v>50</v>
      </c>
      <c r="S164" s="53">
        <v>27500</v>
      </c>
      <c r="T164" s="49">
        <v>30</v>
      </c>
      <c r="U164" s="53">
        <v>16500</v>
      </c>
      <c r="V164" s="49">
        <v>10</v>
      </c>
      <c r="W164" s="53">
        <v>5500</v>
      </c>
      <c r="X164" s="53"/>
      <c r="Y164" s="53"/>
      <c r="Z164" s="53"/>
      <c r="AA164" s="53"/>
      <c r="AB164" s="53">
        <v>50</v>
      </c>
      <c r="AC164" s="53">
        <v>27500</v>
      </c>
      <c r="AD164" s="62">
        <f t="shared" si="4"/>
        <v>206</v>
      </c>
      <c r="AE164" s="55">
        <f t="shared" si="5"/>
        <v>102300</v>
      </c>
      <c r="AG164" s="57" t="s">
        <v>602</v>
      </c>
    </row>
    <row r="165" spans="1:33" hidden="1">
      <c r="A165" s="47">
        <v>163</v>
      </c>
      <c r="B165" s="56">
        <v>4971710565072</v>
      </c>
      <c r="C165" s="57" t="s">
        <v>505</v>
      </c>
      <c r="D165" s="75" t="s">
        <v>1078</v>
      </c>
      <c r="E165" s="48" t="s">
        <v>506</v>
      </c>
      <c r="F165" s="58">
        <v>12</v>
      </c>
      <c r="G165" s="59">
        <v>7920</v>
      </c>
      <c r="H165" s="60">
        <v>32</v>
      </c>
      <c r="I165" s="61">
        <v>11880</v>
      </c>
      <c r="J165" s="58"/>
      <c r="K165" s="59"/>
      <c r="L165" s="49">
        <v>42</v>
      </c>
      <c r="M165" s="50">
        <v>27720</v>
      </c>
      <c r="N165" s="49"/>
      <c r="O165" s="50"/>
      <c r="P165" s="49"/>
      <c r="Q165" s="53"/>
      <c r="R165" s="49">
        <v>48</v>
      </c>
      <c r="S165" s="53">
        <v>31680</v>
      </c>
      <c r="T165" s="49">
        <v>30</v>
      </c>
      <c r="U165" s="53">
        <v>19800</v>
      </c>
      <c r="V165" s="49"/>
      <c r="W165" s="53"/>
      <c r="X165" s="53"/>
      <c r="Y165" s="53"/>
      <c r="Z165" s="53"/>
      <c r="AA165" s="53"/>
      <c r="AB165" s="53">
        <v>36</v>
      </c>
      <c r="AC165" s="53">
        <v>23760</v>
      </c>
      <c r="AD165" s="62">
        <f t="shared" si="4"/>
        <v>200</v>
      </c>
      <c r="AE165" s="55">
        <f t="shared" si="5"/>
        <v>122760</v>
      </c>
      <c r="AG165" s="57" t="s">
        <v>559</v>
      </c>
    </row>
    <row r="166" spans="1:33" hidden="1">
      <c r="A166" s="47">
        <v>164</v>
      </c>
      <c r="B166" s="56">
        <v>4971710295634</v>
      </c>
      <c r="C166" s="57" t="s">
        <v>12</v>
      </c>
      <c r="D166" s="75" t="s">
        <v>1080</v>
      </c>
      <c r="E166" s="48" t="s">
        <v>13</v>
      </c>
      <c r="F166" s="58">
        <v>84</v>
      </c>
      <c r="G166" s="59">
        <v>267960</v>
      </c>
      <c r="H166" s="60">
        <v>62</v>
      </c>
      <c r="I166" s="61">
        <v>102080</v>
      </c>
      <c r="J166" s="58"/>
      <c r="K166" s="59"/>
      <c r="L166" s="49"/>
      <c r="M166" s="50"/>
      <c r="N166" s="49">
        <v>68</v>
      </c>
      <c r="O166" s="50">
        <v>216920</v>
      </c>
      <c r="P166" s="49">
        <v>2</v>
      </c>
      <c r="Q166" s="53">
        <v>6380</v>
      </c>
      <c r="R166" s="49"/>
      <c r="S166" s="53"/>
      <c r="T166" s="49"/>
      <c r="U166" s="53"/>
      <c r="V166" s="49"/>
      <c r="W166" s="53"/>
      <c r="X166" s="53"/>
      <c r="Y166" s="53"/>
      <c r="Z166" s="53"/>
      <c r="AA166" s="53"/>
      <c r="AB166" s="53"/>
      <c r="AC166" s="53"/>
      <c r="AD166" s="62">
        <f t="shared" si="4"/>
        <v>216</v>
      </c>
      <c r="AE166" s="55">
        <f t="shared" si="5"/>
        <v>593340</v>
      </c>
      <c r="AG166" s="57" t="s">
        <v>270</v>
      </c>
    </row>
    <row r="167" spans="1:33" hidden="1">
      <c r="A167" s="47">
        <v>165</v>
      </c>
      <c r="B167" s="56">
        <v>4971710584042</v>
      </c>
      <c r="C167" s="57" t="s">
        <v>698</v>
      </c>
      <c r="D167" s="75" t="s">
        <v>884</v>
      </c>
      <c r="E167" s="48" t="s">
        <v>699</v>
      </c>
      <c r="F167" s="58">
        <v>90</v>
      </c>
      <c r="G167" s="59">
        <v>64350</v>
      </c>
      <c r="H167" s="60">
        <v>30</v>
      </c>
      <c r="I167" s="61">
        <v>10725</v>
      </c>
      <c r="J167" s="58">
        <v>26</v>
      </c>
      <c r="K167" s="59">
        <v>18590</v>
      </c>
      <c r="L167" s="49">
        <v>16</v>
      </c>
      <c r="M167" s="50">
        <v>11440</v>
      </c>
      <c r="N167" s="49">
        <v>26</v>
      </c>
      <c r="O167" s="50">
        <v>18590</v>
      </c>
      <c r="P167" s="49">
        <v>5</v>
      </c>
      <c r="Q167" s="53">
        <v>3575</v>
      </c>
      <c r="R167" s="49">
        <v>3</v>
      </c>
      <c r="S167" s="53">
        <v>2145</v>
      </c>
      <c r="T167" s="49"/>
      <c r="U167" s="53"/>
      <c r="V167" s="49"/>
      <c r="W167" s="53"/>
      <c r="X167" s="53"/>
      <c r="Y167" s="53"/>
      <c r="Z167" s="53"/>
      <c r="AA167" s="53"/>
      <c r="AB167" s="53"/>
      <c r="AC167" s="53"/>
      <c r="AD167" s="62">
        <f t="shared" si="4"/>
        <v>196</v>
      </c>
      <c r="AE167" s="55">
        <f t="shared" si="5"/>
        <v>129415</v>
      </c>
      <c r="AG167" s="57" t="s">
        <v>523</v>
      </c>
    </row>
    <row r="168" spans="1:33" hidden="1">
      <c r="A168" s="47">
        <v>166</v>
      </c>
      <c r="B168" s="56">
        <v>4971710513721</v>
      </c>
      <c r="C168" s="57" t="s">
        <v>280</v>
      </c>
      <c r="D168" s="75" t="s">
        <v>1078</v>
      </c>
      <c r="E168" s="48" t="s">
        <v>281</v>
      </c>
      <c r="F168" s="58"/>
      <c r="G168" s="59"/>
      <c r="H168" s="60"/>
      <c r="I168" s="61"/>
      <c r="J168" s="58">
        <v>30</v>
      </c>
      <c r="K168" s="59">
        <v>16500</v>
      </c>
      <c r="L168" s="49"/>
      <c r="M168" s="50"/>
      <c r="N168" s="49">
        <v>80</v>
      </c>
      <c r="O168" s="50">
        <v>44000</v>
      </c>
      <c r="P168" s="49"/>
      <c r="Q168" s="53"/>
      <c r="R168" s="49"/>
      <c r="S168" s="53"/>
      <c r="T168" s="49"/>
      <c r="U168" s="53"/>
      <c r="V168" s="49">
        <v>10</v>
      </c>
      <c r="W168" s="53">
        <v>5500</v>
      </c>
      <c r="X168" s="53"/>
      <c r="Y168" s="53"/>
      <c r="Z168" s="53"/>
      <c r="AA168" s="53"/>
      <c r="AB168" s="53">
        <v>60</v>
      </c>
      <c r="AC168" s="53">
        <v>33000</v>
      </c>
      <c r="AD168" s="62">
        <f t="shared" si="4"/>
        <v>180</v>
      </c>
      <c r="AE168" s="55">
        <f t="shared" si="5"/>
        <v>99000</v>
      </c>
      <c r="AG168" s="57" t="s">
        <v>32</v>
      </c>
    </row>
    <row r="169" spans="1:33" hidden="1">
      <c r="A169" s="47">
        <v>167</v>
      </c>
      <c r="B169" s="56">
        <v>4971710584691</v>
      </c>
      <c r="C169" s="57" t="s">
        <v>706</v>
      </c>
      <c r="D169" s="75" t="s">
        <v>1078</v>
      </c>
      <c r="E169" s="48" t="s">
        <v>707</v>
      </c>
      <c r="F169" s="58">
        <v>30</v>
      </c>
      <c r="G169" s="59">
        <v>10710</v>
      </c>
      <c r="H169" s="60"/>
      <c r="I169" s="61"/>
      <c r="J169" s="58">
        <v>2</v>
      </c>
      <c r="K169" s="59">
        <v>714</v>
      </c>
      <c r="L169" s="49"/>
      <c r="M169" s="50"/>
      <c r="N169" s="49">
        <v>30</v>
      </c>
      <c r="O169" s="50">
        <v>10710</v>
      </c>
      <c r="P169" s="49">
        <v>6</v>
      </c>
      <c r="Q169" s="53">
        <v>2142</v>
      </c>
      <c r="R169" s="49"/>
      <c r="S169" s="53"/>
      <c r="T169" s="49">
        <v>4</v>
      </c>
      <c r="U169" s="53">
        <v>1428</v>
      </c>
      <c r="V169" s="49">
        <v>52</v>
      </c>
      <c r="W169" s="53">
        <v>18564</v>
      </c>
      <c r="X169" s="53"/>
      <c r="Y169" s="53"/>
      <c r="Z169" s="53"/>
      <c r="AA169" s="53"/>
      <c r="AB169" s="53">
        <v>54</v>
      </c>
      <c r="AC169" s="53">
        <v>19278</v>
      </c>
      <c r="AD169" s="62">
        <f t="shared" si="4"/>
        <v>178</v>
      </c>
      <c r="AE169" s="55">
        <f t="shared" si="5"/>
        <v>63546</v>
      </c>
      <c r="AG169" s="57" t="s">
        <v>310</v>
      </c>
    </row>
    <row r="170" spans="1:33" hidden="1">
      <c r="A170" s="47">
        <v>168</v>
      </c>
      <c r="B170" s="56">
        <v>4971710568554</v>
      </c>
      <c r="C170" s="57" t="s">
        <v>523</v>
      </c>
      <c r="D170" s="75" t="s">
        <v>884</v>
      </c>
      <c r="E170" s="48" t="s">
        <v>524</v>
      </c>
      <c r="F170" s="58">
        <v>60</v>
      </c>
      <c r="G170" s="59">
        <v>39600</v>
      </c>
      <c r="H170" s="60"/>
      <c r="I170" s="61"/>
      <c r="J170" s="58"/>
      <c r="K170" s="59"/>
      <c r="L170" s="49"/>
      <c r="M170" s="50"/>
      <c r="N170" s="49">
        <v>50</v>
      </c>
      <c r="O170" s="50">
        <v>33000</v>
      </c>
      <c r="P170" s="49"/>
      <c r="Q170" s="53"/>
      <c r="R170" s="49">
        <v>5</v>
      </c>
      <c r="S170" s="53">
        <v>3300</v>
      </c>
      <c r="T170" s="49"/>
      <c r="U170" s="53"/>
      <c r="V170" s="49">
        <v>50</v>
      </c>
      <c r="W170" s="53">
        <v>33000</v>
      </c>
      <c r="X170" s="53"/>
      <c r="Y170" s="53"/>
      <c r="Z170" s="53"/>
      <c r="AA170" s="53"/>
      <c r="AB170" s="53">
        <v>10</v>
      </c>
      <c r="AC170" s="53">
        <v>6600</v>
      </c>
      <c r="AD170" s="62">
        <f t="shared" si="4"/>
        <v>175</v>
      </c>
      <c r="AE170" s="55">
        <f t="shared" si="5"/>
        <v>115500</v>
      </c>
      <c r="AG170" s="57" t="s">
        <v>702</v>
      </c>
    </row>
    <row r="171" spans="1:33" hidden="1">
      <c r="A171" s="47">
        <v>169</v>
      </c>
      <c r="B171" s="56">
        <v>4971710599671</v>
      </c>
      <c r="C171" s="57" t="s">
        <v>955</v>
      </c>
      <c r="D171" s="75" t="s">
        <v>884</v>
      </c>
      <c r="E171" s="48" t="s">
        <v>956</v>
      </c>
      <c r="F171" s="58"/>
      <c r="G171" s="59"/>
      <c r="H171" s="60"/>
      <c r="I171" s="61"/>
      <c r="J171" s="58"/>
      <c r="K171" s="59"/>
      <c r="L171" s="49"/>
      <c r="M171" s="50"/>
      <c r="N171" s="49"/>
      <c r="O171" s="50"/>
      <c r="P171" s="49"/>
      <c r="Q171" s="53"/>
      <c r="R171" s="49"/>
      <c r="S171" s="53"/>
      <c r="T171" s="49"/>
      <c r="U171" s="53"/>
      <c r="V171" s="49">
        <v>30</v>
      </c>
      <c r="W171" s="53">
        <v>24750</v>
      </c>
      <c r="X171" s="53"/>
      <c r="Y171" s="53"/>
      <c r="Z171" s="53"/>
      <c r="AA171" s="53"/>
      <c r="AB171" s="53">
        <v>142</v>
      </c>
      <c r="AC171" s="53">
        <v>117150</v>
      </c>
      <c r="AD171" s="63">
        <f t="shared" si="4"/>
        <v>172</v>
      </c>
      <c r="AE171" s="55">
        <f t="shared" si="5"/>
        <v>141900</v>
      </c>
      <c r="AG171" s="57" t="s">
        <v>501</v>
      </c>
    </row>
    <row r="172" spans="1:33" hidden="1">
      <c r="A172" s="47">
        <v>170</v>
      </c>
      <c r="B172" s="56">
        <v>4971710566154</v>
      </c>
      <c r="C172" s="57" t="s">
        <v>519</v>
      </c>
      <c r="D172" s="75" t="s">
        <v>1078</v>
      </c>
      <c r="E172" s="48" t="s">
        <v>520</v>
      </c>
      <c r="F172" s="58">
        <v>12</v>
      </c>
      <c r="G172" s="59">
        <v>6600</v>
      </c>
      <c r="H172" s="60"/>
      <c r="I172" s="61"/>
      <c r="J172" s="58"/>
      <c r="K172" s="59"/>
      <c r="L172" s="49"/>
      <c r="M172" s="50"/>
      <c r="N172" s="49">
        <v>50</v>
      </c>
      <c r="O172" s="50">
        <v>27500</v>
      </c>
      <c r="P172" s="49"/>
      <c r="Q172" s="53"/>
      <c r="R172" s="49"/>
      <c r="S172" s="53"/>
      <c r="T172" s="49"/>
      <c r="U172" s="53"/>
      <c r="V172" s="49">
        <v>60</v>
      </c>
      <c r="W172" s="53">
        <v>33000</v>
      </c>
      <c r="X172" s="53"/>
      <c r="Y172" s="53"/>
      <c r="Z172" s="53"/>
      <c r="AA172" s="53"/>
      <c r="AB172" s="53">
        <v>50</v>
      </c>
      <c r="AC172" s="53">
        <v>27500</v>
      </c>
      <c r="AD172" s="62">
        <f t="shared" si="4"/>
        <v>172</v>
      </c>
      <c r="AE172" s="55">
        <f t="shared" si="5"/>
        <v>94600</v>
      </c>
      <c r="AG172" s="57" t="s">
        <v>126</v>
      </c>
    </row>
    <row r="173" spans="1:33" hidden="1">
      <c r="A173" s="47">
        <v>171</v>
      </c>
      <c r="B173" s="56">
        <v>4971710599633</v>
      </c>
      <c r="C173" s="57" t="s">
        <v>947</v>
      </c>
      <c r="D173" s="75" t="s">
        <v>884</v>
      </c>
      <c r="E173" s="48" t="s">
        <v>948</v>
      </c>
      <c r="F173" s="58"/>
      <c r="G173" s="59"/>
      <c r="H173" s="60"/>
      <c r="I173" s="61"/>
      <c r="J173" s="58"/>
      <c r="K173" s="59"/>
      <c r="L173" s="49"/>
      <c r="M173" s="50"/>
      <c r="N173" s="49"/>
      <c r="O173" s="50"/>
      <c r="P173" s="49"/>
      <c r="Q173" s="53"/>
      <c r="R173" s="49"/>
      <c r="S173" s="53"/>
      <c r="T173" s="49"/>
      <c r="U173" s="53"/>
      <c r="V173" s="49">
        <v>45</v>
      </c>
      <c r="W173" s="53">
        <v>37125</v>
      </c>
      <c r="X173" s="53"/>
      <c r="Y173" s="53"/>
      <c r="Z173" s="53"/>
      <c r="AA173" s="53"/>
      <c r="AB173" s="53">
        <v>126</v>
      </c>
      <c r="AC173" s="53">
        <v>103950</v>
      </c>
      <c r="AD173" s="63">
        <f t="shared" si="4"/>
        <v>171</v>
      </c>
      <c r="AE173" s="55">
        <f t="shared" si="5"/>
        <v>141075</v>
      </c>
      <c r="AG173" s="57" t="s">
        <v>168</v>
      </c>
    </row>
    <row r="174" spans="1:33" hidden="1">
      <c r="A174" s="47">
        <v>172</v>
      </c>
      <c r="B174" s="56">
        <v>4971710496475</v>
      </c>
      <c r="C174" s="57" t="s">
        <v>172</v>
      </c>
      <c r="D174" s="75" t="s">
        <v>884</v>
      </c>
      <c r="E174" s="48" t="s">
        <v>173</v>
      </c>
      <c r="F174" s="58">
        <v>30</v>
      </c>
      <c r="G174" s="59">
        <v>24750</v>
      </c>
      <c r="H174" s="60"/>
      <c r="I174" s="61"/>
      <c r="J174" s="58"/>
      <c r="K174" s="59"/>
      <c r="L174" s="49"/>
      <c r="M174" s="50"/>
      <c r="N174" s="49"/>
      <c r="O174" s="50"/>
      <c r="P174" s="49"/>
      <c r="Q174" s="53"/>
      <c r="R174" s="49">
        <v>5</v>
      </c>
      <c r="S174" s="53">
        <v>4125</v>
      </c>
      <c r="T174" s="49">
        <v>10</v>
      </c>
      <c r="U174" s="53">
        <v>8250</v>
      </c>
      <c r="V174" s="49">
        <v>25</v>
      </c>
      <c r="W174" s="53">
        <v>20625</v>
      </c>
      <c r="X174" s="53"/>
      <c r="Y174" s="53"/>
      <c r="Z174" s="53"/>
      <c r="AA174" s="53"/>
      <c r="AB174" s="53">
        <v>100</v>
      </c>
      <c r="AC174" s="53">
        <v>82500</v>
      </c>
      <c r="AD174" s="62">
        <f t="shared" si="4"/>
        <v>170</v>
      </c>
      <c r="AE174" s="55">
        <f t="shared" si="5"/>
        <v>140250</v>
      </c>
      <c r="AG174" s="57" t="s">
        <v>92</v>
      </c>
    </row>
    <row r="175" spans="1:33" hidden="1">
      <c r="A175" s="47">
        <v>173</v>
      </c>
      <c r="B175" s="56">
        <v>4971710581911</v>
      </c>
      <c r="C175" s="57" t="s">
        <v>690</v>
      </c>
      <c r="D175" s="75" t="s">
        <v>884</v>
      </c>
      <c r="E175" s="48" t="s">
        <v>691</v>
      </c>
      <c r="F175" s="58">
        <v>100</v>
      </c>
      <c r="G175" s="59">
        <v>71500</v>
      </c>
      <c r="H175" s="60"/>
      <c r="I175" s="61"/>
      <c r="J175" s="58"/>
      <c r="K175" s="59"/>
      <c r="L175" s="49">
        <v>70</v>
      </c>
      <c r="M175" s="50">
        <v>50050</v>
      </c>
      <c r="N175" s="49"/>
      <c r="O175" s="50"/>
      <c r="P175" s="49"/>
      <c r="Q175" s="53"/>
      <c r="R175" s="49"/>
      <c r="S175" s="53"/>
      <c r="T175" s="49"/>
      <c r="U175" s="53"/>
      <c r="V175" s="49"/>
      <c r="W175" s="53"/>
      <c r="X175" s="53"/>
      <c r="Y175" s="53"/>
      <c r="Z175" s="53"/>
      <c r="AA175" s="53"/>
      <c r="AB175" s="53"/>
      <c r="AC175" s="53"/>
      <c r="AD175" s="62">
        <f t="shared" si="4"/>
        <v>170</v>
      </c>
      <c r="AE175" s="55">
        <f t="shared" si="5"/>
        <v>121550</v>
      </c>
      <c r="AG175" s="57" t="s">
        <v>84</v>
      </c>
    </row>
    <row r="176" spans="1:33" hidden="1">
      <c r="A176" s="47">
        <v>174</v>
      </c>
      <c r="B176" s="56">
        <v>4971710584714</v>
      </c>
      <c r="C176" s="57" t="s">
        <v>710</v>
      </c>
      <c r="D176" s="75" t="s">
        <v>1078</v>
      </c>
      <c r="E176" s="48" t="s">
        <v>711</v>
      </c>
      <c r="F176" s="58">
        <v>30</v>
      </c>
      <c r="G176" s="59">
        <v>10710</v>
      </c>
      <c r="H176" s="60">
        <v>4</v>
      </c>
      <c r="I176" s="61">
        <v>714</v>
      </c>
      <c r="J176" s="58"/>
      <c r="K176" s="59"/>
      <c r="L176" s="49"/>
      <c r="M176" s="50"/>
      <c r="N176" s="49">
        <v>52</v>
      </c>
      <c r="O176" s="50">
        <v>18564</v>
      </c>
      <c r="P176" s="49"/>
      <c r="Q176" s="53"/>
      <c r="R176" s="49">
        <v>2</v>
      </c>
      <c r="S176" s="53">
        <v>714</v>
      </c>
      <c r="T176" s="49">
        <v>2</v>
      </c>
      <c r="U176" s="53">
        <v>714</v>
      </c>
      <c r="V176" s="49">
        <v>30</v>
      </c>
      <c r="W176" s="53">
        <v>10710</v>
      </c>
      <c r="X176" s="53"/>
      <c r="Y176" s="53"/>
      <c r="Z176" s="53"/>
      <c r="AA176" s="53"/>
      <c r="AB176" s="53">
        <v>50</v>
      </c>
      <c r="AC176" s="53">
        <v>17850</v>
      </c>
      <c r="AD176" s="62">
        <f t="shared" si="4"/>
        <v>170</v>
      </c>
      <c r="AE176" s="55">
        <f t="shared" si="5"/>
        <v>59976</v>
      </c>
      <c r="AG176" s="57" t="s">
        <v>288</v>
      </c>
    </row>
    <row r="177" spans="1:33" hidden="1">
      <c r="A177" s="47">
        <v>175</v>
      </c>
      <c r="B177" s="56">
        <v>4971710515824</v>
      </c>
      <c r="C177" s="57" t="s">
        <v>318</v>
      </c>
      <c r="D177" s="75" t="s">
        <v>884</v>
      </c>
      <c r="E177" s="48" t="s">
        <v>319</v>
      </c>
      <c r="F177" s="58"/>
      <c r="G177" s="59"/>
      <c r="H177" s="60">
        <v>44</v>
      </c>
      <c r="I177" s="61">
        <v>11484</v>
      </c>
      <c r="J177" s="58"/>
      <c r="K177" s="59"/>
      <c r="L177" s="49">
        <v>4</v>
      </c>
      <c r="M177" s="50">
        <v>2088</v>
      </c>
      <c r="N177" s="49"/>
      <c r="O177" s="50"/>
      <c r="P177" s="49">
        <v>54</v>
      </c>
      <c r="Q177" s="53">
        <v>28188</v>
      </c>
      <c r="R177" s="49">
        <v>32</v>
      </c>
      <c r="S177" s="53">
        <v>16704</v>
      </c>
      <c r="T177" s="49">
        <v>50</v>
      </c>
      <c r="U177" s="53">
        <v>26100</v>
      </c>
      <c r="V177" s="49">
        <v>4</v>
      </c>
      <c r="W177" s="53">
        <v>2088</v>
      </c>
      <c r="X177" s="53"/>
      <c r="Y177" s="53"/>
      <c r="Z177" s="53"/>
      <c r="AA177" s="53"/>
      <c r="AB177" s="53"/>
      <c r="AC177" s="53"/>
      <c r="AD177" s="62">
        <f t="shared" si="4"/>
        <v>188</v>
      </c>
      <c r="AE177" s="55">
        <f t="shared" si="5"/>
        <v>86652</v>
      </c>
      <c r="AG177" s="57" t="s">
        <v>519</v>
      </c>
    </row>
    <row r="178" spans="1:33" hidden="1">
      <c r="A178" s="47">
        <v>176</v>
      </c>
      <c r="B178" s="56">
        <v>4971710508840</v>
      </c>
      <c r="C178" s="57" t="s">
        <v>790</v>
      </c>
      <c r="D178" s="75" t="s">
        <v>884</v>
      </c>
      <c r="E178" s="48" t="s">
        <v>1011</v>
      </c>
      <c r="F178" s="58"/>
      <c r="G178" s="59"/>
      <c r="H178" s="60"/>
      <c r="I178" s="61"/>
      <c r="J178" s="58"/>
      <c r="K178" s="59"/>
      <c r="L178" s="49">
        <v>25</v>
      </c>
      <c r="M178" s="50">
        <v>22000</v>
      </c>
      <c r="N178" s="49"/>
      <c r="O178" s="50"/>
      <c r="P178" s="49"/>
      <c r="Q178" s="53"/>
      <c r="R178" s="49">
        <v>15</v>
      </c>
      <c r="S178" s="53">
        <v>13200</v>
      </c>
      <c r="T178" s="49">
        <v>20</v>
      </c>
      <c r="U178" s="53">
        <v>17600</v>
      </c>
      <c r="V178" s="49">
        <v>15</v>
      </c>
      <c r="W178" s="53">
        <v>13200</v>
      </c>
      <c r="X178" s="53"/>
      <c r="Y178" s="53"/>
      <c r="Z178" s="53"/>
      <c r="AA178" s="53"/>
      <c r="AB178" s="53">
        <v>90</v>
      </c>
      <c r="AC178" s="53">
        <v>79200</v>
      </c>
      <c r="AD178" s="62">
        <f t="shared" si="4"/>
        <v>165</v>
      </c>
      <c r="AE178" s="55">
        <f t="shared" si="5"/>
        <v>145200</v>
      </c>
      <c r="AG178" s="57" t="s">
        <v>318</v>
      </c>
    </row>
    <row r="179" spans="1:33" hidden="1">
      <c r="A179" s="47">
        <v>177</v>
      </c>
      <c r="B179" s="56">
        <v>4971710564785</v>
      </c>
      <c r="C179" s="57" t="s">
        <v>491</v>
      </c>
      <c r="D179" s="75" t="s">
        <v>884</v>
      </c>
      <c r="E179" s="48" t="s">
        <v>492</v>
      </c>
      <c r="F179" s="58">
        <v>95</v>
      </c>
      <c r="G179" s="59">
        <v>62700</v>
      </c>
      <c r="H179" s="60">
        <v>4</v>
      </c>
      <c r="I179" s="61">
        <v>1320</v>
      </c>
      <c r="J179" s="58"/>
      <c r="K179" s="59"/>
      <c r="L179" s="49">
        <v>6</v>
      </c>
      <c r="M179" s="50">
        <v>3960</v>
      </c>
      <c r="N179" s="49"/>
      <c r="O179" s="50"/>
      <c r="P179" s="49"/>
      <c r="Q179" s="53"/>
      <c r="R179" s="49">
        <v>30</v>
      </c>
      <c r="S179" s="53">
        <v>19800</v>
      </c>
      <c r="T179" s="49">
        <v>1</v>
      </c>
      <c r="U179" s="53">
        <v>660</v>
      </c>
      <c r="V179" s="49"/>
      <c r="W179" s="53"/>
      <c r="X179" s="53"/>
      <c r="Y179" s="53"/>
      <c r="Z179" s="53"/>
      <c r="AA179" s="53"/>
      <c r="AB179" s="53">
        <v>31</v>
      </c>
      <c r="AC179" s="53">
        <v>20460</v>
      </c>
      <c r="AD179" s="62">
        <f t="shared" si="4"/>
        <v>167</v>
      </c>
      <c r="AE179" s="55">
        <f t="shared" si="5"/>
        <v>108900</v>
      </c>
      <c r="AG179" s="57" t="s">
        <v>626</v>
      </c>
    </row>
    <row r="180" spans="1:33" hidden="1">
      <c r="A180" s="47">
        <v>178</v>
      </c>
      <c r="B180" s="56">
        <v>4971710578591</v>
      </c>
      <c r="C180" s="57" t="s">
        <v>634</v>
      </c>
      <c r="D180" s="75" t="s">
        <v>1078</v>
      </c>
      <c r="E180" s="48" t="s">
        <v>635</v>
      </c>
      <c r="F180" s="58">
        <v>5</v>
      </c>
      <c r="G180" s="59">
        <v>3025</v>
      </c>
      <c r="H180" s="60">
        <v>22</v>
      </c>
      <c r="I180" s="61">
        <v>7260</v>
      </c>
      <c r="J180" s="58"/>
      <c r="K180" s="59"/>
      <c r="L180" s="49">
        <v>36</v>
      </c>
      <c r="M180" s="50">
        <v>21780</v>
      </c>
      <c r="N180" s="49">
        <v>32</v>
      </c>
      <c r="O180" s="50">
        <v>19360</v>
      </c>
      <c r="P180" s="49"/>
      <c r="Q180" s="53"/>
      <c r="R180" s="49">
        <v>2</v>
      </c>
      <c r="S180" s="53">
        <v>1210</v>
      </c>
      <c r="T180" s="49">
        <v>30</v>
      </c>
      <c r="U180" s="53">
        <v>18150</v>
      </c>
      <c r="V180" s="49">
        <v>14</v>
      </c>
      <c r="W180" s="53">
        <v>8470</v>
      </c>
      <c r="X180" s="53"/>
      <c r="Y180" s="53"/>
      <c r="Z180" s="53"/>
      <c r="AA180" s="53"/>
      <c r="AB180" s="53">
        <v>32</v>
      </c>
      <c r="AC180" s="53">
        <v>19360</v>
      </c>
      <c r="AD180" s="62">
        <f t="shared" si="4"/>
        <v>173</v>
      </c>
      <c r="AE180" s="55">
        <f t="shared" si="5"/>
        <v>98615</v>
      </c>
      <c r="AG180" s="57" t="s">
        <v>128</v>
      </c>
    </row>
    <row r="181" spans="1:33" hidden="1">
      <c r="A181" s="47">
        <v>179</v>
      </c>
      <c r="B181" s="56">
        <v>4971710571806</v>
      </c>
      <c r="C181" s="57" t="s">
        <v>557</v>
      </c>
      <c r="D181" s="75" t="s">
        <v>884</v>
      </c>
      <c r="E181" s="48" t="s">
        <v>558</v>
      </c>
      <c r="F181" s="58">
        <v>15</v>
      </c>
      <c r="G181" s="59">
        <v>9900</v>
      </c>
      <c r="H181" s="60">
        <v>220</v>
      </c>
      <c r="I181" s="61">
        <v>72600</v>
      </c>
      <c r="J181" s="58"/>
      <c r="K181" s="59"/>
      <c r="L181" s="49">
        <v>8</v>
      </c>
      <c r="M181" s="50">
        <v>5280</v>
      </c>
      <c r="N181" s="49"/>
      <c r="O181" s="50"/>
      <c r="P181" s="49">
        <v>6</v>
      </c>
      <c r="Q181" s="53">
        <v>3960</v>
      </c>
      <c r="R181" s="49">
        <v>2</v>
      </c>
      <c r="S181" s="53">
        <v>1320</v>
      </c>
      <c r="T181" s="49"/>
      <c r="U181" s="53"/>
      <c r="V181" s="49"/>
      <c r="W181" s="53"/>
      <c r="X181" s="53"/>
      <c r="Y181" s="53"/>
      <c r="Z181" s="53"/>
      <c r="AA181" s="53"/>
      <c r="AB181" s="53">
        <v>20</v>
      </c>
      <c r="AC181" s="53">
        <v>13200</v>
      </c>
      <c r="AD181" s="62">
        <f t="shared" si="4"/>
        <v>271</v>
      </c>
      <c r="AE181" s="55">
        <f t="shared" si="5"/>
        <v>106260</v>
      </c>
      <c r="AG181" s="57" t="s">
        <v>42</v>
      </c>
    </row>
    <row r="182" spans="1:33" hidden="1">
      <c r="A182" s="47">
        <v>180</v>
      </c>
      <c r="B182" s="56">
        <v>4971710578553</v>
      </c>
      <c r="C182" s="57" t="s">
        <v>626</v>
      </c>
      <c r="D182" s="75" t="s">
        <v>1078</v>
      </c>
      <c r="E182" s="48" t="s">
        <v>627</v>
      </c>
      <c r="F182" s="58">
        <v>25</v>
      </c>
      <c r="G182" s="59">
        <v>13750</v>
      </c>
      <c r="H182" s="60">
        <v>4</v>
      </c>
      <c r="I182" s="61">
        <v>1100</v>
      </c>
      <c r="J182" s="58"/>
      <c r="K182" s="59"/>
      <c r="L182" s="49">
        <v>30</v>
      </c>
      <c r="M182" s="50">
        <v>16500</v>
      </c>
      <c r="N182" s="49">
        <v>20</v>
      </c>
      <c r="O182" s="50">
        <v>11000</v>
      </c>
      <c r="P182" s="49">
        <v>4</v>
      </c>
      <c r="Q182" s="53">
        <v>2200</v>
      </c>
      <c r="R182" s="49"/>
      <c r="S182" s="53"/>
      <c r="T182" s="49">
        <v>2</v>
      </c>
      <c r="U182" s="53">
        <v>1100</v>
      </c>
      <c r="V182" s="49">
        <v>20</v>
      </c>
      <c r="W182" s="53">
        <v>11000</v>
      </c>
      <c r="X182" s="53"/>
      <c r="Y182" s="53"/>
      <c r="Z182" s="53"/>
      <c r="AA182" s="53"/>
      <c r="AB182" s="53">
        <v>54</v>
      </c>
      <c r="AC182" s="53">
        <v>29700</v>
      </c>
      <c r="AD182" s="62">
        <f t="shared" si="4"/>
        <v>159</v>
      </c>
      <c r="AE182" s="55">
        <f t="shared" si="5"/>
        <v>86350</v>
      </c>
      <c r="AG182" s="57" t="s">
        <v>252</v>
      </c>
    </row>
    <row r="183" spans="1:33" hidden="1">
      <c r="A183" s="47">
        <v>181</v>
      </c>
      <c r="B183" s="56">
        <v>4971710599640</v>
      </c>
      <c r="C183" s="57" t="s">
        <v>949</v>
      </c>
      <c r="D183" s="75" t="s">
        <v>884</v>
      </c>
      <c r="E183" s="48" t="s">
        <v>950</v>
      </c>
      <c r="F183" s="58"/>
      <c r="G183" s="59"/>
      <c r="H183" s="60"/>
      <c r="I183" s="61"/>
      <c r="J183" s="58"/>
      <c r="K183" s="59"/>
      <c r="L183" s="49"/>
      <c r="M183" s="50"/>
      <c r="N183" s="49"/>
      <c r="O183" s="50"/>
      <c r="P183" s="49"/>
      <c r="Q183" s="53"/>
      <c r="R183" s="49"/>
      <c r="S183" s="53"/>
      <c r="T183" s="49"/>
      <c r="U183" s="53"/>
      <c r="V183" s="49">
        <v>30</v>
      </c>
      <c r="W183" s="53">
        <v>24750</v>
      </c>
      <c r="X183" s="53"/>
      <c r="Y183" s="53"/>
      <c r="Z183" s="53"/>
      <c r="AA183" s="53"/>
      <c r="AB183" s="53">
        <v>126</v>
      </c>
      <c r="AC183" s="53">
        <v>103950</v>
      </c>
      <c r="AD183" s="63">
        <f t="shared" si="4"/>
        <v>156</v>
      </c>
      <c r="AE183" s="55">
        <f t="shared" si="5"/>
        <v>128700</v>
      </c>
      <c r="AG183" s="57" t="s">
        <v>254</v>
      </c>
    </row>
    <row r="184" spans="1:33" hidden="1">
      <c r="A184" s="47">
        <v>182</v>
      </c>
      <c r="B184" s="56">
        <v>4971710508918</v>
      </c>
      <c r="C184" s="57" t="s">
        <v>204</v>
      </c>
      <c r="D184" s="75" t="s">
        <v>884</v>
      </c>
      <c r="E184" s="48" t="s">
        <v>205</v>
      </c>
      <c r="F184" s="58">
        <v>6</v>
      </c>
      <c r="G184" s="59">
        <v>1980</v>
      </c>
      <c r="H184" s="60"/>
      <c r="I184" s="61"/>
      <c r="J184" s="58"/>
      <c r="K184" s="59"/>
      <c r="L184" s="49">
        <v>20</v>
      </c>
      <c r="M184" s="50">
        <v>6600</v>
      </c>
      <c r="N184" s="49"/>
      <c r="O184" s="50"/>
      <c r="P184" s="49"/>
      <c r="Q184" s="53"/>
      <c r="R184" s="49">
        <v>10</v>
      </c>
      <c r="S184" s="53">
        <v>3300</v>
      </c>
      <c r="T184" s="49">
        <v>20</v>
      </c>
      <c r="U184" s="53">
        <v>6600</v>
      </c>
      <c r="V184" s="49"/>
      <c r="W184" s="53"/>
      <c r="X184" s="53"/>
      <c r="Y184" s="53"/>
      <c r="Z184" s="53"/>
      <c r="AA184" s="53"/>
      <c r="AB184" s="53">
        <v>100</v>
      </c>
      <c r="AC184" s="53">
        <v>33000</v>
      </c>
      <c r="AD184" s="62">
        <f t="shared" si="4"/>
        <v>156</v>
      </c>
      <c r="AE184" s="55">
        <f t="shared" si="5"/>
        <v>51480</v>
      </c>
      <c r="AG184" s="57" t="s">
        <v>256</v>
      </c>
    </row>
    <row r="185" spans="1:33" hidden="1">
      <c r="A185" s="47">
        <v>183</v>
      </c>
      <c r="B185" s="56">
        <v>4971710565096</v>
      </c>
      <c r="C185" s="57" t="s">
        <v>509</v>
      </c>
      <c r="D185" s="75" t="s">
        <v>1078</v>
      </c>
      <c r="E185" s="48" t="s">
        <v>510</v>
      </c>
      <c r="F185" s="58">
        <v>17</v>
      </c>
      <c r="G185" s="59">
        <v>11220</v>
      </c>
      <c r="H185" s="60"/>
      <c r="I185" s="61"/>
      <c r="J185" s="58">
        <v>32</v>
      </c>
      <c r="K185" s="59">
        <v>21120</v>
      </c>
      <c r="L185" s="49">
        <v>2</v>
      </c>
      <c r="M185" s="50">
        <v>1320</v>
      </c>
      <c r="N185" s="49">
        <v>31</v>
      </c>
      <c r="O185" s="50">
        <v>20460</v>
      </c>
      <c r="P185" s="49">
        <v>4</v>
      </c>
      <c r="Q185" s="53">
        <v>2640</v>
      </c>
      <c r="R185" s="49">
        <v>2</v>
      </c>
      <c r="S185" s="53">
        <v>1320</v>
      </c>
      <c r="T185" s="49">
        <v>36</v>
      </c>
      <c r="U185" s="53">
        <v>23760</v>
      </c>
      <c r="V185" s="49"/>
      <c r="W185" s="53"/>
      <c r="X185" s="53"/>
      <c r="Y185" s="53"/>
      <c r="Z185" s="53"/>
      <c r="AA185" s="53"/>
      <c r="AB185" s="53">
        <v>30</v>
      </c>
      <c r="AC185" s="53">
        <v>19800</v>
      </c>
      <c r="AD185" s="62">
        <f t="shared" si="4"/>
        <v>154</v>
      </c>
      <c r="AE185" s="55">
        <f t="shared" si="5"/>
        <v>101640</v>
      </c>
      <c r="AG185" s="57" t="s">
        <v>650</v>
      </c>
    </row>
    <row r="186" spans="1:33" hidden="1">
      <c r="A186" s="47">
        <v>184</v>
      </c>
      <c r="B186" s="56">
        <v>4971710598551</v>
      </c>
      <c r="C186" s="57" t="s">
        <v>819</v>
      </c>
      <c r="D186" s="75" t="s">
        <v>884</v>
      </c>
      <c r="E186" s="48" t="s">
        <v>1008</v>
      </c>
      <c r="F186" s="58"/>
      <c r="G186" s="59"/>
      <c r="H186" s="60"/>
      <c r="I186" s="61"/>
      <c r="J186" s="58"/>
      <c r="K186" s="59"/>
      <c r="L186" s="49"/>
      <c r="M186" s="50"/>
      <c r="N186" s="49"/>
      <c r="O186" s="50"/>
      <c r="P186" s="49">
        <v>60</v>
      </c>
      <c r="Q186" s="53">
        <v>39600</v>
      </c>
      <c r="R186" s="49">
        <v>2</v>
      </c>
      <c r="S186" s="53">
        <v>1320</v>
      </c>
      <c r="T186" s="49">
        <v>2</v>
      </c>
      <c r="U186" s="53">
        <v>1320</v>
      </c>
      <c r="V186" s="49">
        <v>36</v>
      </c>
      <c r="W186" s="53">
        <v>23760</v>
      </c>
      <c r="X186" s="53"/>
      <c r="Y186" s="53"/>
      <c r="Z186" s="53"/>
      <c r="AA186" s="53"/>
      <c r="AB186" s="53">
        <v>52</v>
      </c>
      <c r="AC186" s="53">
        <v>34320</v>
      </c>
      <c r="AD186" s="63">
        <f t="shared" si="4"/>
        <v>152</v>
      </c>
      <c r="AE186" s="55">
        <f t="shared" si="5"/>
        <v>100320</v>
      </c>
      <c r="AG186" s="57" t="s">
        <v>244</v>
      </c>
    </row>
    <row r="187" spans="1:33" hidden="1">
      <c r="A187" s="47">
        <v>185</v>
      </c>
      <c r="B187" s="56">
        <v>4971710496451</v>
      </c>
      <c r="C187" s="57" t="s">
        <v>168</v>
      </c>
      <c r="D187" s="75" t="s">
        <v>884</v>
      </c>
      <c r="E187" s="48" t="s">
        <v>169</v>
      </c>
      <c r="F187" s="58">
        <v>50</v>
      </c>
      <c r="G187" s="59">
        <v>41250</v>
      </c>
      <c r="H187" s="60">
        <v>4</v>
      </c>
      <c r="I187" s="61">
        <v>1650</v>
      </c>
      <c r="J187" s="58"/>
      <c r="K187" s="59"/>
      <c r="L187" s="49">
        <v>10</v>
      </c>
      <c r="M187" s="50">
        <v>8250</v>
      </c>
      <c r="N187" s="49">
        <v>15</v>
      </c>
      <c r="O187" s="50">
        <v>12375</v>
      </c>
      <c r="P187" s="49">
        <v>30</v>
      </c>
      <c r="Q187" s="53">
        <v>24750</v>
      </c>
      <c r="R187" s="49">
        <v>24</v>
      </c>
      <c r="S187" s="53">
        <v>19800</v>
      </c>
      <c r="T187" s="49">
        <v>20</v>
      </c>
      <c r="U187" s="53">
        <v>16500</v>
      </c>
      <c r="V187" s="49">
        <v>1</v>
      </c>
      <c r="W187" s="53">
        <v>825</v>
      </c>
      <c r="X187" s="53"/>
      <c r="Y187" s="53"/>
      <c r="Z187" s="53"/>
      <c r="AA187" s="53"/>
      <c r="AB187" s="53"/>
      <c r="AC187" s="53"/>
      <c r="AD187" s="62">
        <f t="shared" si="4"/>
        <v>154</v>
      </c>
      <c r="AE187" s="55">
        <f t="shared" si="5"/>
        <v>125400</v>
      </c>
      <c r="AG187" s="57" t="s">
        <v>628</v>
      </c>
    </row>
    <row r="188" spans="1:33" hidden="1">
      <c r="A188" s="47">
        <v>186</v>
      </c>
      <c r="B188" s="56">
        <v>4971710599657</v>
      </c>
      <c r="C188" s="57" t="s">
        <v>951</v>
      </c>
      <c r="D188" s="75" t="s">
        <v>884</v>
      </c>
      <c r="E188" s="48" t="s">
        <v>952</v>
      </c>
      <c r="F188" s="58"/>
      <c r="G188" s="59"/>
      <c r="H188" s="60"/>
      <c r="I188" s="61"/>
      <c r="J188" s="58"/>
      <c r="K188" s="59"/>
      <c r="L188" s="49"/>
      <c r="M188" s="50"/>
      <c r="N188" s="49"/>
      <c r="O188" s="50"/>
      <c r="P188" s="49"/>
      <c r="Q188" s="53"/>
      <c r="R188" s="49"/>
      <c r="S188" s="53"/>
      <c r="T188" s="49"/>
      <c r="U188" s="53"/>
      <c r="V188" s="49">
        <v>30</v>
      </c>
      <c r="W188" s="53">
        <v>24750</v>
      </c>
      <c r="X188" s="53"/>
      <c r="Y188" s="53"/>
      <c r="Z188" s="53"/>
      <c r="AA188" s="53"/>
      <c r="AB188" s="53">
        <v>120</v>
      </c>
      <c r="AC188" s="53">
        <v>99000</v>
      </c>
      <c r="AD188" s="63">
        <f t="shared" si="4"/>
        <v>150</v>
      </c>
      <c r="AE188" s="55">
        <f t="shared" si="5"/>
        <v>123750</v>
      </c>
      <c r="AG188" s="57" t="s">
        <v>634</v>
      </c>
    </row>
    <row r="189" spans="1:33" hidden="1">
      <c r="A189" s="47">
        <v>187</v>
      </c>
      <c r="B189" s="56">
        <v>4971710599664</v>
      </c>
      <c r="C189" s="57" t="s">
        <v>953</v>
      </c>
      <c r="D189" s="75" t="s">
        <v>884</v>
      </c>
      <c r="E189" s="48" t="s">
        <v>954</v>
      </c>
      <c r="F189" s="58"/>
      <c r="G189" s="59"/>
      <c r="H189" s="60"/>
      <c r="I189" s="61"/>
      <c r="J189" s="58"/>
      <c r="K189" s="59"/>
      <c r="L189" s="49"/>
      <c r="M189" s="50"/>
      <c r="N189" s="49"/>
      <c r="O189" s="50"/>
      <c r="P189" s="49"/>
      <c r="Q189" s="53"/>
      <c r="R189" s="49"/>
      <c r="S189" s="53"/>
      <c r="T189" s="49"/>
      <c r="U189" s="53"/>
      <c r="V189" s="49">
        <v>30</v>
      </c>
      <c r="W189" s="53">
        <v>24750</v>
      </c>
      <c r="X189" s="53"/>
      <c r="Y189" s="53"/>
      <c r="Z189" s="53"/>
      <c r="AA189" s="53"/>
      <c r="AB189" s="53">
        <v>120</v>
      </c>
      <c r="AC189" s="53">
        <v>99000</v>
      </c>
      <c r="AD189" s="63">
        <f t="shared" si="4"/>
        <v>150</v>
      </c>
      <c r="AE189" s="55">
        <f t="shared" si="5"/>
        <v>123750</v>
      </c>
      <c r="AG189" s="57" t="s">
        <v>44</v>
      </c>
    </row>
    <row r="190" spans="1:33" hidden="1">
      <c r="A190" s="47">
        <v>188</v>
      </c>
      <c r="B190" s="56">
        <v>4971710599688</v>
      </c>
      <c r="C190" s="57" t="s">
        <v>957</v>
      </c>
      <c r="D190" s="75" t="s">
        <v>884</v>
      </c>
      <c r="E190" s="48" t="s">
        <v>958</v>
      </c>
      <c r="F190" s="58"/>
      <c r="G190" s="59"/>
      <c r="H190" s="60"/>
      <c r="I190" s="61"/>
      <c r="J190" s="58"/>
      <c r="K190" s="59"/>
      <c r="L190" s="49"/>
      <c r="M190" s="50"/>
      <c r="N190" s="49"/>
      <c r="O190" s="50"/>
      <c r="P190" s="49"/>
      <c r="Q190" s="53"/>
      <c r="R190" s="49"/>
      <c r="S190" s="53"/>
      <c r="T190" s="49"/>
      <c r="U190" s="53"/>
      <c r="V190" s="49">
        <v>30</v>
      </c>
      <c r="W190" s="53">
        <v>24750</v>
      </c>
      <c r="X190" s="53"/>
      <c r="Y190" s="53"/>
      <c r="Z190" s="53"/>
      <c r="AA190" s="53"/>
      <c r="AB190" s="53">
        <v>120</v>
      </c>
      <c r="AC190" s="53">
        <v>99000</v>
      </c>
      <c r="AD190" s="63">
        <f t="shared" si="4"/>
        <v>150</v>
      </c>
      <c r="AE190" s="55">
        <f t="shared" si="5"/>
        <v>123750</v>
      </c>
      <c r="AG190" s="57" t="s">
        <v>348</v>
      </c>
    </row>
    <row r="191" spans="1:33" hidden="1">
      <c r="A191" s="47">
        <v>189</v>
      </c>
      <c r="B191" s="56">
        <v>4971710485745</v>
      </c>
      <c r="C191" s="57" t="s">
        <v>44</v>
      </c>
      <c r="D191" s="75" t="s">
        <v>884</v>
      </c>
      <c r="E191" s="48" t="s">
        <v>45</v>
      </c>
      <c r="F191" s="58">
        <v>10</v>
      </c>
      <c r="G191" s="59">
        <v>5500</v>
      </c>
      <c r="H191" s="60"/>
      <c r="I191" s="61"/>
      <c r="J191" s="58">
        <v>10</v>
      </c>
      <c r="K191" s="59">
        <v>5500</v>
      </c>
      <c r="L191" s="49">
        <v>20</v>
      </c>
      <c r="M191" s="50">
        <v>11000</v>
      </c>
      <c r="N191" s="49">
        <v>60</v>
      </c>
      <c r="O191" s="50">
        <v>33000</v>
      </c>
      <c r="P191" s="49"/>
      <c r="Q191" s="53"/>
      <c r="R191" s="49"/>
      <c r="S191" s="53"/>
      <c r="T191" s="49"/>
      <c r="U191" s="53"/>
      <c r="V191" s="49"/>
      <c r="W191" s="53"/>
      <c r="X191" s="53"/>
      <c r="Y191" s="53"/>
      <c r="Z191" s="53"/>
      <c r="AA191" s="53"/>
      <c r="AB191" s="53">
        <v>50</v>
      </c>
      <c r="AC191" s="53">
        <v>27500</v>
      </c>
      <c r="AD191" s="62">
        <f t="shared" si="4"/>
        <v>150</v>
      </c>
      <c r="AE191" s="55">
        <f t="shared" si="5"/>
        <v>82500</v>
      </c>
      <c r="AG191" s="57" t="s">
        <v>362</v>
      </c>
    </row>
    <row r="192" spans="1:33" hidden="1">
      <c r="A192" s="47">
        <v>190</v>
      </c>
      <c r="B192" s="56">
        <v>4971710580464</v>
      </c>
      <c r="C192" s="57" t="s">
        <v>680</v>
      </c>
      <c r="D192" s="75" t="s">
        <v>1078</v>
      </c>
      <c r="E192" s="48" t="s">
        <v>681</v>
      </c>
      <c r="F192" s="58"/>
      <c r="G192" s="59"/>
      <c r="H192" s="60">
        <v>64</v>
      </c>
      <c r="I192" s="61">
        <v>22440</v>
      </c>
      <c r="J192" s="58"/>
      <c r="K192" s="59"/>
      <c r="L192" s="49">
        <v>6</v>
      </c>
      <c r="M192" s="50">
        <v>3960</v>
      </c>
      <c r="N192" s="49">
        <v>30</v>
      </c>
      <c r="O192" s="50">
        <v>19800</v>
      </c>
      <c r="P192" s="49"/>
      <c r="Q192" s="53"/>
      <c r="R192" s="49">
        <v>8</v>
      </c>
      <c r="S192" s="53">
        <v>5280</v>
      </c>
      <c r="T192" s="49">
        <v>22</v>
      </c>
      <c r="U192" s="53">
        <v>14520</v>
      </c>
      <c r="V192" s="49">
        <v>20</v>
      </c>
      <c r="W192" s="53">
        <v>13200</v>
      </c>
      <c r="X192" s="53"/>
      <c r="Y192" s="53"/>
      <c r="Z192" s="53"/>
      <c r="AA192" s="53"/>
      <c r="AB192" s="53">
        <v>30</v>
      </c>
      <c r="AC192" s="53">
        <v>19800</v>
      </c>
      <c r="AD192" s="62">
        <f t="shared" si="4"/>
        <v>180</v>
      </c>
      <c r="AE192" s="55">
        <f t="shared" si="5"/>
        <v>99000</v>
      </c>
      <c r="AG192" s="57" t="s">
        <v>284</v>
      </c>
    </row>
    <row r="193" spans="1:33" hidden="1">
      <c r="A193" s="47">
        <v>191</v>
      </c>
      <c r="B193" s="56">
        <v>4971710598544</v>
      </c>
      <c r="C193" s="57" t="s">
        <v>820</v>
      </c>
      <c r="D193" s="75" t="s">
        <v>884</v>
      </c>
      <c r="E193" s="48" t="s">
        <v>1002</v>
      </c>
      <c r="F193" s="58"/>
      <c r="G193" s="59"/>
      <c r="H193" s="60"/>
      <c r="I193" s="61"/>
      <c r="J193" s="58"/>
      <c r="K193" s="59"/>
      <c r="L193" s="49"/>
      <c r="M193" s="50"/>
      <c r="N193" s="49"/>
      <c r="O193" s="50"/>
      <c r="P193" s="49">
        <v>70</v>
      </c>
      <c r="Q193" s="53">
        <v>46200</v>
      </c>
      <c r="R193" s="49">
        <v>2</v>
      </c>
      <c r="S193" s="53">
        <v>1320</v>
      </c>
      <c r="T193" s="49">
        <v>12</v>
      </c>
      <c r="U193" s="53">
        <v>7920</v>
      </c>
      <c r="V193" s="49">
        <v>42</v>
      </c>
      <c r="W193" s="53">
        <v>27720</v>
      </c>
      <c r="X193" s="53"/>
      <c r="Y193" s="53"/>
      <c r="Z193" s="53"/>
      <c r="AA193" s="53"/>
      <c r="AB193" s="53">
        <v>24</v>
      </c>
      <c r="AC193" s="53">
        <v>15840</v>
      </c>
      <c r="AD193" s="63">
        <f t="shared" si="4"/>
        <v>150</v>
      </c>
      <c r="AE193" s="55">
        <f t="shared" si="5"/>
        <v>99000</v>
      </c>
      <c r="AG193" s="57" t="s">
        <v>630</v>
      </c>
    </row>
    <row r="194" spans="1:33" hidden="1">
      <c r="A194" s="47">
        <v>192</v>
      </c>
      <c r="B194" s="56">
        <v>4971710514162</v>
      </c>
      <c r="C194" s="57" t="s">
        <v>298</v>
      </c>
      <c r="D194" s="75" t="s">
        <v>1078</v>
      </c>
      <c r="E194" s="48" t="s">
        <v>299</v>
      </c>
      <c r="F194" s="58">
        <v>120</v>
      </c>
      <c r="G194" s="59">
        <v>59400</v>
      </c>
      <c r="H194" s="60"/>
      <c r="I194" s="61"/>
      <c r="J194" s="58"/>
      <c r="K194" s="59"/>
      <c r="L194" s="49">
        <v>6</v>
      </c>
      <c r="M194" s="50">
        <v>2970</v>
      </c>
      <c r="N194" s="49"/>
      <c r="O194" s="50"/>
      <c r="P194" s="49"/>
      <c r="Q194" s="53"/>
      <c r="R194" s="49"/>
      <c r="S194" s="53"/>
      <c r="T194" s="49"/>
      <c r="U194" s="53"/>
      <c r="V194" s="49"/>
      <c r="W194" s="53"/>
      <c r="X194" s="53"/>
      <c r="Y194" s="53"/>
      <c r="Z194" s="53"/>
      <c r="AA194" s="53"/>
      <c r="AB194" s="53">
        <v>24</v>
      </c>
      <c r="AC194" s="53">
        <v>11880</v>
      </c>
      <c r="AD194" s="62">
        <f t="shared" si="4"/>
        <v>150</v>
      </c>
      <c r="AE194" s="55">
        <f t="shared" si="5"/>
        <v>74250</v>
      </c>
      <c r="AG194" s="57" t="s">
        <v>553</v>
      </c>
    </row>
    <row r="195" spans="1:33" hidden="1">
      <c r="A195" s="47">
        <v>193</v>
      </c>
      <c r="B195" s="56">
        <v>4971710513394</v>
      </c>
      <c r="C195" s="57" t="s">
        <v>252</v>
      </c>
      <c r="D195" s="75" t="s">
        <v>1078</v>
      </c>
      <c r="E195" s="48" t="s">
        <v>253</v>
      </c>
      <c r="F195" s="58">
        <v>150</v>
      </c>
      <c r="G195" s="59">
        <v>90750</v>
      </c>
      <c r="H195" s="60"/>
      <c r="I195" s="61"/>
      <c r="J195" s="58"/>
      <c r="K195" s="59"/>
      <c r="L195" s="49"/>
      <c r="M195" s="50"/>
      <c r="N195" s="49"/>
      <c r="O195" s="50"/>
      <c r="P195" s="49"/>
      <c r="Q195" s="53"/>
      <c r="R195" s="49"/>
      <c r="S195" s="53"/>
      <c r="T195" s="49"/>
      <c r="U195" s="53"/>
      <c r="V195" s="49"/>
      <c r="W195" s="53"/>
      <c r="X195" s="53"/>
      <c r="Y195" s="53"/>
      <c r="Z195" s="53"/>
      <c r="AA195" s="53"/>
      <c r="AB195" s="53"/>
      <c r="AC195" s="53"/>
      <c r="AD195" s="62">
        <f t="shared" si="4"/>
        <v>150</v>
      </c>
      <c r="AE195" s="55">
        <f t="shared" si="5"/>
        <v>90750</v>
      </c>
      <c r="AG195" s="57" t="s">
        <v>40</v>
      </c>
    </row>
    <row r="196" spans="1:33" hidden="1">
      <c r="A196" s="47">
        <v>194</v>
      </c>
      <c r="B196" s="56">
        <v>4971710513585</v>
      </c>
      <c r="C196" s="57" t="s">
        <v>254</v>
      </c>
      <c r="D196" s="75" t="s">
        <v>1078</v>
      </c>
      <c r="E196" s="48" t="s">
        <v>255</v>
      </c>
      <c r="F196" s="58">
        <v>150</v>
      </c>
      <c r="G196" s="59">
        <v>90750</v>
      </c>
      <c r="H196" s="60"/>
      <c r="I196" s="61"/>
      <c r="J196" s="58"/>
      <c r="K196" s="59"/>
      <c r="L196" s="49"/>
      <c r="M196" s="50"/>
      <c r="N196" s="49"/>
      <c r="O196" s="50"/>
      <c r="P196" s="49"/>
      <c r="Q196" s="53"/>
      <c r="R196" s="49"/>
      <c r="S196" s="53"/>
      <c r="T196" s="49"/>
      <c r="U196" s="53"/>
      <c r="V196" s="49"/>
      <c r="W196" s="53"/>
      <c r="X196" s="53"/>
      <c r="Y196" s="53"/>
      <c r="Z196" s="53"/>
      <c r="AA196" s="53"/>
      <c r="AB196" s="53"/>
      <c r="AC196" s="53"/>
      <c r="AD196" s="62">
        <f t="shared" ref="AD196:AD259" si="6">F196+H196+J196+L196+N196+P196+R196+T196+V196+X196+Z196+AB196</f>
        <v>150</v>
      </c>
      <c r="AE196" s="55">
        <f t="shared" ref="AE196:AE259" si="7">G196+I196+K196+M196+O196+Q196+S196+U196+W196+Y196+AA196+AC196</f>
        <v>90750</v>
      </c>
      <c r="AG196" s="57" t="s">
        <v>497</v>
      </c>
    </row>
    <row r="197" spans="1:33" hidden="1">
      <c r="A197" s="47">
        <v>195</v>
      </c>
      <c r="B197" s="56">
        <v>4971710513592</v>
      </c>
      <c r="C197" s="57" t="s">
        <v>256</v>
      </c>
      <c r="D197" s="75" t="s">
        <v>1078</v>
      </c>
      <c r="E197" s="48" t="s">
        <v>257</v>
      </c>
      <c r="F197" s="58">
        <v>150</v>
      </c>
      <c r="G197" s="59">
        <v>90750</v>
      </c>
      <c r="H197" s="60"/>
      <c r="I197" s="61"/>
      <c r="J197" s="58"/>
      <c r="K197" s="59"/>
      <c r="L197" s="49"/>
      <c r="M197" s="50"/>
      <c r="N197" s="49"/>
      <c r="O197" s="50"/>
      <c r="P197" s="49"/>
      <c r="Q197" s="53"/>
      <c r="R197" s="49"/>
      <c r="S197" s="53"/>
      <c r="T197" s="49"/>
      <c r="U197" s="53"/>
      <c r="V197" s="49"/>
      <c r="W197" s="53"/>
      <c r="X197" s="53"/>
      <c r="Y197" s="53"/>
      <c r="Z197" s="53"/>
      <c r="AA197" s="53"/>
      <c r="AB197" s="53"/>
      <c r="AC197" s="53"/>
      <c r="AD197" s="62">
        <f t="shared" si="6"/>
        <v>150</v>
      </c>
      <c r="AE197" s="55">
        <f t="shared" si="7"/>
        <v>90750</v>
      </c>
      <c r="AG197" s="57" t="s">
        <v>770</v>
      </c>
    </row>
    <row r="198" spans="1:33" hidden="1">
      <c r="A198" s="47">
        <v>196</v>
      </c>
      <c r="B198" s="56">
        <v>4971710598568</v>
      </c>
      <c r="C198" s="57" t="s">
        <v>818</v>
      </c>
      <c r="D198" s="75" t="s">
        <v>884</v>
      </c>
      <c r="E198" s="48" t="s">
        <v>1010</v>
      </c>
      <c r="F198" s="58"/>
      <c r="G198" s="59"/>
      <c r="H198" s="60"/>
      <c r="I198" s="61"/>
      <c r="J198" s="58"/>
      <c r="K198" s="59"/>
      <c r="L198" s="49"/>
      <c r="M198" s="50"/>
      <c r="N198" s="49"/>
      <c r="O198" s="50"/>
      <c r="P198" s="49">
        <v>54</v>
      </c>
      <c r="Q198" s="53">
        <v>29700</v>
      </c>
      <c r="R198" s="49">
        <v>6</v>
      </c>
      <c r="S198" s="53">
        <v>3300</v>
      </c>
      <c r="T198" s="49">
        <v>2</v>
      </c>
      <c r="U198" s="53">
        <v>1100</v>
      </c>
      <c r="V198" s="49">
        <v>71</v>
      </c>
      <c r="W198" s="53">
        <v>39050</v>
      </c>
      <c r="X198" s="53"/>
      <c r="Y198" s="53"/>
      <c r="Z198" s="53"/>
      <c r="AA198" s="53"/>
      <c r="AB198" s="53">
        <v>14</v>
      </c>
      <c r="AC198" s="53">
        <v>7700</v>
      </c>
      <c r="AD198" s="63">
        <f t="shared" si="6"/>
        <v>147</v>
      </c>
      <c r="AE198" s="55">
        <f t="shared" si="7"/>
        <v>80850</v>
      </c>
      <c r="AG198" s="57" t="s">
        <v>624</v>
      </c>
    </row>
    <row r="199" spans="1:33" hidden="1">
      <c r="A199" s="47">
        <v>197</v>
      </c>
      <c r="B199" s="56">
        <v>4971710249651</v>
      </c>
      <c r="C199" s="57" t="s">
        <v>913</v>
      </c>
      <c r="D199" s="75" t="s">
        <v>1076</v>
      </c>
      <c r="E199" s="48" t="s">
        <v>1075</v>
      </c>
      <c r="F199" s="58"/>
      <c r="G199" s="59"/>
      <c r="H199" s="60"/>
      <c r="I199" s="61"/>
      <c r="J199" s="58"/>
      <c r="K199" s="59"/>
      <c r="L199" s="49"/>
      <c r="M199" s="50"/>
      <c r="N199" s="49"/>
      <c r="O199" s="50"/>
      <c r="P199" s="49"/>
      <c r="Q199" s="53"/>
      <c r="R199" s="49"/>
      <c r="S199" s="53"/>
      <c r="T199" s="49"/>
      <c r="U199" s="53"/>
      <c r="V199" s="49">
        <v>76</v>
      </c>
      <c r="W199" s="53">
        <v>62700</v>
      </c>
      <c r="X199" s="53"/>
      <c r="Y199" s="53"/>
      <c r="Z199" s="53"/>
      <c r="AA199" s="53"/>
      <c r="AB199" s="53">
        <v>70</v>
      </c>
      <c r="AC199" s="53">
        <v>57750</v>
      </c>
      <c r="AD199" s="63">
        <f t="shared" si="6"/>
        <v>146</v>
      </c>
      <c r="AE199" s="55">
        <f t="shared" si="7"/>
        <v>120450</v>
      </c>
      <c r="AG199" s="57" t="s">
        <v>656</v>
      </c>
    </row>
    <row r="200" spans="1:33" hidden="1">
      <c r="A200" s="47">
        <v>198</v>
      </c>
      <c r="B200" s="56">
        <v>4971710512243</v>
      </c>
      <c r="C200" s="57" t="s">
        <v>244</v>
      </c>
      <c r="D200" s="75" t="s">
        <v>884</v>
      </c>
      <c r="E200" s="48" t="s">
        <v>245</v>
      </c>
      <c r="F200" s="58">
        <v>40</v>
      </c>
      <c r="G200" s="59">
        <v>17600</v>
      </c>
      <c r="H200" s="60">
        <v>8</v>
      </c>
      <c r="I200" s="61">
        <v>1760</v>
      </c>
      <c r="J200" s="58"/>
      <c r="K200" s="59"/>
      <c r="L200" s="49">
        <v>36</v>
      </c>
      <c r="M200" s="50">
        <v>15840</v>
      </c>
      <c r="N200" s="49">
        <v>6</v>
      </c>
      <c r="O200" s="50">
        <v>2640</v>
      </c>
      <c r="P200" s="49"/>
      <c r="Q200" s="53"/>
      <c r="R200" s="49">
        <v>30</v>
      </c>
      <c r="S200" s="53">
        <v>13200</v>
      </c>
      <c r="T200" s="49">
        <v>30</v>
      </c>
      <c r="U200" s="53">
        <v>13200</v>
      </c>
      <c r="V200" s="49"/>
      <c r="W200" s="53"/>
      <c r="X200" s="53"/>
      <c r="Y200" s="53"/>
      <c r="Z200" s="53"/>
      <c r="AA200" s="53"/>
      <c r="AB200" s="53"/>
      <c r="AC200" s="53"/>
      <c r="AD200" s="62">
        <f t="shared" si="6"/>
        <v>150</v>
      </c>
      <c r="AE200" s="55">
        <f t="shared" si="7"/>
        <v>64240</v>
      </c>
      <c r="AG200" s="57" t="s">
        <v>668</v>
      </c>
    </row>
    <row r="201" spans="1:33" hidden="1">
      <c r="A201" s="47">
        <v>199</v>
      </c>
      <c r="B201" s="56">
        <v>4971710598582</v>
      </c>
      <c r="C201" s="57" t="s">
        <v>815</v>
      </c>
      <c r="D201" s="75" t="s">
        <v>884</v>
      </c>
      <c r="E201" s="48" t="s">
        <v>1007</v>
      </c>
      <c r="F201" s="58"/>
      <c r="G201" s="59"/>
      <c r="H201" s="60"/>
      <c r="I201" s="61"/>
      <c r="J201" s="58"/>
      <c r="K201" s="59"/>
      <c r="L201" s="49"/>
      <c r="M201" s="50"/>
      <c r="N201" s="49"/>
      <c r="O201" s="50"/>
      <c r="P201" s="49">
        <v>59</v>
      </c>
      <c r="Q201" s="53">
        <v>32450</v>
      </c>
      <c r="R201" s="49">
        <v>7</v>
      </c>
      <c r="S201" s="53">
        <v>3850</v>
      </c>
      <c r="T201" s="49">
        <v>2</v>
      </c>
      <c r="U201" s="53">
        <v>1100</v>
      </c>
      <c r="V201" s="49">
        <v>65</v>
      </c>
      <c r="W201" s="53">
        <v>35750</v>
      </c>
      <c r="X201" s="53"/>
      <c r="Y201" s="53"/>
      <c r="Z201" s="53"/>
      <c r="AA201" s="53"/>
      <c r="AB201" s="53">
        <v>12</v>
      </c>
      <c r="AC201" s="53">
        <v>6600</v>
      </c>
      <c r="AD201" s="63">
        <f t="shared" si="6"/>
        <v>145</v>
      </c>
      <c r="AE201" s="55">
        <f t="shared" si="7"/>
        <v>79750</v>
      </c>
      <c r="AG201" s="57" t="s">
        <v>708</v>
      </c>
    </row>
    <row r="202" spans="1:33" hidden="1">
      <c r="A202" s="47">
        <v>200</v>
      </c>
      <c r="B202" s="56">
        <v>4971710589597</v>
      </c>
      <c r="C202" s="57" t="s">
        <v>724</v>
      </c>
      <c r="D202" s="75" t="s">
        <v>884</v>
      </c>
      <c r="E202" s="48" t="s">
        <v>725</v>
      </c>
      <c r="F202" s="58">
        <v>10</v>
      </c>
      <c r="G202" s="59">
        <v>6050</v>
      </c>
      <c r="H202" s="60">
        <v>4</v>
      </c>
      <c r="I202" s="61">
        <v>1210</v>
      </c>
      <c r="J202" s="58"/>
      <c r="K202" s="59"/>
      <c r="L202" s="49">
        <v>36</v>
      </c>
      <c r="M202" s="50">
        <v>21780</v>
      </c>
      <c r="N202" s="49"/>
      <c r="O202" s="50"/>
      <c r="P202" s="49">
        <v>12</v>
      </c>
      <c r="Q202" s="53">
        <v>7260</v>
      </c>
      <c r="R202" s="49"/>
      <c r="S202" s="53"/>
      <c r="T202" s="49"/>
      <c r="U202" s="53"/>
      <c r="V202" s="49">
        <v>83</v>
      </c>
      <c r="W202" s="53">
        <v>50215</v>
      </c>
      <c r="X202" s="53"/>
      <c r="Y202" s="53"/>
      <c r="Z202" s="53"/>
      <c r="AA202" s="53"/>
      <c r="AB202" s="53"/>
      <c r="AC202" s="53"/>
      <c r="AD202" s="62">
        <f t="shared" si="6"/>
        <v>145</v>
      </c>
      <c r="AE202" s="55">
        <f t="shared" si="7"/>
        <v>86515</v>
      </c>
      <c r="AG202" s="57" t="s">
        <v>660</v>
      </c>
    </row>
    <row r="203" spans="1:33" hidden="1">
      <c r="A203" s="47">
        <v>201</v>
      </c>
      <c r="B203" s="56">
        <v>4971710578560</v>
      </c>
      <c r="C203" s="57" t="s">
        <v>628</v>
      </c>
      <c r="D203" s="75" t="s">
        <v>1078</v>
      </c>
      <c r="E203" s="48" t="s">
        <v>629</v>
      </c>
      <c r="F203" s="58"/>
      <c r="G203" s="59"/>
      <c r="H203" s="60"/>
      <c r="I203" s="61"/>
      <c r="J203" s="58"/>
      <c r="K203" s="59"/>
      <c r="L203" s="49">
        <v>35</v>
      </c>
      <c r="M203" s="50">
        <v>19250</v>
      </c>
      <c r="N203" s="49">
        <v>32</v>
      </c>
      <c r="O203" s="50">
        <v>17600</v>
      </c>
      <c r="P203" s="49"/>
      <c r="Q203" s="53"/>
      <c r="R203" s="49">
        <v>2</v>
      </c>
      <c r="S203" s="53">
        <v>1100</v>
      </c>
      <c r="T203" s="49"/>
      <c r="U203" s="53"/>
      <c r="V203" s="49">
        <v>22</v>
      </c>
      <c r="W203" s="53">
        <v>12100</v>
      </c>
      <c r="X203" s="53"/>
      <c r="Y203" s="53"/>
      <c r="Z203" s="53"/>
      <c r="AA203" s="53"/>
      <c r="AB203" s="53">
        <v>50</v>
      </c>
      <c r="AC203" s="53">
        <v>27500</v>
      </c>
      <c r="AD203" s="62">
        <f t="shared" si="6"/>
        <v>141</v>
      </c>
      <c r="AE203" s="55">
        <f t="shared" si="7"/>
        <v>77550</v>
      </c>
      <c r="AG203" s="57" t="s">
        <v>242</v>
      </c>
    </row>
    <row r="204" spans="1:33" hidden="1">
      <c r="A204" s="47">
        <v>202</v>
      </c>
      <c r="B204" s="56">
        <v>4971710485714</v>
      </c>
      <c r="C204" s="57" t="s">
        <v>40</v>
      </c>
      <c r="D204" s="75" t="s">
        <v>884</v>
      </c>
      <c r="E204" s="48" t="s">
        <v>41</v>
      </c>
      <c r="F204" s="58">
        <v>30</v>
      </c>
      <c r="G204" s="59">
        <v>16500</v>
      </c>
      <c r="H204" s="60"/>
      <c r="I204" s="61"/>
      <c r="J204" s="58"/>
      <c r="K204" s="59"/>
      <c r="L204" s="49"/>
      <c r="M204" s="50"/>
      <c r="N204" s="49">
        <v>60</v>
      </c>
      <c r="O204" s="50">
        <v>33000</v>
      </c>
      <c r="P204" s="49"/>
      <c r="Q204" s="53"/>
      <c r="R204" s="49"/>
      <c r="S204" s="53"/>
      <c r="T204" s="49"/>
      <c r="U204" s="53"/>
      <c r="V204" s="49"/>
      <c r="W204" s="53"/>
      <c r="X204" s="53"/>
      <c r="Y204" s="53"/>
      <c r="Z204" s="53"/>
      <c r="AA204" s="53"/>
      <c r="AB204" s="53">
        <v>50</v>
      </c>
      <c r="AC204" s="53">
        <v>27500</v>
      </c>
      <c r="AD204" s="62">
        <f t="shared" si="6"/>
        <v>140</v>
      </c>
      <c r="AE204" s="55">
        <f t="shared" si="7"/>
        <v>77000</v>
      </c>
      <c r="AG204" s="57" t="s">
        <v>507</v>
      </c>
    </row>
    <row r="205" spans="1:33" hidden="1">
      <c r="A205" s="47">
        <v>203</v>
      </c>
      <c r="B205" s="56">
        <v>4971710598599</v>
      </c>
      <c r="C205" s="57" t="s">
        <v>813</v>
      </c>
      <c r="D205" s="75" t="s">
        <v>884</v>
      </c>
      <c r="E205" s="48" t="s">
        <v>1005</v>
      </c>
      <c r="F205" s="58"/>
      <c r="G205" s="59"/>
      <c r="H205" s="60"/>
      <c r="I205" s="61"/>
      <c r="J205" s="58"/>
      <c r="K205" s="59"/>
      <c r="L205" s="49"/>
      <c r="M205" s="50"/>
      <c r="N205" s="49"/>
      <c r="O205" s="50"/>
      <c r="P205" s="49">
        <v>68</v>
      </c>
      <c r="Q205" s="53">
        <v>37400</v>
      </c>
      <c r="R205" s="49">
        <v>2</v>
      </c>
      <c r="S205" s="53">
        <v>1100</v>
      </c>
      <c r="T205" s="49">
        <v>2</v>
      </c>
      <c r="U205" s="53">
        <v>1100</v>
      </c>
      <c r="V205" s="49">
        <v>52</v>
      </c>
      <c r="W205" s="53">
        <v>28600</v>
      </c>
      <c r="X205" s="53"/>
      <c r="Y205" s="53"/>
      <c r="Z205" s="53"/>
      <c r="AA205" s="53"/>
      <c r="AB205" s="53">
        <v>16</v>
      </c>
      <c r="AC205" s="53">
        <v>8800</v>
      </c>
      <c r="AD205" s="63">
        <f t="shared" si="6"/>
        <v>140</v>
      </c>
      <c r="AE205" s="55">
        <f t="shared" si="7"/>
        <v>77000</v>
      </c>
      <c r="AG205" s="57" t="s">
        <v>354</v>
      </c>
    </row>
    <row r="206" spans="1:33" hidden="1">
      <c r="A206" s="47">
        <v>204</v>
      </c>
      <c r="B206" s="56">
        <v>4971710564891</v>
      </c>
      <c r="C206" s="57" t="s">
        <v>497</v>
      </c>
      <c r="D206" s="75" t="s">
        <v>1078</v>
      </c>
      <c r="E206" s="48" t="s">
        <v>498</v>
      </c>
      <c r="F206" s="58">
        <v>6</v>
      </c>
      <c r="G206" s="59">
        <v>3300</v>
      </c>
      <c r="H206" s="60"/>
      <c r="I206" s="61"/>
      <c r="J206" s="58"/>
      <c r="K206" s="59"/>
      <c r="L206" s="49">
        <v>34</v>
      </c>
      <c r="M206" s="50">
        <v>18700</v>
      </c>
      <c r="N206" s="49">
        <v>30</v>
      </c>
      <c r="O206" s="50">
        <v>16500</v>
      </c>
      <c r="P206" s="49">
        <v>8</v>
      </c>
      <c r="Q206" s="53">
        <v>4400</v>
      </c>
      <c r="R206" s="49">
        <v>2</v>
      </c>
      <c r="S206" s="53">
        <v>1100</v>
      </c>
      <c r="T206" s="49"/>
      <c r="U206" s="53"/>
      <c r="V206" s="49">
        <v>60</v>
      </c>
      <c r="W206" s="53">
        <v>33000</v>
      </c>
      <c r="X206" s="53"/>
      <c r="Y206" s="53"/>
      <c r="Z206" s="53"/>
      <c r="AA206" s="53"/>
      <c r="AB206" s="53"/>
      <c r="AC206" s="53"/>
      <c r="AD206" s="62">
        <f t="shared" si="6"/>
        <v>140</v>
      </c>
      <c r="AE206" s="55">
        <f t="shared" si="7"/>
        <v>77000</v>
      </c>
      <c r="AG206" s="57" t="s">
        <v>368</v>
      </c>
    </row>
    <row r="207" spans="1:33" hidden="1">
      <c r="A207" s="47">
        <v>205</v>
      </c>
      <c r="B207" s="56">
        <v>4971710514667</v>
      </c>
      <c r="C207" s="57" t="s">
        <v>304</v>
      </c>
      <c r="D207" s="75" t="s">
        <v>1082</v>
      </c>
      <c r="E207" s="48" t="s">
        <v>305</v>
      </c>
      <c r="F207" s="58">
        <v>140</v>
      </c>
      <c r="G207" s="59">
        <v>77000</v>
      </c>
      <c r="H207" s="60"/>
      <c r="I207" s="61"/>
      <c r="J207" s="58"/>
      <c r="K207" s="59"/>
      <c r="L207" s="49"/>
      <c r="M207" s="50"/>
      <c r="N207" s="49"/>
      <c r="O207" s="50"/>
      <c r="P207" s="49"/>
      <c r="Q207" s="53"/>
      <c r="R207" s="49"/>
      <c r="S207" s="53"/>
      <c r="T207" s="49"/>
      <c r="U207" s="53"/>
      <c r="V207" s="49"/>
      <c r="W207" s="53"/>
      <c r="X207" s="53"/>
      <c r="Y207" s="53"/>
      <c r="Z207" s="53"/>
      <c r="AA207" s="53"/>
      <c r="AB207" s="53"/>
      <c r="AC207" s="53"/>
      <c r="AD207" s="62">
        <f t="shared" si="6"/>
        <v>140</v>
      </c>
      <c r="AE207" s="55">
        <f t="shared" si="7"/>
        <v>77000</v>
      </c>
      <c r="AG207" s="57" t="s">
        <v>686</v>
      </c>
    </row>
    <row r="208" spans="1:33" hidden="1">
      <c r="A208" s="47">
        <v>206</v>
      </c>
      <c r="B208" s="56">
        <v>4971710564808</v>
      </c>
      <c r="C208" s="57" t="s">
        <v>495</v>
      </c>
      <c r="D208" s="75" t="s">
        <v>884</v>
      </c>
      <c r="E208" s="48" t="s">
        <v>496</v>
      </c>
      <c r="F208" s="58">
        <v>5</v>
      </c>
      <c r="G208" s="59">
        <v>3575</v>
      </c>
      <c r="H208" s="60">
        <v>4</v>
      </c>
      <c r="I208" s="61">
        <v>1430</v>
      </c>
      <c r="J208" s="58"/>
      <c r="K208" s="59"/>
      <c r="L208" s="49">
        <v>6</v>
      </c>
      <c r="M208" s="50">
        <v>4290</v>
      </c>
      <c r="N208" s="49"/>
      <c r="O208" s="50"/>
      <c r="P208" s="49">
        <v>15</v>
      </c>
      <c r="Q208" s="53">
        <v>10725</v>
      </c>
      <c r="R208" s="49">
        <v>30</v>
      </c>
      <c r="S208" s="53">
        <v>21450</v>
      </c>
      <c r="T208" s="49">
        <v>30</v>
      </c>
      <c r="U208" s="53">
        <v>21450</v>
      </c>
      <c r="V208" s="49"/>
      <c r="W208" s="53"/>
      <c r="X208" s="53"/>
      <c r="Y208" s="53"/>
      <c r="Z208" s="53"/>
      <c r="AA208" s="53"/>
      <c r="AB208" s="53">
        <v>50</v>
      </c>
      <c r="AC208" s="53">
        <v>35750</v>
      </c>
      <c r="AD208" s="62">
        <f t="shared" si="6"/>
        <v>140</v>
      </c>
      <c r="AE208" s="55">
        <f t="shared" si="7"/>
        <v>98670</v>
      </c>
      <c r="AG208" s="57" t="s">
        <v>680</v>
      </c>
    </row>
    <row r="209" spans="1:33" hidden="1">
      <c r="A209" s="47">
        <v>207</v>
      </c>
      <c r="B209" s="56">
        <v>4971710584097</v>
      </c>
      <c r="C209" s="57" t="s">
        <v>923</v>
      </c>
      <c r="D209" s="75" t="s">
        <v>1076</v>
      </c>
      <c r="E209" s="48" t="s">
        <v>939</v>
      </c>
      <c r="F209" s="58"/>
      <c r="G209" s="59"/>
      <c r="H209" s="60"/>
      <c r="I209" s="61"/>
      <c r="J209" s="58"/>
      <c r="K209" s="59"/>
      <c r="L209" s="49"/>
      <c r="M209" s="50"/>
      <c r="N209" s="49"/>
      <c r="O209" s="50"/>
      <c r="P209" s="49"/>
      <c r="Q209" s="53"/>
      <c r="R209" s="49"/>
      <c r="S209" s="53"/>
      <c r="T209" s="49"/>
      <c r="U209" s="53"/>
      <c r="V209" s="49">
        <v>36</v>
      </c>
      <c r="W209" s="53">
        <v>31680</v>
      </c>
      <c r="X209" s="53"/>
      <c r="Y209" s="53"/>
      <c r="Z209" s="53"/>
      <c r="AA209" s="53"/>
      <c r="AB209" s="53">
        <v>101</v>
      </c>
      <c r="AC209" s="53">
        <v>88880</v>
      </c>
      <c r="AD209" s="63">
        <f t="shared" si="6"/>
        <v>137</v>
      </c>
      <c r="AE209" s="55">
        <f t="shared" si="7"/>
        <v>120560</v>
      </c>
      <c r="AG209" s="57" t="s">
        <v>664</v>
      </c>
    </row>
    <row r="210" spans="1:33" hidden="1">
      <c r="A210" s="47">
        <v>208</v>
      </c>
      <c r="B210" s="56">
        <v>4971710584684</v>
      </c>
      <c r="C210" s="57" t="s">
        <v>787</v>
      </c>
      <c r="D210" s="75" t="s">
        <v>1078</v>
      </c>
      <c r="E210" s="48" t="s">
        <v>1000</v>
      </c>
      <c r="F210" s="58"/>
      <c r="G210" s="59"/>
      <c r="H210" s="60"/>
      <c r="I210" s="61"/>
      <c r="J210" s="58"/>
      <c r="K210" s="59"/>
      <c r="L210" s="49">
        <v>36</v>
      </c>
      <c r="M210" s="50">
        <v>19800</v>
      </c>
      <c r="N210" s="49"/>
      <c r="O210" s="50"/>
      <c r="P210" s="49"/>
      <c r="Q210" s="53"/>
      <c r="R210" s="49">
        <v>30</v>
      </c>
      <c r="S210" s="53">
        <v>16500</v>
      </c>
      <c r="T210" s="49">
        <v>30</v>
      </c>
      <c r="U210" s="53">
        <v>16500</v>
      </c>
      <c r="V210" s="49"/>
      <c r="W210" s="53"/>
      <c r="X210" s="53"/>
      <c r="Y210" s="53"/>
      <c r="Z210" s="53"/>
      <c r="AA210" s="53"/>
      <c r="AB210" s="53">
        <v>40</v>
      </c>
      <c r="AC210" s="53">
        <v>22000</v>
      </c>
      <c r="AD210" s="62">
        <f t="shared" si="6"/>
        <v>136</v>
      </c>
      <c r="AE210" s="55">
        <f t="shared" si="7"/>
        <v>74800</v>
      </c>
      <c r="AG210" s="57" t="s">
        <v>320</v>
      </c>
    </row>
    <row r="211" spans="1:33" hidden="1">
      <c r="A211" s="47">
        <v>209</v>
      </c>
      <c r="B211" s="56">
        <v>4971710589580</v>
      </c>
      <c r="C211" s="57" t="s">
        <v>722</v>
      </c>
      <c r="D211" s="75" t="s">
        <v>884</v>
      </c>
      <c r="E211" s="48" t="s">
        <v>723</v>
      </c>
      <c r="F211" s="58">
        <v>10</v>
      </c>
      <c r="G211" s="59">
        <v>6050</v>
      </c>
      <c r="H211" s="60">
        <v>4</v>
      </c>
      <c r="I211" s="61">
        <v>1210</v>
      </c>
      <c r="J211" s="58"/>
      <c r="K211" s="59"/>
      <c r="L211" s="49">
        <v>42</v>
      </c>
      <c r="M211" s="50">
        <v>25410</v>
      </c>
      <c r="N211" s="49"/>
      <c r="O211" s="50"/>
      <c r="P211" s="49">
        <v>6</v>
      </c>
      <c r="Q211" s="53">
        <v>3630</v>
      </c>
      <c r="R211" s="49"/>
      <c r="S211" s="53"/>
      <c r="T211" s="49"/>
      <c r="U211" s="53"/>
      <c r="V211" s="49">
        <v>75</v>
      </c>
      <c r="W211" s="53">
        <v>45375</v>
      </c>
      <c r="X211" s="53"/>
      <c r="Y211" s="53"/>
      <c r="Z211" s="53"/>
      <c r="AA211" s="53"/>
      <c r="AB211" s="53"/>
      <c r="AC211" s="53"/>
      <c r="AD211" s="62">
        <f t="shared" si="6"/>
        <v>137</v>
      </c>
      <c r="AE211" s="55">
        <f t="shared" si="7"/>
        <v>81675</v>
      </c>
      <c r="AG211" s="57" t="s">
        <v>654</v>
      </c>
    </row>
    <row r="212" spans="1:33" hidden="1">
      <c r="A212" s="47">
        <v>210</v>
      </c>
      <c r="B212" s="56">
        <v>4971710511765</v>
      </c>
      <c r="C212" s="57" t="s">
        <v>214</v>
      </c>
      <c r="D212" s="75" t="s">
        <v>884</v>
      </c>
      <c r="E212" s="48" t="s">
        <v>215</v>
      </c>
      <c r="F212" s="58">
        <v>20</v>
      </c>
      <c r="G212" s="59">
        <v>11000</v>
      </c>
      <c r="H212" s="60"/>
      <c r="I212" s="61"/>
      <c r="J212" s="58"/>
      <c r="K212" s="59"/>
      <c r="L212" s="49">
        <v>30</v>
      </c>
      <c r="M212" s="50">
        <v>16500</v>
      </c>
      <c r="N212" s="49">
        <v>30</v>
      </c>
      <c r="O212" s="50">
        <v>16500</v>
      </c>
      <c r="P212" s="49"/>
      <c r="Q212" s="53"/>
      <c r="R212" s="49"/>
      <c r="S212" s="53"/>
      <c r="T212" s="49"/>
      <c r="U212" s="53"/>
      <c r="V212" s="49"/>
      <c r="W212" s="53"/>
      <c r="X212" s="53"/>
      <c r="Y212" s="53"/>
      <c r="Z212" s="53"/>
      <c r="AA212" s="53"/>
      <c r="AB212" s="53">
        <v>50</v>
      </c>
      <c r="AC212" s="53">
        <v>27500</v>
      </c>
      <c r="AD212" s="62">
        <f t="shared" si="6"/>
        <v>130</v>
      </c>
      <c r="AE212" s="55">
        <f t="shared" si="7"/>
        <v>71500</v>
      </c>
      <c r="AG212" s="57" t="s">
        <v>666</v>
      </c>
    </row>
    <row r="213" spans="1:33" hidden="1">
      <c r="A213" s="47">
        <v>211</v>
      </c>
      <c r="B213" s="56">
        <v>4971710578584</v>
      </c>
      <c r="C213" s="57" t="s">
        <v>632</v>
      </c>
      <c r="D213" s="75" t="s">
        <v>1078</v>
      </c>
      <c r="E213" s="48" t="s">
        <v>633</v>
      </c>
      <c r="F213" s="58">
        <v>60</v>
      </c>
      <c r="G213" s="59">
        <v>36300</v>
      </c>
      <c r="H213" s="60">
        <v>4</v>
      </c>
      <c r="I213" s="61">
        <v>1210</v>
      </c>
      <c r="J213" s="58"/>
      <c r="K213" s="59"/>
      <c r="L213" s="49">
        <v>8</v>
      </c>
      <c r="M213" s="50">
        <v>4840</v>
      </c>
      <c r="N213" s="49"/>
      <c r="O213" s="50"/>
      <c r="P213" s="49">
        <v>4</v>
      </c>
      <c r="Q213" s="53">
        <v>2420</v>
      </c>
      <c r="R213" s="49"/>
      <c r="S213" s="53"/>
      <c r="T213" s="49">
        <v>10</v>
      </c>
      <c r="U213" s="53">
        <v>6050</v>
      </c>
      <c r="V213" s="49">
        <v>44</v>
      </c>
      <c r="W213" s="53">
        <v>26620</v>
      </c>
      <c r="X213" s="53"/>
      <c r="Y213" s="53"/>
      <c r="Z213" s="53"/>
      <c r="AA213" s="53"/>
      <c r="AB213" s="53">
        <v>2</v>
      </c>
      <c r="AC213" s="53">
        <v>1210</v>
      </c>
      <c r="AD213" s="62">
        <f t="shared" si="6"/>
        <v>132</v>
      </c>
      <c r="AE213" s="55">
        <f t="shared" si="7"/>
        <v>78650</v>
      </c>
      <c r="AG213" s="57" t="s">
        <v>662</v>
      </c>
    </row>
    <row r="214" spans="1:33" hidden="1">
      <c r="A214" s="47">
        <v>212</v>
      </c>
      <c r="B214" s="56">
        <v>4971710584066</v>
      </c>
      <c r="C214" s="57" t="s">
        <v>702</v>
      </c>
      <c r="D214" s="75" t="s">
        <v>884</v>
      </c>
      <c r="E214" s="48" t="s">
        <v>703</v>
      </c>
      <c r="F214" s="58">
        <v>80</v>
      </c>
      <c r="G214" s="59">
        <v>57200</v>
      </c>
      <c r="H214" s="60">
        <v>12</v>
      </c>
      <c r="I214" s="61">
        <v>4290</v>
      </c>
      <c r="J214" s="58">
        <v>20</v>
      </c>
      <c r="K214" s="59">
        <v>14300</v>
      </c>
      <c r="L214" s="49"/>
      <c r="M214" s="50"/>
      <c r="N214" s="49">
        <v>2</v>
      </c>
      <c r="O214" s="50">
        <v>1430</v>
      </c>
      <c r="P214" s="49"/>
      <c r="Q214" s="53"/>
      <c r="R214" s="49"/>
      <c r="S214" s="53"/>
      <c r="T214" s="49"/>
      <c r="U214" s="53"/>
      <c r="V214" s="49">
        <v>3</v>
      </c>
      <c r="W214" s="53">
        <v>2145</v>
      </c>
      <c r="X214" s="53"/>
      <c r="Y214" s="53"/>
      <c r="Z214" s="53"/>
      <c r="AA214" s="53"/>
      <c r="AB214" s="53">
        <v>16</v>
      </c>
      <c r="AC214" s="53">
        <v>11440</v>
      </c>
      <c r="AD214" s="62">
        <f t="shared" si="6"/>
        <v>133</v>
      </c>
      <c r="AE214" s="55">
        <f t="shared" si="7"/>
        <v>90805</v>
      </c>
      <c r="AG214" s="57" t="s">
        <v>670</v>
      </c>
    </row>
    <row r="215" spans="1:33" hidden="1">
      <c r="A215" s="47">
        <v>213</v>
      </c>
      <c r="B215" s="56">
        <v>4971710588125</v>
      </c>
      <c r="C215" s="57" t="s">
        <v>716</v>
      </c>
      <c r="D215" s="75" t="s">
        <v>884</v>
      </c>
      <c r="E215" s="48" t="s">
        <v>717</v>
      </c>
      <c r="F215" s="58">
        <v>15</v>
      </c>
      <c r="G215" s="59">
        <v>10725</v>
      </c>
      <c r="H215" s="60">
        <v>12</v>
      </c>
      <c r="I215" s="61">
        <v>4290</v>
      </c>
      <c r="J215" s="58">
        <v>66</v>
      </c>
      <c r="K215" s="59">
        <v>47190</v>
      </c>
      <c r="L215" s="49">
        <v>36</v>
      </c>
      <c r="M215" s="50">
        <v>25740</v>
      </c>
      <c r="N215" s="49"/>
      <c r="O215" s="50"/>
      <c r="P215" s="49"/>
      <c r="Q215" s="53"/>
      <c r="R215" s="49">
        <v>2</v>
      </c>
      <c r="S215" s="53">
        <v>1430</v>
      </c>
      <c r="T215" s="49"/>
      <c r="U215" s="53"/>
      <c r="V215" s="49">
        <v>2</v>
      </c>
      <c r="W215" s="53">
        <v>1430</v>
      </c>
      <c r="X215" s="53"/>
      <c r="Y215" s="53"/>
      <c r="Z215" s="53"/>
      <c r="AA215" s="53"/>
      <c r="AB215" s="53"/>
      <c r="AC215" s="53"/>
      <c r="AD215" s="62">
        <f t="shared" si="6"/>
        <v>133</v>
      </c>
      <c r="AE215" s="55">
        <f t="shared" si="7"/>
        <v>90805</v>
      </c>
      <c r="AG215" s="57" t="s">
        <v>366</v>
      </c>
    </row>
    <row r="216" spans="1:33" hidden="1">
      <c r="A216" s="47">
        <v>214</v>
      </c>
      <c r="B216" s="56">
        <v>4971710514131</v>
      </c>
      <c r="C216" s="57" t="s">
        <v>294</v>
      </c>
      <c r="D216" s="75" t="s">
        <v>1078</v>
      </c>
      <c r="E216" s="48" t="s">
        <v>295</v>
      </c>
      <c r="F216" s="58">
        <v>120</v>
      </c>
      <c r="G216" s="59">
        <v>59400</v>
      </c>
      <c r="H216" s="60"/>
      <c r="I216" s="61"/>
      <c r="J216" s="58"/>
      <c r="K216" s="59"/>
      <c r="L216" s="49">
        <v>6</v>
      </c>
      <c r="M216" s="50">
        <v>2970</v>
      </c>
      <c r="N216" s="49"/>
      <c r="O216" s="50"/>
      <c r="P216" s="49"/>
      <c r="Q216" s="53"/>
      <c r="R216" s="49"/>
      <c r="S216" s="53"/>
      <c r="T216" s="49"/>
      <c r="U216" s="53"/>
      <c r="V216" s="49"/>
      <c r="W216" s="53"/>
      <c r="X216" s="53"/>
      <c r="Y216" s="53"/>
      <c r="Z216" s="53"/>
      <c r="AA216" s="53"/>
      <c r="AB216" s="53"/>
      <c r="AC216" s="53"/>
      <c r="AD216" s="62">
        <f t="shared" si="6"/>
        <v>126</v>
      </c>
      <c r="AE216" s="55">
        <f t="shared" si="7"/>
        <v>62370</v>
      </c>
      <c r="AG216" s="57" t="s">
        <v>513</v>
      </c>
    </row>
    <row r="217" spans="1:33" hidden="1">
      <c r="A217" s="47">
        <v>215</v>
      </c>
      <c r="B217" s="56">
        <v>4971710513844</v>
      </c>
      <c r="C217" s="57" t="s">
        <v>288</v>
      </c>
      <c r="D217" s="75" t="s">
        <v>1078</v>
      </c>
      <c r="E217" s="48" t="s">
        <v>289</v>
      </c>
      <c r="F217" s="58">
        <v>30</v>
      </c>
      <c r="G217" s="59">
        <v>19800</v>
      </c>
      <c r="H217" s="60">
        <v>33</v>
      </c>
      <c r="I217" s="61">
        <v>21780</v>
      </c>
      <c r="J217" s="58"/>
      <c r="K217" s="59"/>
      <c r="L217" s="49"/>
      <c r="M217" s="50"/>
      <c r="N217" s="49"/>
      <c r="O217" s="50"/>
      <c r="P217" s="49"/>
      <c r="Q217" s="53"/>
      <c r="R217" s="49">
        <v>30</v>
      </c>
      <c r="S217" s="53">
        <v>19800</v>
      </c>
      <c r="T217" s="49">
        <v>30</v>
      </c>
      <c r="U217" s="53">
        <v>19800</v>
      </c>
      <c r="V217" s="49"/>
      <c r="W217" s="53"/>
      <c r="X217" s="53"/>
      <c r="Y217" s="53"/>
      <c r="Z217" s="53"/>
      <c r="AA217" s="53"/>
      <c r="AB217" s="53"/>
      <c r="AC217" s="53"/>
      <c r="AD217" s="62">
        <f t="shared" si="6"/>
        <v>123</v>
      </c>
      <c r="AE217" s="55">
        <f t="shared" si="7"/>
        <v>81180</v>
      </c>
      <c r="AG217" s="57" t="s">
        <v>606</v>
      </c>
    </row>
    <row r="218" spans="1:33" hidden="1">
      <c r="A218" s="47">
        <v>216</v>
      </c>
      <c r="B218" s="56">
        <v>4971710579307</v>
      </c>
      <c r="C218" s="57" t="s">
        <v>650</v>
      </c>
      <c r="D218" s="75" t="s">
        <v>884</v>
      </c>
      <c r="E218" s="48" t="s">
        <v>651</v>
      </c>
      <c r="F218" s="58">
        <v>14</v>
      </c>
      <c r="G218" s="59">
        <v>10780</v>
      </c>
      <c r="H218" s="60">
        <v>104</v>
      </c>
      <c r="I218" s="61">
        <v>40040</v>
      </c>
      <c r="J218" s="58">
        <v>6</v>
      </c>
      <c r="K218" s="59">
        <v>4620</v>
      </c>
      <c r="L218" s="49"/>
      <c r="M218" s="50"/>
      <c r="N218" s="49">
        <v>50</v>
      </c>
      <c r="O218" s="50">
        <v>38500</v>
      </c>
      <c r="P218" s="49"/>
      <c r="Q218" s="53"/>
      <c r="R218" s="49"/>
      <c r="S218" s="53"/>
      <c r="T218" s="49"/>
      <c r="U218" s="53"/>
      <c r="V218" s="49"/>
      <c r="W218" s="53"/>
      <c r="X218" s="53"/>
      <c r="Y218" s="53"/>
      <c r="Z218" s="53"/>
      <c r="AA218" s="53"/>
      <c r="AB218" s="53"/>
      <c r="AC218" s="53"/>
      <c r="AD218" s="62">
        <f t="shared" si="6"/>
        <v>174</v>
      </c>
      <c r="AE218" s="55">
        <f t="shared" si="7"/>
        <v>93940</v>
      </c>
      <c r="AG218" s="57" t="s">
        <v>282</v>
      </c>
    </row>
    <row r="219" spans="1:33" hidden="1">
      <c r="A219" s="47">
        <v>217</v>
      </c>
      <c r="B219" s="56">
        <v>4971710589573</v>
      </c>
      <c r="C219" s="57" t="s">
        <v>720</v>
      </c>
      <c r="D219" s="75" t="s">
        <v>884</v>
      </c>
      <c r="E219" s="48" t="s">
        <v>721</v>
      </c>
      <c r="F219" s="58">
        <v>10</v>
      </c>
      <c r="G219" s="59">
        <v>6050</v>
      </c>
      <c r="H219" s="60">
        <v>4</v>
      </c>
      <c r="I219" s="61">
        <v>1210</v>
      </c>
      <c r="J219" s="58"/>
      <c r="K219" s="59"/>
      <c r="L219" s="49">
        <v>32</v>
      </c>
      <c r="M219" s="50">
        <v>19360</v>
      </c>
      <c r="N219" s="49"/>
      <c r="O219" s="50"/>
      <c r="P219" s="49">
        <v>2</v>
      </c>
      <c r="Q219" s="53">
        <v>1210</v>
      </c>
      <c r="R219" s="49"/>
      <c r="S219" s="53"/>
      <c r="T219" s="49"/>
      <c r="U219" s="53"/>
      <c r="V219" s="49">
        <v>75</v>
      </c>
      <c r="W219" s="53">
        <v>45375</v>
      </c>
      <c r="X219" s="53"/>
      <c r="Y219" s="53"/>
      <c r="Z219" s="53"/>
      <c r="AA219" s="53"/>
      <c r="AB219" s="53"/>
      <c r="AC219" s="53"/>
      <c r="AD219" s="62">
        <f t="shared" si="6"/>
        <v>123</v>
      </c>
      <c r="AE219" s="55">
        <f t="shared" si="7"/>
        <v>73205</v>
      </c>
      <c r="AG219" s="57" t="s">
        <v>214</v>
      </c>
    </row>
    <row r="220" spans="1:33" hidden="1">
      <c r="A220" s="47">
        <v>218</v>
      </c>
      <c r="B220" s="56">
        <v>4971710513820</v>
      </c>
      <c r="C220" s="57" t="s">
        <v>284</v>
      </c>
      <c r="D220" s="75" t="s">
        <v>1078</v>
      </c>
      <c r="E220" s="48" t="s">
        <v>285</v>
      </c>
      <c r="F220" s="58">
        <v>60</v>
      </c>
      <c r="G220" s="59">
        <v>39600</v>
      </c>
      <c r="H220" s="60"/>
      <c r="I220" s="61"/>
      <c r="J220" s="58"/>
      <c r="K220" s="59"/>
      <c r="L220" s="49"/>
      <c r="M220" s="50"/>
      <c r="N220" s="49"/>
      <c r="O220" s="50"/>
      <c r="P220" s="49"/>
      <c r="Q220" s="53"/>
      <c r="R220" s="49">
        <v>30</v>
      </c>
      <c r="S220" s="53">
        <v>19800</v>
      </c>
      <c r="T220" s="49">
        <v>30</v>
      </c>
      <c r="U220" s="53">
        <v>19800</v>
      </c>
      <c r="V220" s="49"/>
      <c r="W220" s="53"/>
      <c r="X220" s="53"/>
      <c r="Y220" s="53"/>
      <c r="Z220" s="53"/>
      <c r="AA220" s="53"/>
      <c r="AB220" s="53"/>
      <c r="AC220" s="53"/>
      <c r="AD220" s="62">
        <f t="shared" si="6"/>
        <v>120</v>
      </c>
      <c r="AE220" s="55">
        <f t="shared" si="7"/>
        <v>79200</v>
      </c>
      <c r="AG220" s="57" t="s">
        <v>823</v>
      </c>
    </row>
    <row r="221" spans="1:33" hidden="1">
      <c r="A221" s="47">
        <v>219</v>
      </c>
      <c r="B221" s="56">
        <v>4971710496437</v>
      </c>
      <c r="C221" s="57" t="s">
        <v>166</v>
      </c>
      <c r="D221" s="75" t="s">
        <v>884</v>
      </c>
      <c r="E221" s="48" t="s">
        <v>167</v>
      </c>
      <c r="F221" s="58">
        <v>10</v>
      </c>
      <c r="G221" s="59">
        <v>8250</v>
      </c>
      <c r="H221" s="60"/>
      <c r="I221" s="61"/>
      <c r="J221" s="58"/>
      <c r="K221" s="59"/>
      <c r="L221" s="49">
        <v>10</v>
      </c>
      <c r="M221" s="50">
        <v>8250</v>
      </c>
      <c r="N221" s="49"/>
      <c r="O221" s="50"/>
      <c r="P221" s="49">
        <v>30</v>
      </c>
      <c r="Q221" s="53">
        <v>24750</v>
      </c>
      <c r="R221" s="49">
        <v>3</v>
      </c>
      <c r="S221" s="53">
        <v>2475</v>
      </c>
      <c r="T221" s="49">
        <v>10</v>
      </c>
      <c r="U221" s="53">
        <v>8250</v>
      </c>
      <c r="V221" s="49">
        <v>23</v>
      </c>
      <c r="W221" s="53">
        <v>18975</v>
      </c>
      <c r="X221" s="53"/>
      <c r="Y221" s="53"/>
      <c r="Z221" s="53"/>
      <c r="AA221" s="53"/>
      <c r="AB221" s="53">
        <v>30</v>
      </c>
      <c r="AC221" s="53">
        <v>24750</v>
      </c>
      <c r="AD221" s="62">
        <f t="shared" si="6"/>
        <v>116</v>
      </c>
      <c r="AE221" s="55">
        <f t="shared" si="7"/>
        <v>95700</v>
      </c>
      <c r="AG221" s="57" t="s">
        <v>632</v>
      </c>
    </row>
    <row r="222" spans="1:33" hidden="1">
      <c r="A222" s="47">
        <v>220</v>
      </c>
      <c r="B222" s="56">
        <v>4971710512250</v>
      </c>
      <c r="C222" s="57" t="s">
        <v>246</v>
      </c>
      <c r="D222" s="75" t="s">
        <v>884</v>
      </c>
      <c r="E222" s="48" t="s">
        <v>247</v>
      </c>
      <c r="F222" s="58"/>
      <c r="G222" s="59"/>
      <c r="H222" s="60">
        <v>4</v>
      </c>
      <c r="I222" s="61">
        <v>880</v>
      </c>
      <c r="J222" s="58">
        <v>12</v>
      </c>
      <c r="K222" s="59">
        <v>5280</v>
      </c>
      <c r="L222" s="49">
        <v>6</v>
      </c>
      <c r="M222" s="50">
        <v>2640</v>
      </c>
      <c r="N222" s="49">
        <v>34</v>
      </c>
      <c r="O222" s="50">
        <v>14960</v>
      </c>
      <c r="P222" s="49"/>
      <c r="Q222" s="53"/>
      <c r="R222" s="49"/>
      <c r="S222" s="53"/>
      <c r="T222" s="49"/>
      <c r="U222" s="53"/>
      <c r="V222" s="49">
        <v>30</v>
      </c>
      <c r="W222" s="53">
        <v>13200</v>
      </c>
      <c r="X222" s="53"/>
      <c r="Y222" s="53"/>
      <c r="Z222" s="53"/>
      <c r="AA222" s="53"/>
      <c r="AB222" s="53">
        <v>30</v>
      </c>
      <c r="AC222" s="53">
        <v>13200</v>
      </c>
      <c r="AD222" s="62">
        <f t="shared" si="6"/>
        <v>116</v>
      </c>
      <c r="AE222" s="55">
        <f t="shared" si="7"/>
        <v>50160</v>
      </c>
      <c r="AG222" s="57" t="s">
        <v>430</v>
      </c>
    </row>
    <row r="223" spans="1:33" hidden="1">
      <c r="A223" s="47">
        <v>221</v>
      </c>
      <c r="B223" s="56">
        <v>4971710541199</v>
      </c>
      <c r="C223" s="57" t="s">
        <v>430</v>
      </c>
      <c r="D223" s="75" t="s">
        <v>884</v>
      </c>
      <c r="E223" s="48" t="s">
        <v>431</v>
      </c>
      <c r="F223" s="58"/>
      <c r="G223" s="59"/>
      <c r="H223" s="60">
        <v>20</v>
      </c>
      <c r="I223" s="61">
        <v>6600</v>
      </c>
      <c r="J223" s="58"/>
      <c r="K223" s="59"/>
      <c r="L223" s="49">
        <v>20</v>
      </c>
      <c r="M223" s="50">
        <v>13200</v>
      </c>
      <c r="N223" s="49"/>
      <c r="O223" s="50"/>
      <c r="P223" s="49">
        <v>4</v>
      </c>
      <c r="Q223" s="53">
        <v>2640</v>
      </c>
      <c r="R223" s="49">
        <v>20</v>
      </c>
      <c r="S223" s="53">
        <v>13200</v>
      </c>
      <c r="T223" s="49">
        <v>30</v>
      </c>
      <c r="U223" s="53">
        <v>19800</v>
      </c>
      <c r="V223" s="49"/>
      <c r="W223" s="53"/>
      <c r="X223" s="53"/>
      <c r="Y223" s="53"/>
      <c r="Z223" s="53"/>
      <c r="AA223" s="53"/>
      <c r="AB223" s="53">
        <v>15</v>
      </c>
      <c r="AC223" s="53">
        <v>9900</v>
      </c>
      <c r="AD223" s="62">
        <f t="shared" si="6"/>
        <v>109</v>
      </c>
      <c r="AE223" s="55">
        <f t="shared" si="7"/>
        <v>65340</v>
      </c>
      <c r="AG223" s="57" t="s">
        <v>402</v>
      </c>
    </row>
    <row r="224" spans="1:33" hidden="1">
      <c r="A224" s="47">
        <v>222</v>
      </c>
      <c r="B224" s="56">
        <v>4971710579802</v>
      </c>
      <c r="C224" s="57" t="s">
        <v>656</v>
      </c>
      <c r="D224" s="75" t="s">
        <v>884</v>
      </c>
      <c r="E224" s="48" t="s">
        <v>657</v>
      </c>
      <c r="F224" s="58">
        <v>30</v>
      </c>
      <c r="G224" s="59">
        <v>19800</v>
      </c>
      <c r="H224" s="60"/>
      <c r="I224" s="61"/>
      <c r="J224" s="58"/>
      <c r="K224" s="59"/>
      <c r="L224" s="49">
        <v>30</v>
      </c>
      <c r="M224" s="50">
        <v>19800</v>
      </c>
      <c r="N224" s="49"/>
      <c r="O224" s="50"/>
      <c r="P224" s="49"/>
      <c r="Q224" s="53"/>
      <c r="R224" s="49"/>
      <c r="S224" s="53"/>
      <c r="T224" s="49">
        <v>10</v>
      </c>
      <c r="U224" s="53">
        <v>6600</v>
      </c>
      <c r="V224" s="49">
        <v>30</v>
      </c>
      <c r="W224" s="53">
        <v>19800</v>
      </c>
      <c r="X224" s="53"/>
      <c r="Y224" s="53"/>
      <c r="Z224" s="53"/>
      <c r="AA224" s="53"/>
      <c r="AB224" s="53">
        <v>10</v>
      </c>
      <c r="AC224" s="53">
        <v>6600</v>
      </c>
      <c r="AD224" s="62">
        <f t="shared" si="6"/>
        <v>110</v>
      </c>
      <c r="AE224" s="55">
        <f t="shared" si="7"/>
        <v>72600</v>
      </c>
      <c r="AG224" s="57" t="s">
        <v>200</v>
      </c>
    </row>
    <row r="225" spans="1:33" hidden="1">
      <c r="A225" s="47">
        <v>223</v>
      </c>
      <c r="B225" s="56">
        <v>4971710541151</v>
      </c>
      <c r="C225" s="57" t="s">
        <v>422</v>
      </c>
      <c r="D225" s="75" t="s">
        <v>884</v>
      </c>
      <c r="E225" s="48" t="s">
        <v>423</v>
      </c>
      <c r="F225" s="58">
        <v>50</v>
      </c>
      <c r="G225" s="59">
        <v>33000</v>
      </c>
      <c r="H225" s="60">
        <v>8</v>
      </c>
      <c r="I225" s="61">
        <v>2640</v>
      </c>
      <c r="J225" s="58"/>
      <c r="K225" s="59"/>
      <c r="L225" s="49"/>
      <c r="M225" s="50"/>
      <c r="N225" s="49"/>
      <c r="O225" s="50"/>
      <c r="P225" s="49"/>
      <c r="Q225" s="53"/>
      <c r="R225" s="49">
        <v>20</v>
      </c>
      <c r="S225" s="53">
        <v>13200</v>
      </c>
      <c r="T225" s="49">
        <v>30</v>
      </c>
      <c r="U225" s="53">
        <v>19800</v>
      </c>
      <c r="V225" s="49"/>
      <c r="W225" s="53"/>
      <c r="X225" s="53"/>
      <c r="Y225" s="53"/>
      <c r="Z225" s="53"/>
      <c r="AA225" s="53"/>
      <c r="AB225" s="53"/>
      <c r="AC225" s="53"/>
      <c r="AD225" s="62">
        <f t="shared" si="6"/>
        <v>108</v>
      </c>
      <c r="AE225" s="55">
        <f t="shared" si="7"/>
        <v>68640</v>
      </c>
      <c r="AG225" s="57" t="s">
        <v>658</v>
      </c>
    </row>
    <row r="226" spans="1:33" hidden="1">
      <c r="A226" s="47">
        <v>224</v>
      </c>
      <c r="B226" s="56">
        <v>4971710521498</v>
      </c>
      <c r="C226" s="57" t="s">
        <v>362</v>
      </c>
      <c r="D226" s="75" t="s">
        <v>884</v>
      </c>
      <c r="E226" s="48" t="s">
        <v>363</v>
      </c>
      <c r="F226" s="58"/>
      <c r="G226" s="59"/>
      <c r="H226" s="60">
        <v>4</v>
      </c>
      <c r="I226" s="61">
        <v>1430</v>
      </c>
      <c r="J226" s="58"/>
      <c r="K226" s="59"/>
      <c r="L226" s="49">
        <v>4</v>
      </c>
      <c r="M226" s="50">
        <v>2860</v>
      </c>
      <c r="N226" s="49">
        <v>2</v>
      </c>
      <c r="O226" s="50">
        <v>1430</v>
      </c>
      <c r="P226" s="49">
        <v>30</v>
      </c>
      <c r="Q226" s="53">
        <v>21450</v>
      </c>
      <c r="R226" s="49">
        <v>22</v>
      </c>
      <c r="S226" s="53">
        <v>15730</v>
      </c>
      <c r="T226" s="49">
        <v>20</v>
      </c>
      <c r="U226" s="53">
        <v>14300</v>
      </c>
      <c r="V226" s="49">
        <v>2</v>
      </c>
      <c r="W226" s="53">
        <v>1430</v>
      </c>
      <c r="X226" s="53"/>
      <c r="Y226" s="53"/>
      <c r="Z226" s="53"/>
      <c r="AA226" s="53"/>
      <c r="AB226" s="53">
        <v>20</v>
      </c>
      <c r="AC226" s="53">
        <v>14300</v>
      </c>
      <c r="AD226" s="62">
        <f t="shared" si="6"/>
        <v>104</v>
      </c>
      <c r="AE226" s="55">
        <f t="shared" si="7"/>
        <v>72930</v>
      </c>
      <c r="AG226" s="57" t="s">
        <v>350</v>
      </c>
    </row>
    <row r="227" spans="1:33" hidden="1">
      <c r="A227" s="47">
        <v>225</v>
      </c>
      <c r="B227" s="56">
        <v>4971710578454</v>
      </c>
      <c r="C227" s="57" t="s">
        <v>624</v>
      </c>
      <c r="D227" s="75" t="s">
        <v>884</v>
      </c>
      <c r="E227" s="48" t="s">
        <v>625</v>
      </c>
      <c r="F227" s="58">
        <v>30</v>
      </c>
      <c r="G227" s="59">
        <v>19800</v>
      </c>
      <c r="H227" s="60"/>
      <c r="I227" s="61"/>
      <c r="J227" s="58"/>
      <c r="K227" s="59"/>
      <c r="L227" s="49">
        <v>30</v>
      </c>
      <c r="M227" s="50">
        <v>19800</v>
      </c>
      <c r="N227" s="49"/>
      <c r="O227" s="50"/>
      <c r="P227" s="49"/>
      <c r="Q227" s="53"/>
      <c r="R227" s="49"/>
      <c r="S227" s="53"/>
      <c r="T227" s="49">
        <v>10</v>
      </c>
      <c r="U227" s="53">
        <v>6600</v>
      </c>
      <c r="V227" s="49"/>
      <c r="W227" s="53"/>
      <c r="X227" s="53"/>
      <c r="Y227" s="53"/>
      <c r="Z227" s="53"/>
      <c r="AA227" s="53"/>
      <c r="AB227" s="53">
        <v>30</v>
      </c>
      <c r="AC227" s="53">
        <v>19800</v>
      </c>
      <c r="AD227" s="62">
        <f t="shared" si="6"/>
        <v>100</v>
      </c>
      <c r="AE227" s="55">
        <f t="shared" si="7"/>
        <v>66000</v>
      </c>
      <c r="AG227" s="57" t="s">
        <v>805</v>
      </c>
    </row>
    <row r="228" spans="1:33" hidden="1">
      <c r="A228" s="47">
        <v>226</v>
      </c>
      <c r="B228" s="56">
        <v>4971710521528</v>
      </c>
      <c r="C228" s="57" t="s">
        <v>368</v>
      </c>
      <c r="D228" s="75" t="s">
        <v>884</v>
      </c>
      <c r="E228" s="48" t="s">
        <v>369</v>
      </c>
      <c r="F228" s="58"/>
      <c r="G228" s="59"/>
      <c r="H228" s="60">
        <v>8</v>
      </c>
      <c r="I228" s="61">
        <v>2860</v>
      </c>
      <c r="J228" s="58">
        <v>4</v>
      </c>
      <c r="K228" s="59">
        <v>2860</v>
      </c>
      <c r="L228" s="49">
        <v>24</v>
      </c>
      <c r="M228" s="50">
        <v>17160</v>
      </c>
      <c r="N228" s="49"/>
      <c r="O228" s="50"/>
      <c r="P228" s="49">
        <v>8</v>
      </c>
      <c r="Q228" s="53">
        <v>5720</v>
      </c>
      <c r="R228" s="49"/>
      <c r="S228" s="53"/>
      <c r="T228" s="49">
        <v>30</v>
      </c>
      <c r="U228" s="53">
        <v>21450</v>
      </c>
      <c r="V228" s="49">
        <v>4</v>
      </c>
      <c r="W228" s="53">
        <v>2860</v>
      </c>
      <c r="X228" s="53"/>
      <c r="Y228" s="53"/>
      <c r="Z228" s="53"/>
      <c r="AA228" s="53"/>
      <c r="AB228" s="53">
        <v>24</v>
      </c>
      <c r="AC228" s="53">
        <v>17160</v>
      </c>
      <c r="AD228" s="62">
        <f t="shared" si="6"/>
        <v>102</v>
      </c>
      <c r="AE228" s="55">
        <f t="shared" si="7"/>
        <v>70070</v>
      </c>
      <c r="AG228" s="57" t="s">
        <v>248</v>
      </c>
    </row>
    <row r="229" spans="1:33" hidden="1">
      <c r="A229" s="47">
        <v>227</v>
      </c>
      <c r="B229" s="56">
        <v>4971710512236</v>
      </c>
      <c r="C229" s="57" t="s">
        <v>242</v>
      </c>
      <c r="D229" s="75" t="s">
        <v>884</v>
      </c>
      <c r="E229" s="48" t="s">
        <v>243</v>
      </c>
      <c r="F229" s="58"/>
      <c r="G229" s="59"/>
      <c r="H229" s="60">
        <v>12</v>
      </c>
      <c r="I229" s="61">
        <v>2640</v>
      </c>
      <c r="J229" s="58"/>
      <c r="K229" s="59"/>
      <c r="L229" s="49">
        <v>36</v>
      </c>
      <c r="M229" s="50">
        <v>15840</v>
      </c>
      <c r="N229" s="49">
        <v>6</v>
      </c>
      <c r="O229" s="50">
        <v>2640</v>
      </c>
      <c r="P229" s="49"/>
      <c r="Q229" s="53"/>
      <c r="R229" s="49">
        <v>30</v>
      </c>
      <c r="S229" s="53">
        <v>13200</v>
      </c>
      <c r="T229" s="49">
        <v>20</v>
      </c>
      <c r="U229" s="53">
        <v>8800</v>
      </c>
      <c r="V229" s="49"/>
      <c r="W229" s="53"/>
      <c r="X229" s="53"/>
      <c r="Y229" s="53"/>
      <c r="Z229" s="53"/>
      <c r="AA229" s="53"/>
      <c r="AB229" s="53"/>
      <c r="AC229" s="53"/>
      <c r="AD229" s="62">
        <f t="shared" si="6"/>
        <v>104</v>
      </c>
      <c r="AE229" s="55">
        <f t="shared" si="7"/>
        <v>43120</v>
      </c>
      <c r="AG229" s="57" t="s">
        <v>336</v>
      </c>
    </row>
    <row r="230" spans="1:33" hidden="1">
      <c r="A230" s="47">
        <v>228</v>
      </c>
      <c r="B230" s="56">
        <v>4971710515794</v>
      </c>
      <c r="C230" s="57" t="s">
        <v>312</v>
      </c>
      <c r="D230" s="75" t="s">
        <v>884</v>
      </c>
      <c r="E230" s="48" t="s">
        <v>313</v>
      </c>
      <c r="F230" s="58"/>
      <c r="G230" s="59"/>
      <c r="H230" s="60">
        <v>4</v>
      </c>
      <c r="I230" s="61">
        <v>1044</v>
      </c>
      <c r="J230" s="58">
        <v>4</v>
      </c>
      <c r="K230" s="59">
        <v>2088</v>
      </c>
      <c r="L230" s="49">
        <v>4</v>
      </c>
      <c r="M230" s="50">
        <v>2088</v>
      </c>
      <c r="N230" s="49"/>
      <c r="O230" s="50"/>
      <c r="P230" s="49"/>
      <c r="Q230" s="53"/>
      <c r="R230" s="49">
        <v>32</v>
      </c>
      <c r="S230" s="53">
        <v>16704</v>
      </c>
      <c r="T230" s="49">
        <v>50</v>
      </c>
      <c r="U230" s="53">
        <v>26100</v>
      </c>
      <c r="V230" s="49">
        <v>4</v>
      </c>
      <c r="W230" s="53">
        <v>2088</v>
      </c>
      <c r="X230" s="53"/>
      <c r="Y230" s="53"/>
      <c r="Z230" s="53"/>
      <c r="AA230" s="53"/>
      <c r="AB230" s="53"/>
      <c r="AC230" s="53"/>
      <c r="AD230" s="62">
        <f t="shared" si="6"/>
        <v>98</v>
      </c>
      <c r="AE230" s="55">
        <f t="shared" si="7"/>
        <v>50112</v>
      </c>
      <c r="AG230" s="57" t="s">
        <v>246</v>
      </c>
    </row>
    <row r="231" spans="1:33" hidden="1">
      <c r="A231" s="47">
        <v>229</v>
      </c>
      <c r="B231" s="56">
        <v>4971710494877</v>
      </c>
      <c r="C231" s="57" t="s">
        <v>128</v>
      </c>
      <c r="D231" s="75" t="s">
        <v>884</v>
      </c>
      <c r="E231" s="48" t="s">
        <v>129</v>
      </c>
      <c r="F231" s="58">
        <v>20</v>
      </c>
      <c r="G231" s="59">
        <v>12100</v>
      </c>
      <c r="H231" s="60">
        <v>60</v>
      </c>
      <c r="I231" s="61">
        <v>18150</v>
      </c>
      <c r="J231" s="58"/>
      <c r="K231" s="59"/>
      <c r="L231" s="49">
        <v>26</v>
      </c>
      <c r="M231" s="50">
        <v>15730</v>
      </c>
      <c r="N231" s="49">
        <v>20</v>
      </c>
      <c r="O231" s="50">
        <v>12100</v>
      </c>
      <c r="P231" s="49"/>
      <c r="Q231" s="53"/>
      <c r="R231" s="49"/>
      <c r="S231" s="53"/>
      <c r="T231" s="49"/>
      <c r="U231" s="53"/>
      <c r="V231" s="49"/>
      <c r="W231" s="53"/>
      <c r="X231" s="53"/>
      <c r="Y231" s="53"/>
      <c r="Z231" s="53"/>
      <c r="AA231" s="53"/>
      <c r="AB231" s="53"/>
      <c r="AC231" s="53"/>
      <c r="AD231" s="62">
        <f t="shared" si="6"/>
        <v>126</v>
      </c>
      <c r="AE231" s="55">
        <f t="shared" si="7"/>
        <v>58080</v>
      </c>
      <c r="AG231" s="57" t="s">
        <v>312</v>
      </c>
    </row>
    <row r="232" spans="1:33" hidden="1">
      <c r="A232" s="47">
        <v>230</v>
      </c>
      <c r="B232" s="56">
        <v>4971710571783</v>
      </c>
      <c r="C232" s="57" t="s">
        <v>553</v>
      </c>
      <c r="D232" s="75" t="s">
        <v>884</v>
      </c>
      <c r="E232" s="48" t="s">
        <v>554</v>
      </c>
      <c r="F232" s="58">
        <v>15</v>
      </c>
      <c r="G232" s="59">
        <v>9900</v>
      </c>
      <c r="H232" s="60">
        <v>16</v>
      </c>
      <c r="I232" s="61">
        <v>5280</v>
      </c>
      <c r="J232" s="58"/>
      <c r="K232" s="59"/>
      <c r="L232" s="49">
        <v>16</v>
      </c>
      <c r="M232" s="50">
        <v>10560</v>
      </c>
      <c r="N232" s="49">
        <v>30</v>
      </c>
      <c r="O232" s="50">
        <v>19800</v>
      </c>
      <c r="P232" s="49"/>
      <c r="Q232" s="53"/>
      <c r="R232" s="49">
        <v>2</v>
      </c>
      <c r="S232" s="53">
        <v>1320</v>
      </c>
      <c r="T232" s="49"/>
      <c r="U232" s="53"/>
      <c r="V232" s="49">
        <v>2</v>
      </c>
      <c r="W232" s="53">
        <v>1320</v>
      </c>
      <c r="X232" s="53"/>
      <c r="Y232" s="53"/>
      <c r="Z232" s="53"/>
      <c r="AA232" s="53"/>
      <c r="AB232" s="53">
        <v>22</v>
      </c>
      <c r="AC232" s="53">
        <v>14520</v>
      </c>
      <c r="AD232" s="62">
        <f t="shared" si="6"/>
        <v>103</v>
      </c>
      <c r="AE232" s="55">
        <f t="shared" si="7"/>
        <v>62700</v>
      </c>
      <c r="AG232" s="57" t="s">
        <v>276</v>
      </c>
    </row>
    <row r="233" spans="1:33" hidden="1">
      <c r="A233" s="47">
        <v>231</v>
      </c>
      <c r="B233" s="56">
        <v>4971710508857</v>
      </c>
      <c r="C233" s="57" t="s">
        <v>791</v>
      </c>
      <c r="D233" s="75" t="s">
        <v>884</v>
      </c>
      <c r="E233" s="48" t="s">
        <v>1011</v>
      </c>
      <c r="F233" s="58"/>
      <c r="G233" s="59"/>
      <c r="H233" s="60"/>
      <c r="I233" s="61"/>
      <c r="J233" s="58"/>
      <c r="K233" s="59"/>
      <c r="L233" s="49">
        <v>10</v>
      </c>
      <c r="M233" s="50">
        <v>8800</v>
      </c>
      <c r="N233" s="49"/>
      <c r="O233" s="50"/>
      <c r="P233" s="49"/>
      <c r="Q233" s="53"/>
      <c r="R233" s="49">
        <v>15</v>
      </c>
      <c r="S233" s="53">
        <v>13200</v>
      </c>
      <c r="T233" s="49">
        <v>20</v>
      </c>
      <c r="U233" s="53">
        <v>17600</v>
      </c>
      <c r="V233" s="49"/>
      <c r="W233" s="53"/>
      <c r="X233" s="53"/>
      <c r="Y233" s="53"/>
      <c r="Z233" s="53"/>
      <c r="AA233" s="53"/>
      <c r="AB233" s="53">
        <v>45</v>
      </c>
      <c r="AC233" s="53">
        <v>39600</v>
      </c>
      <c r="AD233" s="62">
        <f t="shared" si="6"/>
        <v>90</v>
      </c>
      <c r="AE233" s="55">
        <f t="shared" si="7"/>
        <v>79200</v>
      </c>
      <c r="AG233" s="57" t="s">
        <v>710</v>
      </c>
    </row>
    <row r="234" spans="1:33" hidden="1">
      <c r="A234" s="47">
        <v>232</v>
      </c>
      <c r="B234" s="56">
        <v>4971710512267</v>
      </c>
      <c r="C234" s="57" t="s">
        <v>248</v>
      </c>
      <c r="D234" s="75" t="s">
        <v>884</v>
      </c>
      <c r="E234" s="48" t="s">
        <v>249</v>
      </c>
      <c r="F234" s="58"/>
      <c r="G234" s="59"/>
      <c r="H234" s="60">
        <v>8</v>
      </c>
      <c r="I234" s="61">
        <v>1760</v>
      </c>
      <c r="J234" s="58"/>
      <c r="K234" s="59"/>
      <c r="L234" s="49">
        <v>26</v>
      </c>
      <c r="M234" s="50">
        <v>11440</v>
      </c>
      <c r="N234" s="49"/>
      <c r="O234" s="50"/>
      <c r="P234" s="49"/>
      <c r="Q234" s="53"/>
      <c r="R234" s="49">
        <v>30</v>
      </c>
      <c r="S234" s="53">
        <v>13200</v>
      </c>
      <c r="T234" s="49">
        <v>30</v>
      </c>
      <c r="U234" s="53">
        <v>13200</v>
      </c>
      <c r="V234" s="49"/>
      <c r="W234" s="53"/>
      <c r="X234" s="53"/>
      <c r="Y234" s="53"/>
      <c r="Z234" s="53"/>
      <c r="AA234" s="53"/>
      <c r="AB234" s="53"/>
      <c r="AC234" s="53"/>
      <c r="AD234" s="62">
        <f t="shared" si="6"/>
        <v>94</v>
      </c>
      <c r="AE234" s="55">
        <f t="shared" si="7"/>
        <v>39600</v>
      </c>
      <c r="AG234" s="57" t="s">
        <v>186</v>
      </c>
    </row>
    <row r="235" spans="1:33" hidden="1">
      <c r="A235" s="47">
        <v>233</v>
      </c>
      <c r="B235" s="56">
        <v>4971710288612</v>
      </c>
      <c r="C235" s="57" t="s">
        <v>9</v>
      </c>
      <c r="D235" s="75" t="s">
        <v>1080</v>
      </c>
      <c r="E235" s="48" t="s">
        <v>8</v>
      </c>
      <c r="F235" s="58">
        <v>90</v>
      </c>
      <c r="G235" s="59">
        <v>237600</v>
      </c>
      <c r="H235" s="60"/>
      <c r="I235" s="61"/>
      <c r="J235" s="58"/>
      <c r="K235" s="59"/>
      <c r="L235" s="49"/>
      <c r="M235" s="50"/>
      <c r="N235" s="49"/>
      <c r="O235" s="50"/>
      <c r="P235" s="49"/>
      <c r="Q235" s="53"/>
      <c r="R235" s="49"/>
      <c r="S235" s="53"/>
      <c r="T235" s="49"/>
      <c r="U235" s="53"/>
      <c r="V235" s="49"/>
      <c r="W235" s="53"/>
      <c r="X235" s="53"/>
      <c r="Y235" s="53"/>
      <c r="Z235" s="53"/>
      <c r="AA235" s="53"/>
      <c r="AB235" s="53"/>
      <c r="AC235" s="53"/>
      <c r="AD235" s="62">
        <f t="shared" si="6"/>
        <v>90</v>
      </c>
      <c r="AE235" s="55">
        <f t="shared" si="7"/>
        <v>237600</v>
      </c>
      <c r="AG235" s="57" t="s">
        <v>184</v>
      </c>
    </row>
    <row r="236" spans="1:33" hidden="1">
      <c r="A236" s="47">
        <v>234</v>
      </c>
      <c r="B236" s="56">
        <v>4971710576016</v>
      </c>
      <c r="C236" s="57" t="s">
        <v>606</v>
      </c>
      <c r="D236" s="75" t="s">
        <v>884</v>
      </c>
      <c r="E236" s="48" t="s">
        <v>607</v>
      </c>
      <c r="F236" s="58">
        <v>90</v>
      </c>
      <c r="G236" s="59">
        <v>59400</v>
      </c>
      <c r="H236" s="60"/>
      <c r="I236" s="61"/>
      <c r="J236" s="58"/>
      <c r="K236" s="59"/>
      <c r="L236" s="49"/>
      <c r="M236" s="50"/>
      <c r="N236" s="49"/>
      <c r="O236" s="50"/>
      <c r="P236" s="49"/>
      <c r="Q236" s="53"/>
      <c r="R236" s="49"/>
      <c r="S236" s="53"/>
      <c r="T236" s="49"/>
      <c r="U236" s="53"/>
      <c r="V236" s="49"/>
      <c r="W236" s="53"/>
      <c r="X236" s="53"/>
      <c r="Y236" s="53"/>
      <c r="Z236" s="53"/>
      <c r="AA236" s="53"/>
      <c r="AB236" s="53"/>
      <c r="AC236" s="53"/>
      <c r="AD236" s="62">
        <f t="shared" si="6"/>
        <v>90</v>
      </c>
      <c r="AE236" s="55">
        <f t="shared" si="7"/>
        <v>59400</v>
      </c>
      <c r="AG236" s="57" t="s">
        <v>134</v>
      </c>
    </row>
    <row r="237" spans="1:33" hidden="1">
      <c r="A237" s="47">
        <v>235</v>
      </c>
      <c r="B237" s="56">
        <v>4971710591545</v>
      </c>
      <c r="C237" s="57" t="s">
        <v>805</v>
      </c>
      <c r="D237" s="75" t="s">
        <v>1078</v>
      </c>
      <c r="E237" s="48" t="s">
        <v>1001</v>
      </c>
      <c r="F237" s="58"/>
      <c r="G237" s="59"/>
      <c r="H237" s="60"/>
      <c r="I237" s="61"/>
      <c r="J237" s="58"/>
      <c r="K237" s="59"/>
      <c r="L237" s="49"/>
      <c r="M237" s="50"/>
      <c r="N237" s="49">
        <v>90</v>
      </c>
      <c r="O237" s="50">
        <v>59400</v>
      </c>
      <c r="P237" s="49"/>
      <c r="Q237" s="53"/>
      <c r="R237" s="49"/>
      <c r="S237" s="53"/>
      <c r="T237" s="49"/>
      <c r="U237" s="53"/>
      <c r="V237" s="49"/>
      <c r="W237" s="53"/>
      <c r="X237" s="53"/>
      <c r="Y237" s="53"/>
      <c r="Z237" s="53"/>
      <c r="AA237" s="53"/>
      <c r="AB237" s="53"/>
      <c r="AC237" s="53"/>
      <c r="AD237" s="62">
        <f t="shared" si="6"/>
        <v>90</v>
      </c>
      <c r="AE237" s="55">
        <f t="shared" si="7"/>
        <v>59400</v>
      </c>
      <c r="AG237" s="57" t="s">
        <v>422</v>
      </c>
    </row>
    <row r="238" spans="1:33" hidden="1">
      <c r="A238" s="47">
        <v>236</v>
      </c>
      <c r="B238" s="56">
        <v>4971710507614</v>
      </c>
      <c r="C238" s="57" t="s">
        <v>184</v>
      </c>
      <c r="D238" s="75" t="s">
        <v>884</v>
      </c>
      <c r="E238" s="48" t="s">
        <v>185</v>
      </c>
      <c r="F238" s="58"/>
      <c r="G238" s="59"/>
      <c r="H238" s="60">
        <v>8</v>
      </c>
      <c r="I238" s="61">
        <v>2640</v>
      </c>
      <c r="J238" s="58">
        <v>6</v>
      </c>
      <c r="K238" s="59">
        <v>3960</v>
      </c>
      <c r="L238" s="49">
        <v>6</v>
      </c>
      <c r="M238" s="50">
        <v>3960</v>
      </c>
      <c r="N238" s="49"/>
      <c r="O238" s="50"/>
      <c r="P238" s="49"/>
      <c r="Q238" s="53"/>
      <c r="R238" s="49">
        <v>21</v>
      </c>
      <c r="S238" s="53">
        <v>13860</v>
      </c>
      <c r="T238" s="49">
        <v>12</v>
      </c>
      <c r="U238" s="53">
        <v>7920</v>
      </c>
      <c r="V238" s="49">
        <v>20</v>
      </c>
      <c r="W238" s="53">
        <v>13200</v>
      </c>
      <c r="X238" s="53"/>
      <c r="Y238" s="53"/>
      <c r="Z238" s="53"/>
      <c r="AA238" s="53"/>
      <c r="AB238" s="53">
        <v>20</v>
      </c>
      <c r="AC238" s="53">
        <v>13200</v>
      </c>
      <c r="AD238" s="62">
        <f t="shared" si="6"/>
        <v>93</v>
      </c>
      <c r="AE238" s="55">
        <f t="shared" si="7"/>
        <v>58740</v>
      </c>
      <c r="AG238" s="57" t="s">
        <v>358</v>
      </c>
    </row>
    <row r="239" spans="1:33" hidden="1">
      <c r="A239" s="47">
        <v>237</v>
      </c>
      <c r="B239" s="56">
        <v>4971710517842</v>
      </c>
      <c r="C239" s="57" t="s">
        <v>336</v>
      </c>
      <c r="D239" s="75" t="s">
        <v>884</v>
      </c>
      <c r="E239" s="48" t="s">
        <v>337</v>
      </c>
      <c r="F239" s="58"/>
      <c r="G239" s="59"/>
      <c r="H239" s="60"/>
      <c r="I239" s="61"/>
      <c r="J239" s="58"/>
      <c r="K239" s="59"/>
      <c r="L239" s="49">
        <v>15</v>
      </c>
      <c r="M239" s="50">
        <v>9900</v>
      </c>
      <c r="N239" s="49"/>
      <c r="O239" s="50"/>
      <c r="P239" s="49">
        <v>74</v>
      </c>
      <c r="Q239" s="53">
        <v>48840</v>
      </c>
      <c r="R239" s="49"/>
      <c r="S239" s="53"/>
      <c r="T239" s="49"/>
      <c r="U239" s="53"/>
      <c r="V239" s="49"/>
      <c r="W239" s="53"/>
      <c r="X239" s="53"/>
      <c r="Y239" s="53"/>
      <c r="Z239" s="53"/>
      <c r="AA239" s="53"/>
      <c r="AB239" s="53"/>
      <c r="AC239" s="53"/>
      <c r="AD239" s="62">
        <f t="shared" si="6"/>
        <v>89</v>
      </c>
      <c r="AE239" s="55">
        <f t="shared" si="7"/>
        <v>58740</v>
      </c>
      <c r="AG239" s="57" t="s">
        <v>338</v>
      </c>
    </row>
    <row r="240" spans="1:33" hidden="1">
      <c r="A240" s="47">
        <v>238</v>
      </c>
      <c r="B240" s="56">
        <v>4971710521511</v>
      </c>
      <c r="C240" s="57" t="s">
        <v>366</v>
      </c>
      <c r="D240" s="75" t="s">
        <v>884</v>
      </c>
      <c r="E240" s="48" t="s">
        <v>367</v>
      </c>
      <c r="F240" s="58"/>
      <c r="G240" s="59"/>
      <c r="H240" s="60">
        <v>4</v>
      </c>
      <c r="I240" s="61">
        <v>1430</v>
      </c>
      <c r="J240" s="58"/>
      <c r="K240" s="59"/>
      <c r="L240" s="49">
        <v>20</v>
      </c>
      <c r="M240" s="50">
        <v>14300</v>
      </c>
      <c r="N240" s="49">
        <v>2</v>
      </c>
      <c r="O240" s="50">
        <v>1430</v>
      </c>
      <c r="P240" s="49">
        <v>4</v>
      </c>
      <c r="Q240" s="53">
        <v>2860</v>
      </c>
      <c r="R240" s="49">
        <v>2</v>
      </c>
      <c r="S240" s="53">
        <v>1430</v>
      </c>
      <c r="T240" s="49">
        <v>20</v>
      </c>
      <c r="U240" s="53">
        <v>14300</v>
      </c>
      <c r="V240" s="49">
        <v>4</v>
      </c>
      <c r="W240" s="53">
        <v>2860</v>
      </c>
      <c r="X240" s="53"/>
      <c r="Y240" s="53"/>
      <c r="Z240" s="53"/>
      <c r="AA240" s="53"/>
      <c r="AB240" s="53">
        <v>34</v>
      </c>
      <c r="AC240" s="53">
        <v>24310</v>
      </c>
      <c r="AD240" s="62">
        <f t="shared" si="6"/>
        <v>90</v>
      </c>
      <c r="AE240" s="55">
        <f t="shared" si="7"/>
        <v>62920</v>
      </c>
      <c r="AG240" s="57" t="s">
        <v>344</v>
      </c>
    </row>
    <row r="241" spans="1:33" hidden="1">
      <c r="A241" s="47">
        <v>239</v>
      </c>
      <c r="B241" s="56">
        <v>4971710496468</v>
      </c>
      <c r="C241" s="57" t="s">
        <v>170</v>
      </c>
      <c r="D241" s="75" t="s">
        <v>884</v>
      </c>
      <c r="E241" s="48" t="s">
        <v>171</v>
      </c>
      <c r="F241" s="58">
        <v>40</v>
      </c>
      <c r="G241" s="59">
        <v>33000</v>
      </c>
      <c r="H241" s="60"/>
      <c r="I241" s="61"/>
      <c r="J241" s="58"/>
      <c r="K241" s="59"/>
      <c r="L241" s="49"/>
      <c r="M241" s="50"/>
      <c r="N241" s="49"/>
      <c r="O241" s="50"/>
      <c r="P241" s="49"/>
      <c r="Q241" s="53"/>
      <c r="R241" s="49">
        <v>7</v>
      </c>
      <c r="S241" s="53">
        <v>5775</v>
      </c>
      <c r="T241" s="49">
        <v>20</v>
      </c>
      <c r="U241" s="53">
        <v>16500</v>
      </c>
      <c r="V241" s="49">
        <v>20</v>
      </c>
      <c r="W241" s="53">
        <v>16500</v>
      </c>
      <c r="X241" s="53"/>
      <c r="Y241" s="53"/>
      <c r="Z241" s="53"/>
      <c r="AA241" s="53"/>
      <c r="AB241" s="53"/>
      <c r="AC241" s="53"/>
      <c r="AD241" s="62">
        <f t="shared" si="6"/>
        <v>87</v>
      </c>
      <c r="AE241" s="55">
        <f t="shared" si="7"/>
        <v>71775</v>
      </c>
      <c r="AG241" s="57" t="s">
        <v>346</v>
      </c>
    </row>
    <row r="242" spans="1:33" hidden="1">
      <c r="A242" s="47">
        <v>240</v>
      </c>
      <c r="B242" s="56">
        <v>4971710586565</v>
      </c>
      <c r="C242" s="57" t="s">
        <v>812</v>
      </c>
      <c r="D242" s="75" t="s">
        <v>1078</v>
      </c>
      <c r="E242" s="48" t="s">
        <v>1012</v>
      </c>
      <c r="F242" s="58"/>
      <c r="G242" s="59"/>
      <c r="H242" s="60"/>
      <c r="I242" s="61"/>
      <c r="J242" s="58"/>
      <c r="K242" s="59"/>
      <c r="L242" s="49"/>
      <c r="M242" s="50"/>
      <c r="N242" s="49"/>
      <c r="O242" s="50"/>
      <c r="P242" s="49">
        <v>54</v>
      </c>
      <c r="Q242" s="53">
        <v>35640</v>
      </c>
      <c r="R242" s="49"/>
      <c r="S242" s="53"/>
      <c r="T242" s="49">
        <v>4</v>
      </c>
      <c r="U242" s="53">
        <v>2640</v>
      </c>
      <c r="V242" s="49">
        <v>6</v>
      </c>
      <c r="W242" s="53">
        <v>3960</v>
      </c>
      <c r="X242" s="53"/>
      <c r="Y242" s="53"/>
      <c r="Z242" s="53"/>
      <c r="AA242" s="53"/>
      <c r="AB242" s="53">
        <v>21</v>
      </c>
      <c r="AC242" s="53">
        <v>13860</v>
      </c>
      <c r="AD242" s="63">
        <f t="shared" si="6"/>
        <v>85</v>
      </c>
      <c r="AE242" s="55">
        <f t="shared" si="7"/>
        <v>56100</v>
      </c>
      <c r="AG242" s="57" t="s">
        <v>286</v>
      </c>
    </row>
    <row r="243" spans="1:33" hidden="1">
      <c r="A243" s="47">
        <v>241</v>
      </c>
      <c r="B243" s="56">
        <v>4971710579796</v>
      </c>
      <c r="C243" s="57" t="s">
        <v>654</v>
      </c>
      <c r="D243" s="75" t="s">
        <v>884</v>
      </c>
      <c r="E243" s="48" t="s">
        <v>655</v>
      </c>
      <c r="F243" s="58">
        <v>65</v>
      </c>
      <c r="G243" s="59">
        <v>42900</v>
      </c>
      <c r="H243" s="60"/>
      <c r="I243" s="61"/>
      <c r="J243" s="58"/>
      <c r="K243" s="59"/>
      <c r="L243" s="49"/>
      <c r="M243" s="50"/>
      <c r="N243" s="49"/>
      <c r="O243" s="50"/>
      <c r="P243" s="49"/>
      <c r="Q243" s="53"/>
      <c r="R243" s="49"/>
      <c r="S243" s="53"/>
      <c r="T243" s="49"/>
      <c r="U243" s="53"/>
      <c r="V243" s="49"/>
      <c r="W243" s="53"/>
      <c r="X243" s="53"/>
      <c r="Y243" s="53"/>
      <c r="Z243" s="53"/>
      <c r="AA243" s="53"/>
      <c r="AB243" s="53">
        <v>20</v>
      </c>
      <c r="AC243" s="53">
        <v>13200</v>
      </c>
      <c r="AD243" s="62">
        <f t="shared" si="6"/>
        <v>85</v>
      </c>
      <c r="AE243" s="55">
        <f t="shared" si="7"/>
        <v>56100</v>
      </c>
      <c r="AG243" s="57" t="s">
        <v>290</v>
      </c>
    </row>
    <row r="244" spans="1:33" hidden="1">
      <c r="A244" s="47">
        <v>242</v>
      </c>
      <c r="B244" s="56">
        <v>4971710579918</v>
      </c>
      <c r="C244" s="57" t="s">
        <v>668</v>
      </c>
      <c r="D244" s="75" t="s">
        <v>884</v>
      </c>
      <c r="E244" s="48" t="s">
        <v>669</v>
      </c>
      <c r="F244" s="58">
        <v>42</v>
      </c>
      <c r="G244" s="59">
        <v>34650</v>
      </c>
      <c r="H244" s="60">
        <v>12</v>
      </c>
      <c r="I244" s="61">
        <v>4950</v>
      </c>
      <c r="J244" s="58">
        <v>2</v>
      </c>
      <c r="K244" s="59">
        <v>1650</v>
      </c>
      <c r="L244" s="49"/>
      <c r="M244" s="50"/>
      <c r="N244" s="49">
        <v>2</v>
      </c>
      <c r="O244" s="50">
        <v>1650</v>
      </c>
      <c r="P244" s="49">
        <v>4</v>
      </c>
      <c r="Q244" s="53">
        <v>3300</v>
      </c>
      <c r="R244" s="49">
        <v>15</v>
      </c>
      <c r="S244" s="53">
        <v>12375</v>
      </c>
      <c r="T244" s="49"/>
      <c r="U244" s="53"/>
      <c r="V244" s="49"/>
      <c r="W244" s="53"/>
      <c r="X244" s="53"/>
      <c r="Y244" s="53"/>
      <c r="Z244" s="53"/>
      <c r="AA244" s="53"/>
      <c r="AB244" s="53">
        <v>14</v>
      </c>
      <c r="AC244" s="53">
        <v>11550</v>
      </c>
      <c r="AD244" s="62">
        <f t="shared" si="6"/>
        <v>91</v>
      </c>
      <c r="AE244" s="55">
        <f t="shared" si="7"/>
        <v>70125</v>
      </c>
      <c r="AG244" s="57" t="s">
        <v>170</v>
      </c>
    </row>
    <row r="245" spans="1:33" hidden="1">
      <c r="A245" s="47">
        <v>243</v>
      </c>
      <c r="B245" s="56">
        <v>4971710494921</v>
      </c>
      <c r="C245" s="57" t="s">
        <v>134</v>
      </c>
      <c r="D245" s="75" t="s">
        <v>884</v>
      </c>
      <c r="E245" s="48" t="s">
        <v>135</v>
      </c>
      <c r="F245" s="58"/>
      <c r="G245" s="59"/>
      <c r="H245" s="60">
        <v>8</v>
      </c>
      <c r="I245" s="61">
        <v>2640</v>
      </c>
      <c r="J245" s="58"/>
      <c r="K245" s="59"/>
      <c r="L245" s="49">
        <v>4</v>
      </c>
      <c r="M245" s="50">
        <v>2640</v>
      </c>
      <c r="N245" s="49">
        <v>20</v>
      </c>
      <c r="O245" s="50">
        <v>13200</v>
      </c>
      <c r="P245" s="49">
        <v>56</v>
      </c>
      <c r="Q245" s="53">
        <v>36960</v>
      </c>
      <c r="R245" s="49"/>
      <c r="S245" s="53"/>
      <c r="T245" s="49"/>
      <c r="U245" s="53"/>
      <c r="V245" s="49"/>
      <c r="W245" s="53"/>
      <c r="X245" s="53"/>
      <c r="Y245" s="53"/>
      <c r="Z245" s="53"/>
      <c r="AA245" s="53"/>
      <c r="AB245" s="53"/>
      <c r="AC245" s="53"/>
      <c r="AD245" s="62">
        <f t="shared" si="6"/>
        <v>88</v>
      </c>
      <c r="AE245" s="55">
        <f t="shared" si="7"/>
        <v>55440</v>
      </c>
      <c r="AG245" s="57" t="s">
        <v>817</v>
      </c>
    </row>
    <row r="246" spans="1:33" hidden="1">
      <c r="A246" s="47">
        <v>244</v>
      </c>
      <c r="B246" s="56">
        <v>4971710516739</v>
      </c>
      <c r="C246" s="57" t="s">
        <v>322</v>
      </c>
      <c r="D246" s="75" t="s">
        <v>1078</v>
      </c>
      <c r="E246" s="48" t="s">
        <v>323</v>
      </c>
      <c r="F246" s="58"/>
      <c r="G246" s="59"/>
      <c r="H246" s="60"/>
      <c r="I246" s="61"/>
      <c r="J246" s="58"/>
      <c r="K246" s="59"/>
      <c r="L246" s="49">
        <v>6</v>
      </c>
      <c r="M246" s="50">
        <v>4620</v>
      </c>
      <c r="N246" s="49">
        <v>30</v>
      </c>
      <c r="O246" s="50">
        <v>23100</v>
      </c>
      <c r="P246" s="49"/>
      <c r="Q246" s="53"/>
      <c r="R246" s="49"/>
      <c r="S246" s="53"/>
      <c r="T246" s="49"/>
      <c r="U246" s="53"/>
      <c r="V246" s="49"/>
      <c r="W246" s="53"/>
      <c r="X246" s="53"/>
      <c r="Y246" s="53"/>
      <c r="Z246" s="53"/>
      <c r="AA246" s="53"/>
      <c r="AB246" s="53">
        <v>45</v>
      </c>
      <c r="AC246" s="53">
        <v>34650</v>
      </c>
      <c r="AD246" s="62">
        <f t="shared" si="6"/>
        <v>81</v>
      </c>
      <c r="AE246" s="55">
        <f t="shared" si="7"/>
        <v>62370</v>
      </c>
      <c r="AG246" s="57">
        <f>VLOOKUP(AF246,[2]SEK!$E:$F,2,0)</f>
        <v>0</v>
      </c>
    </row>
    <row r="247" spans="1:33" hidden="1">
      <c r="A247" s="47">
        <v>245</v>
      </c>
      <c r="B247" s="56">
        <v>4971710611816</v>
      </c>
      <c r="C247" s="57" t="s">
        <v>959</v>
      </c>
      <c r="D247" s="75" t="s">
        <v>884</v>
      </c>
      <c r="E247" s="48" t="s">
        <v>960</v>
      </c>
      <c r="F247" s="58"/>
      <c r="G247" s="59"/>
      <c r="H247" s="60"/>
      <c r="I247" s="61"/>
      <c r="J247" s="58"/>
      <c r="K247" s="59"/>
      <c r="L247" s="49"/>
      <c r="M247" s="50"/>
      <c r="N247" s="49"/>
      <c r="O247" s="50"/>
      <c r="P247" s="49"/>
      <c r="Q247" s="53"/>
      <c r="R247" s="49"/>
      <c r="S247" s="53"/>
      <c r="T247" s="49"/>
      <c r="U247" s="53"/>
      <c r="V247" s="49">
        <v>20</v>
      </c>
      <c r="W247" s="53">
        <v>15400</v>
      </c>
      <c r="X247" s="53"/>
      <c r="Y247" s="53"/>
      <c r="Z247" s="53"/>
      <c r="AA247" s="53"/>
      <c r="AB247" s="53">
        <v>60</v>
      </c>
      <c r="AC247" s="53">
        <v>46200</v>
      </c>
      <c r="AD247" s="63">
        <f t="shared" si="6"/>
        <v>80</v>
      </c>
      <c r="AE247" s="55">
        <f t="shared" si="7"/>
        <v>61600</v>
      </c>
      <c r="AG247" s="57" t="s">
        <v>166</v>
      </c>
    </row>
    <row r="248" spans="1:33" hidden="1">
      <c r="A248" s="47">
        <v>246</v>
      </c>
      <c r="B248" s="56">
        <v>4971710611823</v>
      </c>
      <c r="C248" s="57" t="s">
        <v>961</v>
      </c>
      <c r="D248" s="75" t="s">
        <v>884</v>
      </c>
      <c r="E248" s="48" t="s">
        <v>962</v>
      </c>
      <c r="F248" s="58"/>
      <c r="G248" s="59"/>
      <c r="H248" s="60"/>
      <c r="I248" s="61"/>
      <c r="J248" s="58"/>
      <c r="K248" s="59"/>
      <c r="L248" s="49"/>
      <c r="M248" s="50"/>
      <c r="N248" s="49"/>
      <c r="O248" s="50"/>
      <c r="P248" s="49"/>
      <c r="Q248" s="53"/>
      <c r="R248" s="49"/>
      <c r="S248" s="53"/>
      <c r="T248" s="49"/>
      <c r="U248" s="53"/>
      <c r="V248" s="49">
        <v>20</v>
      </c>
      <c r="W248" s="53">
        <v>15400</v>
      </c>
      <c r="X248" s="53"/>
      <c r="Y248" s="53"/>
      <c r="Z248" s="53"/>
      <c r="AA248" s="53"/>
      <c r="AB248" s="53">
        <v>60</v>
      </c>
      <c r="AC248" s="53">
        <v>46200</v>
      </c>
      <c r="AD248" s="63">
        <f t="shared" si="6"/>
        <v>80</v>
      </c>
      <c r="AE248" s="55">
        <f t="shared" si="7"/>
        <v>61600</v>
      </c>
      <c r="AG248" s="57" t="s">
        <v>820</v>
      </c>
    </row>
    <row r="249" spans="1:33" hidden="1">
      <c r="A249" s="47">
        <v>247</v>
      </c>
      <c r="B249" s="56">
        <v>4971710513660</v>
      </c>
      <c r="C249" s="57" t="s">
        <v>268</v>
      </c>
      <c r="D249" s="75" t="s">
        <v>1078</v>
      </c>
      <c r="E249" s="48" t="s">
        <v>269</v>
      </c>
      <c r="F249" s="58"/>
      <c r="G249" s="59"/>
      <c r="H249" s="60"/>
      <c r="I249" s="61"/>
      <c r="J249" s="58">
        <v>30</v>
      </c>
      <c r="K249" s="59">
        <v>14010</v>
      </c>
      <c r="L249" s="49"/>
      <c r="M249" s="50"/>
      <c r="N249" s="49"/>
      <c r="O249" s="50"/>
      <c r="P249" s="49"/>
      <c r="Q249" s="53"/>
      <c r="R249" s="49"/>
      <c r="S249" s="53"/>
      <c r="T249" s="49">
        <v>20</v>
      </c>
      <c r="U249" s="53">
        <v>9340</v>
      </c>
      <c r="V249" s="49"/>
      <c r="W249" s="53"/>
      <c r="X249" s="53"/>
      <c r="Y249" s="53"/>
      <c r="Z249" s="53"/>
      <c r="AA249" s="53"/>
      <c r="AB249" s="53">
        <v>30</v>
      </c>
      <c r="AC249" s="53">
        <v>14010</v>
      </c>
      <c r="AD249" s="62">
        <f t="shared" si="6"/>
        <v>80</v>
      </c>
      <c r="AE249" s="55">
        <f t="shared" si="7"/>
        <v>37360</v>
      </c>
      <c r="AG249" s="57" t="s">
        <v>370</v>
      </c>
    </row>
    <row r="250" spans="1:33" hidden="1">
      <c r="A250" s="47">
        <v>248</v>
      </c>
      <c r="B250" s="56">
        <v>4971710519266</v>
      </c>
      <c r="C250" s="57" t="s">
        <v>348</v>
      </c>
      <c r="D250" s="75" t="s">
        <v>1078</v>
      </c>
      <c r="E250" s="48" t="s">
        <v>349</v>
      </c>
      <c r="F250" s="58"/>
      <c r="G250" s="59"/>
      <c r="H250" s="60"/>
      <c r="I250" s="61"/>
      <c r="J250" s="58"/>
      <c r="K250" s="59"/>
      <c r="L250" s="49"/>
      <c r="M250" s="50"/>
      <c r="N250" s="49">
        <v>50</v>
      </c>
      <c r="O250" s="50">
        <v>35750</v>
      </c>
      <c r="P250" s="49"/>
      <c r="Q250" s="53"/>
      <c r="R250" s="49"/>
      <c r="S250" s="53"/>
      <c r="T250" s="49"/>
      <c r="U250" s="53"/>
      <c r="V250" s="49"/>
      <c r="W250" s="53"/>
      <c r="X250" s="53"/>
      <c r="Y250" s="53"/>
      <c r="Z250" s="53"/>
      <c r="AA250" s="53"/>
      <c r="AB250" s="53">
        <v>30</v>
      </c>
      <c r="AC250" s="53">
        <v>21450</v>
      </c>
      <c r="AD250" s="62">
        <f t="shared" si="6"/>
        <v>80</v>
      </c>
      <c r="AE250" s="55">
        <f t="shared" si="7"/>
        <v>57200</v>
      </c>
      <c r="AG250" s="57" t="s">
        <v>206</v>
      </c>
    </row>
    <row r="251" spans="1:33" hidden="1">
      <c r="A251" s="47">
        <v>249</v>
      </c>
      <c r="B251" s="56">
        <v>4971710513653</v>
      </c>
      <c r="C251" s="57" t="s">
        <v>266</v>
      </c>
      <c r="D251" s="75" t="s">
        <v>1078</v>
      </c>
      <c r="E251" s="48" t="s">
        <v>267</v>
      </c>
      <c r="F251" s="58"/>
      <c r="G251" s="59"/>
      <c r="H251" s="60"/>
      <c r="I251" s="61"/>
      <c r="J251" s="58"/>
      <c r="K251" s="59"/>
      <c r="L251" s="49"/>
      <c r="M251" s="50"/>
      <c r="N251" s="49"/>
      <c r="O251" s="50"/>
      <c r="P251" s="49"/>
      <c r="Q251" s="53"/>
      <c r="R251" s="49">
        <v>50</v>
      </c>
      <c r="S251" s="53">
        <v>23350</v>
      </c>
      <c r="T251" s="49">
        <v>30</v>
      </c>
      <c r="U251" s="53">
        <v>14010</v>
      </c>
      <c r="V251" s="49"/>
      <c r="W251" s="53"/>
      <c r="X251" s="53"/>
      <c r="Y251" s="53"/>
      <c r="Z251" s="53"/>
      <c r="AA251" s="53"/>
      <c r="AB251" s="53"/>
      <c r="AC251" s="53"/>
      <c r="AD251" s="62">
        <f t="shared" si="6"/>
        <v>80</v>
      </c>
      <c r="AE251" s="55">
        <f t="shared" si="7"/>
        <v>37360</v>
      </c>
      <c r="AG251" s="57" t="s">
        <v>813</v>
      </c>
    </row>
    <row r="252" spans="1:33" hidden="1">
      <c r="A252" s="47">
        <v>250</v>
      </c>
      <c r="B252" s="56">
        <v>4971710507652</v>
      </c>
      <c r="C252" s="57" t="s">
        <v>186</v>
      </c>
      <c r="D252" s="75" t="s">
        <v>884</v>
      </c>
      <c r="E252" s="48" t="s">
        <v>187</v>
      </c>
      <c r="F252" s="58">
        <v>30</v>
      </c>
      <c r="G252" s="59">
        <v>24750</v>
      </c>
      <c r="H252" s="60">
        <v>4</v>
      </c>
      <c r="I252" s="61">
        <v>1650</v>
      </c>
      <c r="J252" s="58"/>
      <c r="K252" s="59"/>
      <c r="L252" s="49"/>
      <c r="M252" s="50"/>
      <c r="N252" s="49">
        <v>4</v>
      </c>
      <c r="O252" s="50">
        <v>3300</v>
      </c>
      <c r="P252" s="49"/>
      <c r="Q252" s="53"/>
      <c r="R252" s="49">
        <v>24</v>
      </c>
      <c r="S252" s="53">
        <v>19800</v>
      </c>
      <c r="T252" s="49">
        <v>20</v>
      </c>
      <c r="U252" s="53">
        <v>16500</v>
      </c>
      <c r="V252" s="49"/>
      <c r="W252" s="53"/>
      <c r="X252" s="53"/>
      <c r="Y252" s="53"/>
      <c r="Z252" s="53"/>
      <c r="AA252" s="53"/>
      <c r="AB252" s="53"/>
      <c r="AC252" s="53"/>
      <c r="AD252" s="62">
        <f t="shared" si="6"/>
        <v>82</v>
      </c>
      <c r="AE252" s="55">
        <f t="shared" si="7"/>
        <v>66000</v>
      </c>
      <c r="AG252" s="57" t="s">
        <v>266</v>
      </c>
    </row>
    <row r="253" spans="1:33" hidden="1">
      <c r="A253" s="47">
        <v>251</v>
      </c>
      <c r="B253" s="56">
        <v>4971710619751</v>
      </c>
      <c r="C253" s="57" t="s">
        <v>1070</v>
      </c>
      <c r="D253" s="75" t="s">
        <v>884</v>
      </c>
      <c r="E253" s="48" t="s">
        <v>1071</v>
      </c>
      <c r="F253" s="58"/>
      <c r="G253" s="59"/>
      <c r="H253" s="60"/>
      <c r="I253" s="61"/>
      <c r="J253" s="58"/>
      <c r="K253" s="59"/>
      <c r="L253" s="49"/>
      <c r="M253" s="50"/>
      <c r="N253" s="49"/>
      <c r="O253" s="50"/>
      <c r="P253" s="49"/>
      <c r="Q253" s="53"/>
      <c r="R253" s="49"/>
      <c r="S253" s="53"/>
      <c r="T253" s="49"/>
      <c r="U253" s="53"/>
      <c r="V253" s="49"/>
      <c r="W253" s="53"/>
      <c r="X253" s="53"/>
      <c r="Y253" s="53"/>
      <c r="Z253" s="53"/>
      <c r="AA253" s="53"/>
      <c r="AB253" s="53">
        <v>78</v>
      </c>
      <c r="AC253" s="53">
        <v>68640</v>
      </c>
      <c r="AD253" s="63">
        <f t="shared" si="6"/>
        <v>78</v>
      </c>
      <c r="AE253" s="55">
        <f t="shared" si="7"/>
        <v>68640</v>
      </c>
      <c r="AG253" s="57" t="s">
        <v>809</v>
      </c>
    </row>
    <row r="254" spans="1:33" hidden="1">
      <c r="A254" s="47">
        <v>252</v>
      </c>
      <c r="B254" s="56">
        <v>4971710597035</v>
      </c>
      <c r="C254" s="57" t="s">
        <v>826</v>
      </c>
      <c r="D254" s="75" t="s">
        <v>1078</v>
      </c>
      <c r="E254" s="48" t="s">
        <v>1015</v>
      </c>
      <c r="F254" s="58"/>
      <c r="G254" s="59"/>
      <c r="H254" s="60"/>
      <c r="I254" s="61"/>
      <c r="J254" s="58"/>
      <c r="K254" s="59"/>
      <c r="L254" s="49"/>
      <c r="M254" s="50"/>
      <c r="N254" s="49"/>
      <c r="O254" s="50"/>
      <c r="P254" s="49">
        <v>36</v>
      </c>
      <c r="Q254" s="53">
        <v>31680</v>
      </c>
      <c r="R254" s="49"/>
      <c r="S254" s="53"/>
      <c r="T254" s="49"/>
      <c r="U254" s="53"/>
      <c r="V254" s="49">
        <v>30</v>
      </c>
      <c r="W254" s="53">
        <v>26400</v>
      </c>
      <c r="X254" s="53"/>
      <c r="Y254" s="53"/>
      <c r="Z254" s="53"/>
      <c r="AA254" s="53"/>
      <c r="AB254" s="53">
        <v>10</v>
      </c>
      <c r="AC254" s="53">
        <v>8800</v>
      </c>
      <c r="AD254" s="63">
        <f t="shared" si="6"/>
        <v>76</v>
      </c>
      <c r="AE254" s="55">
        <f t="shared" si="7"/>
        <v>66880</v>
      </c>
      <c r="AG254" s="57" t="s">
        <v>706</v>
      </c>
    </row>
    <row r="255" spans="1:33" hidden="1">
      <c r="A255" s="47">
        <v>253</v>
      </c>
      <c r="B255" s="56">
        <v>4971710571905</v>
      </c>
      <c r="C255" s="57" t="s">
        <v>1004</v>
      </c>
      <c r="D255" s="75" t="s">
        <v>1085</v>
      </c>
      <c r="E255" s="48" t="s">
        <v>858</v>
      </c>
      <c r="F255" s="58"/>
      <c r="G255" s="59"/>
      <c r="H255" s="60"/>
      <c r="I255" s="61"/>
      <c r="J255" s="58"/>
      <c r="K255" s="59"/>
      <c r="L255" s="49"/>
      <c r="M255" s="50"/>
      <c r="N255" s="49">
        <v>75</v>
      </c>
      <c r="O255" s="50">
        <v>22275</v>
      </c>
      <c r="P255" s="49"/>
      <c r="Q255" s="53"/>
      <c r="R255" s="49"/>
      <c r="S255" s="53"/>
      <c r="T255" s="49"/>
      <c r="U255" s="53"/>
      <c r="V255" s="49"/>
      <c r="W255" s="53"/>
      <c r="X255" s="53"/>
      <c r="Y255" s="53"/>
      <c r="Z255" s="53"/>
      <c r="AA255" s="53"/>
      <c r="AB255" s="53"/>
      <c r="AC255" s="53"/>
      <c r="AD255" s="63">
        <f t="shared" si="6"/>
        <v>75</v>
      </c>
      <c r="AE255" s="55">
        <f t="shared" si="7"/>
        <v>22275</v>
      </c>
      <c r="AG255" s="57" t="s">
        <v>561</v>
      </c>
    </row>
    <row r="256" spans="1:33" hidden="1">
      <c r="A256" s="47">
        <v>254</v>
      </c>
      <c r="B256" s="56">
        <v>4971710565119</v>
      </c>
      <c r="C256" s="57" t="s">
        <v>513</v>
      </c>
      <c r="D256" s="75" t="s">
        <v>1078</v>
      </c>
      <c r="E256" s="48" t="s">
        <v>514</v>
      </c>
      <c r="F256" s="58">
        <v>20</v>
      </c>
      <c r="G256" s="59">
        <v>13200</v>
      </c>
      <c r="H256" s="60">
        <v>4</v>
      </c>
      <c r="I256" s="61">
        <v>1320</v>
      </c>
      <c r="J256" s="58"/>
      <c r="K256" s="59"/>
      <c r="L256" s="49"/>
      <c r="M256" s="50"/>
      <c r="N256" s="49">
        <v>50</v>
      </c>
      <c r="O256" s="50">
        <v>33000</v>
      </c>
      <c r="P256" s="49"/>
      <c r="Q256" s="53"/>
      <c r="R256" s="49"/>
      <c r="S256" s="53"/>
      <c r="T256" s="49"/>
      <c r="U256" s="53"/>
      <c r="V256" s="49"/>
      <c r="W256" s="53"/>
      <c r="X256" s="53"/>
      <c r="Y256" s="53"/>
      <c r="Z256" s="53"/>
      <c r="AA256" s="53"/>
      <c r="AB256" s="53"/>
      <c r="AC256" s="53"/>
      <c r="AD256" s="62">
        <f t="shared" si="6"/>
        <v>74</v>
      </c>
      <c r="AE256" s="55">
        <f t="shared" si="7"/>
        <v>47520</v>
      </c>
      <c r="AG256" s="57" t="s">
        <v>296</v>
      </c>
    </row>
    <row r="257" spans="1:33" hidden="1">
      <c r="A257" s="47">
        <v>255</v>
      </c>
      <c r="B257" s="56">
        <v>4971710619812</v>
      </c>
      <c r="C257" s="57" t="s">
        <v>1066</v>
      </c>
      <c r="D257" s="75" t="s">
        <v>884</v>
      </c>
      <c r="E257" s="48" t="s">
        <v>1068</v>
      </c>
      <c r="F257" s="58"/>
      <c r="G257" s="59"/>
      <c r="H257" s="60"/>
      <c r="I257" s="61"/>
      <c r="J257" s="58"/>
      <c r="K257" s="59"/>
      <c r="L257" s="49"/>
      <c r="M257" s="50"/>
      <c r="N257" s="49"/>
      <c r="O257" s="50"/>
      <c r="P257" s="49"/>
      <c r="Q257" s="53"/>
      <c r="R257" s="49"/>
      <c r="S257" s="53"/>
      <c r="T257" s="49"/>
      <c r="U257" s="53"/>
      <c r="V257" s="49"/>
      <c r="W257" s="53"/>
      <c r="X257" s="53"/>
      <c r="Y257" s="53"/>
      <c r="Z257" s="53"/>
      <c r="AA257" s="53"/>
      <c r="AB257" s="53">
        <v>71</v>
      </c>
      <c r="AC257" s="53">
        <v>50765</v>
      </c>
      <c r="AD257" s="63">
        <f t="shared" si="6"/>
        <v>71</v>
      </c>
      <c r="AE257" s="55">
        <f t="shared" si="7"/>
        <v>50765</v>
      </c>
      <c r="AG257" s="57" t="s">
        <v>815</v>
      </c>
    </row>
    <row r="258" spans="1:33" hidden="1">
      <c r="A258" s="47">
        <v>256</v>
      </c>
      <c r="B258" s="56">
        <v>4971710619829</v>
      </c>
      <c r="C258" s="57" t="s">
        <v>1067</v>
      </c>
      <c r="D258" s="75" t="s">
        <v>884</v>
      </c>
      <c r="E258" s="48" t="s">
        <v>1069</v>
      </c>
      <c r="F258" s="58"/>
      <c r="G258" s="59"/>
      <c r="H258" s="60"/>
      <c r="I258" s="61"/>
      <c r="J258" s="58"/>
      <c r="K258" s="59"/>
      <c r="L258" s="49"/>
      <c r="M258" s="50"/>
      <c r="N258" s="49"/>
      <c r="O258" s="50"/>
      <c r="P258" s="49"/>
      <c r="Q258" s="53"/>
      <c r="R258" s="49"/>
      <c r="S258" s="53"/>
      <c r="T258" s="49"/>
      <c r="U258" s="53"/>
      <c r="V258" s="49"/>
      <c r="W258" s="53"/>
      <c r="X258" s="53"/>
      <c r="Y258" s="53"/>
      <c r="Z258" s="53"/>
      <c r="AA258" s="53"/>
      <c r="AB258" s="53">
        <v>71</v>
      </c>
      <c r="AC258" s="53">
        <v>50765</v>
      </c>
      <c r="AD258" s="63">
        <f t="shared" si="6"/>
        <v>71</v>
      </c>
      <c r="AE258" s="55">
        <f t="shared" si="7"/>
        <v>50765</v>
      </c>
      <c r="AG258" s="57" t="s">
        <v>787</v>
      </c>
    </row>
    <row r="259" spans="1:33" hidden="1">
      <c r="A259" s="47">
        <v>257</v>
      </c>
      <c r="B259" s="56">
        <v>4971710579888</v>
      </c>
      <c r="C259" s="57" t="s">
        <v>662</v>
      </c>
      <c r="D259" s="75" t="s">
        <v>884</v>
      </c>
      <c r="E259" s="48" t="s">
        <v>663</v>
      </c>
      <c r="F259" s="58">
        <v>42</v>
      </c>
      <c r="G259" s="59">
        <v>34650</v>
      </c>
      <c r="H259" s="60">
        <v>12</v>
      </c>
      <c r="I259" s="61">
        <v>4950</v>
      </c>
      <c r="J259" s="58">
        <v>2</v>
      </c>
      <c r="K259" s="59">
        <v>1650</v>
      </c>
      <c r="L259" s="49"/>
      <c r="M259" s="50"/>
      <c r="N259" s="49">
        <v>2</v>
      </c>
      <c r="O259" s="50">
        <v>1650</v>
      </c>
      <c r="P259" s="49"/>
      <c r="Q259" s="53"/>
      <c r="R259" s="49"/>
      <c r="S259" s="53"/>
      <c r="T259" s="49"/>
      <c r="U259" s="53"/>
      <c r="V259" s="49">
        <v>4</v>
      </c>
      <c r="W259" s="53">
        <v>3300</v>
      </c>
      <c r="X259" s="53"/>
      <c r="Y259" s="53"/>
      <c r="Z259" s="53"/>
      <c r="AA259" s="53"/>
      <c r="AB259" s="53">
        <v>15</v>
      </c>
      <c r="AC259" s="53">
        <v>12375</v>
      </c>
      <c r="AD259" s="62">
        <f t="shared" si="6"/>
        <v>77</v>
      </c>
      <c r="AE259" s="55">
        <f t="shared" si="7"/>
        <v>58575</v>
      </c>
      <c r="AG259" s="57" t="s">
        <v>831</v>
      </c>
    </row>
    <row r="260" spans="1:33" hidden="1">
      <c r="A260" s="47">
        <v>258</v>
      </c>
      <c r="B260" s="56">
        <v>4971710565089</v>
      </c>
      <c r="C260" s="57" t="s">
        <v>507</v>
      </c>
      <c r="D260" s="75" t="s">
        <v>1078</v>
      </c>
      <c r="E260" s="48" t="s">
        <v>508</v>
      </c>
      <c r="F260" s="58">
        <v>12</v>
      </c>
      <c r="G260" s="59">
        <v>7920</v>
      </c>
      <c r="H260" s="60"/>
      <c r="I260" s="61"/>
      <c r="J260" s="58"/>
      <c r="K260" s="59"/>
      <c r="L260" s="49"/>
      <c r="M260" s="50"/>
      <c r="N260" s="49">
        <v>28</v>
      </c>
      <c r="O260" s="50">
        <v>18480</v>
      </c>
      <c r="P260" s="49"/>
      <c r="Q260" s="53"/>
      <c r="R260" s="49"/>
      <c r="S260" s="53"/>
      <c r="T260" s="49"/>
      <c r="U260" s="53"/>
      <c r="V260" s="49"/>
      <c r="W260" s="53"/>
      <c r="X260" s="53"/>
      <c r="Y260" s="53"/>
      <c r="Z260" s="53"/>
      <c r="AA260" s="53"/>
      <c r="AB260" s="53">
        <v>30</v>
      </c>
      <c r="AC260" s="53">
        <v>19800</v>
      </c>
      <c r="AD260" s="62">
        <f t="shared" ref="AD260:AD323" si="8">F260+H260+J260+L260+N260+P260+R260+T260+V260+X260+Z260+AB260</f>
        <v>70</v>
      </c>
      <c r="AE260" s="55">
        <f t="shared" ref="AE260:AE323" si="9">G260+I260+K260+M260+O260+Q260+S260+U260+W260+Y260+AA260+AC260</f>
        <v>46200</v>
      </c>
      <c r="AG260" s="57" t="s">
        <v>819</v>
      </c>
    </row>
    <row r="261" spans="1:33" hidden="1">
      <c r="A261" s="47">
        <v>259</v>
      </c>
      <c r="B261" s="56">
        <v>4971710288629</v>
      </c>
      <c r="C261" s="57" t="s">
        <v>770</v>
      </c>
      <c r="D261" s="75" t="s">
        <v>1080</v>
      </c>
      <c r="E261" s="48" t="s">
        <v>771</v>
      </c>
      <c r="F261" s="58">
        <v>30</v>
      </c>
      <c r="G261" s="59">
        <v>140250</v>
      </c>
      <c r="H261" s="60">
        <v>80</v>
      </c>
      <c r="I261" s="61">
        <v>187000</v>
      </c>
      <c r="J261" s="58"/>
      <c r="K261" s="59"/>
      <c r="L261" s="49"/>
      <c r="M261" s="50"/>
      <c r="N261" s="49"/>
      <c r="O261" s="50"/>
      <c r="P261" s="49"/>
      <c r="Q261" s="53"/>
      <c r="R261" s="49"/>
      <c r="S261" s="53"/>
      <c r="T261" s="49"/>
      <c r="U261" s="53"/>
      <c r="V261" s="49"/>
      <c r="W261" s="53"/>
      <c r="X261" s="53"/>
      <c r="Y261" s="53"/>
      <c r="Z261" s="53"/>
      <c r="AA261" s="53"/>
      <c r="AB261" s="53"/>
      <c r="AC261" s="53"/>
      <c r="AD261" s="62">
        <f t="shared" si="8"/>
        <v>110</v>
      </c>
      <c r="AE261" s="55">
        <f t="shared" si="9"/>
        <v>327250</v>
      </c>
      <c r="AG261" s="57" t="s">
        <v>821</v>
      </c>
    </row>
    <row r="262" spans="1:33" hidden="1">
      <c r="A262" s="47">
        <v>260</v>
      </c>
      <c r="B262" s="56">
        <v>4971710509038</v>
      </c>
      <c r="C262" s="57" t="s">
        <v>206</v>
      </c>
      <c r="D262" s="75" t="s">
        <v>884</v>
      </c>
      <c r="E262" s="48" t="s">
        <v>207</v>
      </c>
      <c r="F262" s="58">
        <v>30</v>
      </c>
      <c r="G262" s="59">
        <v>16500</v>
      </c>
      <c r="H262" s="60">
        <v>20</v>
      </c>
      <c r="I262" s="61">
        <v>5500</v>
      </c>
      <c r="J262" s="58">
        <v>30</v>
      </c>
      <c r="K262" s="59">
        <v>16500</v>
      </c>
      <c r="L262" s="49"/>
      <c r="M262" s="50"/>
      <c r="N262" s="49"/>
      <c r="O262" s="50"/>
      <c r="P262" s="49"/>
      <c r="Q262" s="53"/>
      <c r="R262" s="49"/>
      <c r="S262" s="53"/>
      <c r="T262" s="49"/>
      <c r="U262" s="53"/>
      <c r="V262" s="49"/>
      <c r="W262" s="53"/>
      <c r="X262" s="53"/>
      <c r="Y262" s="53"/>
      <c r="Z262" s="53"/>
      <c r="AA262" s="53"/>
      <c r="AB262" s="53"/>
      <c r="AC262" s="53"/>
      <c r="AD262" s="62">
        <f t="shared" si="8"/>
        <v>80</v>
      </c>
      <c r="AE262" s="55">
        <f t="shared" si="9"/>
        <v>38500</v>
      </c>
      <c r="AG262" s="57" t="s">
        <v>378</v>
      </c>
    </row>
    <row r="263" spans="1:33" hidden="1">
      <c r="A263" s="47">
        <v>261</v>
      </c>
      <c r="B263" s="56">
        <v>4971710597042</v>
      </c>
      <c r="C263" s="57" t="s">
        <v>825</v>
      </c>
      <c r="D263" s="75" t="s">
        <v>1078</v>
      </c>
      <c r="E263" s="48" t="s">
        <v>1018</v>
      </c>
      <c r="F263" s="58"/>
      <c r="G263" s="59"/>
      <c r="H263" s="60"/>
      <c r="I263" s="61"/>
      <c r="J263" s="58"/>
      <c r="K263" s="59"/>
      <c r="L263" s="49"/>
      <c r="M263" s="50"/>
      <c r="N263" s="49"/>
      <c r="O263" s="50"/>
      <c r="P263" s="49">
        <v>24</v>
      </c>
      <c r="Q263" s="53">
        <v>21120</v>
      </c>
      <c r="R263" s="49"/>
      <c r="S263" s="53"/>
      <c r="T263" s="49"/>
      <c r="U263" s="53"/>
      <c r="V263" s="49">
        <v>30</v>
      </c>
      <c r="W263" s="53">
        <v>26400</v>
      </c>
      <c r="X263" s="53"/>
      <c r="Y263" s="53"/>
      <c r="Z263" s="53"/>
      <c r="AA263" s="53"/>
      <c r="AB263" s="53">
        <v>15</v>
      </c>
      <c r="AC263" s="53">
        <v>13200</v>
      </c>
      <c r="AD263" s="63">
        <f t="shared" si="8"/>
        <v>69</v>
      </c>
      <c r="AE263" s="55">
        <f t="shared" si="9"/>
        <v>60720</v>
      </c>
      <c r="AG263" s="57" t="s">
        <v>822</v>
      </c>
    </row>
    <row r="264" spans="1:33" hidden="1">
      <c r="A264" s="47">
        <v>262</v>
      </c>
      <c r="B264" s="56">
        <v>4971710579871</v>
      </c>
      <c r="C264" s="57" t="s">
        <v>660</v>
      </c>
      <c r="D264" s="75" t="s">
        <v>884</v>
      </c>
      <c r="E264" s="48" t="s">
        <v>661</v>
      </c>
      <c r="F264" s="58">
        <v>42</v>
      </c>
      <c r="G264" s="59">
        <v>34650</v>
      </c>
      <c r="H264" s="60">
        <v>12</v>
      </c>
      <c r="I264" s="61">
        <v>4950</v>
      </c>
      <c r="J264" s="58">
        <v>2</v>
      </c>
      <c r="K264" s="59">
        <v>1650</v>
      </c>
      <c r="L264" s="49"/>
      <c r="M264" s="50"/>
      <c r="N264" s="49">
        <v>2</v>
      </c>
      <c r="O264" s="50">
        <v>1650</v>
      </c>
      <c r="P264" s="49"/>
      <c r="Q264" s="53"/>
      <c r="R264" s="49">
        <v>15</v>
      </c>
      <c r="S264" s="53">
        <v>12375</v>
      </c>
      <c r="T264" s="49"/>
      <c r="U264" s="53"/>
      <c r="V264" s="49"/>
      <c r="W264" s="53"/>
      <c r="X264" s="53"/>
      <c r="Y264" s="53"/>
      <c r="Z264" s="53"/>
      <c r="AA264" s="53"/>
      <c r="AB264" s="53">
        <v>2</v>
      </c>
      <c r="AC264" s="53">
        <v>1650</v>
      </c>
      <c r="AD264" s="62">
        <f t="shared" si="8"/>
        <v>75</v>
      </c>
      <c r="AE264" s="55">
        <f t="shared" si="9"/>
        <v>56925</v>
      </c>
      <c r="AG264" s="57" t="s">
        <v>292</v>
      </c>
    </row>
    <row r="265" spans="1:33" hidden="1">
      <c r="A265" s="47">
        <v>263</v>
      </c>
      <c r="B265" s="56">
        <v>4971710541168</v>
      </c>
      <c r="C265" s="57" t="s">
        <v>424</v>
      </c>
      <c r="D265" s="75" t="s">
        <v>884</v>
      </c>
      <c r="E265" s="48" t="s">
        <v>425</v>
      </c>
      <c r="F265" s="58">
        <v>20</v>
      </c>
      <c r="G265" s="59">
        <v>13200</v>
      </c>
      <c r="H265" s="60"/>
      <c r="I265" s="61"/>
      <c r="J265" s="58"/>
      <c r="K265" s="59"/>
      <c r="L265" s="49"/>
      <c r="M265" s="50"/>
      <c r="N265" s="49">
        <v>15</v>
      </c>
      <c r="O265" s="50">
        <v>9900</v>
      </c>
      <c r="P265" s="49">
        <v>4</v>
      </c>
      <c r="Q265" s="53">
        <v>2640</v>
      </c>
      <c r="R265" s="49"/>
      <c r="S265" s="53"/>
      <c r="T265" s="49">
        <v>30</v>
      </c>
      <c r="U265" s="53">
        <v>19800</v>
      </c>
      <c r="V265" s="49"/>
      <c r="W265" s="53"/>
      <c r="X265" s="53"/>
      <c r="Y265" s="53"/>
      <c r="Z265" s="53"/>
      <c r="AA265" s="53"/>
      <c r="AB265" s="53"/>
      <c r="AC265" s="53"/>
      <c r="AD265" s="62">
        <f t="shared" si="8"/>
        <v>69</v>
      </c>
      <c r="AE265" s="55">
        <f t="shared" si="9"/>
        <v>45540</v>
      </c>
      <c r="AG265" s="57" t="s">
        <v>803</v>
      </c>
    </row>
    <row r="266" spans="1:33">
      <c r="A266" s="47">
        <v>264</v>
      </c>
      <c r="B266" s="56">
        <v>4971710585063</v>
      </c>
      <c r="C266" s="57" t="s">
        <v>809</v>
      </c>
      <c r="D266" s="75" t="s">
        <v>1088</v>
      </c>
      <c r="E266" s="48" t="s">
        <v>1006</v>
      </c>
      <c r="F266" s="58"/>
      <c r="G266" s="59"/>
      <c r="H266" s="60"/>
      <c r="I266" s="61"/>
      <c r="J266" s="58"/>
      <c r="K266" s="59"/>
      <c r="L266" s="49"/>
      <c r="M266" s="50"/>
      <c r="N266" s="49">
        <v>69</v>
      </c>
      <c r="O266" s="50">
        <v>45540</v>
      </c>
      <c r="P266" s="49"/>
      <c r="Q266" s="53"/>
      <c r="R266" s="49"/>
      <c r="S266" s="53"/>
      <c r="T266" s="49"/>
      <c r="U266" s="53"/>
      <c r="V266" s="49"/>
      <c r="W266" s="53"/>
      <c r="X266" s="53"/>
      <c r="Y266" s="53"/>
      <c r="Z266" s="53"/>
      <c r="AA266" s="53"/>
      <c r="AB266" s="53"/>
      <c r="AC266" s="53"/>
      <c r="AD266" s="62">
        <f t="shared" si="8"/>
        <v>69</v>
      </c>
      <c r="AE266" s="55">
        <f t="shared" si="9"/>
        <v>45540</v>
      </c>
      <c r="AG266" s="57" t="s">
        <v>804</v>
      </c>
    </row>
    <row r="267" spans="1:33" hidden="1">
      <c r="A267" s="47">
        <v>265</v>
      </c>
      <c r="B267" s="56">
        <v>4971710494860</v>
      </c>
      <c r="C267" s="57" t="s">
        <v>126</v>
      </c>
      <c r="D267" s="75" t="s">
        <v>884</v>
      </c>
      <c r="E267" s="48" t="s">
        <v>127</v>
      </c>
      <c r="F267" s="58">
        <v>50</v>
      </c>
      <c r="G267" s="59">
        <v>30250</v>
      </c>
      <c r="H267" s="60">
        <v>36</v>
      </c>
      <c r="I267" s="61">
        <v>10890</v>
      </c>
      <c r="J267" s="58"/>
      <c r="K267" s="59"/>
      <c r="L267" s="49"/>
      <c r="M267" s="50"/>
      <c r="N267" s="49"/>
      <c r="O267" s="50"/>
      <c r="P267" s="49"/>
      <c r="Q267" s="53"/>
      <c r="R267" s="49"/>
      <c r="S267" s="53"/>
      <c r="T267" s="49"/>
      <c r="U267" s="53"/>
      <c r="V267" s="49"/>
      <c r="W267" s="53"/>
      <c r="X267" s="53"/>
      <c r="Y267" s="53"/>
      <c r="Z267" s="53"/>
      <c r="AA267" s="53"/>
      <c r="AB267" s="53"/>
      <c r="AC267" s="53"/>
      <c r="AD267" s="62">
        <f t="shared" si="8"/>
        <v>86</v>
      </c>
      <c r="AE267" s="55">
        <f t="shared" si="9"/>
        <v>41140</v>
      </c>
      <c r="AG267" s="57" t="s">
        <v>722</v>
      </c>
    </row>
    <row r="268" spans="1:33" hidden="1">
      <c r="A268" s="47">
        <v>266</v>
      </c>
      <c r="B268" s="56">
        <v>4971710588118</v>
      </c>
      <c r="C268" s="57" t="s">
        <v>714</v>
      </c>
      <c r="D268" s="75" t="s">
        <v>884</v>
      </c>
      <c r="E268" s="48" t="s">
        <v>715</v>
      </c>
      <c r="F268" s="58">
        <v>5</v>
      </c>
      <c r="G268" s="59">
        <v>3575</v>
      </c>
      <c r="H268" s="60">
        <v>12</v>
      </c>
      <c r="I268" s="61">
        <v>4290</v>
      </c>
      <c r="J268" s="58">
        <v>6</v>
      </c>
      <c r="K268" s="59">
        <v>4290</v>
      </c>
      <c r="L268" s="49">
        <v>6</v>
      </c>
      <c r="M268" s="50">
        <v>4290</v>
      </c>
      <c r="N268" s="49"/>
      <c r="O268" s="50"/>
      <c r="P268" s="49"/>
      <c r="Q268" s="53"/>
      <c r="R268" s="49">
        <v>2</v>
      </c>
      <c r="S268" s="53">
        <v>1430</v>
      </c>
      <c r="T268" s="49"/>
      <c r="U268" s="53"/>
      <c r="V268" s="49">
        <v>42</v>
      </c>
      <c r="W268" s="53">
        <v>30030</v>
      </c>
      <c r="X268" s="53"/>
      <c r="Y268" s="53"/>
      <c r="Z268" s="53"/>
      <c r="AA268" s="53"/>
      <c r="AB268" s="53"/>
      <c r="AC268" s="53"/>
      <c r="AD268" s="62">
        <f t="shared" si="8"/>
        <v>73</v>
      </c>
      <c r="AE268" s="55">
        <f t="shared" si="9"/>
        <v>47905</v>
      </c>
      <c r="AG268" s="57" t="s">
        <v>724</v>
      </c>
    </row>
    <row r="269" spans="1:33" hidden="1">
      <c r="A269" s="47">
        <v>267</v>
      </c>
      <c r="B269" s="56">
        <v>4971710516746</v>
      </c>
      <c r="C269" s="57" t="s">
        <v>324</v>
      </c>
      <c r="D269" s="75" t="s">
        <v>1078</v>
      </c>
      <c r="E269" s="48" t="s">
        <v>325</v>
      </c>
      <c r="F269" s="58"/>
      <c r="G269" s="59"/>
      <c r="H269" s="60"/>
      <c r="I269" s="61"/>
      <c r="J269" s="58"/>
      <c r="K269" s="59"/>
      <c r="L269" s="49">
        <v>6</v>
      </c>
      <c r="M269" s="50">
        <v>4620</v>
      </c>
      <c r="N269" s="49"/>
      <c r="O269" s="50"/>
      <c r="P269" s="49"/>
      <c r="Q269" s="53"/>
      <c r="R269" s="49"/>
      <c r="S269" s="53"/>
      <c r="T269" s="49">
        <v>15</v>
      </c>
      <c r="U269" s="53">
        <v>11550</v>
      </c>
      <c r="V269" s="49"/>
      <c r="W269" s="53"/>
      <c r="X269" s="53"/>
      <c r="Y269" s="53"/>
      <c r="Z269" s="53"/>
      <c r="AA269" s="53"/>
      <c r="AB269" s="53">
        <v>45</v>
      </c>
      <c r="AC269" s="53">
        <v>34650</v>
      </c>
      <c r="AD269" s="62">
        <f t="shared" si="8"/>
        <v>66</v>
      </c>
      <c r="AE269" s="55">
        <f t="shared" si="9"/>
        <v>50820</v>
      </c>
      <c r="AG269" s="57" t="s">
        <v>818</v>
      </c>
    </row>
    <row r="270" spans="1:33" hidden="1">
      <c r="A270" s="47">
        <v>268</v>
      </c>
      <c r="B270" s="56">
        <v>4971710516753</v>
      </c>
      <c r="C270" s="57" t="s">
        <v>326</v>
      </c>
      <c r="D270" s="75" t="s">
        <v>1078</v>
      </c>
      <c r="E270" s="48" t="s">
        <v>323</v>
      </c>
      <c r="F270" s="58"/>
      <c r="G270" s="59"/>
      <c r="H270" s="60"/>
      <c r="I270" s="61"/>
      <c r="J270" s="58"/>
      <c r="K270" s="59"/>
      <c r="L270" s="49">
        <v>6</v>
      </c>
      <c r="M270" s="50">
        <v>3630</v>
      </c>
      <c r="N270" s="49">
        <v>30</v>
      </c>
      <c r="O270" s="50">
        <v>18150</v>
      </c>
      <c r="P270" s="49"/>
      <c r="Q270" s="53"/>
      <c r="R270" s="49"/>
      <c r="S270" s="53"/>
      <c r="T270" s="49"/>
      <c r="U270" s="53"/>
      <c r="V270" s="49"/>
      <c r="W270" s="53"/>
      <c r="X270" s="53"/>
      <c r="Y270" s="53"/>
      <c r="Z270" s="53"/>
      <c r="AA270" s="53"/>
      <c r="AB270" s="53">
        <v>30</v>
      </c>
      <c r="AC270" s="53">
        <v>18150</v>
      </c>
      <c r="AD270" s="62">
        <f t="shared" si="8"/>
        <v>66</v>
      </c>
      <c r="AE270" s="55">
        <f t="shared" si="9"/>
        <v>39930</v>
      </c>
      <c r="AG270" s="57">
        <f>VLOOKUP(AF270,[1]OBK!$E:$F,2,0)</f>
        <v>0</v>
      </c>
    </row>
    <row r="271" spans="1:33" hidden="1">
      <c r="A271" s="47">
        <v>269</v>
      </c>
      <c r="B271" s="56">
        <v>4971710516852</v>
      </c>
      <c r="C271" s="57" t="s">
        <v>330</v>
      </c>
      <c r="D271" s="75" t="s">
        <v>1078</v>
      </c>
      <c r="E271" s="48" t="s">
        <v>331</v>
      </c>
      <c r="F271" s="58"/>
      <c r="G271" s="59"/>
      <c r="H271" s="60"/>
      <c r="I271" s="61"/>
      <c r="J271" s="58"/>
      <c r="K271" s="59"/>
      <c r="L271" s="49">
        <v>6</v>
      </c>
      <c r="M271" s="50">
        <v>5280</v>
      </c>
      <c r="N271" s="49">
        <v>30</v>
      </c>
      <c r="O271" s="50">
        <v>26400</v>
      </c>
      <c r="P271" s="49"/>
      <c r="Q271" s="53"/>
      <c r="R271" s="49"/>
      <c r="S271" s="53"/>
      <c r="T271" s="49"/>
      <c r="U271" s="53"/>
      <c r="V271" s="49"/>
      <c r="W271" s="53"/>
      <c r="X271" s="53"/>
      <c r="Y271" s="53"/>
      <c r="Z271" s="53"/>
      <c r="AA271" s="53"/>
      <c r="AB271" s="53">
        <v>30</v>
      </c>
      <c r="AC271" s="53">
        <v>26400</v>
      </c>
      <c r="AD271" s="62">
        <f t="shared" si="8"/>
        <v>66</v>
      </c>
      <c r="AE271" s="55">
        <f t="shared" si="9"/>
        <v>58080</v>
      </c>
      <c r="AG271" s="57" t="s">
        <v>322</v>
      </c>
    </row>
    <row r="272" spans="1:33" hidden="1">
      <c r="A272" s="47">
        <v>270</v>
      </c>
      <c r="B272" s="56">
        <v>4971710513578</v>
      </c>
      <c r="C272" s="57" t="s">
        <v>831</v>
      </c>
      <c r="D272" s="75" t="s">
        <v>1078</v>
      </c>
      <c r="E272" s="48" t="s">
        <v>1009</v>
      </c>
      <c r="F272" s="58"/>
      <c r="G272" s="59"/>
      <c r="H272" s="60"/>
      <c r="I272" s="61"/>
      <c r="J272" s="58"/>
      <c r="K272" s="59"/>
      <c r="L272" s="49"/>
      <c r="M272" s="50"/>
      <c r="N272" s="49"/>
      <c r="O272" s="50"/>
      <c r="P272" s="49"/>
      <c r="Q272" s="53"/>
      <c r="R272" s="49">
        <v>64</v>
      </c>
      <c r="S272" s="53">
        <v>38720</v>
      </c>
      <c r="T272" s="49"/>
      <c r="U272" s="53"/>
      <c r="V272" s="49"/>
      <c r="W272" s="53"/>
      <c r="X272" s="53"/>
      <c r="Y272" s="53"/>
      <c r="Z272" s="53"/>
      <c r="AA272" s="53"/>
      <c r="AB272" s="53"/>
      <c r="AC272" s="53"/>
      <c r="AD272" s="63">
        <f t="shared" si="8"/>
        <v>64</v>
      </c>
      <c r="AE272" s="55">
        <f t="shared" si="9"/>
        <v>38720</v>
      </c>
      <c r="AG272" s="57" t="s">
        <v>326</v>
      </c>
    </row>
    <row r="273" spans="1:33" hidden="1">
      <c r="A273" s="47">
        <v>271</v>
      </c>
      <c r="B273" s="56">
        <v>4971710489170</v>
      </c>
      <c r="C273" s="57" t="s">
        <v>86</v>
      </c>
      <c r="D273" s="75" t="s">
        <v>884</v>
      </c>
      <c r="E273" s="48" t="s">
        <v>87</v>
      </c>
      <c r="F273" s="58">
        <v>30</v>
      </c>
      <c r="G273" s="59">
        <v>16500</v>
      </c>
      <c r="H273" s="60"/>
      <c r="I273" s="61"/>
      <c r="J273" s="58"/>
      <c r="K273" s="59"/>
      <c r="L273" s="49"/>
      <c r="M273" s="50"/>
      <c r="N273" s="49"/>
      <c r="O273" s="50"/>
      <c r="P273" s="49"/>
      <c r="Q273" s="53"/>
      <c r="R273" s="49"/>
      <c r="S273" s="53"/>
      <c r="T273" s="49"/>
      <c r="U273" s="53"/>
      <c r="V273" s="49">
        <v>30</v>
      </c>
      <c r="W273" s="53">
        <v>16500</v>
      </c>
      <c r="X273" s="53"/>
      <c r="Y273" s="53"/>
      <c r="Z273" s="53"/>
      <c r="AA273" s="53"/>
      <c r="AB273" s="53"/>
      <c r="AC273" s="53"/>
      <c r="AD273" s="62">
        <f t="shared" si="8"/>
        <v>60</v>
      </c>
      <c r="AE273" s="55">
        <f t="shared" si="9"/>
        <v>33000</v>
      </c>
      <c r="AG273" s="57" t="s">
        <v>327</v>
      </c>
    </row>
    <row r="274" spans="1:33" hidden="1">
      <c r="A274" s="47">
        <v>272</v>
      </c>
      <c r="B274" s="56">
        <v>4971710513837</v>
      </c>
      <c r="C274" s="57" t="s">
        <v>286</v>
      </c>
      <c r="D274" s="75" t="s">
        <v>1078</v>
      </c>
      <c r="E274" s="48" t="s">
        <v>287</v>
      </c>
      <c r="F274" s="58"/>
      <c r="G274" s="59"/>
      <c r="H274" s="60"/>
      <c r="I274" s="61"/>
      <c r="J274" s="58"/>
      <c r="K274" s="59"/>
      <c r="L274" s="49"/>
      <c r="M274" s="50"/>
      <c r="N274" s="49"/>
      <c r="O274" s="50"/>
      <c r="P274" s="49"/>
      <c r="Q274" s="53"/>
      <c r="R274" s="49">
        <v>30</v>
      </c>
      <c r="S274" s="53">
        <v>19800</v>
      </c>
      <c r="T274" s="49">
        <v>30</v>
      </c>
      <c r="U274" s="53">
        <v>19800</v>
      </c>
      <c r="V274" s="49"/>
      <c r="W274" s="53"/>
      <c r="X274" s="53"/>
      <c r="Y274" s="53"/>
      <c r="Z274" s="53"/>
      <c r="AA274" s="53"/>
      <c r="AB274" s="53"/>
      <c r="AC274" s="53"/>
      <c r="AD274" s="62">
        <f t="shared" si="8"/>
        <v>60</v>
      </c>
      <c r="AE274" s="55">
        <f t="shared" si="9"/>
        <v>39600</v>
      </c>
      <c r="AG274" s="57" t="s">
        <v>330</v>
      </c>
    </row>
    <row r="275" spans="1:33" hidden="1">
      <c r="A275" s="47">
        <v>273</v>
      </c>
      <c r="B275" s="56">
        <v>4971710513851</v>
      </c>
      <c r="C275" s="57" t="s">
        <v>290</v>
      </c>
      <c r="D275" s="75" t="s">
        <v>1078</v>
      </c>
      <c r="E275" s="48" t="s">
        <v>291</v>
      </c>
      <c r="F275" s="58"/>
      <c r="G275" s="59"/>
      <c r="H275" s="60"/>
      <c r="I275" s="61"/>
      <c r="J275" s="58"/>
      <c r="K275" s="59"/>
      <c r="L275" s="49"/>
      <c r="M275" s="50"/>
      <c r="N275" s="49"/>
      <c r="O275" s="50"/>
      <c r="P275" s="49"/>
      <c r="Q275" s="53"/>
      <c r="R275" s="49">
        <v>30</v>
      </c>
      <c r="S275" s="53">
        <v>19800</v>
      </c>
      <c r="T275" s="49">
        <v>30</v>
      </c>
      <c r="U275" s="53">
        <v>19800</v>
      </c>
      <c r="V275" s="49"/>
      <c r="W275" s="53"/>
      <c r="X275" s="53"/>
      <c r="Y275" s="53"/>
      <c r="Z275" s="53"/>
      <c r="AA275" s="53"/>
      <c r="AB275" s="53"/>
      <c r="AC275" s="53"/>
      <c r="AD275" s="62">
        <f t="shared" si="8"/>
        <v>60</v>
      </c>
      <c r="AE275" s="55">
        <f t="shared" si="9"/>
        <v>39600</v>
      </c>
      <c r="AG275" s="57" t="s">
        <v>136</v>
      </c>
    </row>
    <row r="276" spans="1:33" hidden="1">
      <c r="A276" s="47">
        <v>274</v>
      </c>
      <c r="B276" s="56">
        <v>4971710591521</v>
      </c>
      <c r="C276" s="57" t="s">
        <v>803</v>
      </c>
      <c r="D276" s="75" t="s">
        <v>1078</v>
      </c>
      <c r="E276" s="48" t="s">
        <v>1001</v>
      </c>
      <c r="F276" s="58"/>
      <c r="G276" s="59"/>
      <c r="H276" s="60"/>
      <c r="I276" s="61"/>
      <c r="J276" s="58"/>
      <c r="K276" s="59"/>
      <c r="L276" s="49"/>
      <c r="M276" s="50"/>
      <c r="N276" s="49">
        <v>60</v>
      </c>
      <c r="O276" s="50">
        <v>39600</v>
      </c>
      <c r="P276" s="49"/>
      <c r="Q276" s="53"/>
      <c r="R276" s="49"/>
      <c r="S276" s="53"/>
      <c r="T276" s="49"/>
      <c r="U276" s="53"/>
      <c r="V276" s="49"/>
      <c r="W276" s="53"/>
      <c r="X276" s="53"/>
      <c r="Y276" s="53"/>
      <c r="Z276" s="53"/>
      <c r="AA276" s="53"/>
      <c r="AB276" s="53"/>
      <c r="AC276" s="53"/>
      <c r="AD276" s="62">
        <f t="shared" si="8"/>
        <v>60</v>
      </c>
      <c r="AE276" s="55">
        <f t="shared" si="9"/>
        <v>39600</v>
      </c>
      <c r="AG276" s="57" t="s">
        <v>812</v>
      </c>
    </row>
    <row r="277" spans="1:33" hidden="1">
      <c r="A277" s="47">
        <v>275</v>
      </c>
      <c r="B277" s="56">
        <v>4971710591538</v>
      </c>
      <c r="C277" s="57" t="s">
        <v>804</v>
      </c>
      <c r="D277" s="75" t="s">
        <v>1078</v>
      </c>
      <c r="E277" s="48" t="s">
        <v>1001</v>
      </c>
      <c r="F277" s="58"/>
      <c r="G277" s="59"/>
      <c r="H277" s="60"/>
      <c r="I277" s="61"/>
      <c r="J277" s="58"/>
      <c r="K277" s="59"/>
      <c r="L277" s="49"/>
      <c r="M277" s="50"/>
      <c r="N277" s="49">
        <v>60</v>
      </c>
      <c r="O277" s="50">
        <v>39600</v>
      </c>
      <c r="P277" s="49"/>
      <c r="Q277" s="53"/>
      <c r="R277" s="49"/>
      <c r="S277" s="53"/>
      <c r="T277" s="49"/>
      <c r="U277" s="53"/>
      <c r="V277" s="49"/>
      <c r="W277" s="53"/>
      <c r="X277" s="53"/>
      <c r="Y277" s="53"/>
      <c r="Z277" s="53"/>
      <c r="AA277" s="53"/>
      <c r="AB277" s="53"/>
      <c r="AC277" s="53"/>
      <c r="AD277" s="62">
        <f t="shared" si="8"/>
        <v>60</v>
      </c>
      <c r="AE277" s="55">
        <f t="shared" si="9"/>
        <v>39600</v>
      </c>
      <c r="AG277" s="57" t="s">
        <v>140</v>
      </c>
    </row>
    <row r="278" spans="1:33" hidden="1">
      <c r="A278" s="47">
        <v>276</v>
      </c>
      <c r="B278" s="56">
        <v>4971710516845</v>
      </c>
      <c r="C278" s="57" t="s">
        <v>328</v>
      </c>
      <c r="D278" s="75" t="s">
        <v>1078</v>
      </c>
      <c r="E278" s="48" t="s">
        <v>329</v>
      </c>
      <c r="F278" s="58"/>
      <c r="G278" s="59"/>
      <c r="H278" s="60"/>
      <c r="I278" s="61"/>
      <c r="J278" s="58"/>
      <c r="K278" s="59"/>
      <c r="L278" s="49">
        <v>6</v>
      </c>
      <c r="M278" s="50">
        <v>5280</v>
      </c>
      <c r="N278" s="49">
        <v>20</v>
      </c>
      <c r="O278" s="50">
        <v>17600</v>
      </c>
      <c r="P278" s="49"/>
      <c r="Q278" s="53"/>
      <c r="R278" s="49"/>
      <c r="S278" s="53"/>
      <c r="T278" s="49"/>
      <c r="U278" s="53"/>
      <c r="V278" s="49"/>
      <c r="W278" s="53"/>
      <c r="X278" s="53"/>
      <c r="Y278" s="53"/>
      <c r="Z278" s="53"/>
      <c r="AA278" s="53"/>
      <c r="AB278" s="53">
        <v>30</v>
      </c>
      <c r="AC278" s="53">
        <v>26400</v>
      </c>
      <c r="AD278" s="62">
        <f t="shared" si="8"/>
        <v>56</v>
      </c>
      <c r="AE278" s="55">
        <f t="shared" si="9"/>
        <v>49280</v>
      </c>
      <c r="AG278" s="57" t="s">
        <v>268</v>
      </c>
    </row>
    <row r="279" spans="1:33" hidden="1">
      <c r="A279" s="47">
        <v>277</v>
      </c>
      <c r="B279" s="56">
        <v>4971710597059</v>
      </c>
      <c r="C279" s="57" t="s">
        <v>824</v>
      </c>
      <c r="D279" s="75" t="s">
        <v>1078</v>
      </c>
      <c r="E279" s="48" t="s">
        <v>1023</v>
      </c>
      <c r="F279" s="58"/>
      <c r="G279" s="59"/>
      <c r="H279" s="60"/>
      <c r="I279" s="61"/>
      <c r="J279" s="58"/>
      <c r="K279" s="59"/>
      <c r="L279" s="49"/>
      <c r="M279" s="50"/>
      <c r="N279" s="49"/>
      <c r="O279" s="50"/>
      <c r="P279" s="49">
        <v>6</v>
      </c>
      <c r="Q279" s="53">
        <v>5280</v>
      </c>
      <c r="R279" s="49"/>
      <c r="S279" s="53"/>
      <c r="T279" s="49"/>
      <c r="U279" s="53"/>
      <c r="V279" s="49">
        <v>30</v>
      </c>
      <c r="W279" s="53">
        <v>26400</v>
      </c>
      <c r="X279" s="53"/>
      <c r="Y279" s="53"/>
      <c r="Z279" s="53"/>
      <c r="AA279" s="53"/>
      <c r="AB279" s="53">
        <v>20</v>
      </c>
      <c r="AC279" s="53">
        <v>17600</v>
      </c>
      <c r="AD279" s="63">
        <f t="shared" si="8"/>
        <v>56</v>
      </c>
      <c r="AE279" s="55">
        <f t="shared" si="9"/>
        <v>49280</v>
      </c>
      <c r="AG279" s="57" t="s">
        <v>7</v>
      </c>
    </row>
    <row r="280" spans="1:33" hidden="1">
      <c r="A280" s="47">
        <v>278</v>
      </c>
      <c r="B280" s="56">
        <v>4971710579901</v>
      </c>
      <c r="C280" s="57" t="s">
        <v>666</v>
      </c>
      <c r="D280" s="75" t="s">
        <v>884</v>
      </c>
      <c r="E280" s="48" t="s">
        <v>667</v>
      </c>
      <c r="F280" s="58">
        <v>42</v>
      </c>
      <c r="G280" s="59">
        <v>34650</v>
      </c>
      <c r="H280" s="60">
        <v>12</v>
      </c>
      <c r="I280" s="61">
        <v>4950</v>
      </c>
      <c r="J280" s="58">
        <v>2</v>
      </c>
      <c r="K280" s="59">
        <v>1650</v>
      </c>
      <c r="L280" s="49"/>
      <c r="M280" s="50"/>
      <c r="N280" s="49">
        <v>2</v>
      </c>
      <c r="O280" s="50">
        <v>1650</v>
      </c>
      <c r="P280" s="49"/>
      <c r="Q280" s="53"/>
      <c r="R280" s="49"/>
      <c r="S280" s="53"/>
      <c r="T280" s="49"/>
      <c r="U280" s="53"/>
      <c r="V280" s="49">
        <v>4</v>
      </c>
      <c r="W280" s="53">
        <v>3300</v>
      </c>
      <c r="X280" s="53"/>
      <c r="Y280" s="53"/>
      <c r="Z280" s="53"/>
      <c r="AA280" s="53"/>
      <c r="AB280" s="53"/>
      <c r="AC280" s="53"/>
      <c r="AD280" s="62">
        <f t="shared" si="8"/>
        <v>62</v>
      </c>
      <c r="AE280" s="55">
        <f t="shared" si="9"/>
        <v>46200</v>
      </c>
      <c r="AG280" s="57" t="s">
        <v>424</v>
      </c>
    </row>
    <row r="281" spans="1:33" hidden="1">
      <c r="A281" s="47">
        <v>279</v>
      </c>
      <c r="B281" s="56">
        <v>4971710494938</v>
      </c>
      <c r="C281" s="57" t="s">
        <v>136</v>
      </c>
      <c r="D281" s="75" t="s">
        <v>884</v>
      </c>
      <c r="E281" s="48" t="s">
        <v>137</v>
      </c>
      <c r="F281" s="58"/>
      <c r="G281" s="59"/>
      <c r="H281" s="60"/>
      <c r="I281" s="61"/>
      <c r="J281" s="58">
        <v>5</v>
      </c>
      <c r="K281" s="59">
        <v>3300</v>
      </c>
      <c r="L281" s="49">
        <v>20</v>
      </c>
      <c r="M281" s="50">
        <v>13200</v>
      </c>
      <c r="N281" s="49">
        <v>20</v>
      </c>
      <c r="O281" s="50">
        <v>13200</v>
      </c>
      <c r="P281" s="49">
        <v>10</v>
      </c>
      <c r="Q281" s="53">
        <v>6600</v>
      </c>
      <c r="R281" s="49"/>
      <c r="S281" s="53"/>
      <c r="T281" s="49"/>
      <c r="U281" s="53"/>
      <c r="V281" s="49"/>
      <c r="W281" s="53"/>
      <c r="X281" s="53"/>
      <c r="Y281" s="53"/>
      <c r="Z281" s="53"/>
      <c r="AA281" s="53"/>
      <c r="AB281" s="53"/>
      <c r="AC281" s="53"/>
      <c r="AD281" s="62">
        <f t="shared" si="8"/>
        <v>55</v>
      </c>
      <c r="AE281" s="55">
        <f t="shared" si="9"/>
        <v>36300</v>
      </c>
      <c r="AG281" s="57" t="s">
        <v>300</v>
      </c>
    </row>
    <row r="282" spans="1:33" hidden="1">
      <c r="A282" s="47">
        <v>280</v>
      </c>
      <c r="B282" s="56">
        <v>4971710579925</v>
      </c>
      <c r="C282" s="57" t="s">
        <v>670</v>
      </c>
      <c r="D282" s="75" t="s">
        <v>884</v>
      </c>
      <c r="E282" s="48" t="s">
        <v>671</v>
      </c>
      <c r="F282" s="58">
        <v>42</v>
      </c>
      <c r="G282" s="59">
        <v>34650</v>
      </c>
      <c r="H282" s="60">
        <v>12</v>
      </c>
      <c r="I282" s="61">
        <v>4950</v>
      </c>
      <c r="J282" s="58">
        <v>2</v>
      </c>
      <c r="K282" s="59">
        <v>1650</v>
      </c>
      <c r="L282" s="49"/>
      <c r="M282" s="50"/>
      <c r="N282" s="49">
        <v>2</v>
      </c>
      <c r="O282" s="50">
        <v>1650</v>
      </c>
      <c r="P282" s="49"/>
      <c r="Q282" s="53"/>
      <c r="R282" s="49"/>
      <c r="S282" s="53"/>
      <c r="T282" s="49"/>
      <c r="U282" s="53"/>
      <c r="V282" s="49"/>
      <c r="W282" s="53"/>
      <c r="X282" s="53"/>
      <c r="Y282" s="53"/>
      <c r="Z282" s="53"/>
      <c r="AA282" s="53"/>
      <c r="AB282" s="53">
        <v>2</v>
      </c>
      <c r="AC282" s="53">
        <v>1650</v>
      </c>
      <c r="AD282" s="62">
        <f t="shared" si="8"/>
        <v>60</v>
      </c>
      <c r="AE282" s="55">
        <f t="shared" si="9"/>
        <v>44550</v>
      </c>
      <c r="AG282" s="57" t="s">
        <v>302</v>
      </c>
    </row>
    <row r="283" spans="1:33" hidden="1">
      <c r="A283" s="47">
        <v>281</v>
      </c>
      <c r="B283" s="56">
        <v>4971710519440</v>
      </c>
      <c r="C283" s="57" t="s">
        <v>354</v>
      </c>
      <c r="D283" s="75" t="s">
        <v>884</v>
      </c>
      <c r="E283" s="48" t="s">
        <v>355</v>
      </c>
      <c r="F283" s="58"/>
      <c r="G283" s="59"/>
      <c r="H283" s="60"/>
      <c r="I283" s="61"/>
      <c r="J283" s="58"/>
      <c r="K283" s="59"/>
      <c r="L283" s="49"/>
      <c r="M283" s="50"/>
      <c r="N283" s="49">
        <v>50</v>
      </c>
      <c r="O283" s="50">
        <v>27500</v>
      </c>
      <c r="P283" s="49"/>
      <c r="Q283" s="53"/>
      <c r="R283" s="49">
        <v>4</v>
      </c>
      <c r="S283" s="53">
        <v>2200</v>
      </c>
      <c r="T283" s="49"/>
      <c r="U283" s="53"/>
      <c r="V283" s="49"/>
      <c r="W283" s="53"/>
      <c r="X283" s="53"/>
      <c r="Y283" s="53"/>
      <c r="Z283" s="53"/>
      <c r="AA283" s="53"/>
      <c r="AB283" s="53"/>
      <c r="AC283" s="53"/>
      <c r="AD283" s="62">
        <f t="shared" si="8"/>
        <v>54</v>
      </c>
      <c r="AE283" s="55">
        <f t="shared" si="9"/>
        <v>29700</v>
      </c>
      <c r="AG283" s="57" t="s">
        <v>328</v>
      </c>
    </row>
    <row r="284" spans="1:33" hidden="1">
      <c r="A284" s="47">
        <v>282</v>
      </c>
      <c r="B284" s="56">
        <v>4971710579895</v>
      </c>
      <c r="C284" s="57" t="s">
        <v>664</v>
      </c>
      <c r="D284" s="75" t="s">
        <v>884</v>
      </c>
      <c r="E284" s="48" t="s">
        <v>665</v>
      </c>
      <c r="F284" s="58">
        <v>42</v>
      </c>
      <c r="G284" s="59">
        <v>34650</v>
      </c>
      <c r="H284" s="60">
        <v>16</v>
      </c>
      <c r="I284" s="61">
        <v>6600</v>
      </c>
      <c r="J284" s="58">
        <v>2</v>
      </c>
      <c r="K284" s="59">
        <v>1650</v>
      </c>
      <c r="L284" s="49"/>
      <c r="M284" s="50"/>
      <c r="N284" s="49">
        <v>2</v>
      </c>
      <c r="O284" s="50">
        <v>1650</v>
      </c>
      <c r="P284" s="49"/>
      <c r="Q284" s="53"/>
      <c r="R284" s="49"/>
      <c r="S284" s="53"/>
      <c r="T284" s="49"/>
      <c r="U284" s="53"/>
      <c r="V284" s="49"/>
      <c r="W284" s="53"/>
      <c r="X284" s="53"/>
      <c r="Y284" s="53"/>
      <c r="Z284" s="53"/>
      <c r="AA284" s="53"/>
      <c r="AB284" s="53"/>
      <c r="AC284" s="53"/>
      <c r="AD284" s="62">
        <f t="shared" si="8"/>
        <v>62</v>
      </c>
      <c r="AE284" s="55">
        <f t="shared" si="9"/>
        <v>44550</v>
      </c>
      <c r="AG284" s="57" t="s">
        <v>720</v>
      </c>
    </row>
    <row r="285" spans="1:33" hidden="1">
      <c r="A285" s="47">
        <v>283</v>
      </c>
      <c r="B285" s="56">
        <v>4971710519464</v>
      </c>
      <c r="C285" s="57" t="s">
        <v>358</v>
      </c>
      <c r="D285" s="75" t="s">
        <v>884</v>
      </c>
      <c r="E285" s="48" t="s">
        <v>359</v>
      </c>
      <c r="F285" s="58"/>
      <c r="G285" s="59"/>
      <c r="H285" s="60">
        <v>4</v>
      </c>
      <c r="I285" s="61">
        <v>1100</v>
      </c>
      <c r="J285" s="58"/>
      <c r="K285" s="59"/>
      <c r="L285" s="49">
        <v>30</v>
      </c>
      <c r="M285" s="50">
        <v>16500</v>
      </c>
      <c r="N285" s="49">
        <v>20</v>
      </c>
      <c r="O285" s="50">
        <v>11000</v>
      </c>
      <c r="P285" s="49"/>
      <c r="Q285" s="53"/>
      <c r="R285" s="49"/>
      <c r="S285" s="53"/>
      <c r="T285" s="49"/>
      <c r="U285" s="53"/>
      <c r="V285" s="49"/>
      <c r="W285" s="53"/>
      <c r="X285" s="53"/>
      <c r="Y285" s="53"/>
      <c r="Z285" s="53"/>
      <c r="AA285" s="53"/>
      <c r="AB285" s="53"/>
      <c r="AC285" s="53"/>
      <c r="AD285" s="62">
        <f t="shared" si="8"/>
        <v>54</v>
      </c>
      <c r="AE285" s="55">
        <f t="shared" si="9"/>
        <v>28600</v>
      </c>
      <c r="AG285" s="57" t="s">
        <v>374</v>
      </c>
    </row>
    <row r="286" spans="1:33" hidden="1">
      <c r="A286" s="47">
        <v>284</v>
      </c>
      <c r="B286" s="56">
        <v>4971710522396</v>
      </c>
      <c r="C286" s="57" t="s">
        <v>378</v>
      </c>
      <c r="D286" s="75" t="s">
        <v>1078</v>
      </c>
      <c r="E286" s="48" t="s">
        <v>379</v>
      </c>
      <c r="F286" s="58">
        <v>10</v>
      </c>
      <c r="G286" s="59">
        <v>4950</v>
      </c>
      <c r="H286" s="60"/>
      <c r="I286" s="61"/>
      <c r="J286" s="58">
        <v>20</v>
      </c>
      <c r="K286" s="59">
        <v>9900</v>
      </c>
      <c r="L286" s="49">
        <v>21</v>
      </c>
      <c r="M286" s="50">
        <v>10395</v>
      </c>
      <c r="N286" s="49"/>
      <c r="O286" s="50"/>
      <c r="P286" s="49"/>
      <c r="Q286" s="53"/>
      <c r="R286" s="49"/>
      <c r="S286" s="53"/>
      <c r="T286" s="49"/>
      <c r="U286" s="53"/>
      <c r="V286" s="49"/>
      <c r="W286" s="53"/>
      <c r="X286" s="53"/>
      <c r="Y286" s="53"/>
      <c r="Z286" s="53"/>
      <c r="AA286" s="53"/>
      <c r="AB286" s="53"/>
      <c r="AC286" s="53"/>
      <c r="AD286" s="62">
        <f t="shared" si="8"/>
        <v>51</v>
      </c>
      <c r="AE286" s="55">
        <f t="shared" si="9"/>
        <v>25245</v>
      </c>
      <c r="AG286" s="57" t="s">
        <v>182</v>
      </c>
    </row>
    <row r="287" spans="1:33" hidden="1">
      <c r="A287" s="47">
        <v>285</v>
      </c>
      <c r="B287" s="56">
        <v>4971710573145</v>
      </c>
      <c r="C287" s="57" t="s">
        <v>1027</v>
      </c>
      <c r="D287" s="75" t="s">
        <v>1076</v>
      </c>
      <c r="E287" s="48" t="s">
        <v>933</v>
      </c>
      <c r="F287" s="58"/>
      <c r="G287" s="59"/>
      <c r="H287" s="60"/>
      <c r="I287" s="61"/>
      <c r="J287" s="58"/>
      <c r="K287" s="59"/>
      <c r="L287" s="49"/>
      <c r="M287" s="50"/>
      <c r="N287" s="49"/>
      <c r="O287" s="50"/>
      <c r="P287" s="49"/>
      <c r="Q287" s="53"/>
      <c r="R287" s="49"/>
      <c r="S287" s="53"/>
      <c r="T287" s="49"/>
      <c r="U287" s="53"/>
      <c r="V287" s="49"/>
      <c r="W287" s="53"/>
      <c r="X287" s="53"/>
      <c r="Y287" s="53"/>
      <c r="Z287" s="53"/>
      <c r="AA287" s="53"/>
      <c r="AB287" s="53">
        <v>50</v>
      </c>
      <c r="AC287" s="53">
        <v>5500</v>
      </c>
      <c r="AD287" s="63">
        <f t="shared" si="8"/>
        <v>50</v>
      </c>
      <c r="AE287" s="55">
        <f t="shared" si="9"/>
        <v>5500</v>
      </c>
      <c r="AG287" s="57" t="s">
        <v>352</v>
      </c>
    </row>
    <row r="288" spans="1:33" hidden="1">
      <c r="A288" s="47">
        <v>286</v>
      </c>
      <c r="B288" s="56">
        <v>4971710579819</v>
      </c>
      <c r="C288" s="57" t="s">
        <v>658</v>
      </c>
      <c r="D288" s="75" t="s">
        <v>884</v>
      </c>
      <c r="E288" s="48" t="s">
        <v>659</v>
      </c>
      <c r="F288" s="58">
        <v>50</v>
      </c>
      <c r="G288" s="59">
        <v>33000</v>
      </c>
      <c r="H288" s="60"/>
      <c r="I288" s="61"/>
      <c r="J288" s="58"/>
      <c r="K288" s="59"/>
      <c r="L288" s="49"/>
      <c r="M288" s="50"/>
      <c r="N288" s="49"/>
      <c r="O288" s="50"/>
      <c r="P288" s="49"/>
      <c r="Q288" s="53"/>
      <c r="R288" s="49"/>
      <c r="S288" s="53"/>
      <c r="T288" s="49"/>
      <c r="U288" s="53"/>
      <c r="V288" s="49"/>
      <c r="W288" s="53"/>
      <c r="X288" s="53"/>
      <c r="Y288" s="53"/>
      <c r="Z288" s="53"/>
      <c r="AA288" s="53"/>
      <c r="AB288" s="53"/>
      <c r="AC288" s="53"/>
      <c r="AD288" s="62">
        <f t="shared" si="8"/>
        <v>50</v>
      </c>
      <c r="AE288" s="55">
        <f t="shared" si="9"/>
        <v>33000</v>
      </c>
      <c r="AG288" s="57" t="s">
        <v>86</v>
      </c>
    </row>
    <row r="289" spans="1:33" hidden="1">
      <c r="A289" s="47">
        <v>287</v>
      </c>
      <c r="B289" s="56">
        <v>4971710494952</v>
      </c>
      <c r="C289" s="57" t="s">
        <v>140</v>
      </c>
      <c r="D289" s="75" t="s">
        <v>884</v>
      </c>
      <c r="E289" s="48" t="s">
        <v>141</v>
      </c>
      <c r="F289" s="58"/>
      <c r="G289" s="59"/>
      <c r="H289" s="60">
        <v>8</v>
      </c>
      <c r="I289" s="61">
        <v>2640</v>
      </c>
      <c r="J289" s="58"/>
      <c r="K289" s="59"/>
      <c r="L289" s="49">
        <v>14</v>
      </c>
      <c r="M289" s="50">
        <v>9240</v>
      </c>
      <c r="N289" s="49">
        <v>10</v>
      </c>
      <c r="O289" s="50">
        <v>6600</v>
      </c>
      <c r="P289" s="49">
        <v>22</v>
      </c>
      <c r="Q289" s="53">
        <v>14520</v>
      </c>
      <c r="R289" s="49"/>
      <c r="S289" s="53"/>
      <c r="T289" s="49"/>
      <c r="U289" s="53"/>
      <c r="V289" s="49"/>
      <c r="W289" s="53"/>
      <c r="X289" s="53"/>
      <c r="Y289" s="53"/>
      <c r="Z289" s="53"/>
      <c r="AA289" s="53"/>
      <c r="AB289" s="53"/>
      <c r="AC289" s="53"/>
      <c r="AD289" s="62">
        <f t="shared" si="8"/>
        <v>54</v>
      </c>
      <c r="AE289" s="55">
        <f t="shared" si="9"/>
        <v>33000</v>
      </c>
      <c r="AG289" s="57" t="s">
        <v>264</v>
      </c>
    </row>
    <row r="290" spans="1:33" hidden="1">
      <c r="A290" s="47">
        <v>288</v>
      </c>
      <c r="B290" s="56">
        <v>4971710475036</v>
      </c>
      <c r="C290" s="57" t="s">
        <v>774</v>
      </c>
      <c r="D290" s="75" t="s">
        <v>884</v>
      </c>
      <c r="E290" s="48" t="s">
        <v>1014</v>
      </c>
      <c r="F290" s="58"/>
      <c r="G290" s="59"/>
      <c r="H290" s="60"/>
      <c r="I290" s="61"/>
      <c r="J290" s="58">
        <v>20</v>
      </c>
      <c r="K290" s="59">
        <v>8800</v>
      </c>
      <c r="L290" s="49"/>
      <c r="M290" s="50"/>
      <c r="N290" s="49"/>
      <c r="O290" s="50"/>
      <c r="P290" s="49">
        <v>20</v>
      </c>
      <c r="Q290" s="53">
        <v>8800</v>
      </c>
      <c r="R290" s="49"/>
      <c r="S290" s="53"/>
      <c r="T290" s="49"/>
      <c r="U290" s="53"/>
      <c r="V290" s="49">
        <v>6</v>
      </c>
      <c r="W290" s="53">
        <v>2640</v>
      </c>
      <c r="X290" s="53"/>
      <c r="Y290" s="53"/>
      <c r="Z290" s="53"/>
      <c r="AA290" s="53"/>
      <c r="AB290" s="53"/>
      <c r="AC290" s="53"/>
      <c r="AD290" s="62">
        <f t="shared" si="8"/>
        <v>46</v>
      </c>
      <c r="AE290" s="55">
        <f t="shared" si="9"/>
        <v>20240</v>
      </c>
      <c r="AG290" s="57" t="s">
        <v>774</v>
      </c>
    </row>
    <row r="291" spans="1:33" hidden="1">
      <c r="A291" s="47">
        <v>289</v>
      </c>
      <c r="B291" s="56">
        <v>4971710506730</v>
      </c>
      <c r="C291" s="57" t="s">
        <v>779</v>
      </c>
      <c r="D291" s="75" t="s">
        <v>884</v>
      </c>
      <c r="E291" s="48" t="s">
        <v>780</v>
      </c>
      <c r="F291" s="58"/>
      <c r="G291" s="59"/>
      <c r="H291" s="60">
        <v>24</v>
      </c>
      <c r="I291" s="61">
        <v>9900</v>
      </c>
      <c r="J291" s="58"/>
      <c r="K291" s="59"/>
      <c r="L291" s="49">
        <v>10</v>
      </c>
      <c r="M291" s="50">
        <v>8250</v>
      </c>
      <c r="N291" s="49"/>
      <c r="O291" s="50"/>
      <c r="P291" s="49"/>
      <c r="Q291" s="53"/>
      <c r="R291" s="49">
        <v>7</v>
      </c>
      <c r="S291" s="53">
        <v>5775</v>
      </c>
      <c r="T291" s="49">
        <v>10</v>
      </c>
      <c r="U291" s="53">
        <v>8250</v>
      </c>
      <c r="V291" s="49">
        <v>3</v>
      </c>
      <c r="W291" s="53">
        <v>2475</v>
      </c>
      <c r="X291" s="53"/>
      <c r="Y291" s="53"/>
      <c r="Z291" s="53"/>
      <c r="AA291" s="53"/>
      <c r="AB291" s="53"/>
      <c r="AC291" s="53"/>
      <c r="AD291" s="62">
        <f t="shared" si="8"/>
        <v>54</v>
      </c>
      <c r="AE291" s="55">
        <f t="shared" si="9"/>
        <v>34650</v>
      </c>
      <c r="AG291" s="57" t="s">
        <v>790</v>
      </c>
    </row>
    <row r="292" spans="1:33" hidden="1">
      <c r="A292" s="47">
        <v>290</v>
      </c>
      <c r="B292" s="56">
        <v>4971710615807</v>
      </c>
      <c r="C292" s="57" t="s">
        <v>1048</v>
      </c>
      <c r="D292" s="75" t="s">
        <v>1076</v>
      </c>
      <c r="E292" s="48" t="s">
        <v>1049</v>
      </c>
      <c r="F292" s="58"/>
      <c r="G292" s="59"/>
      <c r="H292" s="60"/>
      <c r="I292" s="61"/>
      <c r="J292" s="58"/>
      <c r="K292" s="59"/>
      <c r="L292" s="49"/>
      <c r="M292" s="50"/>
      <c r="N292" s="49"/>
      <c r="O292" s="50"/>
      <c r="P292" s="49"/>
      <c r="Q292" s="53"/>
      <c r="R292" s="49"/>
      <c r="S292" s="53"/>
      <c r="T292" s="49"/>
      <c r="U292" s="53"/>
      <c r="V292" s="49"/>
      <c r="W292" s="53"/>
      <c r="X292" s="53"/>
      <c r="Y292" s="53"/>
      <c r="Z292" s="53"/>
      <c r="AA292" s="53"/>
      <c r="AB292" s="53">
        <v>40</v>
      </c>
      <c r="AC292" s="53">
        <v>114400</v>
      </c>
      <c r="AD292" s="63">
        <f t="shared" si="8"/>
        <v>40</v>
      </c>
      <c r="AE292" s="55">
        <f t="shared" si="9"/>
        <v>114400</v>
      </c>
      <c r="AG292" s="57" t="s">
        <v>779</v>
      </c>
    </row>
    <row r="293" spans="1:33" hidden="1">
      <c r="A293" s="47">
        <v>291</v>
      </c>
      <c r="B293" s="56">
        <v>4971710615791</v>
      </c>
      <c r="C293" s="57" t="s">
        <v>1050</v>
      </c>
      <c r="D293" s="75" t="s">
        <v>1076</v>
      </c>
      <c r="E293" s="48" t="s">
        <v>946</v>
      </c>
      <c r="F293" s="58"/>
      <c r="G293" s="59"/>
      <c r="H293" s="60"/>
      <c r="I293" s="61"/>
      <c r="J293" s="58"/>
      <c r="K293" s="59"/>
      <c r="L293" s="49"/>
      <c r="M293" s="50"/>
      <c r="N293" s="49"/>
      <c r="O293" s="50"/>
      <c r="P293" s="49"/>
      <c r="Q293" s="53"/>
      <c r="R293" s="49"/>
      <c r="S293" s="53"/>
      <c r="T293" s="49"/>
      <c r="U293" s="53"/>
      <c r="V293" s="49"/>
      <c r="W293" s="53"/>
      <c r="X293" s="53"/>
      <c r="Y293" s="53"/>
      <c r="Z293" s="53"/>
      <c r="AA293" s="53"/>
      <c r="AB293" s="53">
        <v>40</v>
      </c>
      <c r="AC293" s="53">
        <v>105600</v>
      </c>
      <c r="AD293" s="63">
        <f t="shared" si="8"/>
        <v>40</v>
      </c>
      <c r="AE293" s="55">
        <f t="shared" si="9"/>
        <v>105600</v>
      </c>
      <c r="AG293" s="57" t="s">
        <v>652</v>
      </c>
    </row>
    <row r="294" spans="1:33" hidden="1">
      <c r="A294" s="47">
        <v>292</v>
      </c>
      <c r="B294" s="56">
        <v>4971710597066</v>
      </c>
      <c r="C294" s="57" t="s">
        <v>971</v>
      </c>
      <c r="D294" s="75" t="s">
        <v>1078</v>
      </c>
      <c r="E294" s="48" t="s">
        <v>972</v>
      </c>
      <c r="F294" s="58"/>
      <c r="G294" s="59"/>
      <c r="H294" s="60"/>
      <c r="I294" s="61"/>
      <c r="J294" s="58"/>
      <c r="K294" s="59"/>
      <c r="L294" s="49"/>
      <c r="M294" s="50"/>
      <c r="N294" s="49"/>
      <c r="O294" s="50"/>
      <c r="P294" s="49"/>
      <c r="Q294" s="53"/>
      <c r="R294" s="49"/>
      <c r="S294" s="53"/>
      <c r="T294" s="49"/>
      <c r="U294" s="53"/>
      <c r="V294" s="49">
        <v>30</v>
      </c>
      <c r="W294" s="53">
        <v>26400</v>
      </c>
      <c r="X294" s="53"/>
      <c r="Y294" s="53"/>
      <c r="Z294" s="53"/>
      <c r="AA294" s="53"/>
      <c r="AB294" s="53">
        <v>10</v>
      </c>
      <c r="AC294" s="53">
        <v>8800</v>
      </c>
      <c r="AD294" s="63">
        <f t="shared" si="8"/>
        <v>40</v>
      </c>
      <c r="AE294" s="55">
        <f t="shared" si="9"/>
        <v>35200</v>
      </c>
      <c r="AG294" s="57" t="s">
        <v>202</v>
      </c>
    </row>
    <row r="295" spans="1:33" hidden="1">
      <c r="A295" s="47">
        <v>293</v>
      </c>
      <c r="B295" s="56">
        <v>4971710541175</v>
      </c>
      <c r="C295" s="57" t="s">
        <v>426</v>
      </c>
      <c r="D295" s="75" t="s">
        <v>884</v>
      </c>
      <c r="E295" s="48" t="s">
        <v>427</v>
      </c>
      <c r="F295" s="58">
        <v>20</v>
      </c>
      <c r="G295" s="59">
        <v>13200</v>
      </c>
      <c r="H295" s="60"/>
      <c r="I295" s="61"/>
      <c r="J295" s="58"/>
      <c r="K295" s="59"/>
      <c r="L295" s="49"/>
      <c r="M295" s="50"/>
      <c r="N295" s="49"/>
      <c r="O295" s="50"/>
      <c r="P295" s="49"/>
      <c r="Q295" s="53"/>
      <c r="R295" s="49"/>
      <c r="S295" s="53"/>
      <c r="T295" s="49"/>
      <c r="U295" s="53"/>
      <c r="V295" s="49">
        <v>20</v>
      </c>
      <c r="W295" s="53">
        <v>13200</v>
      </c>
      <c r="X295" s="53"/>
      <c r="Y295" s="53"/>
      <c r="Z295" s="53"/>
      <c r="AA295" s="53"/>
      <c r="AB295" s="53"/>
      <c r="AC295" s="53"/>
      <c r="AD295" s="62">
        <f t="shared" si="8"/>
        <v>40</v>
      </c>
      <c r="AE295" s="55">
        <f t="shared" si="9"/>
        <v>26400</v>
      </c>
      <c r="AG295" s="57" t="s">
        <v>529</v>
      </c>
    </row>
    <row r="296" spans="1:33" hidden="1">
      <c r="A296" s="47">
        <v>294</v>
      </c>
      <c r="B296" s="56">
        <v>4971710513646</v>
      </c>
      <c r="C296" s="57" t="s">
        <v>264</v>
      </c>
      <c r="D296" s="75" t="s">
        <v>1078</v>
      </c>
      <c r="E296" s="48" t="s">
        <v>265</v>
      </c>
      <c r="F296" s="58"/>
      <c r="G296" s="59"/>
      <c r="H296" s="60"/>
      <c r="I296" s="61"/>
      <c r="J296" s="58"/>
      <c r="K296" s="59"/>
      <c r="L296" s="49"/>
      <c r="M296" s="50"/>
      <c r="N296" s="49">
        <v>20</v>
      </c>
      <c r="O296" s="50">
        <v>9340</v>
      </c>
      <c r="P296" s="49"/>
      <c r="Q296" s="53"/>
      <c r="R296" s="49"/>
      <c r="S296" s="53"/>
      <c r="T296" s="49"/>
      <c r="U296" s="53"/>
      <c r="V296" s="49">
        <v>20</v>
      </c>
      <c r="W296" s="53">
        <v>9340</v>
      </c>
      <c r="X296" s="53"/>
      <c r="Y296" s="53"/>
      <c r="Z296" s="53"/>
      <c r="AA296" s="53"/>
      <c r="AB296" s="53"/>
      <c r="AC296" s="53"/>
      <c r="AD296" s="62">
        <f t="shared" si="8"/>
        <v>40</v>
      </c>
      <c r="AE296" s="55">
        <f t="shared" si="9"/>
        <v>18680</v>
      </c>
      <c r="AG296" s="57" t="s">
        <v>826</v>
      </c>
    </row>
    <row r="297" spans="1:33" hidden="1">
      <c r="A297" s="47">
        <v>295</v>
      </c>
      <c r="B297" s="56">
        <v>4971710573244</v>
      </c>
      <c r="C297" s="57" t="s">
        <v>573</v>
      </c>
      <c r="D297" s="75" t="s">
        <v>1078</v>
      </c>
      <c r="E297" s="48" t="s">
        <v>574</v>
      </c>
      <c r="F297" s="58"/>
      <c r="G297" s="59"/>
      <c r="H297" s="60"/>
      <c r="I297" s="61"/>
      <c r="J297" s="58"/>
      <c r="K297" s="59"/>
      <c r="L297" s="49">
        <v>10</v>
      </c>
      <c r="M297" s="50">
        <v>6600</v>
      </c>
      <c r="N297" s="49"/>
      <c r="O297" s="50"/>
      <c r="P297" s="49"/>
      <c r="Q297" s="53"/>
      <c r="R297" s="49"/>
      <c r="S297" s="53"/>
      <c r="T297" s="49">
        <v>30</v>
      </c>
      <c r="U297" s="53">
        <v>19800</v>
      </c>
      <c r="V297" s="49"/>
      <c r="W297" s="53"/>
      <c r="X297" s="53"/>
      <c r="Y297" s="53"/>
      <c r="Z297" s="53"/>
      <c r="AA297" s="53"/>
      <c r="AB297" s="53"/>
      <c r="AC297" s="53"/>
      <c r="AD297" s="62">
        <f t="shared" si="8"/>
        <v>40</v>
      </c>
      <c r="AE297" s="55">
        <f t="shared" si="9"/>
        <v>26400</v>
      </c>
      <c r="AG297" s="57" t="s">
        <v>204</v>
      </c>
    </row>
    <row r="298" spans="1:33" hidden="1">
      <c r="A298" s="47">
        <v>296</v>
      </c>
      <c r="B298" s="56">
        <v>4971710513929</v>
      </c>
      <c r="C298" s="57" t="s">
        <v>292</v>
      </c>
      <c r="D298" s="75" t="s">
        <v>1078</v>
      </c>
      <c r="E298" s="48" t="s">
        <v>293</v>
      </c>
      <c r="F298" s="58"/>
      <c r="G298" s="59"/>
      <c r="H298" s="60"/>
      <c r="I298" s="61"/>
      <c r="J298" s="58"/>
      <c r="K298" s="59"/>
      <c r="L298" s="49"/>
      <c r="M298" s="50"/>
      <c r="N298" s="49">
        <v>40</v>
      </c>
      <c r="O298" s="50">
        <v>24200</v>
      </c>
      <c r="P298" s="49"/>
      <c r="Q298" s="53"/>
      <c r="R298" s="49"/>
      <c r="S298" s="53"/>
      <c r="T298" s="49"/>
      <c r="U298" s="53"/>
      <c r="V298" s="49"/>
      <c r="W298" s="53"/>
      <c r="X298" s="53"/>
      <c r="Y298" s="53"/>
      <c r="Z298" s="53"/>
      <c r="AA298" s="53"/>
      <c r="AB298" s="53"/>
      <c r="AC298" s="53"/>
      <c r="AD298" s="62">
        <f t="shared" si="8"/>
        <v>40</v>
      </c>
      <c r="AE298" s="55">
        <f t="shared" si="9"/>
        <v>24200</v>
      </c>
      <c r="AG298" s="57" t="s">
        <v>172</v>
      </c>
    </row>
    <row r="299" spans="1:33" hidden="1">
      <c r="A299" s="47">
        <v>297</v>
      </c>
      <c r="B299" s="56">
        <v>4971710615821</v>
      </c>
      <c r="C299" s="57" t="s">
        <v>1051</v>
      </c>
      <c r="D299" s="75" t="s">
        <v>1076</v>
      </c>
      <c r="E299" s="48" t="s">
        <v>1041</v>
      </c>
      <c r="F299" s="58"/>
      <c r="G299" s="59"/>
      <c r="H299" s="60"/>
      <c r="I299" s="61"/>
      <c r="J299" s="58"/>
      <c r="K299" s="59"/>
      <c r="L299" s="49"/>
      <c r="M299" s="50"/>
      <c r="N299" s="49"/>
      <c r="O299" s="50"/>
      <c r="P299" s="49"/>
      <c r="Q299" s="53"/>
      <c r="R299" s="49"/>
      <c r="S299" s="53"/>
      <c r="T299" s="49"/>
      <c r="U299" s="53"/>
      <c r="V299" s="49"/>
      <c r="W299" s="53"/>
      <c r="X299" s="53"/>
      <c r="Y299" s="53"/>
      <c r="Z299" s="53"/>
      <c r="AA299" s="53"/>
      <c r="AB299" s="53">
        <v>37</v>
      </c>
      <c r="AC299" s="53">
        <v>183150</v>
      </c>
      <c r="AD299" s="63">
        <f t="shared" si="8"/>
        <v>37</v>
      </c>
      <c r="AE299" s="55">
        <f t="shared" si="9"/>
        <v>183150</v>
      </c>
      <c r="AG299" s="57" t="s">
        <v>18</v>
      </c>
    </row>
    <row r="300" spans="1:33" hidden="1">
      <c r="A300" s="47">
        <v>298</v>
      </c>
      <c r="B300" s="56">
        <v>4971710507591</v>
      </c>
      <c r="C300" s="57" t="s">
        <v>180</v>
      </c>
      <c r="D300" s="75" t="s">
        <v>884</v>
      </c>
      <c r="E300" s="48" t="s">
        <v>181</v>
      </c>
      <c r="F300" s="58"/>
      <c r="G300" s="59"/>
      <c r="H300" s="60">
        <v>4</v>
      </c>
      <c r="I300" s="61">
        <v>1320</v>
      </c>
      <c r="J300" s="58"/>
      <c r="K300" s="59"/>
      <c r="L300" s="49">
        <v>12</v>
      </c>
      <c r="M300" s="50">
        <v>7920</v>
      </c>
      <c r="N300" s="49"/>
      <c r="O300" s="50"/>
      <c r="P300" s="49"/>
      <c r="Q300" s="53"/>
      <c r="R300" s="49">
        <v>6</v>
      </c>
      <c r="S300" s="53">
        <v>3960</v>
      </c>
      <c r="T300" s="49">
        <v>2</v>
      </c>
      <c r="U300" s="53">
        <v>1320</v>
      </c>
      <c r="V300" s="49">
        <v>15</v>
      </c>
      <c r="W300" s="53">
        <v>9900</v>
      </c>
      <c r="X300" s="53"/>
      <c r="Y300" s="53"/>
      <c r="Z300" s="53"/>
      <c r="AA300" s="53"/>
      <c r="AB300" s="53"/>
      <c r="AC300" s="53"/>
      <c r="AD300" s="62">
        <f t="shared" si="8"/>
        <v>39</v>
      </c>
      <c r="AE300" s="55">
        <f t="shared" si="9"/>
        <v>24420</v>
      </c>
      <c r="AG300" s="57" t="s">
        <v>38</v>
      </c>
    </row>
    <row r="301" spans="1:33" hidden="1">
      <c r="A301" s="47">
        <v>299</v>
      </c>
      <c r="B301" s="56">
        <v>4971710516869</v>
      </c>
      <c r="C301" s="57" t="s">
        <v>332</v>
      </c>
      <c r="D301" s="75" t="s">
        <v>1078</v>
      </c>
      <c r="E301" s="48" t="s">
        <v>333</v>
      </c>
      <c r="F301" s="58"/>
      <c r="G301" s="59"/>
      <c r="H301" s="60"/>
      <c r="I301" s="61"/>
      <c r="J301" s="58"/>
      <c r="K301" s="59"/>
      <c r="L301" s="49">
        <v>6</v>
      </c>
      <c r="M301" s="50">
        <v>5280</v>
      </c>
      <c r="N301" s="49"/>
      <c r="O301" s="50"/>
      <c r="P301" s="49"/>
      <c r="Q301" s="53"/>
      <c r="R301" s="49"/>
      <c r="S301" s="53"/>
      <c r="T301" s="49"/>
      <c r="U301" s="53"/>
      <c r="V301" s="49"/>
      <c r="W301" s="53"/>
      <c r="X301" s="53"/>
      <c r="Y301" s="53"/>
      <c r="Z301" s="53"/>
      <c r="AA301" s="53"/>
      <c r="AB301" s="53">
        <v>30</v>
      </c>
      <c r="AC301" s="53">
        <v>26400</v>
      </c>
      <c r="AD301" s="62">
        <f t="shared" si="8"/>
        <v>36</v>
      </c>
      <c r="AE301" s="55">
        <f t="shared" si="9"/>
        <v>31680</v>
      </c>
      <c r="AG301" s="57" t="s">
        <v>376</v>
      </c>
    </row>
    <row r="302" spans="1:33" hidden="1">
      <c r="A302" s="47">
        <v>300</v>
      </c>
      <c r="B302" s="56">
        <v>4971710516760</v>
      </c>
      <c r="C302" s="57" t="s">
        <v>327</v>
      </c>
      <c r="D302" s="75" t="s">
        <v>1078</v>
      </c>
      <c r="E302" s="48" t="s">
        <v>325</v>
      </c>
      <c r="F302" s="58"/>
      <c r="G302" s="59"/>
      <c r="H302" s="60"/>
      <c r="I302" s="61"/>
      <c r="J302" s="58"/>
      <c r="K302" s="59"/>
      <c r="L302" s="49">
        <v>6</v>
      </c>
      <c r="M302" s="50">
        <v>3630</v>
      </c>
      <c r="N302" s="49">
        <v>30</v>
      </c>
      <c r="O302" s="50">
        <v>18150</v>
      </c>
      <c r="P302" s="49"/>
      <c r="Q302" s="53"/>
      <c r="R302" s="49"/>
      <c r="S302" s="53"/>
      <c r="T302" s="49"/>
      <c r="U302" s="53"/>
      <c r="V302" s="49"/>
      <c r="W302" s="53"/>
      <c r="X302" s="53"/>
      <c r="Y302" s="53"/>
      <c r="Z302" s="53"/>
      <c r="AA302" s="53"/>
      <c r="AB302" s="53"/>
      <c r="AC302" s="53"/>
      <c r="AD302" s="62">
        <f t="shared" si="8"/>
        <v>36</v>
      </c>
      <c r="AE302" s="55">
        <f t="shared" si="9"/>
        <v>21780</v>
      </c>
      <c r="AG302" s="57" t="s">
        <v>360</v>
      </c>
    </row>
    <row r="303" spans="1:33" hidden="1">
      <c r="A303" s="47">
        <v>301</v>
      </c>
      <c r="B303" s="56">
        <v>4971710522372</v>
      </c>
      <c r="C303" s="57" t="s">
        <v>374</v>
      </c>
      <c r="D303" s="75" t="s">
        <v>1078</v>
      </c>
      <c r="E303" s="48" t="s">
        <v>375</v>
      </c>
      <c r="F303" s="58"/>
      <c r="G303" s="59"/>
      <c r="H303" s="60"/>
      <c r="I303" s="61"/>
      <c r="J303" s="58">
        <v>20</v>
      </c>
      <c r="K303" s="59">
        <v>9900</v>
      </c>
      <c r="L303" s="49">
        <v>15</v>
      </c>
      <c r="M303" s="50">
        <v>7425</v>
      </c>
      <c r="N303" s="49"/>
      <c r="O303" s="50"/>
      <c r="P303" s="49"/>
      <c r="Q303" s="53"/>
      <c r="R303" s="49"/>
      <c r="S303" s="53"/>
      <c r="T303" s="49"/>
      <c r="U303" s="53"/>
      <c r="V303" s="49"/>
      <c r="W303" s="53"/>
      <c r="X303" s="53"/>
      <c r="Y303" s="53"/>
      <c r="Z303" s="53"/>
      <c r="AA303" s="53"/>
      <c r="AB303" s="53"/>
      <c r="AC303" s="53"/>
      <c r="AD303" s="62">
        <f t="shared" si="8"/>
        <v>35</v>
      </c>
      <c r="AE303" s="55">
        <f t="shared" si="9"/>
        <v>17325</v>
      </c>
      <c r="AG303" s="57" t="s">
        <v>428</v>
      </c>
    </row>
    <row r="304" spans="1:33" hidden="1">
      <c r="A304" s="47">
        <v>302</v>
      </c>
      <c r="B304" s="56">
        <v>4971710611847</v>
      </c>
      <c r="C304" s="57" t="s">
        <v>963</v>
      </c>
      <c r="D304" s="75" t="s">
        <v>884</v>
      </c>
      <c r="E304" s="48" t="s">
        <v>964</v>
      </c>
      <c r="F304" s="58"/>
      <c r="G304" s="59"/>
      <c r="H304" s="60"/>
      <c r="I304" s="61"/>
      <c r="J304" s="58"/>
      <c r="K304" s="59"/>
      <c r="L304" s="49"/>
      <c r="M304" s="50"/>
      <c r="N304" s="49"/>
      <c r="O304" s="50"/>
      <c r="P304" s="49"/>
      <c r="Q304" s="53"/>
      <c r="R304" s="49"/>
      <c r="S304" s="53"/>
      <c r="T304" s="49"/>
      <c r="U304" s="53"/>
      <c r="V304" s="49">
        <v>34</v>
      </c>
      <c r="W304" s="53">
        <v>28050</v>
      </c>
      <c r="X304" s="53"/>
      <c r="Y304" s="53"/>
      <c r="Z304" s="53"/>
      <c r="AA304" s="53"/>
      <c r="AB304" s="53"/>
      <c r="AC304" s="53"/>
      <c r="AD304" s="63">
        <f t="shared" si="8"/>
        <v>34</v>
      </c>
      <c r="AE304" s="55">
        <f t="shared" si="9"/>
        <v>28050</v>
      </c>
      <c r="AG304" s="57" t="s">
        <v>485</v>
      </c>
    </row>
    <row r="305" spans="1:33" hidden="1">
      <c r="A305" s="47">
        <v>303</v>
      </c>
      <c r="B305" s="56">
        <v>4971710613285</v>
      </c>
      <c r="C305" s="57" t="s">
        <v>1074</v>
      </c>
      <c r="D305" s="75" t="s">
        <v>1080</v>
      </c>
      <c r="E305" s="48" t="s">
        <v>1073</v>
      </c>
      <c r="F305" s="58"/>
      <c r="G305" s="59"/>
      <c r="H305" s="60"/>
      <c r="I305" s="61"/>
      <c r="J305" s="58"/>
      <c r="K305" s="59"/>
      <c r="L305" s="49"/>
      <c r="M305" s="50"/>
      <c r="N305" s="49"/>
      <c r="O305" s="50"/>
      <c r="P305" s="49"/>
      <c r="Q305" s="53"/>
      <c r="R305" s="49"/>
      <c r="S305" s="53"/>
      <c r="T305" s="49"/>
      <c r="U305" s="53"/>
      <c r="V305" s="49"/>
      <c r="W305" s="53"/>
      <c r="X305" s="53"/>
      <c r="Y305" s="53"/>
      <c r="Z305" s="53"/>
      <c r="AA305" s="53"/>
      <c r="AB305" s="53">
        <v>32</v>
      </c>
      <c r="AC305" s="53">
        <v>132000</v>
      </c>
      <c r="AD305" s="63">
        <f t="shared" si="8"/>
        <v>32</v>
      </c>
      <c r="AE305" s="55">
        <f t="shared" si="9"/>
        <v>132000</v>
      </c>
      <c r="AG305" s="57" t="s">
        <v>571</v>
      </c>
    </row>
    <row r="306" spans="1:33" hidden="1">
      <c r="A306" s="47">
        <v>304</v>
      </c>
      <c r="B306" s="56">
        <v>4971710610765</v>
      </c>
      <c r="C306" s="57" t="s">
        <v>900</v>
      </c>
      <c r="D306" s="75" t="s">
        <v>1078</v>
      </c>
      <c r="E306" s="48" t="s">
        <v>904</v>
      </c>
      <c r="F306" s="58"/>
      <c r="G306" s="59"/>
      <c r="H306" s="60"/>
      <c r="I306" s="61"/>
      <c r="J306" s="58"/>
      <c r="K306" s="59"/>
      <c r="L306" s="49"/>
      <c r="M306" s="50"/>
      <c r="N306" s="49"/>
      <c r="O306" s="50"/>
      <c r="P306" s="49"/>
      <c r="Q306" s="53"/>
      <c r="R306" s="49"/>
      <c r="S306" s="53"/>
      <c r="T306" s="49">
        <v>2</v>
      </c>
      <c r="U306" s="53">
        <v>1320</v>
      </c>
      <c r="V306" s="49">
        <v>30</v>
      </c>
      <c r="W306" s="53">
        <v>19800</v>
      </c>
      <c r="X306" s="53"/>
      <c r="Y306" s="53"/>
      <c r="Z306" s="53"/>
      <c r="AA306" s="53"/>
      <c r="AB306" s="53"/>
      <c r="AC306" s="53"/>
      <c r="AD306" s="63">
        <f t="shared" si="8"/>
        <v>32</v>
      </c>
      <c r="AE306" s="55">
        <f t="shared" si="9"/>
        <v>21120</v>
      </c>
      <c r="AG306" s="57" t="s">
        <v>573</v>
      </c>
    </row>
    <row r="307" spans="1:33" hidden="1">
      <c r="A307" s="47">
        <v>305</v>
      </c>
      <c r="B307" s="56">
        <v>4971710610772</v>
      </c>
      <c r="C307" s="57" t="s">
        <v>901</v>
      </c>
      <c r="D307" s="75" t="s">
        <v>1078</v>
      </c>
      <c r="E307" s="48" t="s">
        <v>905</v>
      </c>
      <c r="F307" s="58"/>
      <c r="G307" s="59"/>
      <c r="H307" s="60"/>
      <c r="I307" s="61"/>
      <c r="J307" s="58"/>
      <c r="K307" s="59"/>
      <c r="L307" s="49"/>
      <c r="M307" s="50"/>
      <c r="N307" s="49"/>
      <c r="O307" s="50"/>
      <c r="P307" s="49"/>
      <c r="Q307" s="53"/>
      <c r="R307" s="49"/>
      <c r="S307" s="53"/>
      <c r="T307" s="49">
        <v>2</v>
      </c>
      <c r="U307" s="53">
        <v>1320</v>
      </c>
      <c r="V307" s="49">
        <v>30</v>
      </c>
      <c r="W307" s="53">
        <v>19800</v>
      </c>
      <c r="X307" s="53"/>
      <c r="Y307" s="53"/>
      <c r="Z307" s="53"/>
      <c r="AA307" s="53"/>
      <c r="AB307" s="53"/>
      <c r="AC307" s="53"/>
      <c r="AD307" s="63">
        <f t="shared" si="8"/>
        <v>32</v>
      </c>
      <c r="AE307" s="55">
        <f t="shared" si="9"/>
        <v>21120</v>
      </c>
      <c r="AG307" s="57" t="s">
        <v>34</v>
      </c>
    </row>
    <row r="308" spans="1:33" hidden="1">
      <c r="A308" s="47">
        <v>306</v>
      </c>
      <c r="B308" s="56">
        <v>4971710610789</v>
      </c>
      <c r="C308" s="57" t="s">
        <v>902</v>
      </c>
      <c r="D308" s="75" t="s">
        <v>1078</v>
      </c>
      <c r="E308" s="48" t="s">
        <v>906</v>
      </c>
      <c r="F308" s="58"/>
      <c r="G308" s="59"/>
      <c r="H308" s="60"/>
      <c r="I308" s="61"/>
      <c r="J308" s="58"/>
      <c r="K308" s="59"/>
      <c r="L308" s="49"/>
      <c r="M308" s="50"/>
      <c r="N308" s="49"/>
      <c r="O308" s="50"/>
      <c r="P308" s="49"/>
      <c r="Q308" s="53"/>
      <c r="R308" s="49"/>
      <c r="S308" s="53"/>
      <c r="T308" s="49">
        <v>2</v>
      </c>
      <c r="U308" s="53">
        <v>1320</v>
      </c>
      <c r="V308" s="49">
        <v>30</v>
      </c>
      <c r="W308" s="53">
        <v>19800</v>
      </c>
      <c r="X308" s="53"/>
      <c r="Y308" s="53"/>
      <c r="Z308" s="53"/>
      <c r="AA308" s="53"/>
      <c r="AB308" s="53"/>
      <c r="AC308" s="53"/>
      <c r="AD308" s="63">
        <f t="shared" si="8"/>
        <v>32</v>
      </c>
      <c r="AE308" s="55">
        <f t="shared" si="9"/>
        <v>21120</v>
      </c>
      <c r="AG308" s="57" t="s">
        <v>380</v>
      </c>
    </row>
    <row r="309" spans="1:33" hidden="1">
      <c r="A309" s="47">
        <v>307</v>
      </c>
      <c r="B309" s="56">
        <v>4971710487701</v>
      </c>
      <c r="C309" s="57" t="s">
        <v>54</v>
      </c>
      <c r="D309" s="75" t="s">
        <v>884</v>
      </c>
      <c r="E309" s="48" t="s">
        <v>55</v>
      </c>
      <c r="F309" s="58"/>
      <c r="G309" s="59"/>
      <c r="H309" s="60">
        <v>10</v>
      </c>
      <c r="I309" s="61">
        <v>4400</v>
      </c>
      <c r="J309" s="58">
        <v>4</v>
      </c>
      <c r="K309" s="59">
        <v>3520</v>
      </c>
      <c r="L309" s="49">
        <v>4</v>
      </c>
      <c r="M309" s="50">
        <v>3520</v>
      </c>
      <c r="N309" s="49"/>
      <c r="O309" s="50"/>
      <c r="P309" s="49"/>
      <c r="Q309" s="53"/>
      <c r="R309" s="49"/>
      <c r="S309" s="53"/>
      <c r="T309" s="49"/>
      <c r="U309" s="53"/>
      <c r="V309" s="49">
        <v>8</v>
      </c>
      <c r="W309" s="53">
        <v>7040</v>
      </c>
      <c r="X309" s="53"/>
      <c r="Y309" s="53"/>
      <c r="Z309" s="53"/>
      <c r="AA309" s="53"/>
      <c r="AB309" s="53">
        <v>10</v>
      </c>
      <c r="AC309" s="53">
        <v>8800</v>
      </c>
      <c r="AD309" s="62">
        <f t="shared" si="8"/>
        <v>36</v>
      </c>
      <c r="AE309" s="55">
        <f t="shared" si="9"/>
        <v>27280</v>
      </c>
      <c r="AG309" s="57" t="s">
        <v>382</v>
      </c>
    </row>
    <row r="310" spans="1:33" hidden="1">
      <c r="A310" s="47">
        <v>308</v>
      </c>
      <c r="B310" s="56">
        <v>4971710514155</v>
      </c>
      <c r="C310" s="57" t="s">
        <v>296</v>
      </c>
      <c r="D310" s="75" t="s">
        <v>1078</v>
      </c>
      <c r="E310" s="48" t="s">
        <v>297</v>
      </c>
      <c r="F310" s="58"/>
      <c r="G310" s="59"/>
      <c r="H310" s="60"/>
      <c r="I310" s="61"/>
      <c r="J310" s="58"/>
      <c r="K310" s="59"/>
      <c r="L310" s="49">
        <v>6</v>
      </c>
      <c r="M310" s="50">
        <v>2970</v>
      </c>
      <c r="N310" s="49"/>
      <c r="O310" s="50"/>
      <c r="P310" s="49"/>
      <c r="Q310" s="53"/>
      <c r="R310" s="49"/>
      <c r="S310" s="53"/>
      <c r="T310" s="49"/>
      <c r="U310" s="53"/>
      <c r="V310" s="49"/>
      <c r="W310" s="53"/>
      <c r="X310" s="53"/>
      <c r="Y310" s="53"/>
      <c r="Z310" s="53"/>
      <c r="AA310" s="53"/>
      <c r="AB310" s="53">
        <v>24</v>
      </c>
      <c r="AC310" s="53">
        <v>11880</v>
      </c>
      <c r="AD310" s="62">
        <f t="shared" si="8"/>
        <v>30</v>
      </c>
      <c r="AE310" s="55">
        <f t="shared" si="9"/>
        <v>14850</v>
      </c>
      <c r="AG310" s="57" t="s">
        <v>426</v>
      </c>
    </row>
    <row r="311" spans="1:33" hidden="1">
      <c r="A311" s="47">
        <v>309</v>
      </c>
      <c r="B311" s="56">
        <v>4971710556698</v>
      </c>
      <c r="C311" s="57" t="s">
        <v>918</v>
      </c>
      <c r="D311" s="75" t="s">
        <v>1076</v>
      </c>
      <c r="E311" s="48" t="s">
        <v>934</v>
      </c>
      <c r="F311" s="58"/>
      <c r="G311" s="59"/>
      <c r="H311" s="60"/>
      <c r="I311" s="61"/>
      <c r="J311" s="58"/>
      <c r="K311" s="59"/>
      <c r="L311" s="49"/>
      <c r="M311" s="50"/>
      <c r="N311" s="49"/>
      <c r="O311" s="50"/>
      <c r="P311" s="49"/>
      <c r="Q311" s="53"/>
      <c r="R311" s="49"/>
      <c r="S311" s="53"/>
      <c r="T311" s="49"/>
      <c r="U311" s="53"/>
      <c r="V311" s="49">
        <v>15</v>
      </c>
      <c r="W311" s="53">
        <v>33000</v>
      </c>
      <c r="X311" s="53"/>
      <c r="Y311" s="53"/>
      <c r="Z311" s="53"/>
      <c r="AA311" s="53"/>
      <c r="AB311" s="53">
        <v>15</v>
      </c>
      <c r="AC311" s="53">
        <v>33000</v>
      </c>
      <c r="AD311" s="63">
        <f t="shared" si="8"/>
        <v>30</v>
      </c>
      <c r="AE311" s="55">
        <f t="shared" si="9"/>
        <v>66000</v>
      </c>
      <c r="AG311" s="57" t="s">
        <v>789</v>
      </c>
    </row>
    <row r="312" spans="1:33" hidden="1">
      <c r="A312" s="47">
        <v>310</v>
      </c>
      <c r="B312" s="56">
        <v>4971710517965</v>
      </c>
      <c r="C312" s="57" t="s">
        <v>903</v>
      </c>
      <c r="D312" s="75" t="s">
        <v>884</v>
      </c>
      <c r="E312" s="48" t="s">
        <v>909</v>
      </c>
      <c r="F312" s="58"/>
      <c r="G312" s="59"/>
      <c r="H312" s="60"/>
      <c r="I312" s="61"/>
      <c r="J312" s="58"/>
      <c r="K312" s="59"/>
      <c r="L312" s="49"/>
      <c r="M312" s="50"/>
      <c r="N312" s="49"/>
      <c r="O312" s="50"/>
      <c r="P312" s="49"/>
      <c r="Q312" s="53"/>
      <c r="R312" s="49"/>
      <c r="S312" s="53"/>
      <c r="T312" s="49">
        <v>20</v>
      </c>
      <c r="U312" s="53">
        <v>8800</v>
      </c>
      <c r="V312" s="49">
        <v>10</v>
      </c>
      <c r="W312" s="53">
        <v>4400</v>
      </c>
      <c r="X312" s="53"/>
      <c r="Y312" s="53"/>
      <c r="Z312" s="53"/>
      <c r="AA312" s="53"/>
      <c r="AB312" s="53"/>
      <c r="AC312" s="53"/>
      <c r="AD312" s="63">
        <f t="shared" si="8"/>
        <v>30</v>
      </c>
      <c r="AE312" s="55">
        <f t="shared" si="9"/>
        <v>13200</v>
      </c>
      <c r="AG312" s="57" t="s">
        <v>584</v>
      </c>
    </row>
    <row r="313" spans="1:33" hidden="1">
      <c r="A313" s="47">
        <v>311</v>
      </c>
      <c r="B313" s="56">
        <v>4971710580747</v>
      </c>
      <c r="C313" s="57" t="s">
        <v>686</v>
      </c>
      <c r="D313" s="75" t="s">
        <v>884</v>
      </c>
      <c r="E313" s="48" t="s">
        <v>687</v>
      </c>
      <c r="F313" s="58"/>
      <c r="G313" s="59"/>
      <c r="H313" s="60"/>
      <c r="I313" s="61"/>
      <c r="J313" s="58"/>
      <c r="K313" s="59"/>
      <c r="L313" s="49"/>
      <c r="M313" s="50"/>
      <c r="N313" s="49">
        <v>30</v>
      </c>
      <c r="O313" s="50">
        <v>19800</v>
      </c>
      <c r="P313" s="49"/>
      <c r="Q313" s="53"/>
      <c r="R313" s="49"/>
      <c r="S313" s="53"/>
      <c r="T313" s="49"/>
      <c r="U313" s="53"/>
      <c r="V313" s="49"/>
      <c r="W313" s="53"/>
      <c r="X313" s="53"/>
      <c r="Y313" s="53"/>
      <c r="Z313" s="53"/>
      <c r="AA313" s="53"/>
      <c r="AB313" s="53"/>
      <c r="AC313" s="53"/>
      <c r="AD313" s="62">
        <f t="shared" si="8"/>
        <v>30</v>
      </c>
      <c r="AE313" s="55">
        <f t="shared" si="9"/>
        <v>19800</v>
      </c>
      <c r="AG313" s="57" t="s">
        <v>807</v>
      </c>
    </row>
    <row r="314" spans="1:33" hidden="1">
      <c r="A314" s="47">
        <v>312</v>
      </c>
      <c r="B314" s="56">
        <v>4971710519273</v>
      </c>
      <c r="C314" s="57" t="s">
        <v>350</v>
      </c>
      <c r="D314" s="75" t="s">
        <v>1078</v>
      </c>
      <c r="E314" s="48" t="s">
        <v>351</v>
      </c>
      <c r="F314" s="58"/>
      <c r="G314" s="59"/>
      <c r="H314" s="60"/>
      <c r="I314" s="61"/>
      <c r="J314" s="58"/>
      <c r="K314" s="59"/>
      <c r="L314" s="49"/>
      <c r="M314" s="50"/>
      <c r="N314" s="49">
        <v>30</v>
      </c>
      <c r="O314" s="50">
        <v>21450</v>
      </c>
      <c r="P314" s="49"/>
      <c r="Q314" s="53"/>
      <c r="R314" s="49"/>
      <c r="S314" s="53"/>
      <c r="T314" s="49"/>
      <c r="U314" s="53"/>
      <c r="V314" s="49"/>
      <c r="W314" s="53"/>
      <c r="X314" s="53"/>
      <c r="Y314" s="53"/>
      <c r="Z314" s="53"/>
      <c r="AA314" s="53"/>
      <c r="AB314" s="53"/>
      <c r="AC314" s="53"/>
      <c r="AD314" s="62">
        <f t="shared" si="8"/>
        <v>30</v>
      </c>
      <c r="AE314" s="55">
        <f t="shared" si="9"/>
        <v>21450</v>
      </c>
      <c r="AG314" s="57" t="s">
        <v>58</v>
      </c>
    </row>
    <row r="315" spans="1:33" hidden="1">
      <c r="A315" s="47">
        <v>313</v>
      </c>
      <c r="B315" s="56">
        <v>4971710288605</v>
      </c>
      <c r="C315" s="57" t="s">
        <v>7</v>
      </c>
      <c r="D315" s="75" t="s">
        <v>1080</v>
      </c>
      <c r="E315" s="48" t="s">
        <v>8</v>
      </c>
      <c r="F315" s="58"/>
      <c r="G315" s="59"/>
      <c r="H315" s="60">
        <v>40</v>
      </c>
      <c r="I315" s="61">
        <v>55000</v>
      </c>
      <c r="J315" s="58"/>
      <c r="K315" s="59"/>
      <c r="L315" s="49"/>
      <c r="M315" s="50"/>
      <c r="N315" s="49">
        <v>10</v>
      </c>
      <c r="O315" s="50">
        <v>27500</v>
      </c>
      <c r="P315" s="49"/>
      <c r="Q315" s="53"/>
      <c r="R315" s="49"/>
      <c r="S315" s="53"/>
      <c r="T315" s="49"/>
      <c r="U315" s="53"/>
      <c r="V315" s="49"/>
      <c r="W315" s="53"/>
      <c r="X315" s="53"/>
      <c r="Y315" s="53"/>
      <c r="Z315" s="53"/>
      <c r="AA315" s="53"/>
      <c r="AB315" s="53"/>
      <c r="AC315" s="53"/>
      <c r="AD315" s="62">
        <f t="shared" si="8"/>
        <v>50</v>
      </c>
      <c r="AE315" s="55">
        <f t="shared" si="9"/>
        <v>82500</v>
      </c>
      <c r="AG315" s="57" t="s">
        <v>178</v>
      </c>
    </row>
    <row r="316" spans="1:33" hidden="1">
      <c r="A316" s="47">
        <v>314</v>
      </c>
      <c r="B316" s="56">
        <v>4971710589566</v>
      </c>
      <c r="C316" s="57" t="s">
        <v>789</v>
      </c>
      <c r="D316" s="75" t="s">
        <v>884</v>
      </c>
      <c r="E316" s="48" t="s">
        <v>1016</v>
      </c>
      <c r="F316" s="58"/>
      <c r="G316" s="59"/>
      <c r="H316" s="60"/>
      <c r="I316" s="61"/>
      <c r="J316" s="58"/>
      <c r="K316" s="59"/>
      <c r="L316" s="49">
        <v>30</v>
      </c>
      <c r="M316" s="50">
        <v>13200</v>
      </c>
      <c r="N316" s="49"/>
      <c r="O316" s="50"/>
      <c r="P316" s="49"/>
      <c r="Q316" s="53"/>
      <c r="R316" s="49"/>
      <c r="S316" s="53"/>
      <c r="T316" s="49"/>
      <c r="U316" s="53"/>
      <c r="V316" s="49"/>
      <c r="W316" s="53"/>
      <c r="X316" s="53"/>
      <c r="Y316" s="53"/>
      <c r="Z316" s="53"/>
      <c r="AA316" s="53"/>
      <c r="AB316" s="53"/>
      <c r="AC316" s="53"/>
      <c r="AD316" s="62">
        <f t="shared" si="8"/>
        <v>30</v>
      </c>
      <c r="AE316" s="55">
        <f t="shared" si="9"/>
        <v>13200</v>
      </c>
      <c r="AG316" s="57" t="s">
        <v>324</v>
      </c>
    </row>
    <row r="317" spans="1:33" hidden="1">
      <c r="A317" s="47">
        <v>315</v>
      </c>
      <c r="B317" s="56">
        <v>4971710560961</v>
      </c>
      <c r="C317" s="57" t="s">
        <v>807</v>
      </c>
      <c r="D317" s="75" t="s">
        <v>884</v>
      </c>
      <c r="E317" s="48" t="s">
        <v>1017</v>
      </c>
      <c r="F317" s="58"/>
      <c r="G317" s="59"/>
      <c r="H317" s="60"/>
      <c r="I317" s="61"/>
      <c r="J317" s="58"/>
      <c r="K317" s="59"/>
      <c r="L317" s="49"/>
      <c r="M317" s="50"/>
      <c r="N317" s="49">
        <v>30</v>
      </c>
      <c r="O317" s="50">
        <v>24750</v>
      </c>
      <c r="P317" s="49"/>
      <c r="Q317" s="53"/>
      <c r="R317" s="49"/>
      <c r="S317" s="53"/>
      <c r="T317" s="49"/>
      <c r="U317" s="53"/>
      <c r="V317" s="49"/>
      <c r="W317" s="53"/>
      <c r="X317" s="53"/>
      <c r="Y317" s="53"/>
      <c r="Z317" s="53"/>
      <c r="AA317" s="53"/>
      <c r="AB317" s="53"/>
      <c r="AC317" s="53"/>
      <c r="AD317" s="62">
        <f t="shared" si="8"/>
        <v>30</v>
      </c>
      <c r="AE317" s="55">
        <f t="shared" si="9"/>
        <v>24750</v>
      </c>
      <c r="AG317" s="57" t="s">
        <v>332</v>
      </c>
    </row>
    <row r="318" spans="1:33" hidden="1">
      <c r="A318" s="47">
        <v>316</v>
      </c>
      <c r="B318" s="56">
        <v>4971710507584</v>
      </c>
      <c r="C318" s="57" t="s">
        <v>178</v>
      </c>
      <c r="D318" s="75" t="s">
        <v>884</v>
      </c>
      <c r="E318" s="48" t="s">
        <v>179</v>
      </c>
      <c r="F318" s="58"/>
      <c r="G318" s="59"/>
      <c r="H318" s="60"/>
      <c r="I318" s="61"/>
      <c r="J318" s="58">
        <v>4</v>
      </c>
      <c r="K318" s="59">
        <v>2640</v>
      </c>
      <c r="L318" s="49">
        <v>11</v>
      </c>
      <c r="M318" s="50">
        <v>7260</v>
      </c>
      <c r="N318" s="49">
        <v>10</v>
      </c>
      <c r="O318" s="50">
        <v>6600</v>
      </c>
      <c r="P318" s="49"/>
      <c r="Q318" s="53"/>
      <c r="R318" s="49"/>
      <c r="S318" s="53"/>
      <c r="T318" s="49"/>
      <c r="U318" s="53"/>
      <c r="V318" s="49"/>
      <c r="W318" s="53"/>
      <c r="X318" s="53"/>
      <c r="Y318" s="53"/>
      <c r="Z318" s="53"/>
      <c r="AA318" s="53"/>
      <c r="AB318" s="53">
        <v>4</v>
      </c>
      <c r="AC318" s="53">
        <v>2640</v>
      </c>
      <c r="AD318" s="62">
        <f t="shared" si="8"/>
        <v>29</v>
      </c>
      <c r="AE318" s="55">
        <f t="shared" si="9"/>
        <v>19140</v>
      </c>
      <c r="AG318" s="57" t="s">
        <v>174</v>
      </c>
    </row>
    <row r="319" spans="1:33" hidden="1">
      <c r="A319" s="47">
        <v>317</v>
      </c>
      <c r="B319" s="56">
        <v>4971710611854</v>
      </c>
      <c r="C319" s="57" t="s">
        <v>965</v>
      </c>
      <c r="D319" s="75" t="s">
        <v>884</v>
      </c>
      <c r="E319" s="48" t="s">
        <v>966</v>
      </c>
      <c r="F319" s="58"/>
      <c r="G319" s="59"/>
      <c r="H319" s="60"/>
      <c r="I319" s="61"/>
      <c r="J319" s="58"/>
      <c r="K319" s="59"/>
      <c r="L319" s="49"/>
      <c r="M319" s="50"/>
      <c r="N319" s="49"/>
      <c r="O319" s="50"/>
      <c r="P319" s="49"/>
      <c r="Q319" s="53"/>
      <c r="R319" s="49"/>
      <c r="S319" s="53"/>
      <c r="T319" s="49"/>
      <c r="U319" s="53"/>
      <c r="V319" s="49">
        <v>29</v>
      </c>
      <c r="W319" s="53">
        <v>23925</v>
      </c>
      <c r="X319" s="53"/>
      <c r="Y319" s="53"/>
      <c r="Z319" s="53"/>
      <c r="AA319" s="53"/>
      <c r="AB319" s="53"/>
      <c r="AC319" s="53"/>
      <c r="AD319" s="63">
        <f t="shared" si="8"/>
        <v>29</v>
      </c>
      <c r="AE319" s="55">
        <f t="shared" si="9"/>
        <v>23925</v>
      </c>
      <c r="AG319" s="57" t="s">
        <v>56</v>
      </c>
    </row>
    <row r="320" spans="1:33" hidden="1">
      <c r="A320" s="47">
        <v>318</v>
      </c>
      <c r="B320" s="56">
        <v>4971710613278</v>
      </c>
      <c r="C320" s="57" t="s">
        <v>1072</v>
      </c>
      <c r="D320" s="75" t="s">
        <v>1080</v>
      </c>
      <c r="E320" s="48" t="s">
        <v>1073</v>
      </c>
      <c r="F320" s="58"/>
      <c r="G320" s="59"/>
      <c r="H320" s="60"/>
      <c r="I320" s="61"/>
      <c r="J320" s="58"/>
      <c r="K320" s="59"/>
      <c r="L320" s="49"/>
      <c r="M320" s="50"/>
      <c r="N320" s="49"/>
      <c r="O320" s="50"/>
      <c r="P320" s="49"/>
      <c r="Q320" s="53"/>
      <c r="R320" s="49"/>
      <c r="S320" s="53"/>
      <c r="T320" s="49"/>
      <c r="U320" s="53"/>
      <c r="V320" s="49"/>
      <c r="W320" s="53"/>
      <c r="X320" s="53"/>
      <c r="Y320" s="53"/>
      <c r="Z320" s="53"/>
      <c r="AA320" s="53"/>
      <c r="AB320" s="53">
        <v>26</v>
      </c>
      <c r="AC320" s="53">
        <v>82940</v>
      </c>
      <c r="AD320" s="63">
        <f t="shared" si="8"/>
        <v>26</v>
      </c>
      <c r="AE320" s="55">
        <f t="shared" si="9"/>
        <v>82940</v>
      </c>
      <c r="AG320" s="57" t="s">
        <v>791</v>
      </c>
    </row>
    <row r="321" spans="1:33" hidden="1">
      <c r="A321" s="47">
        <v>319</v>
      </c>
      <c r="B321" s="56">
        <v>4971710568677</v>
      </c>
      <c r="C321" s="57" t="s">
        <v>529</v>
      </c>
      <c r="D321" s="75" t="s">
        <v>884</v>
      </c>
      <c r="E321" s="48" t="s">
        <v>530</v>
      </c>
      <c r="F321" s="58"/>
      <c r="G321" s="59"/>
      <c r="H321" s="60"/>
      <c r="I321" s="61"/>
      <c r="J321" s="58">
        <v>2</v>
      </c>
      <c r="K321" s="59">
        <v>1650</v>
      </c>
      <c r="L321" s="49">
        <v>20</v>
      </c>
      <c r="M321" s="50">
        <v>16500</v>
      </c>
      <c r="N321" s="49">
        <v>4</v>
      </c>
      <c r="O321" s="50">
        <v>3300</v>
      </c>
      <c r="P321" s="49"/>
      <c r="Q321" s="53"/>
      <c r="R321" s="49"/>
      <c r="S321" s="53"/>
      <c r="T321" s="49"/>
      <c r="U321" s="53"/>
      <c r="V321" s="49"/>
      <c r="W321" s="53"/>
      <c r="X321" s="53"/>
      <c r="Y321" s="53"/>
      <c r="Z321" s="53"/>
      <c r="AA321" s="53"/>
      <c r="AB321" s="53"/>
      <c r="AC321" s="53"/>
      <c r="AD321" s="62">
        <f t="shared" si="8"/>
        <v>26</v>
      </c>
      <c r="AE321" s="55">
        <f t="shared" si="9"/>
        <v>21450</v>
      </c>
      <c r="AG321" s="57" t="s">
        <v>222</v>
      </c>
    </row>
    <row r="322" spans="1:33" hidden="1">
      <c r="A322" s="47">
        <v>320</v>
      </c>
      <c r="B322" s="56">
        <v>4971710522389</v>
      </c>
      <c r="C322" s="57" t="s">
        <v>376</v>
      </c>
      <c r="D322" s="75" t="s">
        <v>1078</v>
      </c>
      <c r="E322" s="48" t="s">
        <v>377</v>
      </c>
      <c r="F322" s="58"/>
      <c r="G322" s="59"/>
      <c r="H322" s="60">
        <v>10</v>
      </c>
      <c r="I322" s="61">
        <v>2475</v>
      </c>
      <c r="J322" s="58">
        <v>20</v>
      </c>
      <c r="K322" s="59">
        <v>9900</v>
      </c>
      <c r="L322" s="49"/>
      <c r="M322" s="50"/>
      <c r="N322" s="49"/>
      <c r="O322" s="50"/>
      <c r="P322" s="49"/>
      <c r="Q322" s="53"/>
      <c r="R322" s="49"/>
      <c r="S322" s="53"/>
      <c r="T322" s="49"/>
      <c r="U322" s="53"/>
      <c r="V322" s="49"/>
      <c r="W322" s="53"/>
      <c r="X322" s="53"/>
      <c r="Y322" s="53"/>
      <c r="Z322" s="53"/>
      <c r="AA322" s="53"/>
      <c r="AB322" s="53"/>
      <c r="AC322" s="53"/>
      <c r="AD322" s="62">
        <f t="shared" si="8"/>
        <v>30</v>
      </c>
      <c r="AE322" s="55">
        <f t="shared" si="9"/>
        <v>12375</v>
      </c>
      <c r="AG322" s="57" t="s">
        <v>30</v>
      </c>
    </row>
    <row r="323" spans="1:33" hidden="1">
      <c r="A323" s="47">
        <v>321</v>
      </c>
      <c r="B323" s="56">
        <v>4971710514179</v>
      </c>
      <c r="C323" s="57" t="s">
        <v>1052</v>
      </c>
      <c r="D323" s="75" t="s">
        <v>1078</v>
      </c>
      <c r="E323" s="48" t="s">
        <v>1053</v>
      </c>
      <c r="F323" s="58"/>
      <c r="G323" s="59"/>
      <c r="H323" s="60"/>
      <c r="I323" s="61"/>
      <c r="J323" s="58"/>
      <c r="K323" s="59"/>
      <c r="L323" s="49"/>
      <c r="M323" s="50"/>
      <c r="N323" s="49"/>
      <c r="O323" s="50"/>
      <c r="P323" s="49"/>
      <c r="Q323" s="53"/>
      <c r="R323" s="49"/>
      <c r="S323" s="53"/>
      <c r="T323" s="49"/>
      <c r="U323" s="53"/>
      <c r="V323" s="49"/>
      <c r="W323" s="53"/>
      <c r="X323" s="53"/>
      <c r="Y323" s="53"/>
      <c r="Z323" s="53"/>
      <c r="AA323" s="53"/>
      <c r="AB323" s="53">
        <v>24</v>
      </c>
      <c r="AC323" s="53">
        <v>11880</v>
      </c>
      <c r="AD323" s="63">
        <f t="shared" si="8"/>
        <v>24</v>
      </c>
      <c r="AE323" s="55">
        <f t="shared" si="9"/>
        <v>11880</v>
      </c>
      <c r="AG323" s="57" t="s">
        <v>50</v>
      </c>
    </row>
    <row r="324" spans="1:33" hidden="1">
      <c r="A324" s="47">
        <v>322</v>
      </c>
      <c r="B324" s="56">
        <v>4971710575910</v>
      </c>
      <c r="C324" s="57" t="s">
        <v>598</v>
      </c>
      <c r="D324" s="75" t="s">
        <v>884</v>
      </c>
      <c r="E324" s="48" t="s">
        <v>599</v>
      </c>
      <c r="F324" s="58"/>
      <c r="G324" s="59"/>
      <c r="H324" s="60"/>
      <c r="I324" s="61"/>
      <c r="J324" s="58"/>
      <c r="K324" s="59"/>
      <c r="L324" s="49">
        <v>10</v>
      </c>
      <c r="M324" s="50">
        <v>4950</v>
      </c>
      <c r="N324" s="49"/>
      <c r="O324" s="50"/>
      <c r="P324" s="49"/>
      <c r="Q324" s="53"/>
      <c r="R324" s="49"/>
      <c r="S324" s="53"/>
      <c r="T324" s="49"/>
      <c r="U324" s="53"/>
      <c r="V324" s="49"/>
      <c r="W324" s="53"/>
      <c r="X324" s="53"/>
      <c r="Y324" s="53"/>
      <c r="Z324" s="53"/>
      <c r="AA324" s="53"/>
      <c r="AB324" s="53">
        <v>14</v>
      </c>
      <c r="AC324" s="53">
        <v>6930</v>
      </c>
      <c r="AD324" s="62">
        <f t="shared" ref="AD324:AD387" si="10">F324+H324+J324+L324+N324+P324+R324+T324+V324+X324+Z324+AB324</f>
        <v>24</v>
      </c>
      <c r="AE324" s="55">
        <f t="shared" ref="AE324:AE387" si="11">G324+I324+K324+M324+O324+Q324+S324+U324+W324+Y324+AA324+AC324</f>
        <v>11880</v>
      </c>
      <c r="AG324" s="57" t="s">
        <v>78</v>
      </c>
    </row>
    <row r="325" spans="1:33" hidden="1">
      <c r="A325" s="47">
        <v>323</v>
      </c>
      <c r="B325" s="56">
        <v>4971710541182</v>
      </c>
      <c r="C325" s="57" t="s">
        <v>428</v>
      </c>
      <c r="D325" s="75" t="s">
        <v>884</v>
      </c>
      <c r="E325" s="48" t="s">
        <v>429</v>
      </c>
      <c r="F325" s="58"/>
      <c r="G325" s="59"/>
      <c r="H325" s="60"/>
      <c r="I325" s="61"/>
      <c r="J325" s="58"/>
      <c r="K325" s="59"/>
      <c r="L325" s="49"/>
      <c r="M325" s="50"/>
      <c r="N325" s="49"/>
      <c r="O325" s="50"/>
      <c r="P325" s="49"/>
      <c r="Q325" s="53"/>
      <c r="R325" s="49">
        <v>4</v>
      </c>
      <c r="S325" s="53">
        <v>2640</v>
      </c>
      <c r="T325" s="49"/>
      <c r="U325" s="53"/>
      <c r="V325" s="49">
        <v>20</v>
      </c>
      <c r="W325" s="53">
        <v>13200</v>
      </c>
      <c r="X325" s="53"/>
      <c r="Y325" s="53"/>
      <c r="Z325" s="53"/>
      <c r="AA325" s="53"/>
      <c r="AB325" s="53"/>
      <c r="AC325" s="53"/>
      <c r="AD325" s="62">
        <f t="shared" si="10"/>
        <v>24</v>
      </c>
      <c r="AE325" s="55">
        <f t="shared" si="11"/>
        <v>15840</v>
      </c>
      <c r="AG325" s="57" t="s">
        <v>160</v>
      </c>
    </row>
    <row r="326" spans="1:33" hidden="1">
      <c r="A326" s="47">
        <v>324</v>
      </c>
      <c r="B326" s="56">
        <v>4971710511833</v>
      </c>
      <c r="C326" s="57" t="s">
        <v>222</v>
      </c>
      <c r="D326" s="75" t="s">
        <v>884</v>
      </c>
      <c r="E326" s="48" t="s">
        <v>223</v>
      </c>
      <c r="F326" s="58"/>
      <c r="G326" s="59"/>
      <c r="H326" s="60"/>
      <c r="I326" s="61"/>
      <c r="J326" s="58"/>
      <c r="K326" s="59"/>
      <c r="L326" s="49"/>
      <c r="M326" s="50"/>
      <c r="N326" s="49">
        <v>4</v>
      </c>
      <c r="O326" s="50">
        <v>2640</v>
      </c>
      <c r="P326" s="49">
        <v>20</v>
      </c>
      <c r="Q326" s="53">
        <v>13200</v>
      </c>
      <c r="R326" s="49"/>
      <c r="S326" s="53"/>
      <c r="T326" s="49"/>
      <c r="U326" s="53"/>
      <c r="V326" s="49"/>
      <c r="W326" s="53"/>
      <c r="X326" s="53"/>
      <c r="Y326" s="53"/>
      <c r="Z326" s="53"/>
      <c r="AA326" s="53"/>
      <c r="AB326" s="53"/>
      <c r="AC326" s="53"/>
      <c r="AD326" s="62">
        <f t="shared" si="10"/>
        <v>24</v>
      </c>
      <c r="AE326" s="55">
        <f t="shared" si="11"/>
        <v>15840</v>
      </c>
      <c r="AG326" s="57" t="s">
        <v>230</v>
      </c>
    </row>
    <row r="327" spans="1:33" hidden="1">
      <c r="A327" s="47">
        <v>325</v>
      </c>
      <c r="B327" s="56">
        <v>4971710590067</v>
      </c>
      <c r="C327" s="57" t="s">
        <v>732</v>
      </c>
      <c r="D327" s="75" t="s">
        <v>884</v>
      </c>
      <c r="E327" s="48" t="s">
        <v>733</v>
      </c>
      <c r="F327" s="58"/>
      <c r="G327" s="59"/>
      <c r="H327" s="60"/>
      <c r="I327" s="61"/>
      <c r="J327" s="58">
        <v>5</v>
      </c>
      <c r="K327" s="59">
        <v>3850</v>
      </c>
      <c r="L327" s="49"/>
      <c r="M327" s="50"/>
      <c r="N327" s="49">
        <v>2</v>
      </c>
      <c r="O327" s="50">
        <v>1540</v>
      </c>
      <c r="P327" s="49">
        <v>10</v>
      </c>
      <c r="Q327" s="53">
        <v>7700</v>
      </c>
      <c r="R327" s="49"/>
      <c r="S327" s="53"/>
      <c r="T327" s="49"/>
      <c r="U327" s="53"/>
      <c r="V327" s="49"/>
      <c r="W327" s="53"/>
      <c r="X327" s="53"/>
      <c r="Y327" s="53"/>
      <c r="Z327" s="53"/>
      <c r="AA327" s="53"/>
      <c r="AB327" s="53">
        <v>6</v>
      </c>
      <c r="AC327" s="53">
        <v>4620</v>
      </c>
      <c r="AD327" s="62">
        <f t="shared" si="10"/>
        <v>23</v>
      </c>
      <c r="AE327" s="55">
        <f t="shared" si="11"/>
        <v>17710</v>
      </c>
      <c r="AG327" s="57" t="s">
        <v>356</v>
      </c>
    </row>
    <row r="328" spans="1:33" hidden="1">
      <c r="A328" s="47">
        <v>326</v>
      </c>
      <c r="B328" s="56">
        <v>4971710519433</v>
      </c>
      <c r="C328" s="57" t="s">
        <v>352</v>
      </c>
      <c r="D328" s="75" t="s">
        <v>884</v>
      </c>
      <c r="E328" s="48" t="s">
        <v>353</v>
      </c>
      <c r="F328" s="58">
        <v>20</v>
      </c>
      <c r="G328" s="59">
        <v>11000</v>
      </c>
      <c r="H328" s="60">
        <v>4</v>
      </c>
      <c r="I328" s="61">
        <v>1100</v>
      </c>
      <c r="J328" s="58"/>
      <c r="K328" s="59"/>
      <c r="L328" s="49"/>
      <c r="M328" s="50"/>
      <c r="N328" s="49"/>
      <c r="O328" s="50"/>
      <c r="P328" s="49"/>
      <c r="Q328" s="53"/>
      <c r="R328" s="49"/>
      <c r="S328" s="53"/>
      <c r="T328" s="49"/>
      <c r="U328" s="53"/>
      <c r="V328" s="49"/>
      <c r="W328" s="53"/>
      <c r="X328" s="53"/>
      <c r="Y328" s="53"/>
      <c r="Z328" s="53"/>
      <c r="AA328" s="53"/>
      <c r="AB328" s="53"/>
      <c r="AC328" s="53"/>
      <c r="AD328" s="62">
        <f t="shared" si="10"/>
        <v>24</v>
      </c>
      <c r="AE328" s="55">
        <f t="shared" si="11"/>
        <v>12100</v>
      </c>
      <c r="AG328" s="57" t="s">
        <v>388</v>
      </c>
    </row>
    <row r="329" spans="1:33" hidden="1">
      <c r="A329" s="47">
        <v>327</v>
      </c>
      <c r="B329" s="56">
        <v>4971710615920</v>
      </c>
      <c r="C329" s="57" t="s">
        <v>1055</v>
      </c>
      <c r="D329" s="75" t="s">
        <v>1078</v>
      </c>
      <c r="E329" s="48" t="s">
        <v>1058</v>
      </c>
      <c r="F329" s="58"/>
      <c r="G329" s="59"/>
      <c r="H329" s="60"/>
      <c r="I329" s="61"/>
      <c r="J329" s="58"/>
      <c r="K329" s="59"/>
      <c r="L329" s="49"/>
      <c r="M329" s="50"/>
      <c r="N329" s="49"/>
      <c r="O329" s="50"/>
      <c r="P329" s="49"/>
      <c r="Q329" s="53"/>
      <c r="R329" s="49"/>
      <c r="S329" s="53"/>
      <c r="T329" s="49"/>
      <c r="U329" s="53"/>
      <c r="V329" s="49"/>
      <c r="W329" s="53"/>
      <c r="X329" s="53"/>
      <c r="Y329" s="53"/>
      <c r="Z329" s="53"/>
      <c r="AA329" s="53"/>
      <c r="AB329" s="53">
        <v>20</v>
      </c>
      <c r="AC329" s="53">
        <v>13200</v>
      </c>
      <c r="AD329" s="63">
        <f t="shared" si="10"/>
        <v>20</v>
      </c>
      <c r="AE329" s="55">
        <f t="shared" si="11"/>
        <v>13200</v>
      </c>
      <c r="AG329" s="57" t="s">
        <v>825</v>
      </c>
    </row>
    <row r="330" spans="1:33" hidden="1">
      <c r="A330" s="47">
        <v>328</v>
      </c>
      <c r="B330" s="56">
        <v>4971710293531</v>
      </c>
      <c r="C330" s="57" t="s">
        <v>1046</v>
      </c>
      <c r="D330" s="75" t="s">
        <v>1076</v>
      </c>
      <c r="E330" s="48" t="s">
        <v>1047</v>
      </c>
      <c r="F330" s="58"/>
      <c r="G330" s="59"/>
      <c r="H330" s="60"/>
      <c r="I330" s="61"/>
      <c r="J330" s="58"/>
      <c r="K330" s="59"/>
      <c r="L330" s="49"/>
      <c r="M330" s="50"/>
      <c r="N330" s="49"/>
      <c r="O330" s="50"/>
      <c r="P330" s="49"/>
      <c r="Q330" s="53"/>
      <c r="R330" s="49"/>
      <c r="S330" s="53"/>
      <c r="T330" s="49"/>
      <c r="U330" s="53"/>
      <c r="V330" s="49"/>
      <c r="W330" s="53"/>
      <c r="X330" s="53"/>
      <c r="Y330" s="53"/>
      <c r="Z330" s="53"/>
      <c r="AA330" s="53"/>
      <c r="AB330" s="53">
        <v>20</v>
      </c>
      <c r="AC330" s="53">
        <v>660000</v>
      </c>
      <c r="AD330" s="63">
        <f t="shared" si="10"/>
        <v>20</v>
      </c>
      <c r="AE330" s="55">
        <f t="shared" si="11"/>
        <v>660000</v>
      </c>
      <c r="AG330" s="57" t="s">
        <v>180</v>
      </c>
    </row>
    <row r="331" spans="1:33" hidden="1">
      <c r="A331" s="47">
        <v>329</v>
      </c>
      <c r="B331" s="56">
        <v>4971710575743</v>
      </c>
      <c r="C331" s="57" t="s">
        <v>584</v>
      </c>
      <c r="D331" s="75" t="s">
        <v>884</v>
      </c>
      <c r="E331" s="48" t="s">
        <v>585</v>
      </c>
      <c r="F331" s="58"/>
      <c r="G331" s="59"/>
      <c r="H331" s="60"/>
      <c r="I331" s="61"/>
      <c r="J331" s="58"/>
      <c r="K331" s="59"/>
      <c r="L331" s="49"/>
      <c r="M331" s="50"/>
      <c r="N331" s="49">
        <v>10</v>
      </c>
      <c r="O331" s="50">
        <v>4950</v>
      </c>
      <c r="P331" s="49"/>
      <c r="Q331" s="53"/>
      <c r="R331" s="49"/>
      <c r="S331" s="53"/>
      <c r="T331" s="49"/>
      <c r="U331" s="53"/>
      <c r="V331" s="49"/>
      <c r="W331" s="53"/>
      <c r="X331" s="53"/>
      <c r="Y331" s="53"/>
      <c r="Z331" s="53"/>
      <c r="AA331" s="53"/>
      <c r="AB331" s="53">
        <v>10</v>
      </c>
      <c r="AC331" s="53">
        <v>4950</v>
      </c>
      <c r="AD331" s="62">
        <f t="shared" si="10"/>
        <v>20</v>
      </c>
      <c r="AE331" s="55">
        <f t="shared" si="11"/>
        <v>9900</v>
      </c>
      <c r="AG331" s="57" t="s">
        <v>535</v>
      </c>
    </row>
    <row r="332" spans="1:33" hidden="1">
      <c r="A332" s="47">
        <v>330</v>
      </c>
      <c r="B332" s="56">
        <v>4971710575835</v>
      </c>
      <c r="C332" s="57" t="s">
        <v>592</v>
      </c>
      <c r="D332" s="75" t="s">
        <v>884</v>
      </c>
      <c r="E332" s="48" t="s">
        <v>593</v>
      </c>
      <c r="F332" s="58"/>
      <c r="G332" s="59"/>
      <c r="H332" s="60"/>
      <c r="I332" s="61"/>
      <c r="J332" s="58">
        <v>10</v>
      </c>
      <c r="K332" s="59">
        <v>4950</v>
      </c>
      <c r="L332" s="49"/>
      <c r="M332" s="50"/>
      <c r="N332" s="49"/>
      <c r="O332" s="50"/>
      <c r="P332" s="49"/>
      <c r="Q332" s="53"/>
      <c r="R332" s="49"/>
      <c r="S332" s="53"/>
      <c r="T332" s="49"/>
      <c r="U332" s="53"/>
      <c r="V332" s="49"/>
      <c r="W332" s="53"/>
      <c r="X332" s="53"/>
      <c r="Y332" s="53"/>
      <c r="Z332" s="53"/>
      <c r="AA332" s="53"/>
      <c r="AB332" s="53">
        <v>10</v>
      </c>
      <c r="AC332" s="53">
        <v>4950</v>
      </c>
      <c r="AD332" s="62">
        <f t="shared" si="10"/>
        <v>20</v>
      </c>
      <c r="AE332" s="55">
        <f t="shared" si="11"/>
        <v>9900</v>
      </c>
      <c r="AG332" s="57" t="s">
        <v>672</v>
      </c>
    </row>
    <row r="333" spans="1:33" hidden="1">
      <c r="A333" s="47">
        <v>331</v>
      </c>
      <c r="B333" s="56">
        <v>4971710590036</v>
      </c>
      <c r="C333" s="57" t="s">
        <v>726</v>
      </c>
      <c r="D333" s="75" t="s">
        <v>884</v>
      </c>
      <c r="E333" s="48" t="s">
        <v>727</v>
      </c>
      <c r="F333" s="58"/>
      <c r="G333" s="59"/>
      <c r="H333" s="60"/>
      <c r="I333" s="61"/>
      <c r="J333" s="58">
        <v>2</v>
      </c>
      <c r="K333" s="59">
        <v>1540</v>
      </c>
      <c r="L333" s="49"/>
      <c r="M333" s="50"/>
      <c r="N333" s="49">
        <v>2</v>
      </c>
      <c r="O333" s="50">
        <v>1540</v>
      </c>
      <c r="P333" s="49"/>
      <c r="Q333" s="53"/>
      <c r="R333" s="49">
        <v>5</v>
      </c>
      <c r="S333" s="53">
        <v>3850</v>
      </c>
      <c r="T333" s="49"/>
      <c r="U333" s="53"/>
      <c r="V333" s="49">
        <v>5</v>
      </c>
      <c r="W333" s="53">
        <v>3850</v>
      </c>
      <c r="X333" s="53"/>
      <c r="Y333" s="53"/>
      <c r="Z333" s="53"/>
      <c r="AA333" s="53"/>
      <c r="AB333" s="53">
        <v>6</v>
      </c>
      <c r="AC333" s="53">
        <v>4620</v>
      </c>
      <c r="AD333" s="62">
        <f t="shared" si="10"/>
        <v>20</v>
      </c>
      <c r="AE333" s="55">
        <f t="shared" si="11"/>
        <v>15400</v>
      </c>
      <c r="AG333" s="57" t="s">
        <v>590</v>
      </c>
    </row>
    <row r="334" spans="1:33" hidden="1">
      <c r="A334" s="47">
        <v>332</v>
      </c>
      <c r="B334" s="56">
        <v>4971710572803</v>
      </c>
      <c r="C334" s="57" t="s">
        <v>921</v>
      </c>
      <c r="D334" s="75" t="s">
        <v>1076</v>
      </c>
      <c r="E334" s="48" t="s">
        <v>937</v>
      </c>
      <c r="F334" s="58"/>
      <c r="G334" s="59"/>
      <c r="H334" s="60"/>
      <c r="I334" s="61"/>
      <c r="J334" s="58"/>
      <c r="K334" s="59"/>
      <c r="L334" s="49"/>
      <c r="M334" s="50"/>
      <c r="N334" s="49"/>
      <c r="O334" s="50"/>
      <c r="P334" s="49"/>
      <c r="Q334" s="53"/>
      <c r="R334" s="49"/>
      <c r="S334" s="53"/>
      <c r="T334" s="49"/>
      <c r="U334" s="53"/>
      <c r="V334" s="49">
        <v>15</v>
      </c>
      <c r="W334" s="53">
        <v>26400</v>
      </c>
      <c r="X334" s="53"/>
      <c r="Y334" s="53"/>
      <c r="Z334" s="53"/>
      <c r="AA334" s="53"/>
      <c r="AB334" s="53">
        <v>5</v>
      </c>
      <c r="AC334" s="53">
        <v>8800</v>
      </c>
      <c r="AD334" s="63">
        <f t="shared" si="10"/>
        <v>20</v>
      </c>
      <c r="AE334" s="55">
        <f t="shared" si="11"/>
        <v>35200</v>
      </c>
      <c r="AG334" s="57" t="s">
        <v>592</v>
      </c>
    </row>
    <row r="335" spans="1:33" hidden="1">
      <c r="A335" s="47">
        <v>333</v>
      </c>
      <c r="B335" s="56">
        <v>4971710572810</v>
      </c>
      <c r="C335" s="57" t="s">
        <v>922</v>
      </c>
      <c r="D335" s="75" t="s">
        <v>1076</v>
      </c>
      <c r="E335" s="48" t="s">
        <v>938</v>
      </c>
      <c r="F335" s="58"/>
      <c r="G335" s="59"/>
      <c r="H335" s="60"/>
      <c r="I335" s="61"/>
      <c r="J335" s="58"/>
      <c r="K335" s="59"/>
      <c r="L335" s="49"/>
      <c r="M335" s="50"/>
      <c r="N335" s="49"/>
      <c r="O335" s="50"/>
      <c r="P335" s="49"/>
      <c r="Q335" s="53"/>
      <c r="R335" s="49"/>
      <c r="S335" s="53"/>
      <c r="T335" s="49"/>
      <c r="U335" s="53"/>
      <c r="V335" s="49">
        <v>15</v>
      </c>
      <c r="W335" s="53">
        <v>26400</v>
      </c>
      <c r="X335" s="53"/>
      <c r="Y335" s="53"/>
      <c r="Z335" s="53"/>
      <c r="AA335" s="53"/>
      <c r="AB335" s="53">
        <v>5</v>
      </c>
      <c r="AC335" s="53">
        <v>8800</v>
      </c>
      <c r="AD335" s="63">
        <f t="shared" si="10"/>
        <v>20</v>
      </c>
      <c r="AE335" s="55">
        <f t="shared" si="11"/>
        <v>35200</v>
      </c>
      <c r="AG335" s="57" t="s">
        <v>598</v>
      </c>
    </row>
    <row r="336" spans="1:33" hidden="1">
      <c r="A336" s="47">
        <v>334</v>
      </c>
      <c r="B336" s="56">
        <v>4971710507560</v>
      </c>
      <c r="C336" s="57" t="s">
        <v>174</v>
      </c>
      <c r="D336" s="75" t="s">
        <v>884</v>
      </c>
      <c r="E336" s="48" t="s">
        <v>175</v>
      </c>
      <c r="F336" s="58"/>
      <c r="G336" s="59"/>
      <c r="H336" s="60">
        <v>4</v>
      </c>
      <c r="I336" s="61">
        <v>1320</v>
      </c>
      <c r="J336" s="58">
        <v>6</v>
      </c>
      <c r="K336" s="59">
        <v>3960</v>
      </c>
      <c r="L336" s="49">
        <v>6</v>
      </c>
      <c r="M336" s="50">
        <v>3960</v>
      </c>
      <c r="N336" s="49"/>
      <c r="O336" s="50"/>
      <c r="P336" s="49"/>
      <c r="Q336" s="53"/>
      <c r="R336" s="49">
        <v>2</v>
      </c>
      <c r="S336" s="53">
        <v>1320</v>
      </c>
      <c r="T336" s="49">
        <v>2</v>
      </c>
      <c r="U336" s="53">
        <v>1320</v>
      </c>
      <c r="V336" s="49">
        <v>2</v>
      </c>
      <c r="W336" s="53">
        <v>1320</v>
      </c>
      <c r="X336" s="53"/>
      <c r="Y336" s="53"/>
      <c r="Z336" s="53"/>
      <c r="AA336" s="53"/>
      <c r="AB336" s="53"/>
      <c r="AC336" s="53"/>
      <c r="AD336" s="62">
        <f t="shared" si="10"/>
        <v>22</v>
      </c>
      <c r="AE336" s="55">
        <f t="shared" si="11"/>
        <v>13200</v>
      </c>
      <c r="AG336" s="57" t="s">
        <v>802</v>
      </c>
    </row>
    <row r="337" spans="1:33" hidden="1">
      <c r="A337" s="47">
        <v>335</v>
      </c>
      <c r="B337" s="56">
        <v>4971710522402</v>
      </c>
      <c r="C337" s="57" t="s">
        <v>380</v>
      </c>
      <c r="D337" s="75" t="s">
        <v>1078</v>
      </c>
      <c r="E337" s="48" t="s">
        <v>381</v>
      </c>
      <c r="F337" s="58"/>
      <c r="G337" s="59"/>
      <c r="H337" s="60"/>
      <c r="I337" s="61"/>
      <c r="J337" s="58">
        <v>20</v>
      </c>
      <c r="K337" s="59">
        <v>9900</v>
      </c>
      <c r="L337" s="49"/>
      <c r="M337" s="50"/>
      <c r="N337" s="49"/>
      <c r="O337" s="50"/>
      <c r="P337" s="49"/>
      <c r="Q337" s="53"/>
      <c r="R337" s="49"/>
      <c r="S337" s="53"/>
      <c r="T337" s="49"/>
      <c r="U337" s="53"/>
      <c r="V337" s="49"/>
      <c r="W337" s="53"/>
      <c r="X337" s="53"/>
      <c r="Y337" s="53"/>
      <c r="Z337" s="53"/>
      <c r="AA337" s="53"/>
      <c r="AB337" s="53"/>
      <c r="AC337" s="53"/>
      <c r="AD337" s="62">
        <f t="shared" si="10"/>
        <v>20</v>
      </c>
      <c r="AE337" s="55">
        <f t="shared" si="11"/>
        <v>9900</v>
      </c>
      <c r="AG337" s="57" t="s">
        <v>54</v>
      </c>
    </row>
    <row r="338" spans="1:33" hidden="1">
      <c r="A338" s="47">
        <v>336</v>
      </c>
      <c r="B338" s="56">
        <v>4971710522419</v>
      </c>
      <c r="C338" s="57" t="s">
        <v>382</v>
      </c>
      <c r="D338" s="75" t="s">
        <v>1078</v>
      </c>
      <c r="E338" s="48" t="s">
        <v>383</v>
      </c>
      <c r="F338" s="58"/>
      <c r="G338" s="59"/>
      <c r="H338" s="60"/>
      <c r="I338" s="61"/>
      <c r="J338" s="58">
        <v>20</v>
      </c>
      <c r="K338" s="59">
        <v>9900</v>
      </c>
      <c r="L338" s="49"/>
      <c r="M338" s="50"/>
      <c r="N338" s="49"/>
      <c r="O338" s="50"/>
      <c r="P338" s="49"/>
      <c r="Q338" s="53"/>
      <c r="R338" s="49"/>
      <c r="S338" s="53"/>
      <c r="T338" s="49"/>
      <c r="U338" s="53"/>
      <c r="V338" s="49"/>
      <c r="W338" s="53"/>
      <c r="X338" s="53"/>
      <c r="Y338" s="53"/>
      <c r="Z338" s="53"/>
      <c r="AA338" s="53"/>
      <c r="AB338" s="53"/>
      <c r="AC338" s="53"/>
      <c r="AD338" s="62">
        <f t="shared" si="10"/>
        <v>20</v>
      </c>
      <c r="AE338" s="55">
        <f t="shared" si="11"/>
        <v>9900</v>
      </c>
      <c r="AG338" s="57" t="s">
        <v>533</v>
      </c>
    </row>
    <row r="339" spans="1:33" hidden="1">
      <c r="A339" s="47">
        <v>337</v>
      </c>
      <c r="B339" s="56">
        <v>4971710572520</v>
      </c>
      <c r="C339" s="57" t="s">
        <v>802</v>
      </c>
      <c r="D339" s="75" t="s">
        <v>1080</v>
      </c>
      <c r="E339" s="48" t="s">
        <v>1019</v>
      </c>
      <c r="F339" s="58"/>
      <c r="G339" s="59"/>
      <c r="H339" s="60"/>
      <c r="I339" s="61"/>
      <c r="J339" s="58"/>
      <c r="K339" s="59"/>
      <c r="L339" s="49"/>
      <c r="M339" s="50"/>
      <c r="N339" s="49">
        <v>20</v>
      </c>
      <c r="O339" s="50">
        <v>79200</v>
      </c>
      <c r="P339" s="49"/>
      <c r="Q339" s="53"/>
      <c r="R339" s="49"/>
      <c r="S339" s="53"/>
      <c r="T339" s="49"/>
      <c r="U339" s="53"/>
      <c r="V339" s="49"/>
      <c r="W339" s="53"/>
      <c r="X339" s="53"/>
      <c r="Y339" s="53"/>
      <c r="Z339" s="53"/>
      <c r="AA339" s="53"/>
      <c r="AB339" s="53"/>
      <c r="AC339" s="53"/>
      <c r="AD339" s="62">
        <f t="shared" si="10"/>
        <v>20</v>
      </c>
      <c r="AE339" s="55">
        <f t="shared" si="11"/>
        <v>79200</v>
      </c>
      <c r="AG339" s="57" t="s">
        <v>642</v>
      </c>
    </row>
    <row r="340" spans="1:33" hidden="1">
      <c r="A340" s="47">
        <v>338</v>
      </c>
      <c r="B340" s="56">
        <v>4971710571820</v>
      </c>
      <c r="C340" s="57" t="s">
        <v>561</v>
      </c>
      <c r="D340" s="75" t="s">
        <v>884</v>
      </c>
      <c r="E340" s="48" t="s">
        <v>562</v>
      </c>
      <c r="F340" s="58">
        <v>5</v>
      </c>
      <c r="G340" s="59">
        <v>3300</v>
      </c>
      <c r="H340" s="60">
        <v>16</v>
      </c>
      <c r="I340" s="61">
        <v>5280</v>
      </c>
      <c r="J340" s="58"/>
      <c r="K340" s="59"/>
      <c r="L340" s="49">
        <v>6</v>
      </c>
      <c r="M340" s="50">
        <v>3960</v>
      </c>
      <c r="N340" s="49"/>
      <c r="O340" s="50"/>
      <c r="P340" s="49"/>
      <c r="Q340" s="53"/>
      <c r="R340" s="49"/>
      <c r="S340" s="53"/>
      <c r="T340" s="49"/>
      <c r="U340" s="53"/>
      <c r="V340" s="49"/>
      <c r="W340" s="53"/>
      <c r="X340" s="53"/>
      <c r="Y340" s="53"/>
      <c r="Z340" s="53"/>
      <c r="AA340" s="53"/>
      <c r="AB340" s="53"/>
      <c r="AC340" s="53"/>
      <c r="AD340" s="62">
        <f t="shared" si="10"/>
        <v>27</v>
      </c>
      <c r="AE340" s="55">
        <f t="shared" si="11"/>
        <v>12540</v>
      </c>
      <c r="AG340" s="57" t="s">
        <v>531</v>
      </c>
    </row>
    <row r="341" spans="1:33" hidden="1">
      <c r="A341" s="47">
        <v>339</v>
      </c>
      <c r="B341" s="56">
        <v>4971710507577</v>
      </c>
      <c r="C341" s="57" t="s">
        <v>176</v>
      </c>
      <c r="D341" s="75" t="s">
        <v>884</v>
      </c>
      <c r="E341" s="48" t="s">
        <v>177</v>
      </c>
      <c r="F341" s="58">
        <v>2</v>
      </c>
      <c r="G341" s="59">
        <v>1320</v>
      </c>
      <c r="H341" s="60"/>
      <c r="I341" s="61"/>
      <c r="J341" s="58"/>
      <c r="K341" s="59"/>
      <c r="L341" s="49">
        <v>6</v>
      </c>
      <c r="M341" s="50">
        <v>3960</v>
      </c>
      <c r="N341" s="49"/>
      <c r="O341" s="50"/>
      <c r="P341" s="49"/>
      <c r="Q341" s="53"/>
      <c r="R341" s="49"/>
      <c r="S341" s="53"/>
      <c r="T341" s="49"/>
      <c r="U341" s="53"/>
      <c r="V341" s="49"/>
      <c r="W341" s="53"/>
      <c r="X341" s="53"/>
      <c r="Y341" s="53"/>
      <c r="Z341" s="53"/>
      <c r="AA341" s="53"/>
      <c r="AB341" s="53">
        <v>10</v>
      </c>
      <c r="AC341" s="53">
        <v>6600</v>
      </c>
      <c r="AD341" s="62">
        <f t="shared" si="10"/>
        <v>18</v>
      </c>
      <c r="AE341" s="55">
        <f t="shared" si="11"/>
        <v>11880</v>
      </c>
      <c r="AG341" s="57" t="s">
        <v>48</v>
      </c>
    </row>
    <row r="342" spans="1:33" hidden="1">
      <c r="A342" s="47">
        <v>340</v>
      </c>
      <c r="B342" s="56">
        <v>4971710521504</v>
      </c>
      <c r="C342" s="57" t="s">
        <v>364</v>
      </c>
      <c r="D342" s="75" t="s">
        <v>884</v>
      </c>
      <c r="E342" s="48" t="s">
        <v>365</v>
      </c>
      <c r="F342" s="58"/>
      <c r="G342" s="59"/>
      <c r="H342" s="60">
        <v>4</v>
      </c>
      <c r="I342" s="61">
        <v>1430</v>
      </c>
      <c r="J342" s="58"/>
      <c r="K342" s="59"/>
      <c r="L342" s="49"/>
      <c r="M342" s="50"/>
      <c r="N342" s="49">
        <v>2</v>
      </c>
      <c r="O342" s="50">
        <v>1430</v>
      </c>
      <c r="P342" s="49">
        <v>4</v>
      </c>
      <c r="Q342" s="53">
        <v>2860</v>
      </c>
      <c r="R342" s="49">
        <v>2</v>
      </c>
      <c r="S342" s="53">
        <v>1430</v>
      </c>
      <c r="T342" s="49"/>
      <c r="U342" s="53"/>
      <c r="V342" s="49">
        <v>4</v>
      </c>
      <c r="W342" s="53">
        <v>2860</v>
      </c>
      <c r="X342" s="53"/>
      <c r="Y342" s="53"/>
      <c r="Z342" s="53"/>
      <c r="AA342" s="53"/>
      <c r="AB342" s="53">
        <v>4</v>
      </c>
      <c r="AC342" s="53">
        <v>2860</v>
      </c>
      <c r="AD342" s="62">
        <f t="shared" si="10"/>
        <v>20</v>
      </c>
      <c r="AE342" s="55">
        <f t="shared" si="11"/>
        <v>12870</v>
      </c>
      <c r="AG342" s="57" t="s">
        <v>60</v>
      </c>
    </row>
    <row r="343" spans="1:33" hidden="1">
      <c r="A343" s="47">
        <v>341</v>
      </c>
      <c r="B343" s="56">
        <v>4971710570144</v>
      </c>
      <c r="C343" s="57" t="s">
        <v>919</v>
      </c>
      <c r="D343" s="75" t="s">
        <v>1076</v>
      </c>
      <c r="E343" s="48" t="s">
        <v>935</v>
      </c>
      <c r="F343" s="58"/>
      <c r="G343" s="59"/>
      <c r="H343" s="60"/>
      <c r="I343" s="61"/>
      <c r="J343" s="58"/>
      <c r="K343" s="59"/>
      <c r="L343" s="49"/>
      <c r="M343" s="50"/>
      <c r="N343" s="49"/>
      <c r="O343" s="50"/>
      <c r="P343" s="49"/>
      <c r="Q343" s="53"/>
      <c r="R343" s="49"/>
      <c r="S343" s="53"/>
      <c r="T343" s="49"/>
      <c r="U343" s="53"/>
      <c r="V343" s="49">
        <v>6</v>
      </c>
      <c r="W343" s="53">
        <v>20460</v>
      </c>
      <c r="X343" s="53"/>
      <c r="Y343" s="53"/>
      <c r="Z343" s="53"/>
      <c r="AA343" s="53"/>
      <c r="AB343" s="53">
        <v>10</v>
      </c>
      <c r="AC343" s="53">
        <v>36850</v>
      </c>
      <c r="AD343" s="63">
        <f t="shared" si="10"/>
        <v>16</v>
      </c>
      <c r="AE343" s="55">
        <f t="shared" si="11"/>
        <v>57310</v>
      </c>
      <c r="AG343" s="57" t="s">
        <v>162</v>
      </c>
    </row>
    <row r="344" spans="1:33" hidden="1">
      <c r="A344" s="47">
        <v>342</v>
      </c>
      <c r="B344" s="56">
        <v>4971710570168</v>
      </c>
      <c r="C344" s="57" t="s">
        <v>920</v>
      </c>
      <c r="D344" s="75" t="s">
        <v>1076</v>
      </c>
      <c r="E344" s="48" t="s">
        <v>936</v>
      </c>
      <c r="F344" s="58"/>
      <c r="G344" s="59"/>
      <c r="H344" s="60"/>
      <c r="I344" s="61"/>
      <c r="J344" s="58"/>
      <c r="K344" s="59"/>
      <c r="L344" s="49"/>
      <c r="M344" s="50"/>
      <c r="N344" s="49"/>
      <c r="O344" s="50"/>
      <c r="P344" s="49"/>
      <c r="Q344" s="53"/>
      <c r="R344" s="49"/>
      <c r="S344" s="53"/>
      <c r="T344" s="49"/>
      <c r="U344" s="53"/>
      <c r="V344" s="49">
        <v>6</v>
      </c>
      <c r="W344" s="53">
        <v>20460</v>
      </c>
      <c r="X344" s="53"/>
      <c r="Y344" s="53"/>
      <c r="Z344" s="53"/>
      <c r="AA344" s="53"/>
      <c r="AB344" s="53">
        <v>10</v>
      </c>
      <c r="AC344" s="53">
        <v>36850</v>
      </c>
      <c r="AD344" s="63">
        <f t="shared" si="10"/>
        <v>16</v>
      </c>
      <c r="AE344" s="55">
        <f t="shared" si="11"/>
        <v>57310</v>
      </c>
      <c r="AG344" s="57" t="s">
        <v>164</v>
      </c>
    </row>
    <row r="345" spans="1:33" hidden="1">
      <c r="A345" s="47">
        <v>343</v>
      </c>
      <c r="B345" s="56">
        <v>4971710294736</v>
      </c>
      <c r="C345" s="57" t="s">
        <v>915</v>
      </c>
      <c r="D345" s="75" t="s">
        <v>1076</v>
      </c>
      <c r="E345" s="48" t="s">
        <v>932</v>
      </c>
      <c r="F345" s="58"/>
      <c r="G345" s="59"/>
      <c r="H345" s="60"/>
      <c r="I345" s="61"/>
      <c r="J345" s="58"/>
      <c r="K345" s="59"/>
      <c r="L345" s="49"/>
      <c r="M345" s="50"/>
      <c r="N345" s="49"/>
      <c r="O345" s="50"/>
      <c r="P345" s="49"/>
      <c r="Q345" s="53"/>
      <c r="R345" s="49"/>
      <c r="S345" s="53"/>
      <c r="T345" s="49"/>
      <c r="U345" s="53"/>
      <c r="V345" s="49">
        <v>10</v>
      </c>
      <c r="W345" s="53">
        <v>13750</v>
      </c>
      <c r="X345" s="53"/>
      <c r="Y345" s="53"/>
      <c r="Z345" s="53"/>
      <c r="AA345" s="53"/>
      <c r="AB345" s="53">
        <v>6</v>
      </c>
      <c r="AC345" s="53">
        <v>8250</v>
      </c>
      <c r="AD345" s="63">
        <f t="shared" si="10"/>
        <v>16</v>
      </c>
      <c r="AE345" s="55">
        <f t="shared" si="11"/>
        <v>22000</v>
      </c>
      <c r="AG345" s="57" t="s">
        <v>226</v>
      </c>
    </row>
    <row r="346" spans="1:33" hidden="1">
      <c r="A346" s="47">
        <v>344</v>
      </c>
      <c r="B346" s="56">
        <v>4971710513707</v>
      </c>
      <c r="C346" s="57" t="s">
        <v>276</v>
      </c>
      <c r="D346" s="75" t="s">
        <v>1078</v>
      </c>
      <c r="E346" s="48" t="s">
        <v>277</v>
      </c>
      <c r="F346" s="58"/>
      <c r="G346" s="59"/>
      <c r="H346" s="60"/>
      <c r="I346" s="61"/>
      <c r="J346" s="58"/>
      <c r="K346" s="59"/>
      <c r="L346" s="49">
        <v>6</v>
      </c>
      <c r="M346" s="50">
        <v>3300</v>
      </c>
      <c r="N346" s="49"/>
      <c r="O346" s="50"/>
      <c r="P346" s="49"/>
      <c r="Q346" s="53"/>
      <c r="R346" s="49"/>
      <c r="S346" s="53"/>
      <c r="T346" s="49"/>
      <c r="U346" s="53"/>
      <c r="V346" s="49">
        <v>10</v>
      </c>
      <c r="W346" s="53">
        <v>5500</v>
      </c>
      <c r="X346" s="53"/>
      <c r="Y346" s="53"/>
      <c r="Z346" s="53"/>
      <c r="AA346" s="53"/>
      <c r="AB346" s="53"/>
      <c r="AC346" s="53"/>
      <c r="AD346" s="62">
        <f t="shared" si="10"/>
        <v>16</v>
      </c>
      <c r="AE346" s="55">
        <f t="shared" si="11"/>
        <v>8800</v>
      </c>
      <c r="AG346" s="57" t="s">
        <v>234</v>
      </c>
    </row>
    <row r="347" spans="1:33" hidden="1">
      <c r="A347" s="47">
        <v>345</v>
      </c>
      <c r="B347" s="56">
        <v>4971710463712</v>
      </c>
      <c r="C347" s="57" t="s">
        <v>816</v>
      </c>
      <c r="D347" s="75" t="s">
        <v>884</v>
      </c>
      <c r="E347" s="48" t="s">
        <v>1022</v>
      </c>
      <c r="F347" s="58"/>
      <c r="G347" s="59"/>
      <c r="H347" s="60"/>
      <c r="I347" s="61"/>
      <c r="J347" s="58"/>
      <c r="K347" s="59"/>
      <c r="L347" s="49"/>
      <c r="M347" s="50"/>
      <c r="N347" s="49"/>
      <c r="O347" s="50"/>
      <c r="P347" s="49">
        <v>10</v>
      </c>
      <c r="Q347" s="53">
        <v>4400</v>
      </c>
      <c r="R347" s="49"/>
      <c r="S347" s="53"/>
      <c r="T347" s="49"/>
      <c r="U347" s="53"/>
      <c r="V347" s="49">
        <v>6</v>
      </c>
      <c r="W347" s="53">
        <v>2640</v>
      </c>
      <c r="X347" s="53"/>
      <c r="Y347" s="53"/>
      <c r="Z347" s="53"/>
      <c r="AA347" s="53"/>
      <c r="AB347" s="53"/>
      <c r="AC347" s="53"/>
      <c r="AD347" s="63">
        <f t="shared" si="10"/>
        <v>16</v>
      </c>
      <c r="AE347" s="55">
        <f t="shared" si="11"/>
        <v>7040</v>
      </c>
      <c r="AG347" s="57" t="s">
        <v>238</v>
      </c>
    </row>
    <row r="348" spans="1:33" hidden="1">
      <c r="A348" s="47">
        <v>346</v>
      </c>
      <c r="B348" s="56">
        <v>4971710615913</v>
      </c>
      <c r="C348" s="57" t="s">
        <v>1054</v>
      </c>
      <c r="D348" s="75" t="s">
        <v>1078</v>
      </c>
      <c r="E348" s="48" t="s">
        <v>1057</v>
      </c>
      <c r="F348" s="58"/>
      <c r="G348" s="59"/>
      <c r="H348" s="60"/>
      <c r="I348" s="61"/>
      <c r="J348" s="58"/>
      <c r="K348" s="59"/>
      <c r="L348" s="49"/>
      <c r="M348" s="50"/>
      <c r="N348" s="49"/>
      <c r="O348" s="50"/>
      <c r="P348" s="49"/>
      <c r="Q348" s="53"/>
      <c r="R348" s="49"/>
      <c r="S348" s="53"/>
      <c r="T348" s="49"/>
      <c r="U348" s="53"/>
      <c r="V348" s="49"/>
      <c r="W348" s="53"/>
      <c r="X348" s="53"/>
      <c r="Y348" s="53"/>
      <c r="Z348" s="53"/>
      <c r="AA348" s="53"/>
      <c r="AB348" s="53">
        <v>15</v>
      </c>
      <c r="AC348" s="53">
        <v>9900</v>
      </c>
      <c r="AD348" s="63">
        <f t="shared" si="10"/>
        <v>15</v>
      </c>
      <c r="AE348" s="55">
        <f t="shared" si="11"/>
        <v>9900</v>
      </c>
      <c r="AG348" s="57" t="s">
        <v>306</v>
      </c>
    </row>
    <row r="349" spans="1:33" hidden="1">
      <c r="A349" s="47">
        <v>347</v>
      </c>
      <c r="B349" s="56">
        <v>4971710615937</v>
      </c>
      <c r="C349" s="57" t="s">
        <v>1056</v>
      </c>
      <c r="D349" s="75" t="s">
        <v>1078</v>
      </c>
      <c r="E349" s="48" t="s">
        <v>1059</v>
      </c>
      <c r="F349" s="58"/>
      <c r="G349" s="59"/>
      <c r="H349" s="60"/>
      <c r="I349" s="61"/>
      <c r="J349" s="58"/>
      <c r="K349" s="59"/>
      <c r="L349" s="49"/>
      <c r="M349" s="50"/>
      <c r="N349" s="49"/>
      <c r="O349" s="50"/>
      <c r="P349" s="49"/>
      <c r="Q349" s="53"/>
      <c r="R349" s="49"/>
      <c r="S349" s="53"/>
      <c r="T349" s="49"/>
      <c r="U349" s="53"/>
      <c r="V349" s="49"/>
      <c r="W349" s="53"/>
      <c r="X349" s="53"/>
      <c r="Y349" s="53"/>
      <c r="Z349" s="53"/>
      <c r="AA349" s="53"/>
      <c r="AB349" s="53">
        <v>15</v>
      </c>
      <c r="AC349" s="53">
        <v>9900</v>
      </c>
      <c r="AD349" s="63">
        <f t="shared" si="10"/>
        <v>15</v>
      </c>
      <c r="AE349" s="55">
        <f t="shared" si="11"/>
        <v>9900</v>
      </c>
      <c r="AG349" s="57" t="s">
        <v>586</v>
      </c>
    </row>
    <row r="350" spans="1:33" hidden="1">
      <c r="A350" s="47">
        <v>348</v>
      </c>
      <c r="B350" s="56">
        <v>4971710615944</v>
      </c>
      <c r="C350" s="57" t="s">
        <v>1060</v>
      </c>
      <c r="D350" s="75" t="s">
        <v>1078</v>
      </c>
      <c r="E350" s="48" t="s">
        <v>1063</v>
      </c>
      <c r="F350" s="58"/>
      <c r="G350" s="59"/>
      <c r="H350" s="60"/>
      <c r="I350" s="61"/>
      <c r="J350" s="58"/>
      <c r="K350" s="59"/>
      <c r="L350" s="49"/>
      <c r="M350" s="50"/>
      <c r="N350" s="49"/>
      <c r="O350" s="50"/>
      <c r="P350" s="49"/>
      <c r="Q350" s="53"/>
      <c r="R350" s="49"/>
      <c r="S350" s="53"/>
      <c r="T350" s="49"/>
      <c r="U350" s="53"/>
      <c r="V350" s="49"/>
      <c r="W350" s="53"/>
      <c r="X350" s="53"/>
      <c r="Y350" s="53"/>
      <c r="Z350" s="53"/>
      <c r="AA350" s="53"/>
      <c r="AB350" s="53">
        <v>15</v>
      </c>
      <c r="AC350" s="53">
        <v>9900</v>
      </c>
      <c r="AD350" s="63">
        <f t="shared" si="10"/>
        <v>15</v>
      </c>
      <c r="AE350" s="55">
        <f t="shared" si="11"/>
        <v>9900</v>
      </c>
      <c r="AG350" s="57" t="s">
        <v>638</v>
      </c>
    </row>
    <row r="351" spans="1:33" hidden="1">
      <c r="A351" s="47">
        <v>349</v>
      </c>
      <c r="B351" s="56">
        <v>4971710615951</v>
      </c>
      <c r="C351" s="57" t="s">
        <v>1061</v>
      </c>
      <c r="D351" s="75" t="s">
        <v>1078</v>
      </c>
      <c r="E351" s="48" t="s">
        <v>1064</v>
      </c>
      <c r="F351" s="58"/>
      <c r="G351" s="59"/>
      <c r="H351" s="60"/>
      <c r="I351" s="61"/>
      <c r="J351" s="58"/>
      <c r="K351" s="59"/>
      <c r="L351" s="49"/>
      <c r="M351" s="50"/>
      <c r="N351" s="49"/>
      <c r="O351" s="50"/>
      <c r="P351" s="49"/>
      <c r="Q351" s="53"/>
      <c r="R351" s="49"/>
      <c r="S351" s="53"/>
      <c r="T351" s="49"/>
      <c r="U351" s="53"/>
      <c r="V351" s="49"/>
      <c r="W351" s="53"/>
      <c r="X351" s="53"/>
      <c r="Y351" s="53"/>
      <c r="Z351" s="53"/>
      <c r="AA351" s="53"/>
      <c r="AB351" s="53">
        <v>15</v>
      </c>
      <c r="AC351" s="53">
        <v>9900</v>
      </c>
      <c r="AD351" s="63">
        <f t="shared" si="10"/>
        <v>15</v>
      </c>
      <c r="AE351" s="55">
        <f t="shared" si="11"/>
        <v>9900</v>
      </c>
      <c r="AG351" s="57" t="s">
        <v>342</v>
      </c>
    </row>
    <row r="352" spans="1:33" hidden="1">
      <c r="A352" s="47">
        <v>350</v>
      </c>
      <c r="B352" s="56">
        <v>4971710615968</v>
      </c>
      <c r="C352" s="57" t="s">
        <v>1062</v>
      </c>
      <c r="D352" s="75" t="s">
        <v>1078</v>
      </c>
      <c r="E352" s="48" t="s">
        <v>1065</v>
      </c>
      <c r="F352" s="58"/>
      <c r="G352" s="59"/>
      <c r="H352" s="60"/>
      <c r="I352" s="61"/>
      <c r="J352" s="58"/>
      <c r="K352" s="59"/>
      <c r="L352" s="49"/>
      <c r="M352" s="50"/>
      <c r="N352" s="49"/>
      <c r="O352" s="50"/>
      <c r="P352" s="49"/>
      <c r="Q352" s="53"/>
      <c r="R352" s="49"/>
      <c r="S352" s="53"/>
      <c r="T352" s="49"/>
      <c r="U352" s="53"/>
      <c r="V352" s="49"/>
      <c r="W352" s="53"/>
      <c r="X352" s="53"/>
      <c r="Y352" s="53"/>
      <c r="Z352" s="53"/>
      <c r="AA352" s="53"/>
      <c r="AB352" s="53">
        <v>15</v>
      </c>
      <c r="AC352" s="53">
        <v>9900</v>
      </c>
      <c r="AD352" s="63">
        <f t="shared" si="10"/>
        <v>15</v>
      </c>
      <c r="AE352" s="55">
        <f t="shared" si="11"/>
        <v>9900</v>
      </c>
      <c r="AG352" s="57" t="s">
        <v>575</v>
      </c>
    </row>
    <row r="353" spans="1:33" hidden="1">
      <c r="A353" s="47">
        <v>351</v>
      </c>
      <c r="B353" s="56">
        <v>4971710285208</v>
      </c>
      <c r="C353" s="57" t="s">
        <v>914</v>
      </c>
      <c r="D353" s="75" t="s">
        <v>1076</v>
      </c>
      <c r="E353" s="48" t="s">
        <v>931</v>
      </c>
      <c r="F353" s="58"/>
      <c r="G353" s="59"/>
      <c r="H353" s="60"/>
      <c r="I353" s="61"/>
      <c r="J353" s="58"/>
      <c r="K353" s="59"/>
      <c r="L353" s="49"/>
      <c r="M353" s="50"/>
      <c r="N353" s="49"/>
      <c r="O353" s="50"/>
      <c r="P353" s="49"/>
      <c r="Q353" s="53"/>
      <c r="R353" s="49"/>
      <c r="S353" s="53"/>
      <c r="T353" s="49"/>
      <c r="U353" s="53"/>
      <c r="V353" s="49">
        <v>5</v>
      </c>
      <c r="W353" s="53">
        <v>22000</v>
      </c>
      <c r="X353" s="53"/>
      <c r="Y353" s="53"/>
      <c r="Z353" s="53"/>
      <c r="AA353" s="53"/>
      <c r="AB353" s="53">
        <v>10</v>
      </c>
      <c r="AC353" s="53">
        <v>44000</v>
      </c>
      <c r="AD353" s="63">
        <f t="shared" si="10"/>
        <v>15</v>
      </c>
      <c r="AE353" s="55">
        <f t="shared" si="11"/>
        <v>66000</v>
      </c>
      <c r="AG353" s="57" t="s">
        <v>551</v>
      </c>
    </row>
    <row r="354" spans="1:33" hidden="1">
      <c r="A354" s="47">
        <v>352</v>
      </c>
      <c r="B354" s="56">
        <v>4971710593556</v>
      </c>
      <c r="C354" s="57" t="s">
        <v>927</v>
      </c>
      <c r="D354" s="75" t="s">
        <v>1076</v>
      </c>
      <c r="E354" s="48" t="s">
        <v>943</v>
      </c>
      <c r="F354" s="58"/>
      <c r="G354" s="59"/>
      <c r="H354" s="60"/>
      <c r="I354" s="61"/>
      <c r="J354" s="58"/>
      <c r="K354" s="59"/>
      <c r="L354" s="49"/>
      <c r="M354" s="50"/>
      <c r="N354" s="49"/>
      <c r="O354" s="50"/>
      <c r="P354" s="49"/>
      <c r="Q354" s="53"/>
      <c r="R354" s="49"/>
      <c r="S354" s="53"/>
      <c r="T354" s="49"/>
      <c r="U354" s="53"/>
      <c r="V354" s="49">
        <v>5</v>
      </c>
      <c r="W354" s="53">
        <v>12925</v>
      </c>
      <c r="X354" s="53"/>
      <c r="Y354" s="53"/>
      <c r="Z354" s="53"/>
      <c r="AA354" s="53"/>
      <c r="AB354" s="53">
        <v>10</v>
      </c>
      <c r="AC354" s="53">
        <v>25850</v>
      </c>
      <c r="AD354" s="63">
        <f t="shared" si="10"/>
        <v>15</v>
      </c>
      <c r="AE354" s="55">
        <f t="shared" si="11"/>
        <v>38775</v>
      </c>
      <c r="AG354" s="57" t="s">
        <v>334</v>
      </c>
    </row>
    <row r="355" spans="1:33" hidden="1">
      <c r="A355" s="47">
        <v>353</v>
      </c>
      <c r="B355" s="56">
        <v>4971710593563</v>
      </c>
      <c r="C355" s="57" t="s">
        <v>928</v>
      </c>
      <c r="D355" s="75" t="s">
        <v>1076</v>
      </c>
      <c r="E355" s="48" t="s">
        <v>944</v>
      </c>
      <c r="F355" s="58"/>
      <c r="G355" s="59"/>
      <c r="H355" s="60"/>
      <c r="I355" s="61"/>
      <c r="J355" s="58"/>
      <c r="K355" s="59"/>
      <c r="L355" s="49"/>
      <c r="M355" s="50"/>
      <c r="N355" s="49"/>
      <c r="O355" s="50"/>
      <c r="P355" s="49"/>
      <c r="Q355" s="53"/>
      <c r="R355" s="49"/>
      <c r="S355" s="53"/>
      <c r="T355" s="49"/>
      <c r="U355" s="53"/>
      <c r="V355" s="49">
        <v>5</v>
      </c>
      <c r="W355" s="53">
        <v>12925</v>
      </c>
      <c r="X355" s="53"/>
      <c r="Y355" s="53"/>
      <c r="Z355" s="53"/>
      <c r="AA355" s="53"/>
      <c r="AB355" s="53">
        <v>10</v>
      </c>
      <c r="AC355" s="53">
        <v>25850</v>
      </c>
      <c r="AD355" s="63">
        <f t="shared" si="10"/>
        <v>15</v>
      </c>
      <c r="AE355" s="55">
        <f t="shared" si="11"/>
        <v>38775</v>
      </c>
      <c r="AG355" s="57" t="s">
        <v>372</v>
      </c>
    </row>
    <row r="356" spans="1:33" hidden="1">
      <c r="A356" s="47">
        <v>354</v>
      </c>
      <c r="B356" s="56">
        <v>4971710590050</v>
      </c>
      <c r="C356" s="57" t="s">
        <v>730</v>
      </c>
      <c r="D356" s="75" t="s">
        <v>884</v>
      </c>
      <c r="E356" s="48" t="s">
        <v>731</v>
      </c>
      <c r="F356" s="58"/>
      <c r="G356" s="59"/>
      <c r="H356" s="60"/>
      <c r="I356" s="61"/>
      <c r="J356" s="58">
        <v>2</v>
      </c>
      <c r="K356" s="59">
        <v>1540</v>
      </c>
      <c r="L356" s="49"/>
      <c r="M356" s="50"/>
      <c r="N356" s="49">
        <v>2</v>
      </c>
      <c r="O356" s="50">
        <v>1540</v>
      </c>
      <c r="P356" s="49"/>
      <c r="Q356" s="53"/>
      <c r="R356" s="49"/>
      <c r="S356" s="53"/>
      <c r="T356" s="49"/>
      <c r="U356" s="53"/>
      <c r="V356" s="49">
        <v>5</v>
      </c>
      <c r="W356" s="53">
        <v>3850</v>
      </c>
      <c r="X356" s="53"/>
      <c r="Y356" s="53"/>
      <c r="Z356" s="53"/>
      <c r="AA356" s="53"/>
      <c r="AB356" s="53">
        <v>6</v>
      </c>
      <c r="AC356" s="53">
        <v>4620</v>
      </c>
      <c r="AD356" s="62">
        <f t="shared" si="10"/>
        <v>15</v>
      </c>
      <c r="AE356" s="55">
        <f t="shared" si="11"/>
        <v>11550</v>
      </c>
      <c r="AG356" s="57" t="s">
        <v>410</v>
      </c>
    </row>
    <row r="357" spans="1:33" hidden="1">
      <c r="A357" s="47">
        <v>355</v>
      </c>
      <c r="B357" s="56">
        <v>4971710551761</v>
      </c>
      <c r="C357" s="57" t="s">
        <v>917</v>
      </c>
      <c r="D357" s="75" t="s">
        <v>1076</v>
      </c>
      <c r="E357" s="48" t="s">
        <v>933</v>
      </c>
      <c r="F357" s="58"/>
      <c r="G357" s="59"/>
      <c r="H357" s="60"/>
      <c r="I357" s="61"/>
      <c r="J357" s="58"/>
      <c r="K357" s="59"/>
      <c r="L357" s="49"/>
      <c r="M357" s="50"/>
      <c r="N357" s="49"/>
      <c r="O357" s="50"/>
      <c r="P357" s="49"/>
      <c r="Q357" s="53"/>
      <c r="R357" s="49"/>
      <c r="S357" s="53"/>
      <c r="T357" s="49"/>
      <c r="U357" s="53"/>
      <c r="V357" s="49">
        <v>10</v>
      </c>
      <c r="W357" s="53">
        <v>15400</v>
      </c>
      <c r="X357" s="53"/>
      <c r="Y357" s="53"/>
      <c r="Z357" s="53"/>
      <c r="AA357" s="53"/>
      <c r="AB357" s="53">
        <v>5</v>
      </c>
      <c r="AC357" s="53">
        <v>7700</v>
      </c>
      <c r="AD357" s="63">
        <f t="shared" si="10"/>
        <v>15</v>
      </c>
      <c r="AE357" s="55">
        <f t="shared" si="11"/>
        <v>23100</v>
      </c>
      <c r="AG357" s="57" t="s">
        <v>412</v>
      </c>
    </row>
    <row r="358" spans="1:33" hidden="1">
      <c r="A358" s="47">
        <v>356</v>
      </c>
      <c r="B358" s="56">
        <v>4971710592535</v>
      </c>
      <c r="C358" s="57" t="s">
        <v>834</v>
      </c>
      <c r="D358" s="75" t="s">
        <v>1078</v>
      </c>
      <c r="E358" s="48" t="s">
        <v>1026</v>
      </c>
      <c r="F358" s="58"/>
      <c r="G358" s="59"/>
      <c r="H358" s="60"/>
      <c r="I358" s="61"/>
      <c r="J358" s="58"/>
      <c r="K358" s="59"/>
      <c r="L358" s="49"/>
      <c r="M358" s="50"/>
      <c r="N358" s="49"/>
      <c r="O358" s="50"/>
      <c r="P358" s="49"/>
      <c r="Q358" s="53"/>
      <c r="R358" s="49">
        <v>2</v>
      </c>
      <c r="S358" s="53">
        <v>1210</v>
      </c>
      <c r="T358" s="49"/>
      <c r="U358" s="53"/>
      <c r="V358" s="49">
        <v>2</v>
      </c>
      <c r="W358" s="53">
        <v>1210</v>
      </c>
      <c r="X358" s="53"/>
      <c r="Y358" s="53"/>
      <c r="Z358" s="53"/>
      <c r="AA358" s="53"/>
      <c r="AB358" s="53">
        <v>10</v>
      </c>
      <c r="AC358" s="53">
        <v>6050</v>
      </c>
      <c r="AD358" s="63">
        <f t="shared" si="10"/>
        <v>14</v>
      </c>
      <c r="AE358" s="55">
        <f t="shared" si="11"/>
        <v>8470</v>
      </c>
      <c r="AG358" s="57" t="s">
        <v>414</v>
      </c>
    </row>
    <row r="359" spans="1:33" hidden="1">
      <c r="A359" s="47">
        <v>357</v>
      </c>
      <c r="B359" s="56">
        <v>4971710575767</v>
      </c>
      <c r="C359" s="57" t="s">
        <v>586</v>
      </c>
      <c r="D359" s="75" t="s">
        <v>884</v>
      </c>
      <c r="E359" s="48" t="s">
        <v>587</v>
      </c>
      <c r="F359" s="58"/>
      <c r="G359" s="59"/>
      <c r="H359" s="60"/>
      <c r="I359" s="61"/>
      <c r="J359" s="58"/>
      <c r="K359" s="59"/>
      <c r="L359" s="49"/>
      <c r="M359" s="50"/>
      <c r="N359" s="49"/>
      <c r="O359" s="50"/>
      <c r="P359" s="49"/>
      <c r="Q359" s="53"/>
      <c r="R359" s="49">
        <v>4</v>
      </c>
      <c r="S359" s="53">
        <v>1980</v>
      </c>
      <c r="T359" s="49"/>
      <c r="U359" s="53"/>
      <c r="V359" s="49"/>
      <c r="W359" s="53"/>
      <c r="X359" s="53"/>
      <c r="Y359" s="53"/>
      <c r="Z359" s="53"/>
      <c r="AA359" s="53"/>
      <c r="AB359" s="53">
        <v>10</v>
      </c>
      <c r="AC359" s="53">
        <v>4950</v>
      </c>
      <c r="AD359" s="62">
        <f t="shared" si="10"/>
        <v>14</v>
      </c>
      <c r="AE359" s="55">
        <f t="shared" si="11"/>
        <v>6930</v>
      </c>
      <c r="AG359" s="57" t="s">
        <v>416</v>
      </c>
    </row>
    <row r="360" spans="1:33" hidden="1">
      <c r="A360" s="47">
        <v>358</v>
      </c>
      <c r="B360" s="56">
        <v>4971710578782</v>
      </c>
      <c r="C360" s="57" t="s">
        <v>642</v>
      </c>
      <c r="D360" s="75" t="s">
        <v>884</v>
      </c>
      <c r="E360" s="48" t="s">
        <v>643</v>
      </c>
      <c r="F360" s="58"/>
      <c r="G360" s="59"/>
      <c r="H360" s="60"/>
      <c r="I360" s="61"/>
      <c r="J360" s="58"/>
      <c r="K360" s="59"/>
      <c r="L360" s="49">
        <v>4</v>
      </c>
      <c r="M360" s="50">
        <v>1980</v>
      </c>
      <c r="N360" s="49"/>
      <c r="O360" s="50"/>
      <c r="P360" s="49"/>
      <c r="Q360" s="53"/>
      <c r="R360" s="49"/>
      <c r="S360" s="53"/>
      <c r="T360" s="49"/>
      <c r="U360" s="53"/>
      <c r="V360" s="49"/>
      <c r="W360" s="53"/>
      <c r="X360" s="53"/>
      <c r="Y360" s="53"/>
      <c r="Z360" s="53"/>
      <c r="AA360" s="53"/>
      <c r="AB360" s="53">
        <v>10</v>
      </c>
      <c r="AC360" s="53">
        <v>4950</v>
      </c>
      <c r="AD360" s="62">
        <f t="shared" si="10"/>
        <v>14</v>
      </c>
      <c r="AE360" s="55">
        <f t="shared" si="11"/>
        <v>6930</v>
      </c>
      <c r="AG360" s="57" t="s">
        <v>418</v>
      </c>
    </row>
    <row r="361" spans="1:33" hidden="1">
      <c r="A361" s="47">
        <v>359</v>
      </c>
      <c r="B361" s="56">
        <v>4971710568707</v>
      </c>
      <c r="C361" s="57" t="s">
        <v>535</v>
      </c>
      <c r="D361" s="75" t="s">
        <v>884</v>
      </c>
      <c r="E361" s="48" t="s">
        <v>536</v>
      </c>
      <c r="F361" s="58"/>
      <c r="G361" s="59"/>
      <c r="H361" s="60">
        <v>4</v>
      </c>
      <c r="I361" s="61">
        <v>1650</v>
      </c>
      <c r="J361" s="58"/>
      <c r="K361" s="59"/>
      <c r="L361" s="49"/>
      <c r="M361" s="50"/>
      <c r="N361" s="49"/>
      <c r="O361" s="50"/>
      <c r="P361" s="49"/>
      <c r="Q361" s="53"/>
      <c r="R361" s="49">
        <v>10</v>
      </c>
      <c r="S361" s="53">
        <v>8250</v>
      </c>
      <c r="T361" s="49"/>
      <c r="U361" s="53"/>
      <c r="V361" s="49">
        <v>2</v>
      </c>
      <c r="W361" s="53">
        <v>1650</v>
      </c>
      <c r="X361" s="53"/>
      <c r="Y361" s="53"/>
      <c r="Z361" s="53"/>
      <c r="AA361" s="53"/>
      <c r="AB361" s="53"/>
      <c r="AC361" s="53"/>
      <c r="AD361" s="62">
        <f t="shared" si="10"/>
        <v>16</v>
      </c>
      <c r="AE361" s="55">
        <f t="shared" si="11"/>
        <v>11550</v>
      </c>
      <c r="AG361" s="57" t="s">
        <v>420</v>
      </c>
    </row>
    <row r="362" spans="1:33" hidden="1">
      <c r="A362" s="47">
        <v>360</v>
      </c>
      <c r="B362" s="56">
        <v>4971710519457</v>
      </c>
      <c r="C362" s="57" t="s">
        <v>356</v>
      </c>
      <c r="D362" s="75" t="s">
        <v>884</v>
      </c>
      <c r="E362" s="48" t="s">
        <v>357</v>
      </c>
      <c r="F362" s="58"/>
      <c r="G362" s="59"/>
      <c r="H362" s="60">
        <v>8</v>
      </c>
      <c r="I362" s="61">
        <v>2200</v>
      </c>
      <c r="J362" s="58">
        <v>10</v>
      </c>
      <c r="K362" s="59">
        <v>5500</v>
      </c>
      <c r="L362" s="49"/>
      <c r="M362" s="50"/>
      <c r="N362" s="49"/>
      <c r="O362" s="50"/>
      <c r="P362" s="49"/>
      <c r="Q362" s="53"/>
      <c r="R362" s="49"/>
      <c r="S362" s="53"/>
      <c r="T362" s="49"/>
      <c r="U362" s="53"/>
      <c r="V362" s="49"/>
      <c r="W362" s="53"/>
      <c r="X362" s="53"/>
      <c r="Y362" s="53"/>
      <c r="Z362" s="53"/>
      <c r="AA362" s="53"/>
      <c r="AB362" s="53"/>
      <c r="AC362" s="53"/>
      <c r="AD362" s="62">
        <f t="shared" si="10"/>
        <v>18</v>
      </c>
      <c r="AE362" s="55">
        <f t="shared" si="11"/>
        <v>7700</v>
      </c>
      <c r="AG362" s="57" t="s">
        <v>588</v>
      </c>
    </row>
    <row r="363" spans="1:33" hidden="1">
      <c r="A363" s="47">
        <v>361</v>
      </c>
      <c r="B363" s="56">
        <v>4971710592528</v>
      </c>
      <c r="C363" s="57" t="s">
        <v>833</v>
      </c>
      <c r="D363" s="75" t="s">
        <v>1078</v>
      </c>
      <c r="E363" s="48" t="s">
        <v>1026</v>
      </c>
      <c r="F363" s="58"/>
      <c r="G363" s="59"/>
      <c r="H363" s="60"/>
      <c r="I363" s="61"/>
      <c r="J363" s="58"/>
      <c r="K363" s="59"/>
      <c r="L363" s="49"/>
      <c r="M363" s="50"/>
      <c r="N363" s="49"/>
      <c r="O363" s="50"/>
      <c r="P363" s="49"/>
      <c r="Q363" s="53"/>
      <c r="R363" s="49">
        <v>2</v>
      </c>
      <c r="S363" s="53">
        <v>1210</v>
      </c>
      <c r="T363" s="49"/>
      <c r="U363" s="53"/>
      <c r="V363" s="49"/>
      <c r="W363" s="53"/>
      <c r="X363" s="53"/>
      <c r="Y363" s="53"/>
      <c r="Z363" s="53"/>
      <c r="AA363" s="53"/>
      <c r="AB363" s="53">
        <v>10</v>
      </c>
      <c r="AC363" s="53">
        <v>6050</v>
      </c>
      <c r="AD363" s="63">
        <f t="shared" si="10"/>
        <v>12</v>
      </c>
      <c r="AE363" s="55">
        <f t="shared" si="11"/>
        <v>7260</v>
      </c>
      <c r="AG363" s="57" t="s">
        <v>594</v>
      </c>
    </row>
    <row r="364" spans="1:33" hidden="1">
      <c r="A364" s="47">
        <v>362</v>
      </c>
      <c r="B364" s="56">
        <v>4971710579314</v>
      </c>
      <c r="C364" s="57" t="s">
        <v>652</v>
      </c>
      <c r="D364" s="75" t="s">
        <v>884</v>
      </c>
      <c r="E364" s="48" t="s">
        <v>653</v>
      </c>
      <c r="F364" s="58">
        <v>12</v>
      </c>
      <c r="G364" s="59">
        <v>9240</v>
      </c>
      <c r="H364" s="60"/>
      <c r="I364" s="61"/>
      <c r="J364" s="58"/>
      <c r="K364" s="59"/>
      <c r="L364" s="49"/>
      <c r="M364" s="50"/>
      <c r="N364" s="49"/>
      <c r="O364" s="50"/>
      <c r="P364" s="49"/>
      <c r="Q364" s="53"/>
      <c r="R364" s="49"/>
      <c r="S364" s="53"/>
      <c r="T364" s="49"/>
      <c r="U364" s="53"/>
      <c r="V364" s="49"/>
      <c r="W364" s="53"/>
      <c r="X364" s="53"/>
      <c r="Y364" s="53"/>
      <c r="Z364" s="53"/>
      <c r="AA364" s="53"/>
      <c r="AB364" s="53"/>
      <c r="AC364" s="53"/>
      <c r="AD364" s="62">
        <f t="shared" si="10"/>
        <v>12</v>
      </c>
      <c r="AE364" s="55">
        <f t="shared" si="11"/>
        <v>9240</v>
      </c>
      <c r="AG364" s="57" t="s">
        <v>596</v>
      </c>
    </row>
    <row r="365" spans="1:33" hidden="1">
      <c r="A365" s="47">
        <v>363</v>
      </c>
      <c r="B365" s="56">
        <v>4971710590043</v>
      </c>
      <c r="C365" s="57" t="s">
        <v>728</v>
      </c>
      <c r="D365" s="75" t="s">
        <v>884</v>
      </c>
      <c r="E365" s="48" t="s">
        <v>729</v>
      </c>
      <c r="F365" s="58"/>
      <c r="G365" s="59"/>
      <c r="H365" s="60">
        <v>4</v>
      </c>
      <c r="I365" s="61">
        <v>1540</v>
      </c>
      <c r="J365" s="58">
        <v>2</v>
      </c>
      <c r="K365" s="59">
        <v>1540</v>
      </c>
      <c r="L365" s="49"/>
      <c r="M365" s="50"/>
      <c r="N365" s="49">
        <v>2</v>
      </c>
      <c r="O365" s="50">
        <v>1540</v>
      </c>
      <c r="P365" s="49">
        <v>5</v>
      </c>
      <c r="Q365" s="53">
        <v>3850</v>
      </c>
      <c r="R365" s="49"/>
      <c r="S365" s="53"/>
      <c r="T365" s="49"/>
      <c r="U365" s="53"/>
      <c r="V365" s="49"/>
      <c r="W365" s="53"/>
      <c r="X365" s="53"/>
      <c r="Y365" s="53"/>
      <c r="Z365" s="53"/>
      <c r="AA365" s="53"/>
      <c r="AB365" s="53"/>
      <c r="AC365" s="53"/>
      <c r="AD365" s="62">
        <f t="shared" si="10"/>
        <v>13</v>
      </c>
      <c r="AE365" s="55">
        <f t="shared" si="11"/>
        <v>8470</v>
      </c>
      <c r="AG365" s="57" t="s">
        <v>636</v>
      </c>
    </row>
    <row r="366" spans="1:33" hidden="1">
      <c r="A366" s="47">
        <v>364</v>
      </c>
      <c r="B366" s="56">
        <v>4971710575828</v>
      </c>
      <c r="C366" s="57" t="s">
        <v>590</v>
      </c>
      <c r="D366" s="75" t="s">
        <v>884</v>
      </c>
      <c r="E366" s="48" t="s">
        <v>591</v>
      </c>
      <c r="F366" s="58"/>
      <c r="G366" s="59"/>
      <c r="H366" s="60"/>
      <c r="I366" s="61"/>
      <c r="J366" s="58"/>
      <c r="K366" s="59"/>
      <c r="L366" s="49"/>
      <c r="M366" s="50"/>
      <c r="N366" s="49"/>
      <c r="O366" s="50"/>
      <c r="P366" s="49"/>
      <c r="Q366" s="53"/>
      <c r="R366" s="49"/>
      <c r="S366" s="53"/>
      <c r="T366" s="49"/>
      <c r="U366" s="53"/>
      <c r="V366" s="49"/>
      <c r="W366" s="53"/>
      <c r="X366" s="53"/>
      <c r="Y366" s="53"/>
      <c r="Z366" s="53"/>
      <c r="AA366" s="53"/>
      <c r="AB366" s="53">
        <v>10</v>
      </c>
      <c r="AC366" s="53">
        <v>4950</v>
      </c>
      <c r="AD366" s="62">
        <f t="shared" si="10"/>
        <v>10</v>
      </c>
      <c r="AE366" s="55">
        <f t="shared" si="11"/>
        <v>4950</v>
      </c>
      <c r="AG366" s="57" t="s">
        <v>640</v>
      </c>
    </row>
    <row r="367" spans="1:33" hidden="1">
      <c r="A367" s="47">
        <v>365</v>
      </c>
      <c r="B367" s="56">
        <v>4971710575781</v>
      </c>
      <c r="C367" s="57" t="s">
        <v>588</v>
      </c>
      <c r="D367" s="75" t="s">
        <v>884</v>
      </c>
      <c r="E367" s="48" t="s">
        <v>589</v>
      </c>
      <c r="F367" s="58"/>
      <c r="G367" s="59"/>
      <c r="H367" s="60"/>
      <c r="I367" s="61"/>
      <c r="J367" s="58"/>
      <c r="K367" s="59"/>
      <c r="L367" s="49"/>
      <c r="M367" s="50"/>
      <c r="N367" s="49"/>
      <c r="O367" s="50"/>
      <c r="P367" s="49"/>
      <c r="Q367" s="53"/>
      <c r="R367" s="49"/>
      <c r="S367" s="53"/>
      <c r="T367" s="49"/>
      <c r="U367" s="53"/>
      <c r="V367" s="49"/>
      <c r="W367" s="53"/>
      <c r="X367" s="53"/>
      <c r="Y367" s="53"/>
      <c r="Z367" s="53"/>
      <c r="AA367" s="53"/>
      <c r="AB367" s="53">
        <v>10</v>
      </c>
      <c r="AC367" s="53">
        <v>4950</v>
      </c>
      <c r="AD367" s="62">
        <f t="shared" si="10"/>
        <v>10</v>
      </c>
      <c r="AE367" s="55">
        <f t="shared" si="11"/>
        <v>4950</v>
      </c>
      <c r="AG367" s="57" t="s">
        <v>644</v>
      </c>
    </row>
    <row r="368" spans="1:33" hidden="1">
      <c r="A368" s="47">
        <v>366</v>
      </c>
      <c r="B368" s="56">
        <v>4971710575866</v>
      </c>
      <c r="C368" s="57" t="s">
        <v>594</v>
      </c>
      <c r="D368" s="75" t="s">
        <v>884</v>
      </c>
      <c r="E368" s="48" t="s">
        <v>595</v>
      </c>
      <c r="F368" s="58"/>
      <c r="G368" s="59"/>
      <c r="H368" s="60"/>
      <c r="I368" s="61"/>
      <c r="J368" s="58"/>
      <c r="K368" s="59"/>
      <c r="L368" s="49"/>
      <c r="M368" s="50"/>
      <c r="N368" s="49"/>
      <c r="O368" s="50"/>
      <c r="P368" s="49"/>
      <c r="Q368" s="53"/>
      <c r="R368" s="49"/>
      <c r="S368" s="53"/>
      <c r="T368" s="49"/>
      <c r="U368" s="53"/>
      <c r="V368" s="49"/>
      <c r="W368" s="53"/>
      <c r="X368" s="53"/>
      <c r="Y368" s="53"/>
      <c r="Z368" s="53"/>
      <c r="AA368" s="53"/>
      <c r="AB368" s="53">
        <v>10</v>
      </c>
      <c r="AC368" s="53">
        <v>4950</v>
      </c>
      <c r="AD368" s="62">
        <f t="shared" si="10"/>
        <v>10</v>
      </c>
      <c r="AE368" s="55">
        <f t="shared" si="11"/>
        <v>4950</v>
      </c>
      <c r="AG368" s="57" t="s">
        <v>646</v>
      </c>
    </row>
    <row r="369" spans="1:33" hidden="1">
      <c r="A369" s="47">
        <v>367</v>
      </c>
      <c r="B369" s="56">
        <v>4971710578812</v>
      </c>
      <c r="C369" s="57" t="s">
        <v>648</v>
      </c>
      <c r="D369" s="75" t="s">
        <v>884</v>
      </c>
      <c r="E369" s="48" t="s">
        <v>649</v>
      </c>
      <c r="F369" s="58"/>
      <c r="G369" s="59"/>
      <c r="H369" s="60"/>
      <c r="I369" s="61"/>
      <c r="J369" s="58"/>
      <c r="K369" s="59"/>
      <c r="L369" s="49"/>
      <c r="M369" s="50"/>
      <c r="N369" s="49"/>
      <c r="O369" s="50"/>
      <c r="P369" s="49"/>
      <c r="Q369" s="53"/>
      <c r="R369" s="49"/>
      <c r="S369" s="53"/>
      <c r="T369" s="49"/>
      <c r="U369" s="53"/>
      <c r="V369" s="49"/>
      <c r="W369" s="53"/>
      <c r="X369" s="53"/>
      <c r="Y369" s="53"/>
      <c r="Z369" s="53"/>
      <c r="AA369" s="53"/>
      <c r="AB369" s="53">
        <v>10</v>
      </c>
      <c r="AC369" s="53">
        <v>4950</v>
      </c>
      <c r="AD369" s="62">
        <f t="shared" si="10"/>
        <v>10</v>
      </c>
      <c r="AE369" s="55">
        <f t="shared" si="11"/>
        <v>4950</v>
      </c>
      <c r="AG369" s="57" t="s">
        <v>648</v>
      </c>
    </row>
    <row r="370" spans="1:33" hidden="1">
      <c r="A370" s="47">
        <v>368</v>
      </c>
      <c r="B370" s="56">
        <v>4971710270389</v>
      </c>
      <c r="C370" s="57" t="s">
        <v>1029</v>
      </c>
      <c r="D370" s="75" t="s">
        <v>1076</v>
      </c>
      <c r="E370" s="48" t="s">
        <v>1030</v>
      </c>
      <c r="F370" s="58"/>
      <c r="G370" s="59"/>
      <c r="H370" s="60"/>
      <c r="I370" s="61"/>
      <c r="J370" s="58"/>
      <c r="K370" s="59"/>
      <c r="L370" s="49"/>
      <c r="M370" s="50"/>
      <c r="N370" s="49"/>
      <c r="O370" s="50"/>
      <c r="P370" s="49"/>
      <c r="Q370" s="53"/>
      <c r="R370" s="49"/>
      <c r="S370" s="53"/>
      <c r="T370" s="49"/>
      <c r="U370" s="53"/>
      <c r="V370" s="49"/>
      <c r="W370" s="53"/>
      <c r="X370" s="53"/>
      <c r="Y370" s="53"/>
      <c r="Z370" s="53"/>
      <c r="AA370" s="53"/>
      <c r="AB370" s="53">
        <v>10</v>
      </c>
      <c r="AC370" s="53">
        <v>8250</v>
      </c>
      <c r="AD370" s="63">
        <f t="shared" si="10"/>
        <v>10</v>
      </c>
      <c r="AE370" s="55">
        <f t="shared" si="11"/>
        <v>8250</v>
      </c>
      <c r="AG370" s="57" t="s">
        <v>176</v>
      </c>
    </row>
    <row r="371" spans="1:33" hidden="1">
      <c r="A371" s="47">
        <v>369</v>
      </c>
      <c r="B371" s="56">
        <v>4971710593525</v>
      </c>
      <c r="C371" s="57" t="s">
        <v>924</v>
      </c>
      <c r="D371" s="75" t="s">
        <v>1076</v>
      </c>
      <c r="E371" s="48" t="s">
        <v>940</v>
      </c>
      <c r="F371" s="58"/>
      <c r="G371" s="59"/>
      <c r="H371" s="60"/>
      <c r="I371" s="61"/>
      <c r="J371" s="58"/>
      <c r="K371" s="59"/>
      <c r="L371" s="49"/>
      <c r="M371" s="50"/>
      <c r="N371" s="49"/>
      <c r="O371" s="50"/>
      <c r="P371" s="49"/>
      <c r="Q371" s="53"/>
      <c r="R371" s="49"/>
      <c r="S371" s="53"/>
      <c r="T371" s="49"/>
      <c r="U371" s="53"/>
      <c r="V371" s="49">
        <v>5</v>
      </c>
      <c r="W371" s="53">
        <v>12925</v>
      </c>
      <c r="X371" s="53"/>
      <c r="Y371" s="53"/>
      <c r="Z371" s="53"/>
      <c r="AA371" s="53"/>
      <c r="AB371" s="53">
        <v>5</v>
      </c>
      <c r="AC371" s="53">
        <v>12925</v>
      </c>
      <c r="AD371" s="63">
        <f t="shared" si="10"/>
        <v>10</v>
      </c>
      <c r="AE371" s="55">
        <f t="shared" si="11"/>
        <v>25850</v>
      </c>
      <c r="AG371" s="57" t="s">
        <v>811</v>
      </c>
    </row>
    <row r="372" spans="1:33" hidden="1">
      <c r="A372" s="47">
        <v>370</v>
      </c>
      <c r="B372" s="56">
        <v>4971710551754</v>
      </c>
      <c r="C372" s="57" t="s">
        <v>916</v>
      </c>
      <c r="D372" s="75" t="s">
        <v>1076</v>
      </c>
      <c r="E372" s="48" t="s">
        <v>933</v>
      </c>
      <c r="F372" s="58"/>
      <c r="G372" s="59"/>
      <c r="H372" s="60"/>
      <c r="I372" s="61"/>
      <c r="J372" s="58"/>
      <c r="K372" s="59"/>
      <c r="L372" s="49"/>
      <c r="M372" s="50"/>
      <c r="N372" s="49"/>
      <c r="O372" s="50"/>
      <c r="P372" s="49"/>
      <c r="Q372" s="53"/>
      <c r="R372" s="49"/>
      <c r="S372" s="53"/>
      <c r="T372" s="49"/>
      <c r="U372" s="53"/>
      <c r="V372" s="49">
        <v>10</v>
      </c>
      <c r="W372" s="53">
        <v>16500</v>
      </c>
      <c r="X372" s="53"/>
      <c r="Y372" s="53"/>
      <c r="Z372" s="53"/>
      <c r="AA372" s="53"/>
      <c r="AB372" s="53"/>
      <c r="AC372" s="53"/>
      <c r="AD372" s="63">
        <f t="shared" si="10"/>
        <v>10</v>
      </c>
      <c r="AE372" s="55">
        <f t="shared" si="11"/>
        <v>16500</v>
      </c>
      <c r="AG372" s="57" t="s">
        <v>814</v>
      </c>
    </row>
    <row r="373" spans="1:33" hidden="1">
      <c r="A373" s="47">
        <v>371</v>
      </c>
      <c r="B373" s="56">
        <v>4971710475029</v>
      </c>
      <c r="C373" s="57" t="s">
        <v>969</v>
      </c>
      <c r="D373" s="75" t="s">
        <v>884</v>
      </c>
      <c r="E373" s="48" t="s">
        <v>970</v>
      </c>
      <c r="F373" s="58"/>
      <c r="G373" s="59"/>
      <c r="H373" s="60"/>
      <c r="I373" s="61"/>
      <c r="J373" s="58"/>
      <c r="K373" s="59"/>
      <c r="L373" s="49"/>
      <c r="M373" s="50"/>
      <c r="N373" s="49"/>
      <c r="O373" s="50"/>
      <c r="P373" s="49"/>
      <c r="Q373" s="53"/>
      <c r="R373" s="49"/>
      <c r="S373" s="53"/>
      <c r="T373" s="49"/>
      <c r="U373" s="53"/>
      <c r="V373" s="49">
        <v>10</v>
      </c>
      <c r="W373" s="53">
        <v>4400</v>
      </c>
      <c r="X373" s="53"/>
      <c r="Y373" s="53"/>
      <c r="Z373" s="53"/>
      <c r="AA373" s="53"/>
      <c r="AB373" s="53"/>
      <c r="AC373" s="53"/>
      <c r="AD373" s="63">
        <f t="shared" si="10"/>
        <v>10</v>
      </c>
      <c r="AE373" s="55">
        <f t="shared" si="11"/>
        <v>4400</v>
      </c>
      <c r="AG373" s="57" t="s">
        <v>816</v>
      </c>
    </row>
    <row r="374" spans="1:33" hidden="1">
      <c r="A374" s="47">
        <v>372</v>
      </c>
      <c r="B374" s="56">
        <v>4971710563399</v>
      </c>
      <c r="C374" s="57" t="s">
        <v>481</v>
      </c>
      <c r="D374" s="75" t="s">
        <v>1078</v>
      </c>
      <c r="E374" s="48" t="s">
        <v>482</v>
      </c>
      <c r="F374" s="58"/>
      <c r="G374" s="59"/>
      <c r="H374" s="60">
        <v>4</v>
      </c>
      <c r="I374" s="61">
        <v>1430</v>
      </c>
      <c r="J374" s="58"/>
      <c r="K374" s="59"/>
      <c r="L374" s="49"/>
      <c r="M374" s="50"/>
      <c r="N374" s="49">
        <v>2</v>
      </c>
      <c r="O374" s="50">
        <v>1430</v>
      </c>
      <c r="P374" s="49"/>
      <c r="Q374" s="53"/>
      <c r="R374" s="49">
        <v>4</v>
      </c>
      <c r="S374" s="53">
        <v>2860</v>
      </c>
      <c r="T374" s="49"/>
      <c r="U374" s="53"/>
      <c r="V374" s="49">
        <v>2</v>
      </c>
      <c r="W374" s="53">
        <v>1430</v>
      </c>
      <c r="X374" s="53"/>
      <c r="Y374" s="53"/>
      <c r="Z374" s="53"/>
      <c r="AA374" s="53"/>
      <c r="AB374" s="53"/>
      <c r="AC374" s="53"/>
      <c r="AD374" s="62">
        <f t="shared" si="10"/>
        <v>12</v>
      </c>
      <c r="AE374" s="55">
        <f t="shared" si="11"/>
        <v>7150</v>
      </c>
      <c r="AG374" s="57" t="s">
        <v>481</v>
      </c>
    </row>
    <row r="375" spans="1:33" hidden="1">
      <c r="A375" s="47">
        <v>373</v>
      </c>
      <c r="B375" s="56">
        <v>4971710573237</v>
      </c>
      <c r="C375" s="57" t="s">
        <v>571</v>
      </c>
      <c r="D375" s="75" t="s">
        <v>1078</v>
      </c>
      <c r="E375" s="48" t="s">
        <v>572</v>
      </c>
      <c r="F375" s="58"/>
      <c r="G375" s="59"/>
      <c r="H375" s="60"/>
      <c r="I375" s="61"/>
      <c r="J375" s="58"/>
      <c r="K375" s="59"/>
      <c r="L375" s="49">
        <v>10</v>
      </c>
      <c r="M375" s="50">
        <v>6600</v>
      </c>
      <c r="N375" s="49"/>
      <c r="O375" s="50"/>
      <c r="P375" s="49"/>
      <c r="Q375" s="53"/>
      <c r="R375" s="49"/>
      <c r="S375" s="53"/>
      <c r="T375" s="49"/>
      <c r="U375" s="53"/>
      <c r="V375" s="49"/>
      <c r="W375" s="53"/>
      <c r="X375" s="53"/>
      <c r="Y375" s="53"/>
      <c r="Z375" s="53"/>
      <c r="AA375" s="53"/>
      <c r="AB375" s="53"/>
      <c r="AC375" s="53"/>
      <c r="AD375" s="62">
        <f t="shared" si="10"/>
        <v>10</v>
      </c>
      <c r="AE375" s="55">
        <f t="shared" si="11"/>
        <v>6600</v>
      </c>
      <c r="AG375" s="57" t="s">
        <v>154</v>
      </c>
    </row>
    <row r="376" spans="1:33" hidden="1">
      <c r="A376" s="47">
        <v>374</v>
      </c>
      <c r="B376" s="56">
        <v>4971710487725</v>
      </c>
      <c r="C376" s="57" t="s">
        <v>56</v>
      </c>
      <c r="D376" s="75" t="s">
        <v>884</v>
      </c>
      <c r="E376" s="48" t="s">
        <v>57</v>
      </c>
      <c r="F376" s="58"/>
      <c r="G376" s="59"/>
      <c r="H376" s="60"/>
      <c r="I376" s="61"/>
      <c r="J376" s="58"/>
      <c r="K376" s="59"/>
      <c r="L376" s="49"/>
      <c r="M376" s="50"/>
      <c r="N376" s="49">
        <v>10</v>
      </c>
      <c r="O376" s="50">
        <v>8800</v>
      </c>
      <c r="P376" s="49"/>
      <c r="Q376" s="53"/>
      <c r="R376" s="49"/>
      <c r="S376" s="53"/>
      <c r="T376" s="49"/>
      <c r="U376" s="53"/>
      <c r="V376" s="49"/>
      <c r="W376" s="53"/>
      <c r="X376" s="53"/>
      <c r="Y376" s="53"/>
      <c r="Z376" s="53"/>
      <c r="AA376" s="53"/>
      <c r="AB376" s="53"/>
      <c r="AC376" s="53"/>
      <c r="AD376" s="62">
        <f t="shared" si="10"/>
        <v>10</v>
      </c>
      <c r="AE376" s="55">
        <f t="shared" si="11"/>
        <v>8800</v>
      </c>
      <c r="AG376" s="57" t="s">
        <v>148</v>
      </c>
    </row>
    <row r="377" spans="1:33" hidden="1">
      <c r="A377" s="47">
        <v>375</v>
      </c>
      <c r="B377" s="56">
        <v>4971710517835</v>
      </c>
      <c r="C377" s="57" t="s">
        <v>334</v>
      </c>
      <c r="D377" s="75" t="s">
        <v>884</v>
      </c>
      <c r="E377" s="48" t="s">
        <v>335</v>
      </c>
      <c r="F377" s="58"/>
      <c r="G377" s="59"/>
      <c r="H377" s="60">
        <v>12</v>
      </c>
      <c r="I377" s="61">
        <v>3960</v>
      </c>
      <c r="J377" s="58"/>
      <c r="K377" s="59"/>
      <c r="L377" s="49"/>
      <c r="M377" s="50"/>
      <c r="N377" s="49">
        <v>4</v>
      </c>
      <c r="O377" s="50">
        <v>2640</v>
      </c>
      <c r="P377" s="49"/>
      <c r="Q377" s="53"/>
      <c r="R377" s="49"/>
      <c r="S377" s="53"/>
      <c r="T377" s="49"/>
      <c r="U377" s="53"/>
      <c r="V377" s="49"/>
      <c r="W377" s="53"/>
      <c r="X377" s="53"/>
      <c r="Y377" s="53"/>
      <c r="Z377" s="53"/>
      <c r="AA377" s="53"/>
      <c r="AB377" s="53"/>
      <c r="AC377" s="53"/>
      <c r="AD377" s="62">
        <f t="shared" si="10"/>
        <v>16</v>
      </c>
      <c r="AE377" s="55">
        <f t="shared" si="11"/>
        <v>6600</v>
      </c>
      <c r="AG377" s="57" t="s">
        <v>198</v>
      </c>
    </row>
    <row r="378" spans="1:33" hidden="1">
      <c r="A378" s="47">
        <v>376</v>
      </c>
      <c r="B378" s="56">
        <v>4971710491852</v>
      </c>
      <c r="C378" s="57" t="s">
        <v>811</v>
      </c>
      <c r="D378" s="75" t="s">
        <v>884</v>
      </c>
      <c r="E378" s="48" t="s">
        <v>1020</v>
      </c>
      <c r="F378" s="58"/>
      <c r="G378" s="59"/>
      <c r="H378" s="60"/>
      <c r="I378" s="61"/>
      <c r="J378" s="58"/>
      <c r="K378" s="59"/>
      <c r="L378" s="49"/>
      <c r="M378" s="50"/>
      <c r="N378" s="49"/>
      <c r="O378" s="50"/>
      <c r="P378" s="49">
        <v>10</v>
      </c>
      <c r="Q378" s="53">
        <v>4400</v>
      </c>
      <c r="R378" s="49"/>
      <c r="S378" s="53"/>
      <c r="T378" s="49"/>
      <c r="U378" s="53"/>
      <c r="V378" s="49"/>
      <c r="W378" s="53"/>
      <c r="X378" s="53"/>
      <c r="Y378" s="53"/>
      <c r="Z378" s="53"/>
      <c r="AA378" s="53"/>
      <c r="AB378" s="53"/>
      <c r="AC378" s="53"/>
      <c r="AD378" s="63">
        <f t="shared" si="10"/>
        <v>10</v>
      </c>
      <c r="AE378" s="55">
        <f t="shared" si="11"/>
        <v>4400</v>
      </c>
      <c r="AG378" s="57" t="s">
        <v>22</v>
      </c>
    </row>
    <row r="379" spans="1:33" hidden="1">
      <c r="A379" s="47">
        <v>377</v>
      </c>
      <c r="B379" s="56">
        <v>4971710463729</v>
      </c>
      <c r="C379" s="57" t="s">
        <v>814</v>
      </c>
      <c r="D379" s="75" t="s">
        <v>884</v>
      </c>
      <c r="E379" s="48" t="s">
        <v>1021</v>
      </c>
      <c r="F379" s="58"/>
      <c r="G379" s="59"/>
      <c r="H379" s="60"/>
      <c r="I379" s="61"/>
      <c r="J379" s="58"/>
      <c r="K379" s="59"/>
      <c r="L379" s="49"/>
      <c r="M379" s="50"/>
      <c r="N379" s="49"/>
      <c r="O379" s="50"/>
      <c r="P379" s="49">
        <v>10</v>
      </c>
      <c r="Q379" s="53">
        <v>4400</v>
      </c>
      <c r="R379" s="49"/>
      <c r="S379" s="53"/>
      <c r="T379" s="49"/>
      <c r="U379" s="53"/>
      <c r="V379" s="49"/>
      <c r="W379" s="53"/>
      <c r="X379" s="53"/>
      <c r="Y379" s="53"/>
      <c r="Z379" s="53"/>
      <c r="AA379" s="53"/>
      <c r="AB379" s="53"/>
      <c r="AC379" s="53"/>
      <c r="AD379" s="63">
        <f t="shared" si="10"/>
        <v>10</v>
      </c>
      <c r="AE379" s="55">
        <f t="shared" si="11"/>
        <v>4400</v>
      </c>
      <c r="AG379" s="57" t="s">
        <v>792</v>
      </c>
    </row>
    <row r="380" spans="1:33" hidden="1">
      <c r="A380" s="47">
        <v>378</v>
      </c>
      <c r="B380" s="56">
        <v>4971710487732</v>
      </c>
      <c r="C380" s="57" t="s">
        <v>58</v>
      </c>
      <c r="D380" s="75" t="s">
        <v>884</v>
      </c>
      <c r="E380" s="48" t="s">
        <v>59</v>
      </c>
      <c r="F380" s="58"/>
      <c r="G380" s="59"/>
      <c r="H380" s="60"/>
      <c r="I380" s="61"/>
      <c r="J380" s="58">
        <v>4</v>
      </c>
      <c r="K380" s="59">
        <v>3520</v>
      </c>
      <c r="L380" s="49"/>
      <c r="M380" s="50"/>
      <c r="N380" s="49"/>
      <c r="O380" s="50"/>
      <c r="P380" s="49"/>
      <c r="Q380" s="53"/>
      <c r="R380" s="49"/>
      <c r="S380" s="53"/>
      <c r="T380" s="49"/>
      <c r="U380" s="53"/>
      <c r="V380" s="49"/>
      <c r="W380" s="53"/>
      <c r="X380" s="53"/>
      <c r="Y380" s="53"/>
      <c r="Z380" s="53"/>
      <c r="AA380" s="53"/>
      <c r="AB380" s="53">
        <v>4</v>
      </c>
      <c r="AC380" s="53">
        <v>3520</v>
      </c>
      <c r="AD380" s="62">
        <f t="shared" si="10"/>
        <v>8</v>
      </c>
      <c r="AE380" s="55">
        <f t="shared" si="11"/>
        <v>7040</v>
      </c>
      <c r="AG380" s="57" t="s">
        <v>794</v>
      </c>
    </row>
    <row r="381" spans="1:33" hidden="1">
      <c r="A381" s="47">
        <v>379</v>
      </c>
      <c r="B381" s="56">
        <v>4971710494907</v>
      </c>
      <c r="C381" s="57" t="s">
        <v>130</v>
      </c>
      <c r="D381" s="75" t="s">
        <v>884</v>
      </c>
      <c r="E381" s="48" t="s">
        <v>131</v>
      </c>
      <c r="F381" s="58"/>
      <c r="G381" s="59"/>
      <c r="H381" s="60"/>
      <c r="I381" s="61"/>
      <c r="J381" s="58"/>
      <c r="K381" s="59"/>
      <c r="L381" s="49"/>
      <c r="M381" s="50"/>
      <c r="N381" s="49"/>
      <c r="O381" s="50"/>
      <c r="P381" s="49"/>
      <c r="Q381" s="53"/>
      <c r="R381" s="49">
        <v>4</v>
      </c>
      <c r="S381" s="53">
        <v>2640</v>
      </c>
      <c r="T381" s="49"/>
      <c r="U381" s="53"/>
      <c r="V381" s="49">
        <v>4</v>
      </c>
      <c r="W381" s="53">
        <v>2640</v>
      </c>
      <c r="X381" s="53"/>
      <c r="Y381" s="53"/>
      <c r="Z381" s="53"/>
      <c r="AA381" s="53"/>
      <c r="AB381" s="53"/>
      <c r="AC381" s="53"/>
      <c r="AD381" s="62">
        <f t="shared" si="10"/>
        <v>8</v>
      </c>
      <c r="AE381" s="55">
        <f t="shared" si="11"/>
        <v>5280</v>
      </c>
      <c r="AG381" s="57" t="s">
        <v>795</v>
      </c>
    </row>
    <row r="382" spans="1:33" hidden="1">
      <c r="A382" s="47">
        <v>380</v>
      </c>
      <c r="B382" s="56">
        <v>4971710568691</v>
      </c>
      <c r="C382" s="57" t="s">
        <v>533</v>
      </c>
      <c r="D382" s="75" t="s">
        <v>884</v>
      </c>
      <c r="E382" s="48" t="s">
        <v>534</v>
      </c>
      <c r="F382" s="58"/>
      <c r="G382" s="59"/>
      <c r="H382" s="60">
        <v>4</v>
      </c>
      <c r="I382" s="61">
        <v>1650</v>
      </c>
      <c r="J382" s="58"/>
      <c r="K382" s="59"/>
      <c r="L382" s="49">
        <v>2</v>
      </c>
      <c r="M382" s="50">
        <v>1650</v>
      </c>
      <c r="N382" s="49"/>
      <c r="O382" s="50"/>
      <c r="P382" s="49"/>
      <c r="Q382" s="53"/>
      <c r="R382" s="49">
        <v>2</v>
      </c>
      <c r="S382" s="53">
        <v>1650</v>
      </c>
      <c r="T382" s="49"/>
      <c r="U382" s="53"/>
      <c r="V382" s="49">
        <v>2</v>
      </c>
      <c r="W382" s="53">
        <v>1650</v>
      </c>
      <c r="X382" s="53"/>
      <c r="Y382" s="53"/>
      <c r="Z382" s="53"/>
      <c r="AA382" s="53"/>
      <c r="AB382" s="53"/>
      <c r="AC382" s="53"/>
      <c r="AD382" s="62">
        <f t="shared" si="10"/>
        <v>10</v>
      </c>
      <c r="AE382" s="55">
        <f t="shared" si="11"/>
        <v>6600</v>
      </c>
      <c r="AG382" s="57" t="s">
        <v>796</v>
      </c>
    </row>
    <row r="383" spans="1:33" hidden="1">
      <c r="A383" s="47">
        <v>381</v>
      </c>
      <c r="B383" s="56">
        <v>4971710495027</v>
      </c>
      <c r="C383" s="57" t="s">
        <v>154</v>
      </c>
      <c r="D383" s="75" t="s">
        <v>884</v>
      </c>
      <c r="E383" s="48" t="s">
        <v>155</v>
      </c>
      <c r="F383" s="58"/>
      <c r="G383" s="59"/>
      <c r="H383" s="60"/>
      <c r="I383" s="61"/>
      <c r="J383" s="58">
        <v>4</v>
      </c>
      <c r="K383" s="59">
        <v>2640</v>
      </c>
      <c r="L383" s="49"/>
      <c r="M383" s="50"/>
      <c r="N383" s="49">
        <v>4</v>
      </c>
      <c r="O383" s="50">
        <v>2640</v>
      </c>
      <c r="P383" s="49"/>
      <c r="Q383" s="53"/>
      <c r="R383" s="49"/>
      <c r="S383" s="53"/>
      <c r="T383" s="49"/>
      <c r="U383" s="53"/>
      <c r="V383" s="49"/>
      <c r="W383" s="53"/>
      <c r="X383" s="53"/>
      <c r="Y383" s="53"/>
      <c r="Z383" s="53"/>
      <c r="AA383" s="53"/>
      <c r="AB383" s="53"/>
      <c r="AC383" s="53"/>
      <c r="AD383" s="62">
        <f t="shared" si="10"/>
        <v>8</v>
      </c>
      <c r="AE383" s="55">
        <f t="shared" si="11"/>
        <v>5280</v>
      </c>
      <c r="AG383" s="57" t="s">
        <v>797</v>
      </c>
    </row>
    <row r="384" spans="1:33" hidden="1">
      <c r="A384" s="47">
        <v>382</v>
      </c>
      <c r="B384" s="56">
        <v>4971710494990</v>
      </c>
      <c r="C384" s="57" t="s">
        <v>148</v>
      </c>
      <c r="D384" s="75" t="s">
        <v>884</v>
      </c>
      <c r="E384" s="48" t="s">
        <v>149</v>
      </c>
      <c r="F384" s="58"/>
      <c r="G384" s="59"/>
      <c r="H384" s="60"/>
      <c r="I384" s="61"/>
      <c r="J384" s="58"/>
      <c r="K384" s="59"/>
      <c r="L384" s="49">
        <v>4</v>
      </c>
      <c r="M384" s="50">
        <v>2640</v>
      </c>
      <c r="N384" s="49">
        <v>4</v>
      </c>
      <c r="O384" s="50">
        <v>2640</v>
      </c>
      <c r="P384" s="49"/>
      <c r="Q384" s="53"/>
      <c r="R384" s="49"/>
      <c r="S384" s="53"/>
      <c r="T384" s="49"/>
      <c r="U384" s="53"/>
      <c r="V384" s="49"/>
      <c r="W384" s="53"/>
      <c r="X384" s="53"/>
      <c r="Y384" s="53"/>
      <c r="Z384" s="53"/>
      <c r="AA384" s="53"/>
      <c r="AB384" s="53"/>
      <c r="AC384" s="53"/>
      <c r="AD384" s="62">
        <f t="shared" si="10"/>
        <v>8</v>
      </c>
      <c r="AE384" s="55">
        <f t="shared" si="11"/>
        <v>5280</v>
      </c>
      <c r="AG384" s="57" t="s">
        <v>798</v>
      </c>
    </row>
    <row r="385" spans="1:33" hidden="1">
      <c r="A385" s="47">
        <v>383</v>
      </c>
      <c r="B385" s="56">
        <v>4971710282153</v>
      </c>
      <c r="C385" s="57" t="s">
        <v>1042</v>
      </c>
      <c r="D385" s="75" t="s">
        <v>1076</v>
      </c>
      <c r="E385" s="48" t="s">
        <v>1043</v>
      </c>
      <c r="F385" s="58"/>
      <c r="G385" s="59"/>
      <c r="H385" s="60"/>
      <c r="I385" s="61"/>
      <c r="J385" s="58"/>
      <c r="K385" s="59"/>
      <c r="L385" s="49"/>
      <c r="M385" s="50"/>
      <c r="N385" s="49"/>
      <c r="O385" s="50"/>
      <c r="P385" s="49"/>
      <c r="Q385" s="53"/>
      <c r="R385" s="49"/>
      <c r="S385" s="53"/>
      <c r="T385" s="49"/>
      <c r="U385" s="53"/>
      <c r="V385" s="49"/>
      <c r="W385" s="53"/>
      <c r="X385" s="53"/>
      <c r="Y385" s="53"/>
      <c r="Z385" s="53"/>
      <c r="AA385" s="53"/>
      <c r="AB385" s="53">
        <v>6</v>
      </c>
      <c r="AC385" s="53">
        <v>11550</v>
      </c>
      <c r="AD385" s="63">
        <f t="shared" si="10"/>
        <v>6</v>
      </c>
      <c r="AE385" s="55">
        <f t="shared" si="11"/>
        <v>11550</v>
      </c>
      <c r="AG385" s="57" t="s">
        <v>799</v>
      </c>
    </row>
    <row r="386" spans="1:33" hidden="1">
      <c r="A386" s="47">
        <v>384</v>
      </c>
      <c r="B386" s="56">
        <v>4971710615814</v>
      </c>
      <c r="C386" s="57" t="s">
        <v>1044</v>
      </c>
      <c r="D386" s="75" t="s">
        <v>1076</v>
      </c>
      <c r="E386" s="48" t="s">
        <v>1045</v>
      </c>
      <c r="F386" s="58"/>
      <c r="G386" s="59"/>
      <c r="H386" s="60"/>
      <c r="I386" s="61"/>
      <c r="J386" s="58"/>
      <c r="K386" s="59"/>
      <c r="L386" s="49"/>
      <c r="M386" s="50"/>
      <c r="N386" s="49"/>
      <c r="O386" s="50"/>
      <c r="P386" s="49"/>
      <c r="Q386" s="53"/>
      <c r="R386" s="49"/>
      <c r="S386" s="53"/>
      <c r="T386" s="49"/>
      <c r="U386" s="53"/>
      <c r="V386" s="49"/>
      <c r="W386" s="53"/>
      <c r="X386" s="53"/>
      <c r="Y386" s="53"/>
      <c r="Z386" s="53"/>
      <c r="AA386" s="53"/>
      <c r="AB386" s="53">
        <v>6</v>
      </c>
      <c r="AC386" s="53">
        <v>33000</v>
      </c>
      <c r="AD386" s="63">
        <f t="shared" si="10"/>
        <v>6</v>
      </c>
      <c r="AE386" s="55">
        <f t="shared" si="11"/>
        <v>33000</v>
      </c>
      <c r="AG386" s="57" t="s">
        <v>824</v>
      </c>
    </row>
    <row r="387" spans="1:33" hidden="1">
      <c r="A387" s="47">
        <v>385</v>
      </c>
      <c r="B387" s="56">
        <v>4971710463637</v>
      </c>
      <c r="C387" s="57" t="s">
        <v>967</v>
      </c>
      <c r="D387" s="75" t="s">
        <v>884</v>
      </c>
      <c r="E387" s="48" t="s">
        <v>968</v>
      </c>
      <c r="F387" s="58"/>
      <c r="G387" s="59"/>
      <c r="H387" s="60"/>
      <c r="I387" s="61"/>
      <c r="J387" s="58"/>
      <c r="K387" s="59"/>
      <c r="L387" s="49"/>
      <c r="M387" s="50"/>
      <c r="N387" s="49"/>
      <c r="O387" s="50"/>
      <c r="P387" s="49"/>
      <c r="Q387" s="53"/>
      <c r="R387" s="49"/>
      <c r="S387" s="53"/>
      <c r="T387" s="49"/>
      <c r="U387" s="53"/>
      <c r="V387" s="49">
        <v>6</v>
      </c>
      <c r="W387" s="53">
        <v>2640</v>
      </c>
      <c r="X387" s="53"/>
      <c r="Y387" s="53"/>
      <c r="Z387" s="53"/>
      <c r="AA387" s="53"/>
      <c r="AB387" s="53"/>
      <c r="AC387" s="53"/>
      <c r="AD387" s="63">
        <f t="shared" si="10"/>
        <v>6</v>
      </c>
      <c r="AE387" s="55">
        <f t="shared" si="11"/>
        <v>2640</v>
      </c>
      <c r="AG387" s="57" t="s">
        <v>146</v>
      </c>
    </row>
    <row r="388" spans="1:33" hidden="1">
      <c r="A388" s="47">
        <v>386</v>
      </c>
      <c r="B388" s="56">
        <v>4971710584745</v>
      </c>
      <c r="C388" s="57" t="s">
        <v>712</v>
      </c>
      <c r="D388" s="75" t="s">
        <v>1078</v>
      </c>
      <c r="E388" s="48" t="s">
        <v>713</v>
      </c>
      <c r="F388" s="58"/>
      <c r="G388" s="59"/>
      <c r="H388" s="60">
        <v>4</v>
      </c>
      <c r="I388" s="61">
        <v>1100</v>
      </c>
      <c r="J388" s="58"/>
      <c r="K388" s="59"/>
      <c r="L388" s="49"/>
      <c r="M388" s="50"/>
      <c r="N388" s="49">
        <v>2</v>
      </c>
      <c r="O388" s="50">
        <v>1100</v>
      </c>
      <c r="P388" s="49"/>
      <c r="Q388" s="53"/>
      <c r="R388" s="49"/>
      <c r="S388" s="53"/>
      <c r="T388" s="49">
        <v>2</v>
      </c>
      <c r="U388" s="53">
        <v>1100</v>
      </c>
      <c r="V388" s="49"/>
      <c r="W388" s="53"/>
      <c r="X388" s="53"/>
      <c r="Y388" s="53"/>
      <c r="Z388" s="53"/>
      <c r="AA388" s="53"/>
      <c r="AB388" s="53"/>
      <c r="AC388" s="53"/>
      <c r="AD388" s="63">
        <f t="shared" ref="AD388:AD426" si="12">F388+H388+J388+L388+N388+P388+R388+T388+V388+X388+Z388+AB388</f>
        <v>8</v>
      </c>
      <c r="AE388" s="55">
        <f t="shared" ref="AE388:AE426" si="13">G388+I388+K388+M388+O388+Q388+S388+U388+W388+Y388+AA388+AC388</f>
        <v>3300</v>
      </c>
      <c r="AG388" s="57" t="s">
        <v>156</v>
      </c>
    </row>
    <row r="389" spans="1:33" hidden="1">
      <c r="A389" s="47">
        <v>387</v>
      </c>
      <c r="B389" s="56">
        <v>4971710573947</v>
      </c>
      <c r="C389" s="57" t="s">
        <v>575</v>
      </c>
      <c r="D389" s="75" t="s">
        <v>884</v>
      </c>
      <c r="E389" s="48" t="s">
        <v>576</v>
      </c>
      <c r="F389" s="58"/>
      <c r="G389" s="59"/>
      <c r="H389" s="60">
        <v>12</v>
      </c>
      <c r="I389" s="61">
        <v>9240</v>
      </c>
      <c r="J389" s="58"/>
      <c r="K389" s="59"/>
      <c r="L389" s="49"/>
      <c r="M389" s="50"/>
      <c r="N389" s="49"/>
      <c r="O389" s="50"/>
      <c r="P389" s="49"/>
      <c r="Q389" s="53"/>
      <c r="R389" s="49"/>
      <c r="S389" s="53"/>
      <c r="T389" s="49"/>
      <c r="U389" s="53"/>
      <c r="V389" s="49"/>
      <c r="W389" s="53"/>
      <c r="X389" s="53"/>
      <c r="Y389" s="53"/>
      <c r="Z389" s="53"/>
      <c r="AA389" s="53"/>
      <c r="AB389" s="53"/>
      <c r="AC389" s="53"/>
      <c r="AD389" s="62">
        <f t="shared" si="12"/>
        <v>12</v>
      </c>
      <c r="AE389" s="55">
        <f t="shared" si="13"/>
        <v>9240</v>
      </c>
      <c r="AG389" s="57" t="s">
        <v>138</v>
      </c>
    </row>
    <row r="390" spans="1:33" hidden="1">
      <c r="A390" s="47">
        <v>388</v>
      </c>
      <c r="B390" s="56">
        <v>4971710507751</v>
      </c>
      <c r="C390" s="57" t="s">
        <v>198</v>
      </c>
      <c r="D390" s="75" t="s">
        <v>884</v>
      </c>
      <c r="E390" s="48" t="s">
        <v>199</v>
      </c>
      <c r="F390" s="58"/>
      <c r="G390" s="59"/>
      <c r="H390" s="60">
        <v>12</v>
      </c>
      <c r="I390" s="61">
        <v>3960</v>
      </c>
      <c r="J390" s="58"/>
      <c r="K390" s="59"/>
      <c r="L390" s="49"/>
      <c r="M390" s="50"/>
      <c r="N390" s="49"/>
      <c r="O390" s="50"/>
      <c r="P390" s="49"/>
      <c r="Q390" s="53"/>
      <c r="R390" s="49"/>
      <c r="S390" s="53"/>
      <c r="T390" s="49"/>
      <c r="U390" s="53"/>
      <c r="V390" s="49"/>
      <c r="W390" s="53"/>
      <c r="X390" s="53"/>
      <c r="Y390" s="53"/>
      <c r="Z390" s="53"/>
      <c r="AA390" s="53"/>
      <c r="AB390" s="53"/>
      <c r="AC390" s="53"/>
      <c r="AD390" s="62">
        <f t="shared" si="12"/>
        <v>12</v>
      </c>
      <c r="AE390" s="55">
        <f t="shared" si="13"/>
        <v>3960</v>
      </c>
      <c r="AG390" s="57" t="s">
        <v>483</v>
      </c>
    </row>
    <row r="391" spans="1:33" hidden="1">
      <c r="A391" s="47">
        <v>389</v>
      </c>
      <c r="B391" s="56">
        <v>4971710513998</v>
      </c>
      <c r="C391" s="57" t="s">
        <v>792</v>
      </c>
      <c r="D391" s="75" t="s">
        <v>1078</v>
      </c>
      <c r="E391" s="48" t="s">
        <v>793</v>
      </c>
      <c r="F391" s="58"/>
      <c r="G391" s="59"/>
      <c r="H391" s="60"/>
      <c r="I391" s="61"/>
      <c r="J391" s="58"/>
      <c r="K391" s="59"/>
      <c r="L391" s="49">
        <v>6</v>
      </c>
      <c r="M391" s="50">
        <v>2970</v>
      </c>
      <c r="N391" s="49"/>
      <c r="O391" s="50"/>
      <c r="P391" s="49"/>
      <c r="Q391" s="53"/>
      <c r="R391" s="49"/>
      <c r="S391" s="53"/>
      <c r="T391" s="49"/>
      <c r="U391" s="53"/>
      <c r="V391" s="49"/>
      <c r="W391" s="53"/>
      <c r="X391" s="53"/>
      <c r="Y391" s="53"/>
      <c r="Z391" s="53"/>
      <c r="AA391" s="53"/>
      <c r="AB391" s="53"/>
      <c r="AC391" s="53"/>
      <c r="AD391" s="62">
        <f t="shared" si="12"/>
        <v>6</v>
      </c>
      <c r="AE391" s="55">
        <f t="shared" si="13"/>
        <v>2970</v>
      </c>
      <c r="AG391" s="57" t="s">
        <v>152</v>
      </c>
    </row>
    <row r="392" spans="1:33" hidden="1">
      <c r="A392" s="47">
        <v>390</v>
      </c>
      <c r="B392" s="56">
        <v>4971710518962</v>
      </c>
      <c r="C392" s="57" t="s">
        <v>794</v>
      </c>
      <c r="D392" s="75" t="s">
        <v>1078</v>
      </c>
      <c r="E392" s="48" t="s">
        <v>793</v>
      </c>
      <c r="F392" s="58"/>
      <c r="G392" s="59"/>
      <c r="H392" s="60"/>
      <c r="I392" s="61"/>
      <c r="J392" s="58"/>
      <c r="K392" s="59"/>
      <c r="L392" s="49">
        <v>6</v>
      </c>
      <c r="M392" s="50">
        <v>2970</v>
      </c>
      <c r="N392" s="49"/>
      <c r="O392" s="50"/>
      <c r="P392" s="49"/>
      <c r="Q392" s="53"/>
      <c r="R392" s="49"/>
      <c r="S392" s="53"/>
      <c r="T392" s="49"/>
      <c r="U392" s="53"/>
      <c r="V392" s="49"/>
      <c r="W392" s="53"/>
      <c r="X392" s="53"/>
      <c r="Y392" s="53"/>
      <c r="Z392" s="53"/>
      <c r="AA392" s="53"/>
      <c r="AB392" s="53"/>
      <c r="AC392" s="53"/>
      <c r="AD392" s="62">
        <f t="shared" si="12"/>
        <v>6</v>
      </c>
      <c r="AE392" s="55">
        <f t="shared" si="13"/>
        <v>2970</v>
      </c>
      <c r="AG392" s="57" t="s">
        <v>150</v>
      </c>
    </row>
    <row r="393" spans="1:33" hidden="1">
      <c r="A393" s="47">
        <v>391</v>
      </c>
      <c r="B393" s="56">
        <v>4971710514261</v>
      </c>
      <c r="C393" s="57" t="s">
        <v>795</v>
      </c>
      <c r="D393" s="75" t="s">
        <v>1078</v>
      </c>
      <c r="E393" s="48" t="s">
        <v>793</v>
      </c>
      <c r="F393" s="58"/>
      <c r="G393" s="59"/>
      <c r="H393" s="60"/>
      <c r="I393" s="61"/>
      <c r="J393" s="58"/>
      <c r="K393" s="59"/>
      <c r="L393" s="49">
        <v>6</v>
      </c>
      <c r="M393" s="50">
        <v>2970</v>
      </c>
      <c r="N393" s="49"/>
      <c r="O393" s="50"/>
      <c r="P393" s="49"/>
      <c r="Q393" s="53"/>
      <c r="R393" s="49"/>
      <c r="S393" s="53"/>
      <c r="T393" s="49"/>
      <c r="U393" s="53"/>
      <c r="V393" s="49"/>
      <c r="W393" s="53"/>
      <c r="X393" s="53"/>
      <c r="Y393" s="53"/>
      <c r="Z393" s="53"/>
      <c r="AA393" s="53"/>
      <c r="AB393" s="53"/>
      <c r="AC393" s="53"/>
      <c r="AD393" s="62">
        <f t="shared" si="12"/>
        <v>6</v>
      </c>
      <c r="AE393" s="55">
        <f t="shared" si="13"/>
        <v>2970</v>
      </c>
      <c r="AG393" s="57" t="s">
        <v>130</v>
      </c>
    </row>
    <row r="394" spans="1:33" hidden="1">
      <c r="A394" s="47">
        <v>392</v>
      </c>
      <c r="B394" s="56">
        <v>4971710514209</v>
      </c>
      <c r="C394" s="57" t="s">
        <v>796</v>
      </c>
      <c r="D394" s="75" t="s">
        <v>1078</v>
      </c>
      <c r="E394" s="48" t="s">
        <v>793</v>
      </c>
      <c r="F394" s="58"/>
      <c r="G394" s="59"/>
      <c r="H394" s="60"/>
      <c r="I394" s="61"/>
      <c r="J394" s="58"/>
      <c r="K394" s="59"/>
      <c r="L394" s="49">
        <v>6</v>
      </c>
      <c r="M394" s="50">
        <v>2970</v>
      </c>
      <c r="N394" s="49"/>
      <c r="O394" s="50"/>
      <c r="P394" s="49"/>
      <c r="Q394" s="53"/>
      <c r="R394" s="49"/>
      <c r="S394" s="53"/>
      <c r="T394" s="49"/>
      <c r="U394" s="53"/>
      <c r="V394" s="49"/>
      <c r="W394" s="53"/>
      <c r="X394" s="53"/>
      <c r="Y394" s="53"/>
      <c r="Z394" s="53"/>
      <c r="AA394" s="53"/>
      <c r="AB394" s="53"/>
      <c r="AC394" s="53"/>
      <c r="AD394" s="62">
        <f t="shared" si="12"/>
        <v>6</v>
      </c>
      <c r="AE394" s="55">
        <f t="shared" si="13"/>
        <v>2970</v>
      </c>
      <c r="AG394" s="57" t="s">
        <v>712</v>
      </c>
    </row>
    <row r="395" spans="1:33" hidden="1">
      <c r="A395" s="47">
        <v>393</v>
      </c>
      <c r="B395" s="56">
        <v>4971710514193</v>
      </c>
      <c r="C395" s="57" t="s">
        <v>797</v>
      </c>
      <c r="D395" s="75" t="s">
        <v>1078</v>
      </c>
      <c r="E395" s="48" t="s">
        <v>793</v>
      </c>
      <c r="F395" s="58"/>
      <c r="G395" s="59"/>
      <c r="H395" s="60"/>
      <c r="I395" s="61"/>
      <c r="J395" s="58"/>
      <c r="K395" s="59"/>
      <c r="L395" s="49">
        <v>6</v>
      </c>
      <c r="M395" s="50">
        <v>2970</v>
      </c>
      <c r="N395" s="49"/>
      <c r="O395" s="50"/>
      <c r="P395" s="49"/>
      <c r="Q395" s="53"/>
      <c r="R395" s="49"/>
      <c r="S395" s="53"/>
      <c r="T395" s="49"/>
      <c r="U395" s="53"/>
      <c r="V395" s="49"/>
      <c r="W395" s="53"/>
      <c r="X395" s="53"/>
      <c r="Y395" s="53"/>
      <c r="Z395" s="53"/>
      <c r="AA395" s="53"/>
      <c r="AB395" s="53"/>
      <c r="AC395" s="53"/>
      <c r="AD395" s="62">
        <f t="shared" si="12"/>
        <v>6</v>
      </c>
      <c r="AE395" s="55">
        <f t="shared" si="13"/>
        <v>2970</v>
      </c>
      <c r="AG395" s="57" t="s">
        <v>549</v>
      </c>
    </row>
    <row r="396" spans="1:33" hidden="1">
      <c r="A396" s="47">
        <v>394</v>
      </c>
      <c r="B396" s="56">
        <v>4971710514186</v>
      </c>
      <c r="C396" s="57" t="s">
        <v>798</v>
      </c>
      <c r="D396" s="75" t="s">
        <v>1078</v>
      </c>
      <c r="E396" s="48" t="s">
        <v>793</v>
      </c>
      <c r="F396" s="58"/>
      <c r="G396" s="59"/>
      <c r="H396" s="60"/>
      <c r="I396" s="61"/>
      <c r="J396" s="58"/>
      <c r="K396" s="59"/>
      <c r="L396" s="49">
        <v>6</v>
      </c>
      <c r="M396" s="50">
        <v>2970</v>
      </c>
      <c r="N396" s="49"/>
      <c r="O396" s="50"/>
      <c r="P396" s="49"/>
      <c r="Q396" s="53"/>
      <c r="R396" s="49"/>
      <c r="S396" s="53"/>
      <c r="T396" s="49"/>
      <c r="U396" s="53"/>
      <c r="V396" s="49"/>
      <c r="W396" s="53"/>
      <c r="X396" s="53"/>
      <c r="Y396" s="53"/>
      <c r="Z396" s="53"/>
      <c r="AA396" s="53"/>
      <c r="AB396" s="53"/>
      <c r="AC396" s="53"/>
      <c r="AD396" s="62">
        <f t="shared" si="12"/>
        <v>6</v>
      </c>
      <c r="AE396" s="55">
        <f t="shared" si="13"/>
        <v>2970</v>
      </c>
      <c r="AG396" s="57" t="s">
        <v>158</v>
      </c>
    </row>
    <row r="397" spans="1:33" hidden="1">
      <c r="A397" s="47">
        <v>395</v>
      </c>
      <c r="B397" s="56">
        <v>4971710514148</v>
      </c>
      <c r="C397" s="57" t="s">
        <v>799</v>
      </c>
      <c r="D397" s="75" t="s">
        <v>1078</v>
      </c>
      <c r="E397" s="48" t="s">
        <v>793</v>
      </c>
      <c r="F397" s="58"/>
      <c r="G397" s="59"/>
      <c r="H397" s="60"/>
      <c r="I397" s="61"/>
      <c r="J397" s="58"/>
      <c r="K397" s="59"/>
      <c r="L397" s="49">
        <v>6</v>
      </c>
      <c r="M397" s="50">
        <v>2970</v>
      </c>
      <c r="N397" s="49"/>
      <c r="O397" s="50"/>
      <c r="P397" s="49"/>
      <c r="Q397" s="53"/>
      <c r="R397" s="49"/>
      <c r="S397" s="53"/>
      <c r="T397" s="49"/>
      <c r="U397" s="53"/>
      <c r="V397" s="49"/>
      <c r="W397" s="53"/>
      <c r="X397" s="53"/>
      <c r="Y397" s="53"/>
      <c r="Z397" s="53"/>
      <c r="AA397" s="53"/>
      <c r="AB397" s="53"/>
      <c r="AC397" s="53"/>
      <c r="AD397" s="62">
        <f t="shared" si="12"/>
        <v>6</v>
      </c>
      <c r="AE397" s="55">
        <f t="shared" si="13"/>
        <v>2970</v>
      </c>
      <c r="AG397" s="57" t="s">
        <v>440</v>
      </c>
    </row>
    <row r="398" spans="1:33" hidden="1">
      <c r="A398" s="47">
        <v>396</v>
      </c>
      <c r="B398" s="56">
        <v>4971710551778</v>
      </c>
      <c r="C398" s="57" t="s">
        <v>1028</v>
      </c>
      <c r="D398" s="75" t="s">
        <v>1076</v>
      </c>
      <c r="E398" s="48" t="s">
        <v>933</v>
      </c>
      <c r="F398" s="58"/>
      <c r="G398" s="59"/>
      <c r="H398" s="60"/>
      <c r="I398" s="61"/>
      <c r="J398" s="58"/>
      <c r="K398" s="59"/>
      <c r="L398" s="49"/>
      <c r="M398" s="50"/>
      <c r="N398" s="49"/>
      <c r="O398" s="50"/>
      <c r="P398" s="49"/>
      <c r="Q398" s="53"/>
      <c r="R398" s="49"/>
      <c r="S398" s="53"/>
      <c r="T398" s="49"/>
      <c r="U398" s="53"/>
      <c r="V398" s="49"/>
      <c r="W398" s="53"/>
      <c r="X398" s="53"/>
      <c r="Y398" s="53"/>
      <c r="Z398" s="53"/>
      <c r="AA398" s="53"/>
      <c r="AB398" s="53">
        <v>5</v>
      </c>
      <c r="AC398" s="53">
        <v>3300</v>
      </c>
      <c r="AD398" s="63">
        <f t="shared" si="12"/>
        <v>5</v>
      </c>
      <c r="AE398" s="55">
        <f t="shared" si="13"/>
        <v>3300</v>
      </c>
      <c r="AG398" s="57" t="s">
        <v>581</v>
      </c>
    </row>
    <row r="399" spans="1:33" hidden="1">
      <c r="A399" s="47">
        <v>397</v>
      </c>
      <c r="B399" s="56">
        <v>4971710294767</v>
      </c>
      <c r="C399" s="57" t="s">
        <v>1031</v>
      </c>
      <c r="D399" s="75" t="s">
        <v>1076</v>
      </c>
      <c r="E399" s="48" t="s">
        <v>1032</v>
      </c>
      <c r="F399" s="58"/>
      <c r="G399" s="59"/>
      <c r="H399" s="60"/>
      <c r="I399" s="61"/>
      <c r="J399" s="58"/>
      <c r="K399" s="59"/>
      <c r="L399" s="49"/>
      <c r="M399" s="50"/>
      <c r="N399" s="49"/>
      <c r="O399" s="50"/>
      <c r="P399" s="49"/>
      <c r="Q399" s="53"/>
      <c r="R399" s="49"/>
      <c r="S399" s="53"/>
      <c r="T399" s="49"/>
      <c r="U399" s="53"/>
      <c r="V399" s="49"/>
      <c r="W399" s="53"/>
      <c r="X399" s="53"/>
      <c r="Y399" s="53"/>
      <c r="Z399" s="53"/>
      <c r="AA399" s="53"/>
      <c r="AB399" s="53">
        <v>5</v>
      </c>
      <c r="AC399" s="53">
        <v>4125</v>
      </c>
      <c r="AD399" s="63">
        <f t="shared" si="12"/>
        <v>5</v>
      </c>
      <c r="AE399" s="55">
        <f t="shared" si="13"/>
        <v>4125</v>
      </c>
      <c r="AG399" s="57" t="s">
        <v>46</v>
      </c>
    </row>
    <row r="400" spans="1:33" hidden="1">
      <c r="A400" s="47">
        <v>398</v>
      </c>
      <c r="B400" s="56">
        <v>4971710282283</v>
      </c>
      <c r="C400" s="57" t="s">
        <v>1033</v>
      </c>
      <c r="D400" s="75" t="s">
        <v>1076</v>
      </c>
      <c r="E400" s="48" t="s">
        <v>1034</v>
      </c>
      <c r="F400" s="58"/>
      <c r="G400" s="59"/>
      <c r="H400" s="60"/>
      <c r="I400" s="61"/>
      <c r="J400" s="58"/>
      <c r="K400" s="59"/>
      <c r="L400" s="49"/>
      <c r="M400" s="50"/>
      <c r="N400" s="49"/>
      <c r="O400" s="50"/>
      <c r="P400" s="49"/>
      <c r="Q400" s="53"/>
      <c r="R400" s="49"/>
      <c r="S400" s="53"/>
      <c r="T400" s="49"/>
      <c r="U400" s="53"/>
      <c r="V400" s="49"/>
      <c r="W400" s="53"/>
      <c r="X400" s="53"/>
      <c r="Y400" s="53"/>
      <c r="Z400" s="53"/>
      <c r="AA400" s="53"/>
      <c r="AB400" s="53">
        <v>5</v>
      </c>
      <c r="AC400" s="53">
        <v>8250</v>
      </c>
      <c r="AD400" s="63">
        <f t="shared" si="12"/>
        <v>5</v>
      </c>
      <c r="AE400" s="55">
        <f t="shared" si="13"/>
        <v>8250</v>
      </c>
      <c r="AG400" s="57" t="s">
        <v>800</v>
      </c>
    </row>
    <row r="401" spans="1:33" hidden="1">
      <c r="A401" s="47">
        <v>399</v>
      </c>
      <c r="B401" s="56">
        <v>4971710294750</v>
      </c>
      <c r="C401" s="57" t="s">
        <v>1035</v>
      </c>
      <c r="D401" s="75" t="s">
        <v>1076</v>
      </c>
      <c r="E401" s="48" t="s">
        <v>1036</v>
      </c>
      <c r="F401" s="58"/>
      <c r="G401" s="59"/>
      <c r="H401" s="60"/>
      <c r="I401" s="61"/>
      <c r="J401" s="58"/>
      <c r="K401" s="59"/>
      <c r="L401" s="49"/>
      <c r="M401" s="50"/>
      <c r="N401" s="49"/>
      <c r="O401" s="50"/>
      <c r="P401" s="49"/>
      <c r="Q401" s="53"/>
      <c r="R401" s="49"/>
      <c r="S401" s="53"/>
      <c r="T401" s="49"/>
      <c r="U401" s="53"/>
      <c r="V401" s="49"/>
      <c r="W401" s="53"/>
      <c r="X401" s="53"/>
      <c r="Y401" s="53"/>
      <c r="Z401" s="53"/>
      <c r="AA401" s="53"/>
      <c r="AB401" s="53">
        <v>5</v>
      </c>
      <c r="AC401" s="53">
        <v>13750</v>
      </c>
      <c r="AD401" s="63">
        <f t="shared" si="12"/>
        <v>5</v>
      </c>
      <c r="AE401" s="55">
        <f t="shared" si="13"/>
        <v>13750</v>
      </c>
      <c r="AG401" s="57" t="s">
        <v>801</v>
      </c>
    </row>
    <row r="402" spans="1:33" hidden="1">
      <c r="A402" s="47">
        <v>400</v>
      </c>
      <c r="B402" s="56">
        <v>4971710294774</v>
      </c>
      <c r="C402" s="57" t="s">
        <v>1037</v>
      </c>
      <c r="D402" s="75" t="s">
        <v>1076</v>
      </c>
      <c r="E402" s="48" t="s">
        <v>1032</v>
      </c>
      <c r="F402" s="58"/>
      <c r="G402" s="59"/>
      <c r="H402" s="60"/>
      <c r="I402" s="61"/>
      <c r="J402" s="58"/>
      <c r="K402" s="59"/>
      <c r="L402" s="49"/>
      <c r="M402" s="50"/>
      <c r="N402" s="49"/>
      <c r="O402" s="50"/>
      <c r="P402" s="49"/>
      <c r="Q402" s="53"/>
      <c r="R402" s="49"/>
      <c r="S402" s="53"/>
      <c r="T402" s="49"/>
      <c r="U402" s="53"/>
      <c r="V402" s="49"/>
      <c r="W402" s="53"/>
      <c r="X402" s="53"/>
      <c r="Y402" s="53"/>
      <c r="Z402" s="53"/>
      <c r="AA402" s="53"/>
      <c r="AB402" s="53">
        <v>5</v>
      </c>
      <c r="AC402" s="53">
        <v>19250</v>
      </c>
      <c r="AD402" s="63">
        <f t="shared" si="12"/>
        <v>5</v>
      </c>
      <c r="AE402" s="55">
        <f t="shared" si="13"/>
        <v>19250</v>
      </c>
      <c r="AG402" s="57" t="s">
        <v>832</v>
      </c>
    </row>
    <row r="403" spans="1:33" hidden="1">
      <c r="A403" s="47">
        <v>401</v>
      </c>
      <c r="B403" s="64">
        <v>4971710570137</v>
      </c>
      <c r="C403" s="57" t="s">
        <v>1038</v>
      </c>
      <c r="D403" s="75" t="s">
        <v>1076</v>
      </c>
      <c r="E403" s="48" t="s">
        <v>935</v>
      </c>
      <c r="F403" s="65"/>
      <c r="G403" s="66"/>
      <c r="H403" s="67"/>
      <c r="I403" s="68"/>
      <c r="J403" s="65"/>
      <c r="K403" s="66"/>
      <c r="L403" s="49"/>
      <c r="M403" s="50"/>
      <c r="N403" s="49"/>
      <c r="O403" s="50"/>
      <c r="P403" s="49"/>
      <c r="Q403" s="53"/>
      <c r="R403" s="49"/>
      <c r="S403" s="53"/>
      <c r="T403" s="49"/>
      <c r="U403" s="53"/>
      <c r="V403" s="49"/>
      <c r="W403" s="53"/>
      <c r="X403" s="53"/>
      <c r="Y403" s="53"/>
      <c r="Z403" s="53"/>
      <c r="AA403" s="53"/>
      <c r="AB403" s="53">
        <v>5</v>
      </c>
      <c r="AC403" s="53">
        <v>20625</v>
      </c>
      <c r="AD403" s="63">
        <f t="shared" si="12"/>
        <v>5</v>
      </c>
      <c r="AE403" s="55">
        <f t="shared" si="13"/>
        <v>20625</v>
      </c>
      <c r="AG403" s="57" t="s">
        <v>833</v>
      </c>
    </row>
    <row r="404" spans="1:33" hidden="1">
      <c r="A404" s="47">
        <v>402</v>
      </c>
      <c r="B404" s="69">
        <v>4971710570151</v>
      </c>
      <c r="C404" s="57" t="s">
        <v>1039</v>
      </c>
      <c r="D404" s="75" t="s">
        <v>1076</v>
      </c>
      <c r="E404" s="48" t="s">
        <v>936</v>
      </c>
      <c r="F404" s="65"/>
      <c r="G404" s="66"/>
      <c r="H404" s="65"/>
      <c r="I404" s="66"/>
      <c r="J404" s="65"/>
      <c r="K404" s="66"/>
      <c r="L404" s="49"/>
      <c r="M404" s="50"/>
      <c r="N404" s="49"/>
      <c r="O404" s="50"/>
      <c r="P404" s="49"/>
      <c r="Q404" s="53"/>
      <c r="R404" s="49"/>
      <c r="S404" s="53"/>
      <c r="T404" s="49"/>
      <c r="U404" s="53"/>
      <c r="V404" s="49"/>
      <c r="W404" s="53"/>
      <c r="X404" s="53"/>
      <c r="Y404" s="53"/>
      <c r="Z404" s="53"/>
      <c r="AA404" s="53"/>
      <c r="AB404" s="53">
        <v>5</v>
      </c>
      <c r="AC404" s="53">
        <v>20625</v>
      </c>
      <c r="AD404" s="63">
        <f t="shared" si="12"/>
        <v>5</v>
      </c>
      <c r="AE404" s="55">
        <f t="shared" si="13"/>
        <v>20625</v>
      </c>
      <c r="AG404" s="57" t="s">
        <v>834</v>
      </c>
    </row>
    <row r="405" spans="1:33" hidden="1">
      <c r="A405" s="47">
        <v>403</v>
      </c>
      <c r="B405" s="69">
        <v>4971710615883</v>
      </c>
      <c r="C405" s="57" t="s">
        <v>1040</v>
      </c>
      <c r="D405" s="75" t="s">
        <v>1076</v>
      </c>
      <c r="E405" s="48" t="s">
        <v>1041</v>
      </c>
      <c r="F405" s="65"/>
      <c r="G405" s="66"/>
      <c r="H405" s="65"/>
      <c r="I405" s="66"/>
      <c r="J405" s="65"/>
      <c r="K405" s="66"/>
      <c r="L405" s="49"/>
      <c r="M405" s="50"/>
      <c r="N405" s="49"/>
      <c r="O405" s="50"/>
      <c r="P405" s="49"/>
      <c r="Q405" s="53"/>
      <c r="R405" s="49"/>
      <c r="S405" s="53"/>
      <c r="T405" s="49"/>
      <c r="U405" s="53"/>
      <c r="V405" s="49"/>
      <c r="W405" s="53"/>
      <c r="X405" s="53"/>
      <c r="Y405" s="53"/>
      <c r="Z405" s="53"/>
      <c r="AA405" s="53"/>
      <c r="AB405" s="53">
        <v>5</v>
      </c>
      <c r="AC405" s="53">
        <v>23925</v>
      </c>
      <c r="AD405" s="63">
        <f t="shared" si="12"/>
        <v>5</v>
      </c>
      <c r="AE405" s="55">
        <f t="shared" si="13"/>
        <v>23925</v>
      </c>
      <c r="AG405" s="57" t="s">
        <v>438</v>
      </c>
    </row>
    <row r="406" spans="1:33" hidden="1">
      <c r="A406" s="47">
        <v>404</v>
      </c>
      <c r="B406" s="69">
        <v>4971710615845</v>
      </c>
      <c r="C406" s="57" t="s">
        <v>930</v>
      </c>
      <c r="D406" s="75" t="s">
        <v>1076</v>
      </c>
      <c r="E406" s="48" t="s">
        <v>946</v>
      </c>
      <c r="F406" s="65"/>
      <c r="G406" s="66"/>
      <c r="H406" s="65"/>
      <c r="I406" s="66"/>
      <c r="J406" s="65"/>
      <c r="K406" s="66"/>
      <c r="L406" s="49"/>
      <c r="M406" s="50"/>
      <c r="N406" s="49"/>
      <c r="O406" s="50"/>
      <c r="P406" s="49"/>
      <c r="Q406" s="53"/>
      <c r="R406" s="49"/>
      <c r="S406" s="53"/>
      <c r="T406" s="49"/>
      <c r="U406" s="53"/>
      <c r="V406" s="49">
        <v>5</v>
      </c>
      <c r="W406" s="53">
        <v>17050</v>
      </c>
      <c r="X406" s="53"/>
      <c r="Y406" s="53"/>
      <c r="Z406" s="53"/>
      <c r="AA406" s="53"/>
      <c r="AB406" s="53"/>
      <c r="AC406" s="53"/>
      <c r="AD406" s="63">
        <f t="shared" si="12"/>
        <v>5</v>
      </c>
      <c r="AE406" s="55">
        <f t="shared" si="13"/>
        <v>17050</v>
      </c>
      <c r="AG406" s="57" t="s">
        <v>110</v>
      </c>
    </row>
    <row r="407" spans="1:33" hidden="1">
      <c r="A407" s="47">
        <v>405</v>
      </c>
      <c r="B407" s="69">
        <v>4971710593532</v>
      </c>
      <c r="C407" s="57" t="s">
        <v>925</v>
      </c>
      <c r="D407" s="75" t="s">
        <v>1076</v>
      </c>
      <c r="E407" s="48" t="s">
        <v>941</v>
      </c>
      <c r="F407" s="65"/>
      <c r="G407" s="66"/>
      <c r="H407" s="65"/>
      <c r="I407" s="66"/>
      <c r="J407" s="65"/>
      <c r="K407" s="66"/>
      <c r="L407" s="49"/>
      <c r="M407" s="50"/>
      <c r="N407" s="49"/>
      <c r="O407" s="50"/>
      <c r="P407" s="49"/>
      <c r="Q407" s="53"/>
      <c r="R407" s="49"/>
      <c r="S407" s="53"/>
      <c r="T407" s="49"/>
      <c r="U407" s="53"/>
      <c r="V407" s="49">
        <v>5</v>
      </c>
      <c r="W407" s="53">
        <v>12925</v>
      </c>
      <c r="X407" s="53"/>
      <c r="Y407" s="53"/>
      <c r="Z407" s="53"/>
      <c r="AA407" s="53"/>
      <c r="AB407" s="53"/>
      <c r="AC407" s="53"/>
      <c r="AD407" s="63">
        <f t="shared" si="12"/>
        <v>5</v>
      </c>
      <c r="AE407" s="55">
        <f t="shared" si="13"/>
        <v>12925</v>
      </c>
      <c r="AG407" s="57" t="s">
        <v>16</v>
      </c>
    </row>
    <row r="408" spans="1:33" hidden="1">
      <c r="A408" s="47">
        <v>406</v>
      </c>
      <c r="B408" s="69">
        <v>4971710593549</v>
      </c>
      <c r="C408" s="57" t="s">
        <v>926</v>
      </c>
      <c r="D408" s="75" t="s">
        <v>1076</v>
      </c>
      <c r="E408" s="48" t="s">
        <v>942</v>
      </c>
      <c r="F408" s="65"/>
      <c r="G408" s="66"/>
      <c r="H408" s="65"/>
      <c r="I408" s="66"/>
      <c r="J408" s="65"/>
      <c r="K408" s="66"/>
      <c r="L408" s="49"/>
      <c r="M408" s="50"/>
      <c r="N408" s="49"/>
      <c r="O408" s="50"/>
      <c r="P408" s="49"/>
      <c r="Q408" s="53"/>
      <c r="R408" s="49"/>
      <c r="S408" s="53"/>
      <c r="T408" s="49"/>
      <c r="U408" s="53"/>
      <c r="V408" s="49">
        <v>5</v>
      </c>
      <c r="W408" s="53">
        <v>12925</v>
      </c>
      <c r="X408" s="53"/>
      <c r="Y408" s="53"/>
      <c r="Z408" s="53"/>
      <c r="AA408" s="53"/>
      <c r="AB408" s="53"/>
      <c r="AC408" s="53"/>
      <c r="AD408" s="63">
        <f t="shared" si="12"/>
        <v>5</v>
      </c>
      <c r="AE408" s="55">
        <f t="shared" si="13"/>
        <v>12925</v>
      </c>
      <c r="AG408" s="57" t="s">
        <v>772</v>
      </c>
    </row>
    <row r="409" spans="1:33" hidden="1">
      <c r="A409" s="47">
        <v>407</v>
      </c>
      <c r="B409" s="69">
        <v>4971710593570</v>
      </c>
      <c r="C409" s="57" t="s">
        <v>929</v>
      </c>
      <c r="D409" s="75" t="s">
        <v>1076</v>
      </c>
      <c r="E409" s="48" t="s">
        <v>945</v>
      </c>
      <c r="F409" s="65"/>
      <c r="G409" s="66"/>
      <c r="H409" s="65"/>
      <c r="I409" s="66"/>
      <c r="J409" s="65"/>
      <c r="K409" s="66"/>
      <c r="L409" s="49"/>
      <c r="M409" s="50"/>
      <c r="N409" s="49"/>
      <c r="O409" s="50"/>
      <c r="P409" s="49"/>
      <c r="Q409" s="53"/>
      <c r="R409" s="49"/>
      <c r="S409" s="53"/>
      <c r="T409" s="49"/>
      <c r="U409" s="53"/>
      <c r="V409" s="49">
        <v>5</v>
      </c>
      <c r="W409" s="53">
        <v>12925</v>
      </c>
      <c r="X409" s="53"/>
      <c r="Y409" s="53"/>
      <c r="Z409" s="53"/>
      <c r="AA409" s="53"/>
      <c r="AB409" s="53"/>
      <c r="AC409" s="53"/>
      <c r="AD409" s="63">
        <f t="shared" si="12"/>
        <v>5</v>
      </c>
      <c r="AE409" s="55">
        <f t="shared" si="13"/>
        <v>12925</v>
      </c>
      <c r="AG409" s="57" t="s">
        <v>772</v>
      </c>
    </row>
    <row r="410" spans="1:33" hidden="1">
      <c r="A410" s="47">
        <v>408</v>
      </c>
      <c r="B410" s="69">
        <v>4971710568684</v>
      </c>
      <c r="C410" s="57" t="s">
        <v>531</v>
      </c>
      <c r="D410" s="75" t="s">
        <v>884</v>
      </c>
      <c r="E410" s="48" t="s">
        <v>532</v>
      </c>
      <c r="F410" s="65"/>
      <c r="G410" s="66"/>
      <c r="H410" s="65"/>
      <c r="I410" s="66"/>
      <c r="J410" s="65"/>
      <c r="K410" s="66"/>
      <c r="L410" s="49"/>
      <c r="M410" s="50"/>
      <c r="N410" s="49"/>
      <c r="O410" s="50"/>
      <c r="P410" s="49"/>
      <c r="Q410" s="53"/>
      <c r="R410" s="49">
        <v>5</v>
      </c>
      <c r="S410" s="53">
        <v>4125</v>
      </c>
      <c r="T410" s="49"/>
      <c r="U410" s="53"/>
      <c r="V410" s="49"/>
      <c r="W410" s="53"/>
      <c r="X410" s="53"/>
      <c r="Y410" s="53"/>
      <c r="Z410" s="53"/>
      <c r="AA410" s="53"/>
      <c r="AB410" s="53"/>
      <c r="AC410" s="53"/>
      <c r="AD410" s="62">
        <f t="shared" si="12"/>
        <v>5</v>
      </c>
      <c r="AE410" s="55">
        <f t="shared" si="13"/>
        <v>4125</v>
      </c>
      <c r="AG410" s="57" t="s">
        <v>775</v>
      </c>
    </row>
    <row r="411" spans="1:33" hidden="1">
      <c r="A411" s="47">
        <v>409</v>
      </c>
      <c r="B411" s="69">
        <v>4971710494945</v>
      </c>
      <c r="C411" s="57" t="s">
        <v>138</v>
      </c>
      <c r="D411" s="75" t="s">
        <v>884</v>
      </c>
      <c r="E411" s="48" t="s">
        <v>139</v>
      </c>
      <c r="F411" s="65"/>
      <c r="G411" s="66"/>
      <c r="H411" s="65"/>
      <c r="I411" s="66"/>
      <c r="J411" s="65"/>
      <c r="K411" s="66"/>
      <c r="L411" s="49"/>
      <c r="M411" s="50"/>
      <c r="N411" s="49">
        <v>5</v>
      </c>
      <c r="O411" s="50">
        <v>3300</v>
      </c>
      <c r="P411" s="49"/>
      <c r="Q411" s="53"/>
      <c r="R411" s="49"/>
      <c r="S411" s="53"/>
      <c r="T411" s="49"/>
      <c r="U411" s="53"/>
      <c r="V411" s="49"/>
      <c r="W411" s="53"/>
      <c r="X411" s="53"/>
      <c r="Y411" s="53"/>
      <c r="Z411" s="53"/>
      <c r="AA411" s="53"/>
      <c r="AB411" s="53"/>
      <c r="AC411" s="53"/>
      <c r="AD411" s="62">
        <f t="shared" si="12"/>
        <v>5</v>
      </c>
      <c r="AE411" s="55">
        <f t="shared" si="13"/>
        <v>3300</v>
      </c>
      <c r="AG411" s="57" t="s">
        <v>776</v>
      </c>
    </row>
    <row r="412" spans="1:33" hidden="1">
      <c r="A412" s="47">
        <v>410</v>
      </c>
      <c r="B412" s="69">
        <v>4971710540048</v>
      </c>
      <c r="C412" s="57" t="s">
        <v>418</v>
      </c>
      <c r="D412" s="75" t="s">
        <v>884</v>
      </c>
      <c r="E412" s="48" t="s">
        <v>419</v>
      </c>
      <c r="F412" s="65"/>
      <c r="G412" s="66"/>
      <c r="H412" s="65"/>
      <c r="I412" s="66"/>
      <c r="J412" s="65"/>
      <c r="K412" s="66"/>
      <c r="L412" s="49"/>
      <c r="M412" s="50"/>
      <c r="N412" s="49"/>
      <c r="O412" s="50"/>
      <c r="P412" s="49"/>
      <c r="Q412" s="53"/>
      <c r="R412" s="49"/>
      <c r="S412" s="53"/>
      <c r="T412" s="49"/>
      <c r="U412" s="53"/>
      <c r="V412" s="49"/>
      <c r="W412" s="53"/>
      <c r="X412" s="53"/>
      <c r="Y412" s="53"/>
      <c r="Z412" s="53"/>
      <c r="AA412" s="53"/>
      <c r="AB412" s="53">
        <v>4</v>
      </c>
      <c r="AC412" s="53">
        <v>3080</v>
      </c>
      <c r="AD412" s="62">
        <f t="shared" si="12"/>
        <v>4</v>
      </c>
      <c r="AE412" s="55">
        <f t="shared" si="13"/>
        <v>3080</v>
      </c>
      <c r="AG412" s="57" t="s">
        <v>777</v>
      </c>
    </row>
    <row r="413" spans="1:33" hidden="1">
      <c r="A413" s="47">
        <v>411</v>
      </c>
      <c r="B413" s="69">
        <v>4971710578775</v>
      </c>
      <c r="C413" s="57" t="s">
        <v>640</v>
      </c>
      <c r="D413" s="75" t="s">
        <v>884</v>
      </c>
      <c r="E413" s="48" t="s">
        <v>641</v>
      </c>
      <c r="F413" s="65"/>
      <c r="G413" s="66"/>
      <c r="H413" s="65"/>
      <c r="I413" s="66"/>
      <c r="J413" s="65"/>
      <c r="K413" s="66"/>
      <c r="L413" s="49"/>
      <c r="M413" s="50"/>
      <c r="N413" s="49"/>
      <c r="O413" s="50"/>
      <c r="P413" s="49"/>
      <c r="Q413" s="53"/>
      <c r="R413" s="49"/>
      <c r="S413" s="53"/>
      <c r="T413" s="49"/>
      <c r="U413" s="53"/>
      <c r="V413" s="49"/>
      <c r="W413" s="53"/>
      <c r="X413" s="53"/>
      <c r="Y413" s="53"/>
      <c r="Z413" s="53"/>
      <c r="AA413" s="53"/>
      <c r="AB413" s="53">
        <v>4</v>
      </c>
      <c r="AC413" s="53">
        <v>1980</v>
      </c>
      <c r="AD413" s="62">
        <f t="shared" si="12"/>
        <v>4</v>
      </c>
      <c r="AE413" s="55">
        <f t="shared" si="13"/>
        <v>1980</v>
      </c>
      <c r="AG413" s="57" t="s">
        <v>778</v>
      </c>
    </row>
    <row r="414" spans="1:33" hidden="1">
      <c r="A414" s="47">
        <v>412</v>
      </c>
      <c r="B414" s="69">
        <v>4971710578805</v>
      </c>
      <c r="C414" s="57" t="s">
        <v>646</v>
      </c>
      <c r="D414" s="75" t="s">
        <v>884</v>
      </c>
      <c r="E414" s="48" t="s">
        <v>647</v>
      </c>
      <c r="F414" s="65"/>
      <c r="G414" s="66"/>
      <c r="H414" s="65"/>
      <c r="I414" s="66"/>
      <c r="J414" s="65"/>
      <c r="K414" s="66"/>
      <c r="L414" s="49"/>
      <c r="M414" s="50"/>
      <c r="N414" s="49"/>
      <c r="O414" s="50"/>
      <c r="P414" s="49"/>
      <c r="Q414" s="53"/>
      <c r="R414" s="49"/>
      <c r="S414" s="53"/>
      <c r="T414" s="49"/>
      <c r="U414" s="53"/>
      <c r="V414" s="49"/>
      <c r="W414" s="53"/>
      <c r="X414" s="53"/>
      <c r="Y414" s="53"/>
      <c r="Z414" s="53"/>
      <c r="AA414" s="53"/>
      <c r="AB414" s="53">
        <v>4</v>
      </c>
      <c r="AC414" s="53">
        <v>1980</v>
      </c>
      <c r="AD414" s="62">
        <f t="shared" si="12"/>
        <v>4</v>
      </c>
      <c r="AE414" s="55">
        <f t="shared" si="13"/>
        <v>1980</v>
      </c>
      <c r="AG414" s="57" t="s">
        <v>24</v>
      </c>
    </row>
    <row r="415" spans="1:33" hidden="1">
      <c r="A415" s="47">
        <v>413</v>
      </c>
      <c r="B415" s="69">
        <v>4971710578799</v>
      </c>
      <c r="C415" s="57" t="s">
        <v>644</v>
      </c>
      <c r="D415" s="75" t="s">
        <v>884</v>
      </c>
      <c r="E415" s="48" t="s">
        <v>645</v>
      </c>
      <c r="F415" s="65"/>
      <c r="G415" s="66"/>
      <c r="H415" s="65"/>
      <c r="I415" s="66"/>
      <c r="J415" s="65"/>
      <c r="K415" s="66"/>
      <c r="L415" s="49"/>
      <c r="M415" s="50"/>
      <c r="N415" s="49"/>
      <c r="O415" s="50"/>
      <c r="P415" s="49"/>
      <c r="Q415" s="53"/>
      <c r="R415" s="49"/>
      <c r="S415" s="53"/>
      <c r="T415" s="49"/>
      <c r="U415" s="53"/>
      <c r="V415" s="49">
        <v>4</v>
      </c>
      <c r="W415" s="53">
        <v>1980</v>
      </c>
      <c r="X415" s="53"/>
      <c r="Y415" s="53"/>
      <c r="Z415" s="53"/>
      <c r="AA415" s="53"/>
      <c r="AB415" s="53"/>
      <c r="AC415" s="53"/>
      <c r="AD415" s="62">
        <f t="shared" si="12"/>
        <v>4</v>
      </c>
      <c r="AE415" s="55">
        <f t="shared" si="13"/>
        <v>1980</v>
      </c>
      <c r="AG415" s="57" t="s">
        <v>26</v>
      </c>
    </row>
    <row r="416" spans="1:33" hidden="1">
      <c r="A416" s="47">
        <v>414</v>
      </c>
      <c r="B416" s="69">
        <v>4971710584738</v>
      </c>
      <c r="C416" s="57" t="s">
        <v>800</v>
      </c>
      <c r="D416" s="75" t="s">
        <v>1078</v>
      </c>
      <c r="E416" s="48" t="s">
        <v>1024</v>
      </c>
      <c r="F416" s="65"/>
      <c r="G416" s="66"/>
      <c r="H416" s="65"/>
      <c r="I416" s="66"/>
      <c r="J416" s="65"/>
      <c r="K416" s="66"/>
      <c r="L416" s="49">
        <v>2</v>
      </c>
      <c r="M416" s="50">
        <v>1100</v>
      </c>
      <c r="N416" s="49"/>
      <c r="O416" s="50"/>
      <c r="P416" s="49"/>
      <c r="Q416" s="53"/>
      <c r="R416" s="49"/>
      <c r="S416" s="53"/>
      <c r="T416" s="49"/>
      <c r="U416" s="53"/>
      <c r="V416" s="49">
        <v>2</v>
      </c>
      <c r="W416" s="53">
        <v>1100</v>
      </c>
      <c r="X416" s="53"/>
      <c r="Y416" s="53"/>
      <c r="Z416" s="53"/>
      <c r="AA416" s="53"/>
      <c r="AB416" s="53"/>
      <c r="AC416" s="53"/>
      <c r="AD416" s="63">
        <f t="shared" si="12"/>
        <v>4</v>
      </c>
      <c r="AE416" s="55">
        <f t="shared" si="13"/>
        <v>2200</v>
      </c>
      <c r="AG416" s="57" t="s">
        <v>28</v>
      </c>
    </row>
    <row r="417" spans="1:33" hidden="1">
      <c r="A417" s="47">
        <v>415</v>
      </c>
      <c r="B417" s="69">
        <v>4971710515831</v>
      </c>
      <c r="C417" s="57" t="s">
        <v>832</v>
      </c>
      <c r="D417" s="75" t="s">
        <v>884</v>
      </c>
      <c r="E417" s="48" t="s">
        <v>1025</v>
      </c>
      <c r="F417" s="65"/>
      <c r="G417" s="66"/>
      <c r="H417" s="65"/>
      <c r="I417" s="66"/>
      <c r="J417" s="65"/>
      <c r="K417" s="66"/>
      <c r="L417" s="49"/>
      <c r="M417" s="50"/>
      <c r="N417" s="49"/>
      <c r="O417" s="50"/>
      <c r="P417" s="49"/>
      <c r="Q417" s="53"/>
      <c r="R417" s="49">
        <v>2</v>
      </c>
      <c r="S417" s="53">
        <v>1044</v>
      </c>
      <c r="T417" s="49"/>
      <c r="U417" s="53"/>
      <c r="V417" s="49">
        <v>2</v>
      </c>
      <c r="W417" s="53">
        <v>1044</v>
      </c>
      <c r="X417" s="53"/>
      <c r="Y417" s="53"/>
      <c r="Z417" s="53"/>
      <c r="AA417" s="53"/>
      <c r="AB417" s="53"/>
      <c r="AC417" s="53"/>
      <c r="AD417" s="63">
        <f t="shared" si="12"/>
        <v>4</v>
      </c>
      <c r="AE417" s="55">
        <f t="shared" si="13"/>
        <v>2088</v>
      </c>
      <c r="AG417" s="57" t="s">
        <v>52</v>
      </c>
    </row>
    <row r="418" spans="1:33" hidden="1">
      <c r="A418" s="47">
        <v>416</v>
      </c>
      <c r="B418" s="69">
        <v>4971710584721</v>
      </c>
      <c r="C418" s="57" t="s">
        <v>801</v>
      </c>
      <c r="D418" s="75" t="s">
        <v>1078</v>
      </c>
      <c r="E418" s="48" t="s">
        <v>1024</v>
      </c>
      <c r="F418" s="65"/>
      <c r="G418" s="66"/>
      <c r="H418" s="65"/>
      <c r="I418" s="66"/>
      <c r="J418" s="65"/>
      <c r="K418" s="66"/>
      <c r="L418" s="49">
        <v>2</v>
      </c>
      <c r="M418" s="50">
        <v>1100</v>
      </c>
      <c r="N418" s="49"/>
      <c r="O418" s="50"/>
      <c r="P418" s="49"/>
      <c r="Q418" s="53"/>
      <c r="R418" s="49"/>
      <c r="S418" s="53"/>
      <c r="T418" s="49">
        <v>2</v>
      </c>
      <c r="U418" s="53">
        <v>1100</v>
      </c>
      <c r="V418" s="49"/>
      <c r="W418" s="53"/>
      <c r="X418" s="53"/>
      <c r="Y418" s="53"/>
      <c r="Z418" s="53"/>
      <c r="AA418" s="53"/>
      <c r="AB418" s="53"/>
      <c r="AC418" s="53"/>
      <c r="AD418" s="63">
        <f t="shared" si="12"/>
        <v>4</v>
      </c>
      <c r="AE418" s="55">
        <f t="shared" si="13"/>
        <v>2200</v>
      </c>
      <c r="AG418" s="57" t="s">
        <v>62</v>
      </c>
    </row>
    <row r="419" spans="1:33" hidden="1">
      <c r="A419" s="47">
        <v>417</v>
      </c>
      <c r="B419" s="69">
        <v>4971710519471</v>
      </c>
      <c r="C419" s="57" t="s">
        <v>360</v>
      </c>
      <c r="D419" s="75" t="s">
        <v>884</v>
      </c>
      <c r="E419" s="48" t="s">
        <v>361</v>
      </c>
      <c r="F419" s="65"/>
      <c r="G419" s="66"/>
      <c r="H419" s="65">
        <v>8</v>
      </c>
      <c r="I419" s="66">
        <v>2200</v>
      </c>
      <c r="J419" s="65"/>
      <c r="K419" s="66"/>
      <c r="L419" s="49"/>
      <c r="M419" s="50"/>
      <c r="N419" s="49"/>
      <c r="O419" s="50"/>
      <c r="P419" s="49"/>
      <c r="Q419" s="53"/>
      <c r="R419" s="49"/>
      <c r="S419" s="53"/>
      <c r="T419" s="49"/>
      <c r="U419" s="53"/>
      <c r="V419" s="49"/>
      <c r="W419" s="53"/>
      <c r="X419" s="53"/>
      <c r="Y419" s="53"/>
      <c r="Z419" s="53"/>
      <c r="AA419" s="53"/>
      <c r="AB419" s="53"/>
      <c r="AC419" s="53"/>
      <c r="AD419" s="62">
        <f t="shared" si="12"/>
        <v>8</v>
      </c>
      <c r="AE419" s="55">
        <f t="shared" si="13"/>
        <v>2200</v>
      </c>
      <c r="AG419" s="57" t="s">
        <v>64</v>
      </c>
    </row>
    <row r="420" spans="1:33" hidden="1">
      <c r="A420" s="47">
        <v>418</v>
      </c>
      <c r="B420" s="69">
        <v>4971710494983</v>
      </c>
      <c r="C420" s="57" t="s">
        <v>146</v>
      </c>
      <c r="D420" s="75" t="s">
        <v>884</v>
      </c>
      <c r="E420" s="48" t="s">
        <v>147</v>
      </c>
      <c r="F420" s="65"/>
      <c r="G420" s="66"/>
      <c r="H420" s="65"/>
      <c r="I420" s="66"/>
      <c r="J420" s="65"/>
      <c r="K420" s="66"/>
      <c r="L420" s="49"/>
      <c r="M420" s="50"/>
      <c r="N420" s="49">
        <v>4</v>
      </c>
      <c r="O420" s="50">
        <v>2640</v>
      </c>
      <c r="P420" s="49"/>
      <c r="Q420" s="53"/>
      <c r="R420" s="49"/>
      <c r="S420" s="53"/>
      <c r="T420" s="49"/>
      <c r="U420" s="53"/>
      <c r="V420" s="49"/>
      <c r="W420" s="53"/>
      <c r="X420" s="53"/>
      <c r="Y420" s="53"/>
      <c r="Z420" s="53"/>
      <c r="AA420" s="53"/>
      <c r="AB420" s="53"/>
      <c r="AC420" s="53"/>
      <c r="AD420" s="62">
        <f t="shared" si="12"/>
        <v>4</v>
      </c>
      <c r="AE420" s="55">
        <f t="shared" si="13"/>
        <v>2640</v>
      </c>
      <c r="AG420" s="57" t="s">
        <v>66</v>
      </c>
    </row>
    <row r="421" spans="1:33" hidden="1">
      <c r="A421" s="47">
        <v>419</v>
      </c>
      <c r="B421" s="69">
        <v>4971710495034</v>
      </c>
      <c r="C421" s="57" t="s">
        <v>156</v>
      </c>
      <c r="D421" s="75" t="s">
        <v>884</v>
      </c>
      <c r="E421" s="48" t="s">
        <v>157</v>
      </c>
      <c r="F421" s="65"/>
      <c r="G421" s="66"/>
      <c r="H421" s="65"/>
      <c r="I421" s="66"/>
      <c r="J421" s="65"/>
      <c r="K421" s="66"/>
      <c r="L421" s="49"/>
      <c r="M421" s="50"/>
      <c r="N421" s="49">
        <v>4</v>
      </c>
      <c r="O421" s="50">
        <v>2640</v>
      </c>
      <c r="P421" s="49"/>
      <c r="Q421" s="53"/>
      <c r="R421" s="49"/>
      <c r="S421" s="53"/>
      <c r="T421" s="49"/>
      <c r="U421" s="53"/>
      <c r="V421" s="49"/>
      <c r="W421" s="53"/>
      <c r="X421" s="53"/>
      <c r="Y421" s="53"/>
      <c r="Z421" s="53"/>
      <c r="AA421" s="53"/>
      <c r="AB421" s="53"/>
      <c r="AC421" s="53"/>
      <c r="AD421" s="62">
        <f t="shared" si="12"/>
        <v>4</v>
      </c>
      <c r="AE421" s="55">
        <f t="shared" si="13"/>
        <v>2640</v>
      </c>
      <c r="AG421" s="57" t="s">
        <v>70</v>
      </c>
    </row>
    <row r="422" spans="1:33" hidden="1">
      <c r="A422" s="47">
        <v>420</v>
      </c>
      <c r="B422" s="69">
        <v>4971710495010</v>
      </c>
      <c r="C422" s="57" t="s">
        <v>152</v>
      </c>
      <c r="D422" s="75" t="s">
        <v>884</v>
      </c>
      <c r="E422" s="48" t="s">
        <v>153</v>
      </c>
      <c r="F422" s="65"/>
      <c r="G422" s="66"/>
      <c r="H422" s="65"/>
      <c r="I422" s="66"/>
      <c r="J422" s="65"/>
      <c r="K422" s="66"/>
      <c r="L422" s="49">
        <v>4</v>
      </c>
      <c r="M422" s="50">
        <v>2640</v>
      </c>
      <c r="N422" s="49"/>
      <c r="O422" s="50"/>
      <c r="P422" s="49"/>
      <c r="Q422" s="53"/>
      <c r="R422" s="49"/>
      <c r="S422" s="53"/>
      <c r="T422" s="49"/>
      <c r="U422" s="53"/>
      <c r="V422" s="49"/>
      <c r="W422" s="53"/>
      <c r="X422" s="53"/>
      <c r="Y422" s="53"/>
      <c r="Z422" s="53"/>
      <c r="AA422" s="53"/>
      <c r="AB422" s="53"/>
      <c r="AC422" s="53"/>
      <c r="AD422" s="62">
        <f t="shared" si="12"/>
        <v>4</v>
      </c>
      <c r="AE422" s="55">
        <f t="shared" si="13"/>
        <v>2640</v>
      </c>
      <c r="AG422" s="57" t="s">
        <v>72</v>
      </c>
    </row>
    <row r="423" spans="1:33" hidden="1">
      <c r="A423" s="47">
        <v>421</v>
      </c>
      <c r="B423" s="69">
        <v>4971710495003</v>
      </c>
      <c r="C423" s="57" t="s">
        <v>150</v>
      </c>
      <c r="D423" s="75" t="s">
        <v>884</v>
      </c>
      <c r="E423" s="48" t="s">
        <v>151</v>
      </c>
      <c r="F423" s="65"/>
      <c r="G423" s="66"/>
      <c r="H423" s="65"/>
      <c r="I423" s="66"/>
      <c r="J423" s="65"/>
      <c r="K423" s="66"/>
      <c r="L423" s="49"/>
      <c r="M423" s="50"/>
      <c r="N423" s="49">
        <v>4</v>
      </c>
      <c r="O423" s="50">
        <v>2640</v>
      </c>
      <c r="P423" s="49"/>
      <c r="Q423" s="53"/>
      <c r="R423" s="49"/>
      <c r="S423" s="53"/>
      <c r="T423" s="49"/>
      <c r="U423" s="53"/>
      <c r="V423" s="49"/>
      <c r="W423" s="53"/>
      <c r="X423" s="53"/>
      <c r="Y423" s="53"/>
      <c r="Z423" s="53"/>
      <c r="AA423" s="53"/>
      <c r="AB423" s="53"/>
      <c r="AC423" s="53"/>
      <c r="AD423" s="62">
        <f t="shared" si="12"/>
        <v>4</v>
      </c>
      <c r="AE423" s="55">
        <f t="shared" si="13"/>
        <v>2640</v>
      </c>
      <c r="AG423" s="57" t="s">
        <v>74</v>
      </c>
    </row>
    <row r="424" spans="1:33" hidden="1">
      <c r="A424" s="47">
        <v>422</v>
      </c>
      <c r="B424" s="69">
        <v>4971710610741</v>
      </c>
      <c r="C424" s="57" t="s">
        <v>898</v>
      </c>
      <c r="D424" s="75" t="s">
        <v>1078</v>
      </c>
      <c r="E424" s="48" t="s">
        <v>907</v>
      </c>
      <c r="F424" s="65"/>
      <c r="G424" s="66"/>
      <c r="H424" s="65"/>
      <c r="I424" s="66"/>
      <c r="J424" s="65"/>
      <c r="K424" s="66"/>
      <c r="L424" s="49"/>
      <c r="M424" s="50"/>
      <c r="N424" s="49"/>
      <c r="O424" s="50"/>
      <c r="P424" s="49"/>
      <c r="Q424" s="53"/>
      <c r="R424" s="49"/>
      <c r="S424" s="53"/>
      <c r="T424" s="49">
        <v>2</v>
      </c>
      <c r="U424" s="53">
        <v>1430</v>
      </c>
      <c r="V424" s="49"/>
      <c r="W424" s="53"/>
      <c r="X424" s="53"/>
      <c r="Y424" s="53"/>
      <c r="Z424" s="53"/>
      <c r="AA424" s="53"/>
      <c r="AB424" s="53"/>
      <c r="AC424" s="53"/>
      <c r="AD424" s="63">
        <f t="shared" si="12"/>
        <v>2</v>
      </c>
      <c r="AE424" s="55">
        <f t="shared" si="13"/>
        <v>1430</v>
      </c>
      <c r="AG424" s="57" t="s">
        <v>76</v>
      </c>
    </row>
    <row r="425" spans="1:33" hidden="1">
      <c r="A425" s="47">
        <v>423</v>
      </c>
      <c r="B425" s="69">
        <v>4971710610758</v>
      </c>
      <c r="C425" s="57" t="s">
        <v>899</v>
      </c>
      <c r="D425" s="75" t="s">
        <v>1078</v>
      </c>
      <c r="E425" s="48" t="s">
        <v>908</v>
      </c>
      <c r="F425" s="65"/>
      <c r="G425" s="66"/>
      <c r="H425" s="65"/>
      <c r="I425" s="66"/>
      <c r="J425" s="65"/>
      <c r="K425" s="66"/>
      <c r="L425" s="49"/>
      <c r="M425" s="50"/>
      <c r="N425" s="49"/>
      <c r="O425" s="50"/>
      <c r="P425" s="49"/>
      <c r="Q425" s="53"/>
      <c r="R425" s="49"/>
      <c r="S425" s="53"/>
      <c r="T425" s="49">
        <v>2</v>
      </c>
      <c r="U425" s="53">
        <v>1430</v>
      </c>
      <c r="V425" s="49"/>
      <c r="W425" s="53"/>
      <c r="X425" s="53"/>
      <c r="Y425" s="53"/>
      <c r="Z425" s="53"/>
      <c r="AA425" s="53"/>
      <c r="AB425" s="53"/>
      <c r="AC425" s="53"/>
      <c r="AD425" s="63">
        <f t="shared" si="12"/>
        <v>2</v>
      </c>
      <c r="AE425" s="55">
        <f t="shared" si="13"/>
        <v>1430</v>
      </c>
      <c r="AG425" s="57" t="s">
        <v>80</v>
      </c>
    </row>
    <row r="426" spans="1:33" hidden="1">
      <c r="A426" s="47">
        <v>424</v>
      </c>
      <c r="B426" s="69">
        <v>4971710573985</v>
      </c>
      <c r="C426" s="57" t="s">
        <v>581</v>
      </c>
      <c r="D426" s="75" t="s">
        <v>884</v>
      </c>
      <c r="E426" s="48" t="s">
        <v>582</v>
      </c>
      <c r="F426" s="65"/>
      <c r="G426" s="66"/>
      <c r="H426" s="65">
        <v>4</v>
      </c>
      <c r="I426" s="66">
        <v>1540</v>
      </c>
      <c r="J426" s="65"/>
      <c r="K426" s="66"/>
      <c r="L426" s="49"/>
      <c r="M426" s="50"/>
      <c r="N426" s="49"/>
      <c r="O426" s="50"/>
      <c r="P426" s="49"/>
      <c r="Q426" s="53"/>
      <c r="R426" s="49"/>
      <c r="S426" s="53"/>
      <c r="T426" s="49"/>
      <c r="U426" s="53"/>
      <c r="V426" s="49"/>
      <c r="W426" s="53"/>
      <c r="X426" s="53"/>
      <c r="Y426" s="53"/>
      <c r="Z426" s="53"/>
      <c r="AA426" s="53"/>
      <c r="AB426" s="53"/>
      <c r="AC426" s="53"/>
      <c r="AD426" s="62">
        <f t="shared" si="12"/>
        <v>4</v>
      </c>
      <c r="AE426" s="55">
        <f t="shared" si="13"/>
        <v>1540</v>
      </c>
      <c r="AG426" s="57" t="s">
        <v>82</v>
      </c>
    </row>
    <row r="427" spans="1:33" s="72" customFormat="1">
      <c r="A427" s="145" t="s">
        <v>1087</v>
      </c>
      <c r="B427" s="146"/>
      <c r="C427" s="146"/>
      <c r="D427" s="146"/>
      <c r="E427" s="147"/>
      <c r="F427" s="70">
        <f>SUBTOTAL(9,F3:F426)</f>
        <v>3432</v>
      </c>
      <c r="G427" s="70">
        <f t="shared" ref="G427:AE427" si="14">SUBTOTAL(9,G3:G426)</f>
        <v>2071080</v>
      </c>
      <c r="H427" s="70">
        <f t="shared" si="14"/>
        <v>3452</v>
      </c>
      <c r="I427" s="70">
        <f t="shared" si="14"/>
        <v>1773640</v>
      </c>
      <c r="J427" s="70">
        <f t="shared" si="14"/>
        <v>8585</v>
      </c>
      <c r="K427" s="70">
        <f t="shared" si="14"/>
        <v>5663680</v>
      </c>
      <c r="L427" s="70">
        <f t="shared" si="14"/>
        <v>16934</v>
      </c>
      <c r="M427" s="70">
        <f t="shared" si="14"/>
        <v>11066000</v>
      </c>
      <c r="N427" s="70">
        <f t="shared" si="14"/>
        <v>31950</v>
      </c>
      <c r="O427" s="70">
        <f t="shared" si="14"/>
        <v>21080840</v>
      </c>
      <c r="P427" s="70">
        <f t="shared" si="14"/>
        <v>17252</v>
      </c>
      <c r="Q427" s="70">
        <f t="shared" si="14"/>
        <v>11346076</v>
      </c>
      <c r="R427" s="70">
        <f t="shared" si="14"/>
        <v>43933</v>
      </c>
      <c r="S427" s="70">
        <f t="shared" si="14"/>
        <v>29216902</v>
      </c>
      <c r="T427" s="70">
        <f t="shared" si="14"/>
        <v>40357</v>
      </c>
      <c r="U427" s="70">
        <f t="shared" si="14"/>
        <v>26968580</v>
      </c>
      <c r="V427" s="70">
        <f t="shared" si="14"/>
        <v>68414</v>
      </c>
      <c r="W427" s="70">
        <f t="shared" si="14"/>
        <v>44998908</v>
      </c>
      <c r="X427" s="70">
        <f t="shared" si="14"/>
        <v>0</v>
      </c>
      <c r="Y427" s="70">
        <f t="shared" si="14"/>
        <v>0</v>
      </c>
      <c r="Z427" s="70">
        <f t="shared" si="14"/>
        <v>0</v>
      </c>
      <c r="AA427" s="70">
        <f t="shared" si="14"/>
        <v>0</v>
      </c>
      <c r="AB427" s="70">
        <f t="shared" si="14"/>
        <v>379</v>
      </c>
      <c r="AC427" s="70">
        <f t="shared" si="14"/>
        <v>237787</v>
      </c>
      <c r="AD427" s="70">
        <f t="shared" si="14"/>
        <v>234688</v>
      </c>
      <c r="AE427" s="70">
        <f t="shared" si="14"/>
        <v>154423493</v>
      </c>
      <c r="AG427" s="57" t="s">
        <v>96</v>
      </c>
    </row>
    <row r="428" spans="1:33">
      <c r="AG428" s="57" t="s">
        <v>98</v>
      </c>
    </row>
    <row r="429" spans="1:33">
      <c r="AG429" s="57" t="s">
        <v>100</v>
      </c>
    </row>
    <row r="430" spans="1:33">
      <c r="AG430" s="57" t="s">
        <v>102</v>
      </c>
    </row>
    <row r="431" spans="1:33">
      <c r="AG431" s="57" t="s">
        <v>104</v>
      </c>
    </row>
    <row r="432" spans="1:33">
      <c r="AG432" s="57" t="s">
        <v>106</v>
      </c>
    </row>
    <row r="433" spans="33:33">
      <c r="AG433" s="57" t="s">
        <v>142</v>
      </c>
    </row>
    <row r="434" spans="33:33">
      <c r="AG434" s="57" t="s">
        <v>144</v>
      </c>
    </row>
    <row r="435" spans="33:33">
      <c r="AG435" s="57" t="s">
        <v>188</v>
      </c>
    </row>
    <row r="436" spans="33:33">
      <c r="AG436" s="57" t="s">
        <v>190</v>
      </c>
    </row>
    <row r="437" spans="33:33">
      <c r="AG437" s="57" t="s">
        <v>192</v>
      </c>
    </row>
    <row r="438" spans="33:33">
      <c r="AG438" s="57" t="s">
        <v>194</v>
      </c>
    </row>
    <row r="439" spans="33:33">
      <c r="AG439" s="57" t="s">
        <v>196</v>
      </c>
    </row>
    <row r="440" spans="33:33">
      <c r="AG440" s="57" t="s">
        <v>208</v>
      </c>
    </row>
    <row r="441" spans="33:33">
      <c r="AG441" s="57" t="s">
        <v>210</v>
      </c>
    </row>
    <row r="442" spans="33:33">
      <c r="AG442" s="57" t="s">
        <v>216</v>
      </c>
    </row>
    <row r="443" spans="33:33">
      <c r="AG443" s="108" t="s">
        <v>218</v>
      </c>
    </row>
    <row r="444" spans="33:33">
      <c r="AG444" s="108" t="s">
        <v>220</v>
      </c>
    </row>
    <row r="445" spans="33:33">
      <c r="AG445" s="108" t="s">
        <v>228</v>
      </c>
    </row>
    <row r="446" spans="33:33">
      <c r="AG446" s="108" t="s">
        <v>232</v>
      </c>
    </row>
    <row r="447" spans="33:33">
      <c r="AG447" s="108" t="s">
        <v>236</v>
      </c>
    </row>
    <row r="448" spans="33:33">
      <c r="AG448" s="108" t="s">
        <v>240</v>
      </c>
    </row>
    <row r="449" spans="33:33">
      <c r="AG449" s="108" t="s">
        <v>308</v>
      </c>
    </row>
    <row r="450" spans="33:33">
      <c r="AG450" s="108" t="s">
        <v>340</v>
      </c>
    </row>
    <row r="451" spans="33:33">
      <c r="AG451" s="108" t="s">
        <v>386</v>
      </c>
    </row>
    <row r="452" spans="33:33">
      <c r="AG452" s="108" t="s">
        <v>404</v>
      </c>
    </row>
    <row r="453" spans="33:33">
      <c r="AG453" s="108" t="s">
        <v>406</v>
      </c>
    </row>
    <row r="454" spans="33:33">
      <c r="AG454" s="108" t="s">
        <v>475</v>
      </c>
    </row>
    <row r="455" spans="33:33">
      <c r="AG455" s="108" t="s">
        <v>493</v>
      </c>
    </row>
    <row r="456" spans="33:33">
      <c r="AG456" s="108" t="s">
        <v>527</v>
      </c>
    </row>
    <row r="457" spans="33:33">
      <c r="AG457" s="108" t="s">
        <v>545</v>
      </c>
    </row>
    <row r="458" spans="33:33">
      <c r="AG458" s="108" t="s">
        <v>547</v>
      </c>
    </row>
    <row r="459" spans="33:33">
      <c r="AG459" s="108" t="s">
        <v>577</v>
      </c>
    </row>
    <row r="460" spans="33:33">
      <c r="AG460" s="108" t="s">
        <v>579</v>
      </c>
    </row>
    <row r="461" spans="33:33">
      <c r="AG461" s="108" t="s">
        <v>620</v>
      </c>
    </row>
    <row r="462" spans="33:33">
      <c r="AG462" s="108" t="s">
        <v>68</v>
      </c>
    </row>
    <row r="463" spans="33:33">
      <c r="AG463" s="108" t="s">
        <v>108</v>
      </c>
    </row>
    <row r="464" spans="33:33">
      <c r="AG464" s="108" t="s">
        <v>224</v>
      </c>
    </row>
    <row r="465" spans="33:33">
      <c r="AG465" s="108" t="s">
        <v>569</v>
      </c>
    </row>
  </sheetData>
  <autoFilter ref="A1:AE426" xr:uid="{794E6551-889A-4946-AC3C-DCB333E788DF}">
    <filterColumn colId="3">
      <filters>
        <filter val="MKM"/>
      </filters>
    </filterColumn>
    <filterColumn colId="5" showButton="0"/>
    <filterColumn colId="7" showButton="0"/>
    <filterColumn colId="9" showButton="0"/>
    <filterColumn colId="11" showButton="0"/>
    <filterColumn colId="13" showButton="0"/>
    <filterColumn colId="15" showButton="0"/>
    <filterColumn colId="17" showButton="0"/>
    <filterColumn colId="19" showButton="0"/>
    <filterColumn colId="21" showButton="0"/>
    <filterColumn colId="23" showButton="0"/>
    <filterColumn colId="25" showButton="0"/>
    <filterColumn colId="27" showButton="0"/>
    <filterColumn colId="29" showButton="0"/>
  </autoFilter>
  <sortState ref="A3:AE426">
    <sortCondition descending="1" ref="AD3:AD426"/>
  </sortState>
  <mergeCells count="20">
    <mergeCell ref="AG1:AG2"/>
    <mergeCell ref="A427:E427"/>
    <mergeCell ref="AD1:AE1"/>
    <mergeCell ref="R1:S1"/>
    <mergeCell ref="T1:U1"/>
    <mergeCell ref="A1:A2"/>
    <mergeCell ref="B1:B2"/>
    <mergeCell ref="C1:C2"/>
    <mergeCell ref="E1:E2"/>
    <mergeCell ref="D1:D2"/>
    <mergeCell ref="AB1:AC1"/>
    <mergeCell ref="Z1:AA1"/>
    <mergeCell ref="X1:Y1"/>
    <mergeCell ref="V1:W1"/>
    <mergeCell ref="F1:G1"/>
    <mergeCell ref="H1:I1"/>
    <mergeCell ref="J1:K1"/>
    <mergeCell ref="L1:M1"/>
    <mergeCell ref="N1:O1"/>
    <mergeCell ref="P1:Q1"/>
  </mergeCells>
  <phoneticPr fontId="2"/>
  <conditionalFormatting sqref="F404:F420 H404:H420 J404:J420">
    <cfRule type="top10" dxfId="865" priority="494" rank="10"/>
  </conditionalFormatting>
  <conditionalFormatting sqref="F3:F403">
    <cfRule type="top10" dxfId="864" priority="488" rank="10"/>
  </conditionalFormatting>
  <conditionalFormatting sqref="H3:H403">
    <cfRule type="top10" dxfId="863" priority="487" rank="10"/>
  </conditionalFormatting>
  <conditionalFormatting sqref="J3:J403">
    <cfRule type="top10" dxfId="862" priority="486" rank="10"/>
  </conditionalFormatting>
  <conditionalFormatting sqref="L3:L420">
    <cfRule type="top10" dxfId="861" priority="485" rank="10"/>
  </conditionalFormatting>
  <conditionalFormatting sqref="F421 H421 J421">
    <cfRule type="top10" dxfId="860" priority="482" rank="10"/>
  </conditionalFormatting>
  <conditionalFormatting sqref="L421">
    <cfRule type="top10" dxfId="859" priority="481" rank="10"/>
  </conditionalFormatting>
  <conditionalFormatting sqref="F422 H422 J422">
    <cfRule type="top10" dxfId="858" priority="480" rank="10"/>
  </conditionalFormatting>
  <conditionalFormatting sqref="L422">
    <cfRule type="top10" dxfId="857" priority="479" rank="10"/>
  </conditionalFormatting>
  <conditionalFormatting sqref="F423 H423 J423">
    <cfRule type="top10" dxfId="856" priority="478" rank="10"/>
  </conditionalFormatting>
  <conditionalFormatting sqref="L423">
    <cfRule type="top10" dxfId="855" priority="477" rank="10"/>
  </conditionalFormatting>
  <conditionalFormatting sqref="F424 H424 J424">
    <cfRule type="top10" dxfId="854" priority="476" rank="10"/>
  </conditionalFormatting>
  <conditionalFormatting sqref="L424">
    <cfRule type="top10" dxfId="853" priority="475" rank="10"/>
  </conditionalFormatting>
  <conditionalFormatting sqref="F425 H425 J425">
    <cfRule type="top10" dxfId="852" priority="474" rank="10"/>
  </conditionalFormatting>
  <conditionalFormatting sqref="L425">
    <cfRule type="top10" dxfId="851" priority="473" rank="10"/>
  </conditionalFormatting>
  <conditionalFormatting sqref="B1 B3:B426 B428:B1048576">
    <cfRule type="duplicateValues" dxfId="850" priority="509"/>
  </conditionalFormatting>
  <conditionalFormatting sqref="B428:B1048576">
    <cfRule type="duplicateValues" dxfId="849" priority="518"/>
  </conditionalFormatting>
  <conditionalFormatting sqref="B428:B1048576">
    <cfRule type="duplicateValues" dxfId="848" priority="535"/>
  </conditionalFormatting>
  <conditionalFormatting sqref="B428:B1048576">
    <cfRule type="duplicateValues" dxfId="847" priority="549"/>
  </conditionalFormatting>
  <conditionalFormatting sqref="F426 H426 J426">
    <cfRule type="top10" dxfId="846" priority="578" rank="10"/>
  </conditionalFormatting>
  <conditionalFormatting sqref="L426">
    <cfRule type="top10" dxfId="845" priority="581" rank="10"/>
  </conditionalFormatting>
  <conditionalFormatting sqref="N3:N426">
    <cfRule type="top10" dxfId="844" priority="582" rank="10"/>
  </conditionalFormatting>
  <conditionalFormatting sqref="AD3:AD426">
    <cfRule type="top10" dxfId="843" priority="583" rank="10"/>
  </conditionalFormatting>
  <conditionalFormatting sqref="P3:P426">
    <cfRule type="top10" dxfId="842" priority="584" rank="10"/>
  </conditionalFormatting>
  <conditionalFormatting sqref="R3:R426">
    <cfRule type="top10" dxfId="841" priority="585" rank="10"/>
  </conditionalFormatting>
  <conditionalFormatting sqref="T3:T426">
    <cfRule type="top10" dxfId="840" priority="586" rank="10"/>
  </conditionalFormatting>
  <conditionalFormatting sqref="V3:V426">
    <cfRule type="top10" dxfId="839" priority="587" rank="10"/>
  </conditionalFormatting>
  <conditionalFormatting sqref="AB3:AB426">
    <cfRule type="top10" dxfId="838" priority="2" rank="10"/>
  </conditionalFormatting>
  <conditionalFormatting sqref="C1:C1048576 AG1:AG1048576">
    <cfRule type="duplicateValues" dxfId="837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0E22D-873E-4EAB-859C-12B4CB4E96CA}">
  <dimension ref="A1:AQ548"/>
  <sheetViews>
    <sheetView topLeftCell="X511" zoomScale="60" zoomScaleNormal="60" workbookViewId="0">
      <selection activeCell="AQ548" sqref="AQ548"/>
    </sheetView>
  </sheetViews>
  <sheetFormatPr defaultRowHeight="13.5" outlineLevelCol="1"/>
  <cols>
    <col min="1" max="1" width="6.81640625" style="38" customWidth="1"/>
    <col min="2" max="2" width="19.7265625" style="38" customWidth="1"/>
    <col min="3" max="3" width="10.7265625" style="38" customWidth="1"/>
    <col min="4" max="4" width="16.90625" style="38" customWidth="1"/>
    <col min="5" max="5" width="52.36328125" style="38" customWidth="1"/>
    <col min="6" max="6" width="11.26953125" style="73" customWidth="1"/>
    <col min="7" max="7" width="13.26953125" style="73" customWidth="1"/>
    <col min="8" max="8" width="11.26953125" style="73" customWidth="1"/>
    <col min="9" max="9" width="13.26953125" style="73" customWidth="1"/>
    <col min="10" max="10" width="11.26953125" style="73" customWidth="1"/>
    <col min="11" max="11" width="13.26953125" style="73" customWidth="1"/>
    <col min="12" max="12" width="11.26953125" style="73" customWidth="1"/>
    <col min="13" max="17" width="13.26953125" style="73" customWidth="1"/>
    <col min="18" max="18" width="11.26953125" style="73" customWidth="1" outlineLevel="1"/>
    <col min="19" max="19" width="13.26953125" style="73" customWidth="1" outlineLevel="1"/>
    <col min="20" max="20" width="11.26953125" style="73" customWidth="1" outlineLevel="1"/>
    <col min="21" max="21" width="13.26953125" style="73" customWidth="1" outlineLevel="1"/>
    <col min="22" max="22" width="11.26953125" style="73" customWidth="1" outlineLevel="1"/>
    <col min="23" max="23" width="13.26953125" style="73" customWidth="1" outlineLevel="1"/>
    <col min="24" max="24" width="11.26953125" style="73" customWidth="1" outlineLevel="1"/>
    <col min="25" max="34" width="13.26953125" style="73" customWidth="1" outlineLevel="1"/>
    <col min="35" max="41" width="15.453125" style="73" customWidth="1" outlineLevel="1"/>
    <col min="42" max="42" width="10.81640625" style="74" bestFit="1" customWidth="1"/>
    <col min="43" max="43" width="16.1796875" style="74" bestFit="1" customWidth="1"/>
    <col min="44" max="16384" width="8.7265625" style="38"/>
  </cols>
  <sheetData>
    <row r="1" spans="1:43" ht="14.5" customHeight="1">
      <c r="A1" s="143" t="s">
        <v>781</v>
      </c>
      <c r="B1" s="143" t="s">
        <v>782</v>
      </c>
      <c r="C1" s="143" t="s">
        <v>3</v>
      </c>
      <c r="D1" s="143" t="s">
        <v>883</v>
      </c>
      <c r="E1" s="143" t="s">
        <v>4</v>
      </c>
      <c r="F1" s="141">
        <v>2407</v>
      </c>
      <c r="G1" s="142"/>
      <c r="H1" s="141">
        <v>2408</v>
      </c>
      <c r="I1" s="142"/>
      <c r="J1" s="141">
        <v>2409</v>
      </c>
      <c r="K1" s="142"/>
      <c r="L1" s="141">
        <v>2410</v>
      </c>
      <c r="M1" s="142"/>
      <c r="N1" s="141">
        <v>2411</v>
      </c>
      <c r="O1" s="142"/>
      <c r="P1" s="141">
        <v>2412</v>
      </c>
      <c r="Q1" s="142"/>
      <c r="R1" s="141">
        <v>2501</v>
      </c>
      <c r="S1" s="142"/>
      <c r="T1" s="141">
        <v>2502</v>
      </c>
      <c r="U1" s="142"/>
      <c r="V1" s="141">
        <v>2503</v>
      </c>
      <c r="W1" s="142"/>
      <c r="X1" s="141">
        <v>2504</v>
      </c>
      <c r="Y1" s="142"/>
      <c r="Z1" s="141">
        <v>2505</v>
      </c>
      <c r="AA1" s="142"/>
      <c r="AB1" s="141">
        <v>2506</v>
      </c>
      <c r="AC1" s="142"/>
      <c r="AD1" s="141">
        <v>2507</v>
      </c>
      <c r="AE1" s="142"/>
      <c r="AF1" s="141">
        <v>2508</v>
      </c>
      <c r="AG1" s="142"/>
      <c r="AH1" s="141">
        <v>2509</v>
      </c>
      <c r="AI1" s="142"/>
      <c r="AJ1" s="141">
        <v>2510</v>
      </c>
      <c r="AK1" s="142"/>
      <c r="AL1" s="141">
        <v>2511</v>
      </c>
      <c r="AM1" s="142"/>
      <c r="AN1" s="141">
        <v>2512</v>
      </c>
      <c r="AO1" s="142"/>
      <c r="AP1" s="148" t="s">
        <v>0</v>
      </c>
      <c r="AQ1" s="149"/>
    </row>
    <row r="2" spans="1:43">
      <c r="A2" s="144"/>
      <c r="B2" s="144"/>
      <c r="C2" s="144"/>
      <c r="D2" s="144"/>
      <c r="E2" s="144"/>
      <c r="F2" s="39" t="s">
        <v>1</v>
      </c>
      <c r="G2" s="40" t="s">
        <v>2</v>
      </c>
      <c r="H2" s="41" t="s">
        <v>1</v>
      </c>
      <c r="I2" s="42" t="s">
        <v>2</v>
      </c>
      <c r="J2" s="39" t="s">
        <v>1</v>
      </c>
      <c r="K2" s="40" t="s">
        <v>2</v>
      </c>
      <c r="L2" s="39" t="s">
        <v>1</v>
      </c>
      <c r="M2" s="40" t="s">
        <v>2</v>
      </c>
      <c r="N2" s="39" t="s">
        <v>1</v>
      </c>
      <c r="O2" s="40" t="s">
        <v>2</v>
      </c>
      <c r="P2" s="39" t="s">
        <v>1</v>
      </c>
      <c r="Q2" s="40" t="s">
        <v>2</v>
      </c>
      <c r="R2" s="39" t="s">
        <v>1</v>
      </c>
      <c r="S2" s="40" t="s">
        <v>2</v>
      </c>
      <c r="T2" s="41" t="s">
        <v>1</v>
      </c>
      <c r="U2" s="42" t="s">
        <v>2</v>
      </c>
      <c r="V2" s="39" t="s">
        <v>1</v>
      </c>
      <c r="W2" s="40" t="s">
        <v>2</v>
      </c>
      <c r="X2" s="39" t="s">
        <v>1</v>
      </c>
      <c r="Y2" s="40" t="s">
        <v>2</v>
      </c>
      <c r="Z2" s="39" t="s">
        <v>1</v>
      </c>
      <c r="AA2" s="40" t="s">
        <v>2</v>
      </c>
      <c r="AB2" s="39" t="s">
        <v>1</v>
      </c>
      <c r="AC2" s="40" t="s">
        <v>2</v>
      </c>
      <c r="AD2" s="39" t="s">
        <v>1</v>
      </c>
      <c r="AE2" s="40" t="s">
        <v>2</v>
      </c>
      <c r="AF2" s="39" t="s">
        <v>1</v>
      </c>
      <c r="AG2" s="40" t="s">
        <v>2</v>
      </c>
      <c r="AH2" s="39" t="s">
        <v>1</v>
      </c>
      <c r="AI2" s="40" t="s">
        <v>2</v>
      </c>
      <c r="AJ2" s="39" t="s">
        <v>1</v>
      </c>
      <c r="AK2" s="40" t="s">
        <v>2</v>
      </c>
      <c r="AL2" s="39" t="s">
        <v>1</v>
      </c>
      <c r="AM2" s="40" t="s">
        <v>2</v>
      </c>
      <c r="AN2" s="39" t="s">
        <v>1</v>
      </c>
      <c r="AO2" s="40" t="s">
        <v>2</v>
      </c>
      <c r="AP2" s="43" t="s">
        <v>1</v>
      </c>
      <c r="AQ2" s="44" t="s">
        <v>2</v>
      </c>
    </row>
    <row r="3" spans="1:43">
      <c r="A3" s="45">
        <v>1</v>
      </c>
      <c r="B3" s="46">
        <v>4971710576306</v>
      </c>
      <c r="C3" s="47" t="s">
        <v>608</v>
      </c>
      <c r="D3" s="75" t="s">
        <v>896</v>
      </c>
      <c r="E3" s="48" t="s">
        <v>609</v>
      </c>
      <c r="F3" s="49">
        <v>0</v>
      </c>
      <c r="G3" s="50">
        <v>0</v>
      </c>
      <c r="H3" s="51">
        <v>130</v>
      </c>
      <c r="I3" s="52">
        <v>85800</v>
      </c>
      <c r="J3" s="49">
        <v>40</v>
      </c>
      <c r="K3" s="50">
        <v>26400</v>
      </c>
      <c r="L3" s="49">
        <v>142</v>
      </c>
      <c r="M3" s="50">
        <v>93720</v>
      </c>
      <c r="N3" s="49">
        <v>318</v>
      </c>
      <c r="O3" s="50">
        <v>209880</v>
      </c>
      <c r="P3" s="49">
        <v>0</v>
      </c>
      <c r="Q3" s="53">
        <v>0</v>
      </c>
      <c r="R3" s="49">
        <v>2020</v>
      </c>
      <c r="S3" s="50">
        <v>1333200</v>
      </c>
      <c r="T3" s="51">
        <v>2944</v>
      </c>
      <c r="U3" s="52">
        <v>1631520</v>
      </c>
      <c r="V3" s="49">
        <v>8316</v>
      </c>
      <c r="W3" s="50">
        <v>5488560</v>
      </c>
      <c r="X3" s="49">
        <v>12276</v>
      </c>
      <c r="Y3" s="50">
        <v>8102160</v>
      </c>
      <c r="Z3" s="49">
        <v>20201</v>
      </c>
      <c r="AA3" s="50">
        <v>13332660</v>
      </c>
      <c r="AB3" s="49">
        <v>13848</v>
      </c>
      <c r="AC3" s="53">
        <v>9139680</v>
      </c>
      <c r="AD3" s="49">
        <v>31222</v>
      </c>
      <c r="AE3" s="53">
        <v>20606520</v>
      </c>
      <c r="AF3" s="49">
        <v>26000</v>
      </c>
      <c r="AG3" s="53">
        <v>17160000</v>
      </c>
      <c r="AH3" s="49">
        <v>64352</v>
      </c>
      <c r="AI3" s="53">
        <v>42472320</v>
      </c>
      <c r="AJ3" s="53"/>
      <c r="AK3" s="53"/>
      <c r="AL3" s="53"/>
      <c r="AM3" s="53"/>
      <c r="AN3" s="53"/>
      <c r="AO3" s="53"/>
      <c r="AP3" s="54">
        <f t="shared" ref="AP3:AP66" si="0">F3+H3+J3+L3+N3+P3+R3+T3+V3+X3+Z3+AB3+AD3+AF3+AH3+AJ3+AL3+AN3</f>
        <v>181809</v>
      </c>
      <c r="AQ3" s="55">
        <f t="shared" ref="AQ3:AQ66" si="1">G3+I3+K3+M3+O3+Q3+S3+U3+W3+Y3+AA3+AC3+AE3+AG3+AI3+AK3+AM3+AO3</f>
        <v>119682420</v>
      </c>
    </row>
    <row r="4" spans="1:43">
      <c r="A4" s="47">
        <v>2</v>
      </c>
      <c r="B4" s="56">
        <v>4971710565065</v>
      </c>
      <c r="C4" s="57" t="s">
        <v>503</v>
      </c>
      <c r="D4" s="75" t="s">
        <v>882</v>
      </c>
      <c r="E4" s="48" t="s">
        <v>1079</v>
      </c>
      <c r="F4" s="58">
        <v>40</v>
      </c>
      <c r="G4" s="50">
        <v>110000</v>
      </c>
      <c r="H4" s="51">
        <v>165</v>
      </c>
      <c r="I4" s="52">
        <v>453750</v>
      </c>
      <c r="J4" s="49">
        <v>30</v>
      </c>
      <c r="K4" s="50">
        <v>82500</v>
      </c>
      <c r="L4" s="49">
        <v>190</v>
      </c>
      <c r="M4" s="50">
        <v>522500</v>
      </c>
      <c r="N4" s="49">
        <v>903</v>
      </c>
      <c r="O4" s="50">
        <v>2483250</v>
      </c>
      <c r="P4" s="49">
        <v>1120</v>
      </c>
      <c r="Q4" s="53">
        <v>3080000</v>
      </c>
      <c r="R4" s="58">
        <v>3342</v>
      </c>
      <c r="S4" s="59">
        <v>9190500</v>
      </c>
      <c r="T4" s="60">
        <v>3836</v>
      </c>
      <c r="U4" s="61">
        <v>5714500</v>
      </c>
      <c r="V4" s="58">
        <v>926</v>
      </c>
      <c r="W4" s="59">
        <v>2546500</v>
      </c>
      <c r="X4" s="49">
        <v>2212</v>
      </c>
      <c r="Y4" s="50">
        <v>6083000</v>
      </c>
      <c r="Z4" s="49">
        <v>5987</v>
      </c>
      <c r="AA4" s="50">
        <v>16464250</v>
      </c>
      <c r="AB4" s="49">
        <v>1120</v>
      </c>
      <c r="AC4" s="53">
        <v>3080000</v>
      </c>
      <c r="AD4" s="49">
        <v>2598</v>
      </c>
      <c r="AE4" s="53">
        <v>7144500</v>
      </c>
      <c r="AF4" s="49">
        <v>1700</v>
      </c>
      <c r="AG4" s="53">
        <v>4675000</v>
      </c>
      <c r="AH4" s="49">
        <v>16456</v>
      </c>
      <c r="AI4" s="53">
        <v>45254000</v>
      </c>
      <c r="AJ4" s="53"/>
      <c r="AK4" s="53"/>
      <c r="AL4" s="53"/>
      <c r="AM4" s="53"/>
      <c r="AN4" s="53"/>
      <c r="AO4" s="53"/>
      <c r="AP4" s="62">
        <f t="shared" si="0"/>
        <v>40625</v>
      </c>
      <c r="AQ4" s="55">
        <f t="shared" si="1"/>
        <v>106884250</v>
      </c>
    </row>
    <row r="5" spans="1:43">
      <c r="A5" s="47">
        <v>3</v>
      </c>
      <c r="B5" s="56">
        <v>4971710574852</v>
      </c>
      <c r="C5" s="57" t="s">
        <v>583</v>
      </c>
      <c r="D5" s="75" t="s">
        <v>882</v>
      </c>
      <c r="E5" s="48" t="s">
        <v>888</v>
      </c>
      <c r="F5" s="58">
        <v>0</v>
      </c>
      <c r="G5" s="50">
        <v>0</v>
      </c>
      <c r="H5" s="51">
        <v>60</v>
      </c>
      <c r="I5" s="52">
        <v>49500</v>
      </c>
      <c r="J5" s="49">
        <v>0</v>
      </c>
      <c r="K5" s="50">
        <v>0</v>
      </c>
      <c r="L5" s="49">
        <v>45</v>
      </c>
      <c r="M5" s="50">
        <v>37125</v>
      </c>
      <c r="N5" s="49">
        <v>320</v>
      </c>
      <c r="O5" s="50">
        <v>264000</v>
      </c>
      <c r="P5" s="49">
        <v>680</v>
      </c>
      <c r="Q5" s="53">
        <v>561000</v>
      </c>
      <c r="R5" s="58">
        <v>610</v>
      </c>
      <c r="S5" s="59">
        <v>503250</v>
      </c>
      <c r="T5" s="60">
        <v>1724</v>
      </c>
      <c r="U5" s="61">
        <v>740850</v>
      </c>
      <c r="V5" s="58">
        <v>478</v>
      </c>
      <c r="W5" s="59">
        <v>394350</v>
      </c>
      <c r="X5" s="49">
        <v>2550</v>
      </c>
      <c r="Y5" s="50">
        <v>2103750</v>
      </c>
      <c r="Z5" s="49">
        <v>4650</v>
      </c>
      <c r="AA5" s="50">
        <v>3836250</v>
      </c>
      <c r="AB5" s="49">
        <v>360</v>
      </c>
      <c r="AC5" s="53">
        <v>297000</v>
      </c>
      <c r="AD5" s="49">
        <v>4106</v>
      </c>
      <c r="AE5" s="53">
        <v>3387450</v>
      </c>
      <c r="AF5" s="49">
        <v>3695</v>
      </c>
      <c r="AG5" s="53">
        <v>3048375</v>
      </c>
      <c r="AH5" s="49">
        <v>16985</v>
      </c>
      <c r="AI5" s="53">
        <v>14012625</v>
      </c>
      <c r="AJ5" s="53"/>
      <c r="AK5" s="53"/>
      <c r="AL5" s="53"/>
      <c r="AM5" s="53"/>
      <c r="AN5" s="53"/>
      <c r="AO5" s="53"/>
      <c r="AP5" s="62">
        <f t="shared" si="0"/>
        <v>36263</v>
      </c>
      <c r="AQ5" s="55">
        <f t="shared" si="1"/>
        <v>29235525</v>
      </c>
    </row>
    <row r="6" spans="1:43">
      <c r="A6" s="47">
        <v>4</v>
      </c>
      <c r="B6" s="56">
        <v>4971710598711</v>
      </c>
      <c r="C6" s="57" t="s">
        <v>810</v>
      </c>
      <c r="D6" s="75" t="s">
        <v>896</v>
      </c>
      <c r="E6" s="48" t="s">
        <v>980</v>
      </c>
      <c r="F6" s="58">
        <v>0</v>
      </c>
      <c r="G6" s="50">
        <v>0</v>
      </c>
      <c r="H6" s="51">
        <v>0</v>
      </c>
      <c r="I6" s="52">
        <v>0</v>
      </c>
      <c r="J6" s="49">
        <v>0</v>
      </c>
      <c r="K6" s="50">
        <v>0</v>
      </c>
      <c r="L6" s="49">
        <v>0</v>
      </c>
      <c r="M6" s="50">
        <v>0</v>
      </c>
      <c r="N6" s="49">
        <v>0</v>
      </c>
      <c r="O6" s="50">
        <v>0</v>
      </c>
      <c r="P6" s="49">
        <v>0</v>
      </c>
      <c r="Q6" s="53">
        <v>0</v>
      </c>
      <c r="R6" s="58"/>
      <c r="S6" s="59"/>
      <c r="T6" s="60"/>
      <c r="U6" s="61"/>
      <c r="V6" s="58"/>
      <c r="W6" s="59"/>
      <c r="X6" s="49"/>
      <c r="Y6" s="50"/>
      <c r="Z6" s="49"/>
      <c r="AA6" s="50"/>
      <c r="AB6" s="49">
        <v>1152</v>
      </c>
      <c r="AC6" s="53">
        <v>798336</v>
      </c>
      <c r="AD6" s="49">
        <v>7714</v>
      </c>
      <c r="AE6" s="53">
        <v>5345802</v>
      </c>
      <c r="AF6" s="49">
        <v>11620</v>
      </c>
      <c r="AG6" s="53">
        <v>8052660</v>
      </c>
      <c r="AH6" s="49">
        <v>2976</v>
      </c>
      <c r="AI6" s="53">
        <v>2062368</v>
      </c>
      <c r="AJ6" s="53"/>
      <c r="AK6" s="53"/>
      <c r="AL6" s="53"/>
      <c r="AM6" s="53"/>
      <c r="AN6" s="53">
        <v>96</v>
      </c>
      <c r="AO6" s="53">
        <v>66528</v>
      </c>
      <c r="AP6" s="63">
        <f t="shared" si="0"/>
        <v>23558</v>
      </c>
      <c r="AQ6" s="55">
        <f t="shared" si="1"/>
        <v>16325694</v>
      </c>
    </row>
    <row r="7" spans="1:43">
      <c r="A7" s="47">
        <v>5</v>
      </c>
      <c r="B7" s="56">
        <v>4971710511505</v>
      </c>
      <c r="C7" s="57" t="s">
        <v>212</v>
      </c>
      <c r="D7" s="75" t="s">
        <v>1095</v>
      </c>
      <c r="E7" s="48" t="s">
        <v>213</v>
      </c>
      <c r="F7" s="58">
        <v>0</v>
      </c>
      <c r="G7" s="50">
        <v>0</v>
      </c>
      <c r="H7" s="51">
        <v>10</v>
      </c>
      <c r="I7" s="52">
        <v>4950</v>
      </c>
      <c r="J7" s="49">
        <v>30</v>
      </c>
      <c r="K7" s="50">
        <v>14850</v>
      </c>
      <c r="L7" s="49">
        <v>0</v>
      </c>
      <c r="M7" s="50">
        <v>0</v>
      </c>
      <c r="N7" s="49">
        <v>360</v>
      </c>
      <c r="O7" s="50">
        <v>178200</v>
      </c>
      <c r="P7" s="49">
        <v>0</v>
      </c>
      <c r="Q7" s="53">
        <v>0</v>
      </c>
      <c r="R7" s="58">
        <v>2800</v>
      </c>
      <c r="S7" s="59">
        <v>1386000</v>
      </c>
      <c r="T7" s="60">
        <v>6000</v>
      </c>
      <c r="U7" s="61">
        <v>1485000</v>
      </c>
      <c r="V7" s="58"/>
      <c r="W7" s="59"/>
      <c r="X7" s="49">
        <v>2000</v>
      </c>
      <c r="Y7" s="50">
        <v>990000</v>
      </c>
      <c r="Z7" s="49">
        <v>50</v>
      </c>
      <c r="AA7" s="50">
        <v>24750</v>
      </c>
      <c r="AB7" s="49"/>
      <c r="AC7" s="53"/>
      <c r="AD7" s="49">
        <v>3550</v>
      </c>
      <c r="AE7" s="53">
        <v>1757250</v>
      </c>
      <c r="AF7" s="49">
        <v>2000</v>
      </c>
      <c r="AG7" s="53">
        <v>990000</v>
      </c>
      <c r="AH7" s="49">
        <v>5000</v>
      </c>
      <c r="AI7" s="53">
        <v>2475000</v>
      </c>
      <c r="AJ7" s="53"/>
      <c r="AK7" s="53"/>
      <c r="AL7" s="53"/>
      <c r="AM7" s="53"/>
      <c r="AN7" s="53"/>
      <c r="AO7" s="53"/>
      <c r="AP7" s="62">
        <f t="shared" si="0"/>
        <v>21800</v>
      </c>
      <c r="AQ7" s="55">
        <f t="shared" si="1"/>
        <v>9306000</v>
      </c>
    </row>
    <row r="8" spans="1:43">
      <c r="A8" s="47">
        <v>9</v>
      </c>
      <c r="B8" s="56">
        <v>4971710551006</v>
      </c>
      <c r="C8" s="57" t="s">
        <v>442</v>
      </c>
      <c r="D8" s="75" t="s">
        <v>884</v>
      </c>
      <c r="E8" s="48" t="s">
        <v>1081</v>
      </c>
      <c r="F8" s="58">
        <v>1510</v>
      </c>
      <c r="G8" s="50">
        <v>1079650</v>
      </c>
      <c r="H8" s="51">
        <v>54</v>
      </c>
      <c r="I8" s="52">
        <v>38610</v>
      </c>
      <c r="J8" s="49">
        <v>24</v>
      </c>
      <c r="K8" s="50">
        <v>17160</v>
      </c>
      <c r="L8" s="49">
        <v>66</v>
      </c>
      <c r="M8" s="50">
        <v>47190</v>
      </c>
      <c r="N8" s="49">
        <v>810</v>
      </c>
      <c r="O8" s="50">
        <v>579150</v>
      </c>
      <c r="P8" s="49">
        <v>90</v>
      </c>
      <c r="Q8" s="53">
        <v>64350</v>
      </c>
      <c r="R8" s="58">
        <v>1296</v>
      </c>
      <c r="S8" s="59">
        <v>926640</v>
      </c>
      <c r="T8" s="60">
        <v>1252</v>
      </c>
      <c r="U8" s="61">
        <v>447590</v>
      </c>
      <c r="V8" s="58">
        <v>842</v>
      </c>
      <c r="W8" s="59">
        <v>602030</v>
      </c>
      <c r="X8" s="49">
        <v>36</v>
      </c>
      <c r="Y8" s="50">
        <v>25740</v>
      </c>
      <c r="Z8" s="49">
        <v>518</v>
      </c>
      <c r="AA8" s="50">
        <v>370370</v>
      </c>
      <c r="AB8" s="49">
        <v>72</v>
      </c>
      <c r="AC8" s="53">
        <v>51480</v>
      </c>
      <c r="AD8" s="49">
        <v>354</v>
      </c>
      <c r="AE8" s="53">
        <v>253110</v>
      </c>
      <c r="AF8" s="49">
        <v>600</v>
      </c>
      <c r="AG8" s="53">
        <v>429000</v>
      </c>
      <c r="AH8" s="49">
        <v>1974</v>
      </c>
      <c r="AI8" s="53">
        <v>1411410</v>
      </c>
      <c r="AJ8" s="53"/>
      <c r="AK8" s="53"/>
      <c r="AL8" s="53"/>
      <c r="AM8" s="53"/>
      <c r="AN8" s="53"/>
      <c r="AO8" s="53"/>
      <c r="AP8" s="62">
        <f t="shared" si="0"/>
        <v>9498</v>
      </c>
      <c r="AQ8" s="55">
        <f t="shared" si="1"/>
        <v>6343480</v>
      </c>
    </row>
    <row r="9" spans="1:43">
      <c r="A9" s="47">
        <v>6</v>
      </c>
      <c r="B9" s="56">
        <v>4971710580044</v>
      </c>
      <c r="C9" s="57" t="s">
        <v>674</v>
      </c>
      <c r="D9" s="75" t="s">
        <v>896</v>
      </c>
      <c r="E9" s="48" t="s">
        <v>675</v>
      </c>
      <c r="F9" s="58">
        <v>0</v>
      </c>
      <c r="G9" s="50">
        <v>0</v>
      </c>
      <c r="H9" s="51">
        <v>15</v>
      </c>
      <c r="I9" s="52">
        <v>9900</v>
      </c>
      <c r="J9" s="49">
        <v>0</v>
      </c>
      <c r="K9" s="50">
        <v>0</v>
      </c>
      <c r="L9" s="49">
        <v>0</v>
      </c>
      <c r="M9" s="50">
        <v>0</v>
      </c>
      <c r="N9" s="49">
        <v>0</v>
      </c>
      <c r="O9" s="50">
        <v>0</v>
      </c>
      <c r="P9" s="49">
        <v>0</v>
      </c>
      <c r="Q9" s="53">
        <v>0</v>
      </c>
      <c r="R9" s="58"/>
      <c r="S9" s="59"/>
      <c r="T9" s="60"/>
      <c r="U9" s="61"/>
      <c r="V9" s="58"/>
      <c r="W9" s="59"/>
      <c r="X9" s="49"/>
      <c r="Y9" s="50"/>
      <c r="Z9" s="49">
        <v>60</v>
      </c>
      <c r="AA9" s="50">
        <v>39600</v>
      </c>
      <c r="AB9" s="49">
        <v>1240</v>
      </c>
      <c r="AC9" s="53">
        <v>818400</v>
      </c>
      <c r="AD9" s="49">
        <v>4000</v>
      </c>
      <c r="AE9" s="53">
        <v>2640000</v>
      </c>
      <c r="AF9" s="49">
        <v>2500</v>
      </c>
      <c r="AG9" s="53">
        <v>1650000</v>
      </c>
      <c r="AH9" s="49"/>
      <c r="AI9" s="53"/>
      <c r="AJ9" s="53"/>
      <c r="AK9" s="53"/>
      <c r="AL9" s="53"/>
      <c r="AM9" s="53"/>
      <c r="AN9" s="53"/>
      <c r="AO9" s="53"/>
      <c r="AP9" s="62">
        <f t="shared" si="0"/>
        <v>7815</v>
      </c>
      <c r="AQ9" s="55">
        <f t="shared" si="1"/>
        <v>5157900</v>
      </c>
    </row>
    <row r="10" spans="1:43">
      <c r="A10" s="47">
        <v>7</v>
      </c>
      <c r="B10" s="56">
        <v>4971710590500</v>
      </c>
      <c r="C10" s="57" t="s">
        <v>783</v>
      </c>
      <c r="D10" s="75" t="s">
        <v>896</v>
      </c>
      <c r="E10" s="48" t="s">
        <v>891</v>
      </c>
      <c r="F10" s="58">
        <v>0</v>
      </c>
      <c r="G10" s="50">
        <v>0</v>
      </c>
      <c r="H10" s="51">
        <v>0</v>
      </c>
      <c r="I10" s="52">
        <v>0</v>
      </c>
      <c r="J10" s="49">
        <v>0</v>
      </c>
      <c r="K10" s="50">
        <v>0</v>
      </c>
      <c r="L10" s="49">
        <v>0</v>
      </c>
      <c r="M10" s="50">
        <v>0</v>
      </c>
      <c r="N10" s="49">
        <v>0</v>
      </c>
      <c r="O10" s="50">
        <v>0</v>
      </c>
      <c r="P10" s="49">
        <v>0</v>
      </c>
      <c r="Q10" s="53">
        <v>0</v>
      </c>
      <c r="R10" s="58"/>
      <c r="S10" s="59"/>
      <c r="T10" s="60"/>
      <c r="U10" s="61"/>
      <c r="V10" s="58"/>
      <c r="W10" s="59"/>
      <c r="X10" s="49">
        <v>3600</v>
      </c>
      <c r="Y10" s="50">
        <v>2376000</v>
      </c>
      <c r="Z10" s="49">
        <v>3000</v>
      </c>
      <c r="AA10" s="50">
        <v>1980000</v>
      </c>
      <c r="AB10" s="49"/>
      <c r="AC10" s="53"/>
      <c r="AD10" s="49">
        <v>100</v>
      </c>
      <c r="AE10" s="53">
        <v>66000</v>
      </c>
      <c r="AF10" s="49"/>
      <c r="AG10" s="53"/>
      <c r="AH10" s="49"/>
      <c r="AI10" s="53"/>
      <c r="AJ10" s="53"/>
      <c r="AK10" s="53"/>
      <c r="AL10" s="53"/>
      <c r="AM10" s="53"/>
      <c r="AN10" s="53"/>
      <c r="AO10" s="53"/>
      <c r="AP10" s="62">
        <f t="shared" si="0"/>
        <v>6700</v>
      </c>
      <c r="AQ10" s="55">
        <f t="shared" si="1"/>
        <v>4422000</v>
      </c>
    </row>
    <row r="11" spans="1:43">
      <c r="A11" s="47">
        <v>8</v>
      </c>
      <c r="B11" s="56">
        <v>4971710579291</v>
      </c>
      <c r="C11" s="57" t="s">
        <v>808</v>
      </c>
      <c r="D11" s="75" t="s">
        <v>896</v>
      </c>
      <c r="E11" s="48" t="s">
        <v>893</v>
      </c>
      <c r="F11" s="58">
        <v>0</v>
      </c>
      <c r="G11" s="50">
        <v>0</v>
      </c>
      <c r="H11" s="51">
        <v>0</v>
      </c>
      <c r="I11" s="52">
        <v>0</v>
      </c>
      <c r="J11" s="49">
        <v>0</v>
      </c>
      <c r="K11" s="50">
        <v>0</v>
      </c>
      <c r="L11" s="49">
        <v>0</v>
      </c>
      <c r="M11" s="50">
        <v>0</v>
      </c>
      <c r="N11" s="49">
        <v>0</v>
      </c>
      <c r="O11" s="50">
        <v>0</v>
      </c>
      <c r="P11" s="49">
        <v>0</v>
      </c>
      <c r="Q11" s="53">
        <v>0</v>
      </c>
      <c r="R11" s="58"/>
      <c r="S11" s="59"/>
      <c r="T11" s="60"/>
      <c r="U11" s="61"/>
      <c r="V11" s="58"/>
      <c r="W11" s="59"/>
      <c r="X11" s="49"/>
      <c r="Y11" s="50"/>
      <c r="Z11" s="49">
        <v>5712</v>
      </c>
      <c r="AA11" s="50">
        <v>3769920</v>
      </c>
      <c r="AB11" s="49">
        <v>744</v>
      </c>
      <c r="AC11" s="53">
        <v>491040</v>
      </c>
      <c r="AD11" s="49"/>
      <c r="AE11" s="53"/>
      <c r="AF11" s="49"/>
      <c r="AG11" s="53"/>
      <c r="AH11" s="49"/>
      <c r="AI11" s="53"/>
      <c r="AJ11" s="53"/>
      <c r="AK11" s="53"/>
      <c r="AL11" s="53"/>
      <c r="AM11" s="53"/>
      <c r="AN11" s="53"/>
      <c r="AO11" s="53"/>
      <c r="AP11" s="62">
        <f t="shared" si="0"/>
        <v>6456</v>
      </c>
      <c r="AQ11" s="55">
        <f t="shared" si="1"/>
        <v>4260960</v>
      </c>
    </row>
    <row r="12" spans="1:43">
      <c r="A12" s="47">
        <v>11</v>
      </c>
      <c r="B12" s="56">
        <v>4971710571837</v>
      </c>
      <c r="C12" s="57" t="s">
        <v>897</v>
      </c>
      <c r="D12" s="75" t="s">
        <v>884</v>
      </c>
      <c r="E12" s="48" t="s">
        <v>564</v>
      </c>
      <c r="F12" s="58">
        <v>510</v>
      </c>
      <c r="G12" s="50">
        <v>364650</v>
      </c>
      <c r="H12" s="51">
        <v>34</v>
      </c>
      <c r="I12" s="52">
        <v>24310</v>
      </c>
      <c r="J12" s="49">
        <v>24</v>
      </c>
      <c r="K12" s="50">
        <v>17160</v>
      </c>
      <c r="L12" s="49">
        <v>461</v>
      </c>
      <c r="M12" s="50">
        <v>329615</v>
      </c>
      <c r="N12" s="49">
        <v>270</v>
      </c>
      <c r="O12" s="50">
        <v>193050</v>
      </c>
      <c r="P12" s="49">
        <v>190</v>
      </c>
      <c r="Q12" s="53">
        <v>135850</v>
      </c>
      <c r="R12" s="58">
        <v>920</v>
      </c>
      <c r="S12" s="59">
        <v>657800</v>
      </c>
      <c r="T12" s="60">
        <v>1656</v>
      </c>
      <c r="U12" s="61">
        <v>592020</v>
      </c>
      <c r="V12" s="58">
        <v>742</v>
      </c>
      <c r="W12" s="59">
        <v>530530</v>
      </c>
      <c r="X12" s="49">
        <v>24</v>
      </c>
      <c r="Y12" s="50">
        <v>17160</v>
      </c>
      <c r="Z12" s="49"/>
      <c r="AA12" s="50"/>
      <c r="AB12" s="49">
        <v>50</v>
      </c>
      <c r="AC12" s="53">
        <v>35750</v>
      </c>
      <c r="AD12" s="49">
        <v>12</v>
      </c>
      <c r="AE12" s="53">
        <v>8580</v>
      </c>
      <c r="AF12" s="49">
        <v>42</v>
      </c>
      <c r="AG12" s="53">
        <v>30030</v>
      </c>
      <c r="AH12" s="49">
        <v>798</v>
      </c>
      <c r="AI12" s="53">
        <v>570570</v>
      </c>
      <c r="AJ12" s="53"/>
      <c r="AK12" s="53"/>
      <c r="AL12" s="53"/>
      <c r="AM12" s="53"/>
      <c r="AN12" s="53">
        <v>555</v>
      </c>
      <c r="AO12" s="53">
        <v>396825</v>
      </c>
      <c r="AP12" s="62">
        <f t="shared" si="0"/>
        <v>6288</v>
      </c>
      <c r="AQ12" s="55">
        <f t="shared" si="1"/>
        <v>3903900</v>
      </c>
    </row>
    <row r="13" spans="1:43">
      <c r="A13" s="47">
        <v>10</v>
      </c>
      <c r="B13" s="56">
        <v>4971710595789</v>
      </c>
      <c r="C13" s="57" t="s">
        <v>806</v>
      </c>
      <c r="D13" s="75" t="s">
        <v>882</v>
      </c>
      <c r="E13" s="48" t="s">
        <v>982</v>
      </c>
      <c r="F13" s="58">
        <v>0</v>
      </c>
      <c r="G13" s="50">
        <v>0</v>
      </c>
      <c r="H13" s="51">
        <v>0</v>
      </c>
      <c r="I13" s="52">
        <v>0</v>
      </c>
      <c r="J13" s="49">
        <v>0</v>
      </c>
      <c r="K13" s="50">
        <v>0</v>
      </c>
      <c r="L13" s="49">
        <v>0</v>
      </c>
      <c r="M13" s="50">
        <v>0</v>
      </c>
      <c r="N13" s="49">
        <v>0</v>
      </c>
      <c r="O13" s="50">
        <v>0</v>
      </c>
      <c r="P13" s="49">
        <v>0</v>
      </c>
      <c r="Q13" s="53">
        <v>0</v>
      </c>
      <c r="R13" s="58"/>
      <c r="S13" s="59"/>
      <c r="T13" s="60"/>
      <c r="U13" s="61"/>
      <c r="V13" s="58"/>
      <c r="W13" s="59"/>
      <c r="X13" s="49"/>
      <c r="Y13" s="50"/>
      <c r="Z13" s="49">
        <v>748</v>
      </c>
      <c r="AA13" s="50">
        <v>740520</v>
      </c>
      <c r="AB13" s="49"/>
      <c r="AC13" s="53"/>
      <c r="AD13" s="49">
        <v>1150</v>
      </c>
      <c r="AE13" s="53">
        <v>1138500</v>
      </c>
      <c r="AF13" s="49"/>
      <c r="AG13" s="53"/>
      <c r="AH13" s="49">
        <v>3800</v>
      </c>
      <c r="AI13" s="53">
        <v>3762000</v>
      </c>
      <c r="AJ13" s="53"/>
      <c r="AK13" s="53"/>
      <c r="AL13" s="53"/>
      <c r="AM13" s="53"/>
      <c r="AN13" s="53"/>
      <c r="AO13" s="53"/>
      <c r="AP13" s="62">
        <f t="shared" si="0"/>
        <v>5698</v>
      </c>
      <c r="AQ13" s="55">
        <f t="shared" si="1"/>
        <v>5641020</v>
      </c>
    </row>
    <row r="14" spans="1:43">
      <c r="A14" s="47">
        <v>17</v>
      </c>
      <c r="B14" s="56">
        <v>4971710539189</v>
      </c>
      <c r="C14" s="57" t="s">
        <v>408</v>
      </c>
      <c r="D14" s="75" t="s">
        <v>884</v>
      </c>
      <c r="E14" s="48" t="s">
        <v>409</v>
      </c>
      <c r="F14" s="58">
        <v>730</v>
      </c>
      <c r="G14" s="50">
        <v>441650</v>
      </c>
      <c r="H14" s="51">
        <v>299</v>
      </c>
      <c r="I14" s="52">
        <v>180895</v>
      </c>
      <c r="J14" s="49">
        <v>24</v>
      </c>
      <c r="K14" s="50">
        <v>14520</v>
      </c>
      <c r="L14" s="49">
        <v>12</v>
      </c>
      <c r="M14" s="50">
        <v>7260</v>
      </c>
      <c r="N14" s="49">
        <v>390</v>
      </c>
      <c r="O14" s="50">
        <v>235950</v>
      </c>
      <c r="P14" s="49">
        <v>235</v>
      </c>
      <c r="Q14" s="53">
        <v>142175</v>
      </c>
      <c r="R14" s="58">
        <v>1329</v>
      </c>
      <c r="S14" s="59">
        <v>804045</v>
      </c>
      <c r="T14" s="60">
        <v>904</v>
      </c>
      <c r="U14" s="61">
        <v>273460</v>
      </c>
      <c r="V14" s="58">
        <v>302</v>
      </c>
      <c r="W14" s="59">
        <v>182710</v>
      </c>
      <c r="X14" s="49">
        <v>24</v>
      </c>
      <c r="Y14" s="50">
        <v>14520</v>
      </c>
      <c r="Z14" s="49">
        <v>802</v>
      </c>
      <c r="AA14" s="50">
        <v>485210</v>
      </c>
      <c r="AB14" s="49">
        <v>53</v>
      </c>
      <c r="AC14" s="53">
        <v>32065</v>
      </c>
      <c r="AD14" s="49"/>
      <c r="AE14" s="53"/>
      <c r="AF14" s="49"/>
      <c r="AG14" s="53"/>
      <c r="AH14" s="49"/>
      <c r="AI14" s="53"/>
      <c r="AJ14" s="53"/>
      <c r="AK14" s="53"/>
      <c r="AL14" s="53"/>
      <c r="AM14" s="53"/>
      <c r="AN14" s="53"/>
      <c r="AO14" s="53"/>
      <c r="AP14" s="62">
        <f t="shared" si="0"/>
        <v>5104</v>
      </c>
      <c r="AQ14" s="55">
        <f t="shared" si="1"/>
        <v>2814460</v>
      </c>
    </row>
    <row r="15" spans="1:43">
      <c r="A15" s="47">
        <v>12</v>
      </c>
      <c r="B15" s="56">
        <v>4971710580600</v>
      </c>
      <c r="C15" s="57" t="s">
        <v>910</v>
      </c>
      <c r="D15" s="75" t="s">
        <v>1085</v>
      </c>
      <c r="E15" s="48" t="s">
        <v>1084</v>
      </c>
      <c r="F15" s="58">
        <v>0</v>
      </c>
      <c r="G15" s="50">
        <v>0</v>
      </c>
      <c r="H15" s="51">
        <v>0</v>
      </c>
      <c r="I15" s="52">
        <v>0</v>
      </c>
      <c r="J15" s="49">
        <v>0</v>
      </c>
      <c r="K15" s="50">
        <v>0</v>
      </c>
      <c r="L15" s="49">
        <v>0</v>
      </c>
      <c r="M15" s="50">
        <v>0</v>
      </c>
      <c r="N15" s="49">
        <v>0</v>
      </c>
      <c r="O15" s="50">
        <v>0</v>
      </c>
      <c r="P15" s="49">
        <v>0</v>
      </c>
      <c r="Q15" s="53">
        <v>0</v>
      </c>
      <c r="R15" s="58"/>
      <c r="S15" s="59"/>
      <c r="T15" s="60"/>
      <c r="U15" s="61"/>
      <c r="V15" s="58"/>
      <c r="W15" s="59"/>
      <c r="X15" s="49"/>
      <c r="Y15" s="50"/>
      <c r="Z15" s="49">
        <v>660</v>
      </c>
      <c r="AA15" s="50">
        <v>1706100</v>
      </c>
      <c r="AB15" s="49"/>
      <c r="AC15" s="53"/>
      <c r="AD15" s="49">
        <v>302</v>
      </c>
      <c r="AE15" s="53">
        <v>780670</v>
      </c>
      <c r="AF15" s="49">
        <v>858</v>
      </c>
      <c r="AG15" s="53">
        <v>2217930</v>
      </c>
      <c r="AH15" s="49">
        <v>1510</v>
      </c>
      <c r="AI15" s="53">
        <v>3903350</v>
      </c>
      <c r="AJ15" s="53"/>
      <c r="AK15" s="53"/>
      <c r="AL15" s="53"/>
      <c r="AM15" s="53"/>
      <c r="AN15" s="53">
        <v>620</v>
      </c>
      <c r="AO15" s="53">
        <v>1670900</v>
      </c>
      <c r="AP15" s="62">
        <f t="shared" si="0"/>
        <v>3950</v>
      </c>
      <c r="AQ15" s="55">
        <f t="shared" si="1"/>
        <v>10278950</v>
      </c>
    </row>
    <row r="16" spans="1:43">
      <c r="A16" s="47">
        <v>13</v>
      </c>
      <c r="B16" s="56">
        <v>4971710590524</v>
      </c>
      <c r="C16" s="57" t="s">
        <v>784</v>
      </c>
      <c r="D16" s="75" t="s">
        <v>896</v>
      </c>
      <c r="E16" s="48" t="s">
        <v>894</v>
      </c>
      <c r="F16" s="58">
        <v>0</v>
      </c>
      <c r="G16" s="50">
        <v>0</v>
      </c>
      <c r="H16" s="51">
        <v>0</v>
      </c>
      <c r="I16" s="52">
        <v>0</v>
      </c>
      <c r="J16" s="49">
        <v>0</v>
      </c>
      <c r="K16" s="50">
        <v>0</v>
      </c>
      <c r="L16" s="49">
        <v>0</v>
      </c>
      <c r="M16" s="50">
        <v>0</v>
      </c>
      <c r="N16" s="49">
        <v>0</v>
      </c>
      <c r="O16" s="50">
        <v>0</v>
      </c>
      <c r="P16" s="49">
        <v>0</v>
      </c>
      <c r="Q16" s="53">
        <v>0</v>
      </c>
      <c r="R16" s="58"/>
      <c r="S16" s="59"/>
      <c r="T16" s="60"/>
      <c r="U16" s="61"/>
      <c r="V16" s="58"/>
      <c r="W16" s="59"/>
      <c r="X16" s="49">
        <v>356</v>
      </c>
      <c r="Y16" s="50">
        <v>234960</v>
      </c>
      <c r="Z16" s="49">
        <v>2700</v>
      </c>
      <c r="AA16" s="50">
        <v>1782000</v>
      </c>
      <c r="AB16" s="49"/>
      <c r="AC16" s="53"/>
      <c r="AD16" s="49">
        <v>700</v>
      </c>
      <c r="AE16" s="53">
        <v>462000</v>
      </c>
      <c r="AF16" s="49"/>
      <c r="AG16" s="53"/>
      <c r="AH16" s="49"/>
      <c r="AI16" s="53"/>
      <c r="AJ16" s="53"/>
      <c r="AK16" s="53"/>
      <c r="AL16" s="53"/>
      <c r="AM16" s="53"/>
      <c r="AN16" s="53"/>
      <c r="AO16" s="53"/>
      <c r="AP16" s="62">
        <f t="shared" si="0"/>
        <v>3756</v>
      </c>
      <c r="AQ16" s="55">
        <f t="shared" si="1"/>
        <v>2478960</v>
      </c>
    </row>
    <row r="17" spans="1:43">
      <c r="A17" s="47">
        <v>18</v>
      </c>
      <c r="B17" s="56">
        <v>4971710576573</v>
      </c>
      <c r="C17" s="57" t="s">
        <v>610</v>
      </c>
      <c r="D17" s="75" t="s">
        <v>896</v>
      </c>
      <c r="E17" s="48" t="s">
        <v>981</v>
      </c>
      <c r="F17" s="58">
        <v>0</v>
      </c>
      <c r="G17" s="50">
        <v>0</v>
      </c>
      <c r="H17" s="51">
        <v>375</v>
      </c>
      <c r="I17" s="52">
        <v>165000</v>
      </c>
      <c r="J17" s="49">
        <v>30</v>
      </c>
      <c r="K17" s="50">
        <v>13200</v>
      </c>
      <c r="L17" s="49">
        <v>0</v>
      </c>
      <c r="M17" s="50">
        <v>0</v>
      </c>
      <c r="N17" s="49">
        <v>72</v>
      </c>
      <c r="O17" s="50">
        <v>31680</v>
      </c>
      <c r="P17" s="49">
        <v>10</v>
      </c>
      <c r="Q17" s="53">
        <v>4400</v>
      </c>
      <c r="R17" s="58">
        <v>882</v>
      </c>
      <c r="S17" s="59">
        <v>388080</v>
      </c>
      <c r="T17" s="60">
        <v>232</v>
      </c>
      <c r="U17" s="61">
        <v>51040</v>
      </c>
      <c r="V17" s="58">
        <v>11</v>
      </c>
      <c r="W17" s="59">
        <v>4840</v>
      </c>
      <c r="X17" s="49">
        <v>502</v>
      </c>
      <c r="Y17" s="50">
        <v>220880</v>
      </c>
      <c r="Z17" s="49">
        <v>28</v>
      </c>
      <c r="AA17" s="50">
        <v>12320</v>
      </c>
      <c r="AB17" s="49">
        <v>168</v>
      </c>
      <c r="AC17" s="53">
        <v>73920</v>
      </c>
      <c r="AD17" s="49">
        <v>152</v>
      </c>
      <c r="AE17" s="53">
        <v>66880</v>
      </c>
      <c r="AF17" s="49">
        <v>192</v>
      </c>
      <c r="AG17" s="53">
        <v>84480</v>
      </c>
      <c r="AH17" s="49">
        <v>810</v>
      </c>
      <c r="AI17" s="53">
        <v>356400</v>
      </c>
      <c r="AJ17" s="53"/>
      <c r="AK17" s="53"/>
      <c r="AL17" s="53"/>
      <c r="AM17" s="53"/>
      <c r="AN17" s="53">
        <v>83</v>
      </c>
      <c r="AO17" s="53">
        <v>39259</v>
      </c>
      <c r="AP17" s="62">
        <f t="shared" si="0"/>
        <v>3547</v>
      </c>
      <c r="AQ17" s="55">
        <f t="shared" si="1"/>
        <v>1512379</v>
      </c>
    </row>
    <row r="18" spans="1:43">
      <c r="A18" s="47">
        <v>14</v>
      </c>
      <c r="B18" s="56">
        <v>4971710577341</v>
      </c>
      <c r="C18" s="57" t="s">
        <v>618</v>
      </c>
      <c r="D18" s="75" t="s">
        <v>882</v>
      </c>
      <c r="E18" s="48" t="s">
        <v>619</v>
      </c>
      <c r="F18" s="58">
        <v>0</v>
      </c>
      <c r="G18" s="50">
        <v>0</v>
      </c>
      <c r="H18" s="51">
        <v>0</v>
      </c>
      <c r="I18" s="52">
        <v>0</v>
      </c>
      <c r="J18" s="49">
        <v>10</v>
      </c>
      <c r="K18" s="50">
        <v>27500</v>
      </c>
      <c r="L18" s="49">
        <v>5</v>
      </c>
      <c r="M18" s="50">
        <v>13750</v>
      </c>
      <c r="N18" s="49">
        <v>30</v>
      </c>
      <c r="O18" s="50">
        <v>82500</v>
      </c>
      <c r="P18" s="49">
        <v>0</v>
      </c>
      <c r="Q18" s="53">
        <v>0</v>
      </c>
      <c r="R18" s="58">
        <v>388</v>
      </c>
      <c r="S18" s="59">
        <v>1067000</v>
      </c>
      <c r="T18" s="60">
        <v>406</v>
      </c>
      <c r="U18" s="61">
        <v>574750</v>
      </c>
      <c r="V18" s="58">
        <v>198</v>
      </c>
      <c r="W18" s="59">
        <v>544500</v>
      </c>
      <c r="X18" s="49">
        <v>80</v>
      </c>
      <c r="Y18" s="50">
        <v>220000</v>
      </c>
      <c r="Z18" s="49">
        <v>774</v>
      </c>
      <c r="AA18" s="50">
        <v>2128500</v>
      </c>
      <c r="AB18" s="49">
        <v>54</v>
      </c>
      <c r="AC18" s="53">
        <v>148500</v>
      </c>
      <c r="AD18" s="49">
        <v>44</v>
      </c>
      <c r="AE18" s="53">
        <v>121000</v>
      </c>
      <c r="AF18" s="49">
        <v>250</v>
      </c>
      <c r="AG18" s="53">
        <v>687500</v>
      </c>
      <c r="AH18" s="49">
        <v>678</v>
      </c>
      <c r="AI18" s="53">
        <v>1864500</v>
      </c>
      <c r="AJ18" s="53"/>
      <c r="AK18" s="53"/>
      <c r="AL18" s="53"/>
      <c r="AM18" s="53"/>
      <c r="AN18" s="53">
        <v>480</v>
      </c>
      <c r="AO18" s="53">
        <v>1425600</v>
      </c>
      <c r="AP18" s="62">
        <f t="shared" si="0"/>
        <v>3397</v>
      </c>
      <c r="AQ18" s="55">
        <f t="shared" si="1"/>
        <v>8905600</v>
      </c>
    </row>
    <row r="19" spans="1:43">
      <c r="A19" s="47">
        <v>15</v>
      </c>
      <c r="B19" s="56">
        <v>4971710546071</v>
      </c>
      <c r="C19" s="57" t="s">
        <v>983</v>
      </c>
      <c r="D19" s="75" t="s">
        <v>882</v>
      </c>
      <c r="E19" s="48" t="s">
        <v>855</v>
      </c>
      <c r="F19" s="58">
        <v>0</v>
      </c>
      <c r="G19" s="50">
        <v>0</v>
      </c>
      <c r="H19" s="51">
        <v>40</v>
      </c>
      <c r="I19" s="52">
        <v>63800</v>
      </c>
      <c r="J19" s="49">
        <v>0</v>
      </c>
      <c r="K19" s="50">
        <v>0</v>
      </c>
      <c r="L19" s="49">
        <v>50</v>
      </c>
      <c r="M19" s="50">
        <v>79750</v>
      </c>
      <c r="N19" s="49">
        <v>30</v>
      </c>
      <c r="O19" s="50">
        <v>47850</v>
      </c>
      <c r="P19" s="49">
        <v>102</v>
      </c>
      <c r="Q19" s="53">
        <v>162690</v>
      </c>
      <c r="R19" s="58">
        <v>488</v>
      </c>
      <c r="S19" s="59">
        <v>778360</v>
      </c>
      <c r="T19" s="60">
        <v>272</v>
      </c>
      <c r="U19" s="61">
        <v>236060</v>
      </c>
      <c r="V19" s="58">
        <v>154</v>
      </c>
      <c r="W19" s="59">
        <v>245630</v>
      </c>
      <c r="X19" s="49">
        <v>122</v>
      </c>
      <c r="Y19" s="50">
        <v>194590</v>
      </c>
      <c r="Z19" s="49">
        <v>600</v>
      </c>
      <c r="AA19" s="50">
        <v>957000</v>
      </c>
      <c r="AB19" s="49">
        <v>30</v>
      </c>
      <c r="AC19" s="53">
        <v>47850</v>
      </c>
      <c r="AD19" s="49">
        <v>6</v>
      </c>
      <c r="AE19" s="53">
        <v>9570</v>
      </c>
      <c r="AF19" s="49">
        <v>290</v>
      </c>
      <c r="AG19" s="53">
        <v>462550</v>
      </c>
      <c r="AH19" s="49">
        <v>952</v>
      </c>
      <c r="AI19" s="53">
        <v>1518440</v>
      </c>
      <c r="AJ19" s="53"/>
      <c r="AK19" s="53"/>
      <c r="AL19" s="53"/>
      <c r="AM19" s="53"/>
      <c r="AN19" s="53">
        <v>240</v>
      </c>
      <c r="AO19" s="53">
        <v>382800</v>
      </c>
      <c r="AP19" s="62">
        <f t="shared" si="0"/>
        <v>3376</v>
      </c>
      <c r="AQ19" s="55">
        <f t="shared" si="1"/>
        <v>5186940</v>
      </c>
    </row>
    <row r="20" spans="1:43">
      <c r="A20" s="47">
        <v>16</v>
      </c>
      <c r="B20" s="56">
        <v>4971710580396</v>
      </c>
      <c r="C20" s="57" t="s">
        <v>677</v>
      </c>
      <c r="D20" s="75" t="s">
        <v>882</v>
      </c>
      <c r="E20" s="48" t="s">
        <v>619</v>
      </c>
      <c r="F20" s="58">
        <v>0</v>
      </c>
      <c r="G20" s="50">
        <v>0</v>
      </c>
      <c r="H20" s="51">
        <v>20</v>
      </c>
      <c r="I20" s="52">
        <v>91300</v>
      </c>
      <c r="J20" s="49">
        <v>10</v>
      </c>
      <c r="K20" s="50">
        <v>45650</v>
      </c>
      <c r="L20" s="49">
        <v>35</v>
      </c>
      <c r="M20" s="50">
        <v>159775</v>
      </c>
      <c r="N20" s="49">
        <v>30</v>
      </c>
      <c r="O20" s="50">
        <v>136950</v>
      </c>
      <c r="P20" s="49">
        <v>0</v>
      </c>
      <c r="Q20" s="53">
        <v>0</v>
      </c>
      <c r="R20" s="58">
        <v>320</v>
      </c>
      <c r="S20" s="59">
        <v>1460800</v>
      </c>
      <c r="T20" s="60">
        <v>464</v>
      </c>
      <c r="U20" s="61">
        <v>1168640</v>
      </c>
      <c r="V20" s="58">
        <v>310</v>
      </c>
      <c r="W20" s="59">
        <v>1415150</v>
      </c>
      <c r="X20" s="49">
        <v>120</v>
      </c>
      <c r="Y20" s="50">
        <v>547800</v>
      </c>
      <c r="Z20" s="49">
        <v>531</v>
      </c>
      <c r="AA20" s="50">
        <v>2424015</v>
      </c>
      <c r="AB20" s="49">
        <v>80</v>
      </c>
      <c r="AC20" s="53">
        <v>365200</v>
      </c>
      <c r="AD20" s="49">
        <v>6</v>
      </c>
      <c r="AE20" s="53">
        <v>27390</v>
      </c>
      <c r="AF20" s="49">
        <v>200</v>
      </c>
      <c r="AG20" s="53">
        <v>913000</v>
      </c>
      <c r="AH20" s="49">
        <v>1102</v>
      </c>
      <c r="AI20" s="53">
        <v>5030630</v>
      </c>
      <c r="AJ20" s="53"/>
      <c r="AK20" s="53"/>
      <c r="AL20" s="53"/>
      <c r="AM20" s="53"/>
      <c r="AN20" s="53">
        <v>48</v>
      </c>
      <c r="AO20" s="53">
        <v>237600</v>
      </c>
      <c r="AP20" s="62">
        <f t="shared" si="0"/>
        <v>3276</v>
      </c>
      <c r="AQ20" s="55">
        <f t="shared" si="1"/>
        <v>14023900</v>
      </c>
    </row>
    <row r="21" spans="1:43">
      <c r="A21" s="47">
        <v>20</v>
      </c>
      <c r="B21" s="56">
        <v>4971710595543</v>
      </c>
      <c r="C21" s="57" t="s">
        <v>768</v>
      </c>
      <c r="D21" s="75" t="s">
        <v>884</v>
      </c>
      <c r="E21" s="48" t="s">
        <v>769</v>
      </c>
      <c r="F21" s="58">
        <v>0</v>
      </c>
      <c r="G21" s="50">
        <v>0</v>
      </c>
      <c r="H21" s="51">
        <v>0</v>
      </c>
      <c r="I21" s="52">
        <v>0</v>
      </c>
      <c r="J21" s="49">
        <v>0</v>
      </c>
      <c r="K21" s="50">
        <v>0</v>
      </c>
      <c r="L21" s="49">
        <v>0</v>
      </c>
      <c r="M21" s="50">
        <v>0</v>
      </c>
      <c r="N21" s="49">
        <v>0</v>
      </c>
      <c r="O21" s="50">
        <v>0</v>
      </c>
      <c r="P21" s="49">
        <v>0</v>
      </c>
      <c r="Q21" s="53">
        <v>0</v>
      </c>
      <c r="R21" s="58"/>
      <c r="S21" s="59"/>
      <c r="T21" s="60">
        <v>1080</v>
      </c>
      <c r="U21" s="61">
        <v>415800</v>
      </c>
      <c r="V21" s="58">
        <v>400</v>
      </c>
      <c r="W21" s="59">
        <v>308000</v>
      </c>
      <c r="X21" s="49">
        <v>490</v>
      </c>
      <c r="Y21" s="50">
        <v>377300</v>
      </c>
      <c r="Z21" s="49">
        <v>365</v>
      </c>
      <c r="AA21" s="50">
        <v>281050</v>
      </c>
      <c r="AB21" s="49">
        <v>358</v>
      </c>
      <c r="AC21" s="53">
        <v>275660</v>
      </c>
      <c r="AD21" s="49">
        <v>90</v>
      </c>
      <c r="AE21" s="53">
        <v>69300</v>
      </c>
      <c r="AF21" s="49">
        <v>50</v>
      </c>
      <c r="AG21" s="53">
        <v>38500</v>
      </c>
      <c r="AH21" s="49">
        <v>210</v>
      </c>
      <c r="AI21" s="53">
        <v>161700</v>
      </c>
      <c r="AJ21" s="53"/>
      <c r="AK21" s="53"/>
      <c r="AL21" s="53"/>
      <c r="AM21" s="53"/>
      <c r="AN21" s="53">
        <v>120</v>
      </c>
      <c r="AO21" s="53">
        <v>92400</v>
      </c>
      <c r="AP21" s="62">
        <f t="shared" si="0"/>
        <v>3163</v>
      </c>
      <c r="AQ21" s="55">
        <f t="shared" si="1"/>
        <v>2019710</v>
      </c>
    </row>
    <row r="22" spans="1:43">
      <c r="A22" s="47">
        <v>19</v>
      </c>
      <c r="B22" s="56">
        <v>4971710588163</v>
      </c>
      <c r="C22" s="57" t="s">
        <v>788</v>
      </c>
      <c r="D22" s="75" t="s">
        <v>1095</v>
      </c>
      <c r="E22" s="48" t="s">
        <v>988</v>
      </c>
      <c r="F22" s="58">
        <v>0</v>
      </c>
      <c r="G22" s="50">
        <v>0</v>
      </c>
      <c r="H22" s="51">
        <v>0</v>
      </c>
      <c r="I22" s="52">
        <v>0</v>
      </c>
      <c r="J22" s="49">
        <v>0</v>
      </c>
      <c r="K22" s="50">
        <v>0</v>
      </c>
      <c r="L22" s="49">
        <v>0</v>
      </c>
      <c r="M22" s="50">
        <v>0</v>
      </c>
      <c r="N22" s="49">
        <v>0</v>
      </c>
      <c r="O22" s="50">
        <v>0</v>
      </c>
      <c r="P22" s="49">
        <v>0</v>
      </c>
      <c r="Q22" s="53">
        <v>0</v>
      </c>
      <c r="R22" s="58"/>
      <c r="S22" s="59"/>
      <c r="T22" s="60"/>
      <c r="U22" s="61"/>
      <c r="V22" s="58"/>
      <c r="W22" s="59"/>
      <c r="X22" s="49">
        <v>32</v>
      </c>
      <c r="Y22" s="50">
        <v>22880</v>
      </c>
      <c r="Z22" s="49"/>
      <c r="AA22" s="50"/>
      <c r="AB22" s="49">
        <v>122</v>
      </c>
      <c r="AC22" s="53">
        <v>87230</v>
      </c>
      <c r="AD22" s="49">
        <v>200</v>
      </c>
      <c r="AE22" s="53">
        <v>143000</v>
      </c>
      <c r="AF22" s="49">
        <v>20</v>
      </c>
      <c r="AG22" s="53">
        <v>14300</v>
      </c>
      <c r="AH22" s="49">
        <v>2483</v>
      </c>
      <c r="AI22" s="53">
        <v>1775345</v>
      </c>
      <c r="AJ22" s="53"/>
      <c r="AK22" s="53"/>
      <c r="AL22" s="53"/>
      <c r="AM22" s="53"/>
      <c r="AN22" s="53">
        <v>30</v>
      </c>
      <c r="AO22" s="53">
        <v>21450</v>
      </c>
      <c r="AP22" s="62">
        <f t="shared" si="0"/>
        <v>2887</v>
      </c>
      <c r="AQ22" s="55">
        <f t="shared" si="1"/>
        <v>2064205</v>
      </c>
    </row>
    <row r="23" spans="1:43">
      <c r="A23" s="47">
        <v>21</v>
      </c>
      <c r="B23" s="56">
        <v>4971710576641</v>
      </c>
      <c r="C23" s="57" t="s">
        <v>617</v>
      </c>
      <c r="D23" s="75" t="s">
        <v>882</v>
      </c>
      <c r="E23" s="48" t="s">
        <v>616</v>
      </c>
      <c r="F23" s="58">
        <v>20</v>
      </c>
      <c r="G23" s="50">
        <v>36300</v>
      </c>
      <c r="H23" s="51">
        <v>45</v>
      </c>
      <c r="I23" s="52">
        <v>81675</v>
      </c>
      <c r="J23" s="49">
        <v>40</v>
      </c>
      <c r="K23" s="50">
        <v>72600</v>
      </c>
      <c r="L23" s="49">
        <v>25</v>
      </c>
      <c r="M23" s="50">
        <v>45375</v>
      </c>
      <c r="N23" s="49">
        <v>100</v>
      </c>
      <c r="O23" s="50">
        <v>181500</v>
      </c>
      <c r="P23" s="49">
        <v>48</v>
      </c>
      <c r="Q23" s="53">
        <v>87120</v>
      </c>
      <c r="R23" s="58">
        <v>130</v>
      </c>
      <c r="S23" s="59">
        <v>235950</v>
      </c>
      <c r="T23" s="60">
        <v>124</v>
      </c>
      <c r="U23" s="61">
        <v>123420</v>
      </c>
      <c r="V23" s="58">
        <v>74</v>
      </c>
      <c r="W23" s="59">
        <v>134310</v>
      </c>
      <c r="X23" s="49">
        <v>135</v>
      </c>
      <c r="Y23" s="50">
        <v>245025</v>
      </c>
      <c r="Z23" s="49">
        <v>634</v>
      </c>
      <c r="AA23" s="50">
        <v>1150710</v>
      </c>
      <c r="AB23" s="49">
        <v>80</v>
      </c>
      <c r="AC23" s="53">
        <v>145200</v>
      </c>
      <c r="AD23" s="49">
        <v>2</v>
      </c>
      <c r="AE23" s="53">
        <v>3630</v>
      </c>
      <c r="AF23" s="49">
        <v>126</v>
      </c>
      <c r="AG23" s="53">
        <v>228690</v>
      </c>
      <c r="AH23" s="49">
        <v>1282</v>
      </c>
      <c r="AI23" s="53">
        <v>2326830</v>
      </c>
      <c r="AJ23" s="53"/>
      <c r="AK23" s="53"/>
      <c r="AL23" s="53"/>
      <c r="AM23" s="53"/>
      <c r="AN23" s="53"/>
      <c r="AO23" s="53"/>
      <c r="AP23" s="62">
        <f t="shared" si="0"/>
        <v>2865</v>
      </c>
      <c r="AQ23" s="55">
        <f t="shared" si="1"/>
        <v>5098335</v>
      </c>
    </row>
    <row r="24" spans="1:43">
      <c r="A24" s="47">
        <v>22</v>
      </c>
      <c r="B24" s="56">
        <v>4971710549812</v>
      </c>
      <c r="C24" s="57" t="s">
        <v>437</v>
      </c>
      <c r="D24" s="75" t="s">
        <v>884</v>
      </c>
      <c r="E24" s="48" t="s">
        <v>435</v>
      </c>
      <c r="F24" s="58">
        <v>20</v>
      </c>
      <c r="G24" s="50">
        <v>75900</v>
      </c>
      <c r="H24" s="51">
        <v>0</v>
      </c>
      <c r="I24" s="52">
        <v>0</v>
      </c>
      <c r="J24" s="49">
        <v>50</v>
      </c>
      <c r="K24" s="50">
        <v>189750</v>
      </c>
      <c r="L24" s="49">
        <v>30</v>
      </c>
      <c r="M24" s="50">
        <v>113850</v>
      </c>
      <c r="N24" s="49">
        <v>20</v>
      </c>
      <c r="O24" s="50">
        <v>75900</v>
      </c>
      <c r="P24" s="49">
        <v>126</v>
      </c>
      <c r="Q24" s="53">
        <v>478170</v>
      </c>
      <c r="R24" s="58">
        <v>120</v>
      </c>
      <c r="S24" s="59">
        <v>455400</v>
      </c>
      <c r="T24" s="60">
        <v>192</v>
      </c>
      <c r="U24" s="61">
        <v>409860</v>
      </c>
      <c r="V24" s="58">
        <v>139</v>
      </c>
      <c r="W24" s="59">
        <v>527505</v>
      </c>
      <c r="X24" s="49">
        <v>170</v>
      </c>
      <c r="Y24" s="50">
        <v>645150</v>
      </c>
      <c r="Z24" s="49">
        <v>157</v>
      </c>
      <c r="AA24" s="50">
        <v>595815</v>
      </c>
      <c r="AB24" s="49">
        <v>104</v>
      </c>
      <c r="AC24" s="53">
        <v>394680</v>
      </c>
      <c r="AD24" s="49">
        <v>190</v>
      </c>
      <c r="AE24" s="53">
        <v>721050</v>
      </c>
      <c r="AF24" s="49">
        <v>260</v>
      </c>
      <c r="AG24" s="53">
        <v>986700</v>
      </c>
      <c r="AH24" s="49">
        <v>1196</v>
      </c>
      <c r="AI24" s="53">
        <v>4538820</v>
      </c>
      <c r="AJ24" s="53"/>
      <c r="AK24" s="53"/>
      <c r="AL24" s="53"/>
      <c r="AM24" s="53"/>
      <c r="AN24" s="53"/>
      <c r="AO24" s="53"/>
      <c r="AP24" s="62">
        <f t="shared" si="0"/>
        <v>2774</v>
      </c>
      <c r="AQ24" s="55">
        <f t="shared" si="1"/>
        <v>10208550</v>
      </c>
    </row>
    <row r="25" spans="1:43">
      <c r="A25" s="47">
        <v>25</v>
      </c>
      <c r="B25" s="56">
        <v>4971710549782</v>
      </c>
      <c r="C25" s="57" t="s">
        <v>434</v>
      </c>
      <c r="D25" s="75" t="s">
        <v>882</v>
      </c>
      <c r="E25" s="48" t="s">
        <v>1083</v>
      </c>
      <c r="F25" s="58">
        <v>30</v>
      </c>
      <c r="G25" s="50">
        <v>87450</v>
      </c>
      <c r="H25" s="51">
        <v>60</v>
      </c>
      <c r="I25" s="52">
        <v>174900</v>
      </c>
      <c r="J25" s="49">
        <v>25</v>
      </c>
      <c r="K25" s="50">
        <v>72875</v>
      </c>
      <c r="L25" s="49">
        <v>30</v>
      </c>
      <c r="M25" s="50">
        <v>87450</v>
      </c>
      <c r="N25" s="49">
        <v>42</v>
      </c>
      <c r="O25" s="50">
        <v>122430</v>
      </c>
      <c r="P25" s="49">
        <v>78</v>
      </c>
      <c r="Q25" s="53">
        <v>227370</v>
      </c>
      <c r="R25" s="58">
        <v>230</v>
      </c>
      <c r="S25" s="59">
        <v>670450</v>
      </c>
      <c r="T25" s="60">
        <v>100</v>
      </c>
      <c r="U25" s="61">
        <v>145750</v>
      </c>
      <c r="V25" s="58">
        <v>118</v>
      </c>
      <c r="W25" s="59">
        <v>343970</v>
      </c>
      <c r="X25" s="49">
        <v>100</v>
      </c>
      <c r="Y25" s="50">
        <v>291500</v>
      </c>
      <c r="Z25" s="49">
        <v>60</v>
      </c>
      <c r="AA25" s="50">
        <v>174900</v>
      </c>
      <c r="AB25" s="49">
        <v>88</v>
      </c>
      <c r="AC25" s="53">
        <v>256520</v>
      </c>
      <c r="AD25" s="49">
        <v>197</v>
      </c>
      <c r="AE25" s="53">
        <v>574255</v>
      </c>
      <c r="AF25" s="49">
        <v>235</v>
      </c>
      <c r="AG25" s="53">
        <v>685025</v>
      </c>
      <c r="AH25" s="49">
        <v>1171</v>
      </c>
      <c r="AI25" s="53">
        <v>3413465</v>
      </c>
      <c r="AJ25" s="53"/>
      <c r="AK25" s="53"/>
      <c r="AL25" s="53"/>
      <c r="AM25" s="53"/>
      <c r="AN25" s="53"/>
      <c r="AO25" s="53"/>
      <c r="AP25" s="62">
        <f t="shared" si="0"/>
        <v>2564</v>
      </c>
      <c r="AQ25" s="55">
        <f t="shared" si="1"/>
        <v>7328310</v>
      </c>
    </row>
    <row r="26" spans="1:43">
      <c r="A26" s="47">
        <v>24</v>
      </c>
      <c r="B26" s="56">
        <v>4971710557787</v>
      </c>
      <c r="C26" s="57" t="s">
        <v>462</v>
      </c>
      <c r="D26" s="75" t="s">
        <v>880</v>
      </c>
      <c r="E26" s="48" t="s">
        <v>1077</v>
      </c>
      <c r="F26" s="58">
        <v>0</v>
      </c>
      <c r="G26" s="50">
        <v>0</v>
      </c>
      <c r="H26" s="51">
        <v>30</v>
      </c>
      <c r="I26" s="52">
        <v>14850</v>
      </c>
      <c r="J26" s="49">
        <v>30</v>
      </c>
      <c r="K26" s="50">
        <v>14850</v>
      </c>
      <c r="L26" s="49">
        <v>20</v>
      </c>
      <c r="M26" s="50">
        <v>9900</v>
      </c>
      <c r="N26" s="49">
        <v>86</v>
      </c>
      <c r="O26" s="50">
        <v>42570</v>
      </c>
      <c r="P26" s="49">
        <v>100</v>
      </c>
      <c r="Q26" s="53">
        <v>49500</v>
      </c>
      <c r="R26" s="58">
        <v>224</v>
      </c>
      <c r="S26" s="59">
        <v>110880</v>
      </c>
      <c r="T26" s="60">
        <v>12</v>
      </c>
      <c r="U26" s="61">
        <v>2970</v>
      </c>
      <c r="V26" s="58">
        <v>150</v>
      </c>
      <c r="W26" s="59">
        <v>74250</v>
      </c>
      <c r="X26" s="49">
        <v>282</v>
      </c>
      <c r="Y26" s="50">
        <v>139590</v>
      </c>
      <c r="Z26" s="49">
        <v>150</v>
      </c>
      <c r="AA26" s="50">
        <v>74250</v>
      </c>
      <c r="AB26" s="49">
        <v>62</v>
      </c>
      <c r="AC26" s="53">
        <v>30690</v>
      </c>
      <c r="AD26" s="49">
        <v>226</v>
      </c>
      <c r="AE26" s="53">
        <v>111870</v>
      </c>
      <c r="AF26" s="49">
        <v>302</v>
      </c>
      <c r="AG26" s="53">
        <v>149490</v>
      </c>
      <c r="AH26" s="49">
        <v>548</v>
      </c>
      <c r="AI26" s="53">
        <v>271260</v>
      </c>
      <c r="AJ26" s="53"/>
      <c r="AK26" s="53"/>
      <c r="AL26" s="53"/>
      <c r="AM26" s="53"/>
      <c r="AN26" s="53">
        <v>312</v>
      </c>
      <c r="AO26" s="53">
        <v>154440</v>
      </c>
      <c r="AP26" s="62">
        <f t="shared" si="0"/>
        <v>2534</v>
      </c>
      <c r="AQ26" s="55">
        <f t="shared" si="1"/>
        <v>1251360</v>
      </c>
    </row>
    <row r="27" spans="1:43">
      <c r="A27" s="47">
        <v>32</v>
      </c>
      <c r="B27" s="56">
        <v>4971710561395</v>
      </c>
      <c r="C27" s="57" t="s">
        <v>477</v>
      </c>
      <c r="D27" s="75" t="s">
        <v>882</v>
      </c>
      <c r="E27" s="48" t="s">
        <v>478</v>
      </c>
      <c r="F27" s="58">
        <v>20</v>
      </c>
      <c r="G27" s="50">
        <v>19800</v>
      </c>
      <c r="H27" s="51">
        <v>300</v>
      </c>
      <c r="I27" s="52">
        <v>297000</v>
      </c>
      <c r="J27" s="49">
        <v>40</v>
      </c>
      <c r="K27" s="50">
        <v>39600</v>
      </c>
      <c r="L27" s="49">
        <v>120</v>
      </c>
      <c r="M27" s="50">
        <v>118800</v>
      </c>
      <c r="N27" s="49">
        <v>50</v>
      </c>
      <c r="O27" s="50">
        <v>49500</v>
      </c>
      <c r="P27" s="49">
        <v>60</v>
      </c>
      <c r="Q27" s="53">
        <v>59400</v>
      </c>
      <c r="R27" s="58">
        <v>394</v>
      </c>
      <c r="S27" s="59">
        <v>390060</v>
      </c>
      <c r="T27" s="60">
        <v>480</v>
      </c>
      <c r="U27" s="61">
        <v>249480</v>
      </c>
      <c r="V27" s="58">
        <v>250</v>
      </c>
      <c r="W27" s="59">
        <v>247500</v>
      </c>
      <c r="X27" s="49">
        <v>676</v>
      </c>
      <c r="Y27" s="50">
        <v>669240</v>
      </c>
      <c r="Z27" s="49"/>
      <c r="AA27" s="50"/>
      <c r="AB27" s="49">
        <v>131</v>
      </c>
      <c r="AC27" s="53">
        <v>129690</v>
      </c>
      <c r="AD27" s="49"/>
      <c r="AE27" s="53"/>
      <c r="AF27" s="49">
        <v>6</v>
      </c>
      <c r="AG27" s="53">
        <v>5940</v>
      </c>
      <c r="AH27" s="49">
        <v>6</v>
      </c>
      <c r="AI27" s="53">
        <v>5940</v>
      </c>
      <c r="AJ27" s="53"/>
      <c r="AK27" s="53"/>
      <c r="AL27" s="53"/>
      <c r="AM27" s="53"/>
      <c r="AN27" s="53"/>
      <c r="AO27" s="53"/>
      <c r="AP27" s="62">
        <f t="shared" si="0"/>
        <v>2533</v>
      </c>
      <c r="AQ27" s="55">
        <f t="shared" si="1"/>
        <v>2281950</v>
      </c>
    </row>
    <row r="28" spans="1:43">
      <c r="A28" s="47">
        <v>23</v>
      </c>
      <c r="B28" s="56">
        <v>4971710580372</v>
      </c>
      <c r="C28" s="57" t="s">
        <v>676</v>
      </c>
      <c r="D28" s="75" t="s">
        <v>882</v>
      </c>
      <c r="E28" s="48" t="s">
        <v>619</v>
      </c>
      <c r="F28" s="58">
        <v>0</v>
      </c>
      <c r="G28" s="50">
        <v>0</v>
      </c>
      <c r="H28" s="51">
        <v>0</v>
      </c>
      <c r="I28" s="52">
        <v>0</v>
      </c>
      <c r="J28" s="49">
        <v>10</v>
      </c>
      <c r="K28" s="50">
        <v>26400</v>
      </c>
      <c r="L28" s="49">
        <v>5</v>
      </c>
      <c r="M28" s="50">
        <v>13200</v>
      </c>
      <c r="N28" s="49">
        <v>10</v>
      </c>
      <c r="O28" s="50">
        <v>26400</v>
      </c>
      <c r="P28" s="49">
        <v>0</v>
      </c>
      <c r="Q28" s="53">
        <v>0</v>
      </c>
      <c r="R28" s="58">
        <v>320</v>
      </c>
      <c r="S28" s="59">
        <v>844800</v>
      </c>
      <c r="T28" s="60">
        <v>266</v>
      </c>
      <c r="U28" s="61">
        <v>359040</v>
      </c>
      <c r="V28" s="58">
        <v>68</v>
      </c>
      <c r="W28" s="59">
        <v>179520</v>
      </c>
      <c r="X28" s="49">
        <v>50</v>
      </c>
      <c r="Y28" s="50">
        <v>132000</v>
      </c>
      <c r="Z28" s="49"/>
      <c r="AA28" s="50"/>
      <c r="AB28" s="49">
        <v>628</v>
      </c>
      <c r="AC28" s="53">
        <v>1657920</v>
      </c>
      <c r="AD28" s="49">
        <v>68</v>
      </c>
      <c r="AE28" s="53">
        <v>179520</v>
      </c>
      <c r="AF28" s="49">
        <v>120</v>
      </c>
      <c r="AG28" s="53">
        <v>316800</v>
      </c>
      <c r="AH28" s="49">
        <v>848</v>
      </c>
      <c r="AI28" s="53">
        <v>2238720</v>
      </c>
      <c r="AJ28" s="53"/>
      <c r="AK28" s="53"/>
      <c r="AL28" s="53"/>
      <c r="AM28" s="53"/>
      <c r="AN28" s="53">
        <v>60</v>
      </c>
      <c r="AO28" s="53">
        <v>171600</v>
      </c>
      <c r="AP28" s="62">
        <f t="shared" si="0"/>
        <v>2453</v>
      </c>
      <c r="AQ28" s="55">
        <f t="shared" si="1"/>
        <v>6145920</v>
      </c>
    </row>
    <row r="29" spans="1:43">
      <c r="A29" s="47">
        <v>26</v>
      </c>
      <c r="B29" s="56">
        <v>4971710522839</v>
      </c>
      <c r="C29" s="57" t="s">
        <v>390</v>
      </c>
      <c r="D29" s="75" t="s">
        <v>1095</v>
      </c>
      <c r="E29" s="48" t="s">
        <v>391</v>
      </c>
      <c r="F29" s="58">
        <v>0</v>
      </c>
      <c r="G29" s="50">
        <v>0</v>
      </c>
      <c r="H29" s="51">
        <v>35</v>
      </c>
      <c r="I29" s="52">
        <v>15400</v>
      </c>
      <c r="J29" s="49">
        <v>0</v>
      </c>
      <c r="K29" s="50">
        <v>0</v>
      </c>
      <c r="L29" s="49">
        <v>0</v>
      </c>
      <c r="M29" s="50">
        <v>0</v>
      </c>
      <c r="N29" s="49">
        <v>216</v>
      </c>
      <c r="O29" s="50">
        <v>95040</v>
      </c>
      <c r="P29" s="49">
        <v>0</v>
      </c>
      <c r="Q29" s="53">
        <v>0</v>
      </c>
      <c r="R29" s="58">
        <v>120</v>
      </c>
      <c r="S29" s="59">
        <v>52800</v>
      </c>
      <c r="T29" s="60"/>
      <c r="U29" s="61"/>
      <c r="V29" s="58">
        <v>160</v>
      </c>
      <c r="W29" s="59">
        <v>70400</v>
      </c>
      <c r="X29" s="49">
        <v>200</v>
      </c>
      <c r="Y29" s="50">
        <v>88000</v>
      </c>
      <c r="Z29" s="49"/>
      <c r="AA29" s="50"/>
      <c r="AB29" s="49"/>
      <c r="AC29" s="53"/>
      <c r="AD29" s="49">
        <v>300</v>
      </c>
      <c r="AE29" s="53">
        <v>132000</v>
      </c>
      <c r="AF29" s="49">
        <v>300</v>
      </c>
      <c r="AG29" s="53">
        <v>132000</v>
      </c>
      <c r="AH29" s="49">
        <v>1100</v>
      </c>
      <c r="AI29" s="53">
        <v>484000</v>
      </c>
      <c r="AJ29" s="53"/>
      <c r="AK29" s="53"/>
      <c r="AL29" s="53"/>
      <c r="AM29" s="53"/>
      <c r="AN29" s="53"/>
      <c r="AO29" s="53"/>
      <c r="AP29" s="62">
        <f t="shared" si="0"/>
        <v>2431</v>
      </c>
      <c r="AQ29" s="55">
        <f t="shared" si="1"/>
        <v>1069640</v>
      </c>
    </row>
    <row r="30" spans="1:43">
      <c r="A30" s="47">
        <v>27</v>
      </c>
      <c r="B30" s="56">
        <v>4971710592955</v>
      </c>
      <c r="C30" s="57" t="s">
        <v>738</v>
      </c>
      <c r="D30" s="75" t="s">
        <v>884</v>
      </c>
      <c r="E30" s="48" t="s">
        <v>739</v>
      </c>
      <c r="F30" s="58">
        <v>0</v>
      </c>
      <c r="G30" s="50">
        <v>0</v>
      </c>
      <c r="H30" s="51">
        <v>0</v>
      </c>
      <c r="I30" s="52">
        <v>0</v>
      </c>
      <c r="J30" s="49">
        <v>0</v>
      </c>
      <c r="K30" s="50">
        <v>0</v>
      </c>
      <c r="L30" s="49">
        <v>0</v>
      </c>
      <c r="M30" s="50">
        <v>0</v>
      </c>
      <c r="N30" s="49">
        <v>0</v>
      </c>
      <c r="O30" s="50">
        <v>0</v>
      </c>
      <c r="P30" s="49">
        <v>0</v>
      </c>
      <c r="Q30" s="53">
        <v>0</v>
      </c>
      <c r="R30" s="58">
        <v>65</v>
      </c>
      <c r="S30" s="59">
        <v>39325</v>
      </c>
      <c r="T30" s="60">
        <v>650</v>
      </c>
      <c r="U30" s="61">
        <v>196625</v>
      </c>
      <c r="V30" s="58">
        <v>39</v>
      </c>
      <c r="W30" s="59">
        <v>23595</v>
      </c>
      <c r="X30" s="49">
        <v>341</v>
      </c>
      <c r="Y30" s="50">
        <v>206305</v>
      </c>
      <c r="Z30" s="49">
        <v>32</v>
      </c>
      <c r="AA30" s="50">
        <v>19360</v>
      </c>
      <c r="AB30" s="49"/>
      <c r="AC30" s="53"/>
      <c r="AD30" s="49">
        <v>436</v>
      </c>
      <c r="AE30" s="53">
        <v>263780</v>
      </c>
      <c r="AF30" s="49">
        <v>30</v>
      </c>
      <c r="AG30" s="53">
        <v>18150</v>
      </c>
      <c r="AH30" s="49"/>
      <c r="AI30" s="53"/>
      <c r="AJ30" s="53"/>
      <c r="AK30" s="53"/>
      <c r="AL30" s="53"/>
      <c r="AM30" s="53"/>
      <c r="AN30" s="53">
        <v>786</v>
      </c>
      <c r="AO30" s="53">
        <v>475530</v>
      </c>
      <c r="AP30" s="62">
        <f t="shared" si="0"/>
        <v>2379</v>
      </c>
      <c r="AQ30" s="55">
        <f t="shared" si="1"/>
        <v>1242670</v>
      </c>
    </row>
    <row r="31" spans="1:43">
      <c r="A31" s="47">
        <v>30</v>
      </c>
      <c r="B31" s="56">
        <v>4971710576634</v>
      </c>
      <c r="C31" s="57" t="s">
        <v>615</v>
      </c>
      <c r="D31" s="75" t="s">
        <v>882</v>
      </c>
      <c r="E31" s="48" t="s">
        <v>616</v>
      </c>
      <c r="F31" s="58">
        <v>30</v>
      </c>
      <c r="G31" s="50">
        <v>57750</v>
      </c>
      <c r="H31" s="51">
        <v>60</v>
      </c>
      <c r="I31" s="52">
        <v>115500</v>
      </c>
      <c r="J31" s="49">
        <v>145</v>
      </c>
      <c r="K31" s="50">
        <v>279125</v>
      </c>
      <c r="L31" s="49">
        <v>11</v>
      </c>
      <c r="M31" s="50">
        <v>21175</v>
      </c>
      <c r="N31" s="49">
        <v>50</v>
      </c>
      <c r="O31" s="50">
        <v>96250</v>
      </c>
      <c r="P31" s="49">
        <v>5</v>
      </c>
      <c r="Q31" s="53">
        <v>9625</v>
      </c>
      <c r="R31" s="58">
        <v>195</v>
      </c>
      <c r="S31" s="59">
        <v>375375</v>
      </c>
      <c r="T31" s="60">
        <v>152</v>
      </c>
      <c r="U31" s="61">
        <v>157850</v>
      </c>
      <c r="V31" s="58">
        <v>6</v>
      </c>
      <c r="W31" s="59">
        <v>11550</v>
      </c>
      <c r="X31" s="49">
        <v>70</v>
      </c>
      <c r="Y31" s="50">
        <v>134750</v>
      </c>
      <c r="Z31" s="49">
        <v>597</v>
      </c>
      <c r="AA31" s="50">
        <v>1149225</v>
      </c>
      <c r="AB31" s="49">
        <v>18</v>
      </c>
      <c r="AC31" s="53">
        <v>34650</v>
      </c>
      <c r="AD31" s="49">
        <v>16</v>
      </c>
      <c r="AE31" s="53">
        <v>30800</v>
      </c>
      <c r="AF31" s="49">
        <v>120</v>
      </c>
      <c r="AG31" s="53">
        <v>231000</v>
      </c>
      <c r="AH31" s="49">
        <v>656</v>
      </c>
      <c r="AI31" s="53">
        <v>1262800</v>
      </c>
      <c r="AJ31" s="53"/>
      <c r="AK31" s="53"/>
      <c r="AL31" s="53"/>
      <c r="AM31" s="53"/>
      <c r="AN31" s="53">
        <v>61</v>
      </c>
      <c r="AO31" s="53">
        <v>117425</v>
      </c>
      <c r="AP31" s="62">
        <f t="shared" si="0"/>
        <v>2192</v>
      </c>
      <c r="AQ31" s="55">
        <f t="shared" si="1"/>
        <v>4084850</v>
      </c>
    </row>
    <row r="32" spans="1:43">
      <c r="A32" s="47">
        <v>28</v>
      </c>
      <c r="B32" s="56">
        <v>4971710573992</v>
      </c>
      <c r="C32" s="57" t="s">
        <v>911</v>
      </c>
      <c r="D32" s="75" t="s">
        <v>1085</v>
      </c>
      <c r="E32" s="48" t="s">
        <v>861</v>
      </c>
      <c r="F32" s="58">
        <v>0</v>
      </c>
      <c r="G32" s="50">
        <v>0</v>
      </c>
      <c r="H32" s="51">
        <v>0</v>
      </c>
      <c r="I32" s="52">
        <v>0</v>
      </c>
      <c r="J32" s="49">
        <v>0</v>
      </c>
      <c r="K32" s="50">
        <v>0</v>
      </c>
      <c r="L32" s="49">
        <v>0</v>
      </c>
      <c r="M32" s="50">
        <v>0</v>
      </c>
      <c r="N32" s="49">
        <v>0</v>
      </c>
      <c r="O32" s="50">
        <v>0</v>
      </c>
      <c r="P32" s="49">
        <v>0</v>
      </c>
      <c r="Q32" s="53">
        <v>0</v>
      </c>
      <c r="R32" s="58"/>
      <c r="S32" s="59"/>
      <c r="T32" s="60"/>
      <c r="U32" s="61"/>
      <c r="V32" s="58"/>
      <c r="W32" s="59"/>
      <c r="X32" s="49"/>
      <c r="Y32" s="50"/>
      <c r="Z32" s="49">
        <v>237</v>
      </c>
      <c r="AA32" s="50">
        <v>703890</v>
      </c>
      <c r="AB32" s="49">
        <v>20</v>
      </c>
      <c r="AC32" s="53">
        <v>59400</v>
      </c>
      <c r="AD32" s="49">
        <v>150</v>
      </c>
      <c r="AE32" s="53">
        <v>445500</v>
      </c>
      <c r="AF32" s="49">
        <v>635</v>
      </c>
      <c r="AG32" s="53">
        <v>1885950</v>
      </c>
      <c r="AH32" s="49">
        <v>903</v>
      </c>
      <c r="AI32" s="53">
        <v>2681910</v>
      </c>
      <c r="AJ32" s="53"/>
      <c r="AK32" s="53"/>
      <c r="AL32" s="53"/>
      <c r="AM32" s="53"/>
      <c r="AN32" s="53">
        <v>79</v>
      </c>
      <c r="AO32" s="53">
        <v>252010</v>
      </c>
      <c r="AP32" s="62">
        <f t="shared" si="0"/>
        <v>2024</v>
      </c>
      <c r="AQ32" s="55">
        <f t="shared" si="1"/>
        <v>6028660</v>
      </c>
    </row>
    <row r="33" spans="1:43">
      <c r="A33" s="47">
        <v>58</v>
      </c>
      <c r="B33" s="56">
        <v>4971710556766</v>
      </c>
      <c r="C33" s="57" t="s">
        <v>444</v>
      </c>
      <c r="D33" s="75" t="s">
        <v>896</v>
      </c>
      <c r="E33" s="48" t="s">
        <v>445</v>
      </c>
      <c r="F33" s="58">
        <v>0</v>
      </c>
      <c r="G33" s="50">
        <v>0</v>
      </c>
      <c r="H33" s="51">
        <v>335</v>
      </c>
      <c r="I33" s="52">
        <v>221100</v>
      </c>
      <c r="J33" s="49">
        <v>115</v>
      </c>
      <c r="K33" s="50">
        <v>75900</v>
      </c>
      <c r="L33" s="49">
        <v>32</v>
      </c>
      <c r="M33" s="50">
        <v>21120</v>
      </c>
      <c r="N33" s="49">
        <v>572</v>
      </c>
      <c r="O33" s="50">
        <v>377520</v>
      </c>
      <c r="P33" s="49">
        <v>120</v>
      </c>
      <c r="Q33" s="53">
        <v>79200</v>
      </c>
      <c r="R33" s="58">
        <v>410</v>
      </c>
      <c r="S33" s="59">
        <v>270600</v>
      </c>
      <c r="T33" s="60">
        <v>276</v>
      </c>
      <c r="U33" s="61">
        <v>91080</v>
      </c>
      <c r="V33" s="58">
        <v>18</v>
      </c>
      <c r="W33" s="59">
        <v>11880</v>
      </c>
      <c r="X33" s="49">
        <v>120</v>
      </c>
      <c r="Y33" s="50">
        <v>79200</v>
      </c>
      <c r="Z33" s="49"/>
      <c r="AA33" s="50"/>
      <c r="AB33" s="49"/>
      <c r="AC33" s="53"/>
      <c r="AD33" s="49"/>
      <c r="AE33" s="53"/>
      <c r="AF33" s="49"/>
      <c r="AG33" s="53"/>
      <c r="AH33" s="49"/>
      <c r="AI33" s="53"/>
      <c r="AJ33" s="53"/>
      <c r="AK33" s="53"/>
      <c r="AL33" s="53"/>
      <c r="AM33" s="53"/>
      <c r="AN33" s="53"/>
      <c r="AO33" s="53"/>
      <c r="AP33" s="62">
        <f t="shared" si="0"/>
        <v>1998</v>
      </c>
      <c r="AQ33" s="55">
        <f t="shared" si="1"/>
        <v>1227600</v>
      </c>
    </row>
    <row r="34" spans="1:43">
      <c r="A34" s="47">
        <v>33</v>
      </c>
      <c r="B34" s="56">
        <v>4971710568899</v>
      </c>
      <c r="C34" s="57" t="s">
        <v>537</v>
      </c>
      <c r="D34" s="75" t="s">
        <v>882</v>
      </c>
      <c r="E34" s="48" t="s">
        <v>538</v>
      </c>
      <c r="F34" s="58">
        <v>20</v>
      </c>
      <c r="G34" s="50">
        <v>29700</v>
      </c>
      <c r="H34" s="51">
        <v>10</v>
      </c>
      <c r="I34" s="52">
        <v>14850</v>
      </c>
      <c r="J34" s="49">
        <v>10</v>
      </c>
      <c r="K34" s="50">
        <v>14850</v>
      </c>
      <c r="L34" s="49">
        <v>5</v>
      </c>
      <c r="M34" s="50">
        <v>7425</v>
      </c>
      <c r="N34" s="49">
        <v>115</v>
      </c>
      <c r="O34" s="50">
        <v>170775</v>
      </c>
      <c r="P34" s="49">
        <v>0</v>
      </c>
      <c r="Q34" s="53">
        <v>0</v>
      </c>
      <c r="R34" s="58">
        <v>30</v>
      </c>
      <c r="S34" s="59">
        <v>44550</v>
      </c>
      <c r="T34" s="60">
        <v>156</v>
      </c>
      <c r="U34" s="61">
        <v>124740</v>
      </c>
      <c r="V34" s="58">
        <v>112</v>
      </c>
      <c r="W34" s="59">
        <v>166320</v>
      </c>
      <c r="X34" s="49">
        <v>46</v>
      </c>
      <c r="Y34" s="50">
        <v>68310</v>
      </c>
      <c r="Z34" s="49">
        <v>626</v>
      </c>
      <c r="AA34" s="50">
        <v>929610</v>
      </c>
      <c r="AB34" s="49">
        <v>60</v>
      </c>
      <c r="AC34" s="53">
        <v>89100</v>
      </c>
      <c r="AD34" s="49">
        <v>2</v>
      </c>
      <c r="AE34" s="53">
        <v>2970</v>
      </c>
      <c r="AF34" s="49">
        <v>48</v>
      </c>
      <c r="AG34" s="53">
        <v>71280</v>
      </c>
      <c r="AH34" s="49">
        <v>646</v>
      </c>
      <c r="AI34" s="53">
        <v>959310</v>
      </c>
      <c r="AJ34" s="53"/>
      <c r="AK34" s="53"/>
      <c r="AL34" s="53"/>
      <c r="AM34" s="53"/>
      <c r="AN34" s="53">
        <v>100</v>
      </c>
      <c r="AO34" s="53">
        <v>148500</v>
      </c>
      <c r="AP34" s="62">
        <f t="shared" si="0"/>
        <v>1986</v>
      </c>
      <c r="AQ34" s="55">
        <f t="shared" si="1"/>
        <v>2842290</v>
      </c>
    </row>
    <row r="35" spans="1:43">
      <c r="A35" s="47">
        <v>29</v>
      </c>
      <c r="B35" s="56">
        <v>4971710573855</v>
      </c>
      <c r="C35" s="57" t="s">
        <v>985</v>
      </c>
      <c r="D35" s="75" t="s">
        <v>1085</v>
      </c>
      <c r="E35" s="48" t="s">
        <v>858</v>
      </c>
      <c r="F35" s="58">
        <v>0</v>
      </c>
      <c r="G35" s="50">
        <v>0</v>
      </c>
      <c r="H35" s="51">
        <v>0</v>
      </c>
      <c r="I35" s="52">
        <v>0</v>
      </c>
      <c r="J35" s="49">
        <v>0</v>
      </c>
      <c r="K35" s="50">
        <v>0</v>
      </c>
      <c r="L35" s="49">
        <v>0</v>
      </c>
      <c r="M35" s="50">
        <v>0</v>
      </c>
      <c r="N35" s="49">
        <v>0</v>
      </c>
      <c r="O35" s="50">
        <v>0</v>
      </c>
      <c r="P35" s="49">
        <v>0</v>
      </c>
      <c r="Q35" s="53">
        <v>0</v>
      </c>
      <c r="R35" s="58"/>
      <c r="S35" s="59"/>
      <c r="T35" s="60"/>
      <c r="U35" s="61"/>
      <c r="V35" s="58"/>
      <c r="W35" s="59"/>
      <c r="X35" s="49"/>
      <c r="Y35" s="50"/>
      <c r="Z35" s="49">
        <v>270</v>
      </c>
      <c r="AA35" s="50">
        <v>519750</v>
      </c>
      <c r="AB35" s="49"/>
      <c r="AC35" s="53"/>
      <c r="AD35" s="49">
        <v>162</v>
      </c>
      <c r="AE35" s="53">
        <v>311850</v>
      </c>
      <c r="AF35" s="49">
        <v>372</v>
      </c>
      <c r="AG35" s="53">
        <v>716100</v>
      </c>
      <c r="AH35" s="49">
        <v>915</v>
      </c>
      <c r="AI35" s="53">
        <v>1761375</v>
      </c>
      <c r="AJ35" s="53"/>
      <c r="AK35" s="53"/>
      <c r="AL35" s="53"/>
      <c r="AM35" s="53"/>
      <c r="AN35" s="53">
        <v>129</v>
      </c>
      <c r="AO35" s="53">
        <v>269610</v>
      </c>
      <c r="AP35" s="63">
        <f t="shared" si="0"/>
        <v>1848</v>
      </c>
      <c r="AQ35" s="55">
        <f t="shared" si="1"/>
        <v>3578685</v>
      </c>
    </row>
    <row r="36" spans="1:43">
      <c r="A36" s="47">
        <v>31</v>
      </c>
      <c r="B36" s="56">
        <v>4971710571868</v>
      </c>
      <c r="C36" s="57" t="s">
        <v>912</v>
      </c>
      <c r="D36" s="75" t="s">
        <v>1085</v>
      </c>
      <c r="E36" s="48" t="s">
        <v>857</v>
      </c>
      <c r="F36" s="58">
        <v>0</v>
      </c>
      <c r="G36" s="50">
        <v>0</v>
      </c>
      <c r="H36" s="51">
        <v>0</v>
      </c>
      <c r="I36" s="52">
        <v>0</v>
      </c>
      <c r="J36" s="49">
        <v>0</v>
      </c>
      <c r="K36" s="50">
        <v>0</v>
      </c>
      <c r="L36" s="49">
        <v>0</v>
      </c>
      <c r="M36" s="50">
        <v>0</v>
      </c>
      <c r="N36" s="49">
        <v>0</v>
      </c>
      <c r="O36" s="50">
        <v>0</v>
      </c>
      <c r="P36" s="49">
        <v>0</v>
      </c>
      <c r="Q36" s="53">
        <v>0</v>
      </c>
      <c r="R36" s="58"/>
      <c r="S36" s="59"/>
      <c r="T36" s="60"/>
      <c r="U36" s="61"/>
      <c r="V36" s="58"/>
      <c r="W36" s="59"/>
      <c r="X36" s="49"/>
      <c r="Y36" s="50"/>
      <c r="Z36" s="49">
        <v>274</v>
      </c>
      <c r="AA36" s="50">
        <v>572660</v>
      </c>
      <c r="AB36" s="49">
        <v>20</v>
      </c>
      <c r="AC36" s="53">
        <v>41800</v>
      </c>
      <c r="AD36" s="49">
        <v>6</v>
      </c>
      <c r="AE36" s="53">
        <v>12540</v>
      </c>
      <c r="AF36" s="49">
        <v>600</v>
      </c>
      <c r="AG36" s="53">
        <v>1254000</v>
      </c>
      <c r="AH36" s="49">
        <v>683</v>
      </c>
      <c r="AI36" s="53">
        <v>1427470</v>
      </c>
      <c r="AJ36" s="53"/>
      <c r="AK36" s="53"/>
      <c r="AL36" s="53"/>
      <c r="AM36" s="53"/>
      <c r="AN36" s="53">
        <v>205</v>
      </c>
      <c r="AO36" s="53">
        <v>462275</v>
      </c>
      <c r="AP36" s="63">
        <f t="shared" si="0"/>
        <v>1788</v>
      </c>
      <c r="AQ36" s="55">
        <f t="shared" si="1"/>
        <v>3770745</v>
      </c>
    </row>
    <row r="37" spans="1:43">
      <c r="A37" s="47">
        <v>34</v>
      </c>
      <c r="B37" s="56">
        <v>4971710549805</v>
      </c>
      <c r="C37" s="57" t="s">
        <v>436</v>
      </c>
      <c r="D37" s="75" t="s">
        <v>882</v>
      </c>
      <c r="E37" s="48" t="s">
        <v>435</v>
      </c>
      <c r="F37" s="58">
        <v>0</v>
      </c>
      <c r="G37" s="50">
        <v>0</v>
      </c>
      <c r="H37" s="51">
        <v>70</v>
      </c>
      <c r="I37" s="52">
        <v>192500</v>
      </c>
      <c r="J37" s="49">
        <v>20</v>
      </c>
      <c r="K37" s="50">
        <v>55000</v>
      </c>
      <c r="L37" s="49">
        <v>25</v>
      </c>
      <c r="M37" s="50">
        <v>68750</v>
      </c>
      <c r="N37" s="49">
        <v>25</v>
      </c>
      <c r="O37" s="50">
        <v>68750</v>
      </c>
      <c r="P37" s="49">
        <v>72</v>
      </c>
      <c r="Q37" s="53">
        <v>198000</v>
      </c>
      <c r="R37" s="58">
        <v>317</v>
      </c>
      <c r="S37" s="59">
        <v>871750</v>
      </c>
      <c r="T37" s="60">
        <v>124</v>
      </c>
      <c r="U37" s="61">
        <v>203500</v>
      </c>
      <c r="V37" s="58">
        <v>70</v>
      </c>
      <c r="W37" s="59">
        <v>192500</v>
      </c>
      <c r="X37" s="49">
        <v>30</v>
      </c>
      <c r="Y37" s="50">
        <v>82500</v>
      </c>
      <c r="Z37" s="49">
        <v>311</v>
      </c>
      <c r="AA37" s="50">
        <v>855250</v>
      </c>
      <c r="AB37" s="49">
        <v>6</v>
      </c>
      <c r="AC37" s="53">
        <v>16500</v>
      </c>
      <c r="AD37" s="49">
        <v>47</v>
      </c>
      <c r="AE37" s="53">
        <v>129250</v>
      </c>
      <c r="AF37" s="49"/>
      <c r="AG37" s="53"/>
      <c r="AH37" s="49">
        <v>649</v>
      </c>
      <c r="AI37" s="53">
        <v>1784750</v>
      </c>
      <c r="AJ37" s="53"/>
      <c r="AK37" s="53"/>
      <c r="AL37" s="53"/>
      <c r="AM37" s="53"/>
      <c r="AN37" s="53"/>
      <c r="AO37" s="53"/>
      <c r="AP37" s="62">
        <f t="shared" si="0"/>
        <v>1766</v>
      </c>
      <c r="AQ37" s="55">
        <f t="shared" si="1"/>
        <v>4719000</v>
      </c>
    </row>
    <row r="38" spans="1:43">
      <c r="A38" s="47">
        <v>40</v>
      </c>
      <c r="B38" s="56">
        <v>4971710571790</v>
      </c>
      <c r="C38" s="57" t="s">
        <v>555</v>
      </c>
      <c r="D38" s="75" t="s">
        <v>884</v>
      </c>
      <c r="E38" s="48" t="s">
        <v>556</v>
      </c>
      <c r="F38" s="58">
        <v>0</v>
      </c>
      <c r="G38" s="50">
        <v>0</v>
      </c>
      <c r="H38" s="51">
        <v>24</v>
      </c>
      <c r="I38" s="52">
        <v>15840</v>
      </c>
      <c r="J38" s="49">
        <v>24</v>
      </c>
      <c r="K38" s="50">
        <v>15840</v>
      </c>
      <c r="L38" s="49">
        <v>162</v>
      </c>
      <c r="M38" s="50">
        <v>106920</v>
      </c>
      <c r="N38" s="49">
        <v>0</v>
      </c>
      <c r="O38" s="50">
        <v>0</v>
      </c>
      <c r="P38" s="49">
        <v>25</v>
      </c>
      <c r="Q38" s="53">
        <v>16500</v>
      </c>
      <c r="R38" s="58">
        <v>15</v>
      </c>
      <c r="S38" s="59">
        <v>9900</v>
      </c>
      <c r="T38" s="60">
        <v>624</v>
      </c>
      <c r="U38" s="61">
        <v>205920</v>
      </c>
      <c r="V38" s="58">
        <v>150</v>
      </c>
      <c r="W38" s="59">
        <v>99000</v>
      </c>
      <c r="X38" s="49">
        <v>138</v>
      </c>
      <c r="Y38" s="50">
        <v>91080</v>
      </c>
      <c r="Z38" s="49"/>
      <c r="AA38" s="50"/>
      <c r="AB38" s="49"/>
      <c r="AC38" s="53"/>
      <c r="AD38" s="49">
        <v>8</v>
      </c>
      <c r="AE38" s="53">
        <v>5280</v>
      </c>
      <c r="AF38" s="49"/>
      <c r="AG38" s="53"/>
      <c r="AH38" s="49">
        <v>556</v>
      </c>
      <c r="AI38" s="53">
        <v>366960</v>
      </c>
      <c r="AJ38" s="53"/>
      <c r="AK38" s="53"/>
      <c r="AL38" s="53"/>
      <c r="AM38" s="53"/>
      <c r="AN38" s="53">
        <v>24</v>
      </c>
      <c r="AO38" s="53">
        <v>15840</v>
      </c>
      <c r="AP38" s="62">
        <f t="shared" si="0"/>
        <v>1750</v>
      </c>
      <c r="AQ38" s="55">
        <f t="shared" si="1"/>
        <v>949080</v>
      </c>
    </row>
    <row r="39" spans="1:43">
      <c r="A39" s="47">
        <v>39</v>
      </c>
      <c r="B39" s="56">
        <v>4971710556865</v>
      </c>
      <c r="C39" s="57" t="s">
        <v>454</v>
      </c>
      <c r="D39" s="75" t="s">
        <v>884</v>
      </c>
      <c r="E39" s="48" t="s">
        <v>455</v>
      </c>
      <c r="F39" s="58">
        <v>80</v>
      </c>
      <c r="G39" s="50">
        <v>70400</v>
      </c>
      <c r="H39" s="51">
        <v>35</v>
      </c>
      <c r="I39" s="52">
        <v>30800</v>
      </c>
      <c r="J39" s="49">
        <v>21</v>
      </c>
      <c r="K39" s="50">
        <v>18480</v>
      </c>
      <c r="L39" s="49">
        <v>50</v>
      </c>
      <c r="M39" s="50">
        <v>44000</v>
      </c>
      <c r="N39" s="49">
        <v>67</v>
      </c>
      <c r="O39" s="50">
        <v>58960</v>
      </c>
      <c r="P39" s="49">
        <v>0</v>
      </c>
      <c r="Q39" s="53">
        <v>0</v>
      </c>
      <c r="R39" s="58">
        <v>172</v>
      </c>
      <c r="S39" s="59">
        <v>151360</v>
      </c>
      <c r="T39" s="60">
        <v>456</v>
      </c>
      <c r="U39" s="61">
        <v>200640</v>
      </c>
      <c r="V39" s="58">
        <v>60</v>
      </c>
      <c r="W39" s="59">
        <v>52800</v>
      </c>
      <c r="X39" s="49">
        <v>68</v>
      </c>
      <c r="Y39" s="50">
        <v>59840</v>
      </c>
      <c r="Z39" s="49">
        <v>72</v>
      </c>
      <c r="AA39" s="50">
        <v>63360</v>
      </c>
      <c r="AB39" s="49">
        <v>15</v>
      </c>
      <c r="AC39" s="53">
        <v>13200</v>
      </c>
      <c r="AD39" s="49">
        <v>108</v>
      </c>
      <c r="AE39" s="53">
        <v>95040</v>
      </c>
      <c r="AF39" s="49">
        <v>20</v>
      </c>
      <c r="AG39" s="53">
        <v>17600</v>
      </c>
      <c r="AH39" s="49">
        <v>312</v>
      </c>
      <c r="AI39" s="53">
        <v>274560</v>
      </c>
      <c r="AJ39" s="53"/>
      <c r="AK39" s="53"/>
      <c r="AL39" s="53"/>
      <c r="AM39" s="53"/>
      <c r="AN39" s="53">
        <v>180</v>
      </c>
      <c r="AO39" s="53">
        <v>158400</v>
      </c>
      <c r="AP39" s="62">
        <f t="shared" si="0"/>
        <v>1716</v>
      </c>
      <c r="AQ39" s="55">
        <f t="shared" si="1"/>
        <v>1309440</v>
      </c>
    </row>
    <row r="40" spans="1:43">
      <c r="A40" s="47">
        <v>36</v>
      </c>
      <c r="B40" s="56">
        <v>4971710556827</v>
      </c>
      <c r="C40" s="57" t="s">
        <v>446</v>
      </c>
      <c r="D40" s="75" t="s">
        <v>884</v>
      </c>
      <c r="E40" s="48" t="s">
        <v>447</v>
      </c>
      <c r="F40" s="58">
        <v>0</v>
      </c>
      <c r="G40" s="50">
        <v>0</v>
      </c>
      <c r="H40" s="51">
        <v>0</v>
      </c>
      <c r="I40" s="52">
        <v>0</v>
      </c>
      <c r="J40" s="49">
        <v>95</v>
      </c>
      <c r="K40" s="50">
        <v>94050</v>
      </c>
      <c r="L40" s="49">
        <v>130</v>
      </c>
      <c r="M40" s="50">
        <v>128700</v>
      </c>
      <c r="N40" s="49">
        <v>60</v>
      </c>
      <c r="O40" s="50">
        <v>59400</v>
      </c>
      <c r="P40" s="49">
        <v>75</v>
      </c>
      <c r="Q40" s="53">
        <v>74250</v>
      </c>
      <c r="R40" s="58">
        <v>65</v>
      </c>
      <c r="S40" s="59">
        <v>64350</v>
      </c>
      <c r="T40" s="60">
        <v>204</v>
      </c>
      <c r="U40" s="61">
        <v>100980</v>
      </c>
      <c r="V40" s="58">
        <v>230</v>
      </c>
      <c r="W40" s="59">
        <v>227700</v>
      </c>
      <c r="X40" s="49">
        <v>30</v>
      </c>
      <c r="Y40" s="50">
        <v>29700</v>
      </c>
      <c r="Z40" s="49">
        <v>62</v>
      </c>
      <c r="AA40" s="50">
        <v>61380</v>
      </c>
      <c r="AB40" s="49">
        <v>9</v>
      </c>
      <c r="AC40" s="53">
        <v>8910</v>
      </c>
      <c r="AD40" s="49">
        <v>4</v>
      </c>
      <c r="AE40" s="53">
        <v>3960</v>
      </c>
      <c r="AF40" s="49">
        <v>60</v>
      </c>
      <c r="AG40" s="53">
        <v>59400</v>
      </c>
      <c r="AH40" s="49">
        <v>475</v>
      </c>
      <c r="AI40" s="53">
        <v>470250</v>
      </c>
      <c r="AJ40" s="53"/>
      <c r="AK40" s="53"/>
      <c r="AL40" s="53"/>
      <c r="AM40" s="53"/>
      <c r="AN40" s="53">
        <v>154</v>
      </c>
      <c r="AO40" s="53">
        <v>152460</v>
      </c>
      <c r="AP40" s="62">
        <f t="shared" si="0"/>
        <v>1653</v>
      </c>
      <c r="AQ40" s="55">
        <f t="shared" si="1"/>
        <v>1535490</v>
      </c>
    </row>
    <row r="41" spans="1:43">
      <c r="A41" s="47">
        <v>37</v>
      </c>
      <c r="B41" s="56">
        <v>4971710524055</v>
      </c>
      <c r="C41" s="57" t="s">
        <v>398</v>
      </c>
      <c r="D41" s="75" t="s">
        <v>884</v>
      </c>
      <c r="E41" s="48" t="s">
        <v>399</v>
      </c>
      <c r="F41" s="58">
        <v>0</v>
      </c>
      <c r="G41" s="50">
        <v>0</v>
      </c>
      <c r="H41" s="51">
        <v>0</v>
      </c>
      <c r="I41" s="52">
        <v>0</v>
      </c>
      <c r="J41" s="49">
        <v>0</v>
      </c>
      <c r="K41" s="50">
        <v>0</v>
      </c>
      <c r="L41" s="49">
        <v>100</v>
      </c>
      <c r="M41" s="50">
        <v>60500</v>
      </c>
      <c r="N41" s="49">
        <v>15</v>
      </c>
      <c r="O41" s="50">
        <v>9075</v>
      </c>
      <c r="P41" s="49">
        <v>120</v>
      </c>
      <c r="Q41" s="53">
        <v>72600</v>
      </c>
      <c r="R41" s="58">
        <v>291</v>
      </c>
      <c r="S41" s="59">
        <v>176055</v>
      </c>
      <c r="T41" s="60">
        <v>244</v>
      </c>
      <c r="U41" s="61">
        <v>73810</v>
      </c>
      <c r="V41" s="58">
        <v>250</v>
      </c>
      <c r="W41" s="59">
        <v>151250</v>
      </c>
      <c r="X41" s="49">
        <v>6</v>
      </c>
      <c r="Y41" s="50">
        <v>3630</v>
      </c>
      <c r="Z41" s="49">
        <v>40</v>
      </c>
      <c r="AA41" s="50">
        <v>24200</v>
      </c>
      <c r="AB41" s="49">
        <v>100</v>
      </c>
      <c r="AC41" s="53">
        <v>60500</v>
      </c>
      <c r="AD41" s="49">
        <v>40</v>
      </c>
      <c r="AE41" s="53">
        <v>24200</v>
      </c>
      <c r="AF41" s="49">
        <v>100</v>
      </c>
      <c r="AG41" s="53">
        <v>60500</v>
      </c>
      <c r="AH41" s="49">
        <v>200</v>
      </c>
      <c r="AI41" s="53">
        <v>121000</v>
      </c>
      <c r="AJ41" s="53"/>
      <c r="AK41" s="53"/>
      <c r="AL41" s="53"/>
      <c r="AM41" s="53"/>
      <c r="AN41" s="53">
        <v>140</v>
      </c>
      <c r="AO41" s="53">
        <v>84700</v>
      </c>
      <c r="AP41" s="62">
        <f t="shared" si="0"/>
        <v>1646</v>
      </c>
      <c r="AQ41" s="55">
        <f t="shared" si="1"/>
        <v>922020</v>
      </c>
    </row>
    <row r="42" spans="1:43">
      <c r="A42" s="47">
        <v>425</v>
      </c>
      <c r="B42" s="56">
        <v>4971710471991</v>
      </c>
      <c r="C42" s="57" t="s">
        <v>20</v>
      </c>
      <c r="D42" s="75" t="s">
        <v>884</v>
      </c>
      <c r="E42" s="48" t="s">
        <v>21</v>
      </c>
      <c r="F42" s="58"/>
      <c r="G42" s="50">
        <v>0</v>
      </c>
      <c r="H42" s="51">
        <v>0</v>
      </c>
      <c r="I42" s="52">
        <v>0</v>
      </c>
      <c r="J42" s="49">
        <v>0</v>
      </c>
      <c r="K42" s="50">
        <v>0</v>
      </c>
      <c r="L42" s="49">
        <v>698</v>
      </c>
      <c r="M42" s="50">
        <v>460680</v>
      </c>
      <c r="N42" s="49">
        <v>818</v>
      </c>
      <c r="O42" s="50">
        <v>539880</v>
      </c>
      <c r="P42" s="49">
        <v>0</v>
      </c>
      <c r="Q42" s="53">
        <v>0</v>
      </c>
      <c r="R42" s="58"/>
      <c r="S42" s="59"/>
      <c r="T42" s="60"/>
      <c r="U42" s="61"/>
      <c r="V42" s="58"/>
      <c r="W42" s="59"/>
      <c r="X42" s="49"/>
      <c r="Y42" s="50"/>
      <c r="Z42" s="49"/>
      <c r="AA42" s="50"/>
      <c r="AB42" s="49"/>
      <c r="AC42" s="53"/>
      <c r="AD42" s="49"/>
      <c r="AE42" s="53"/>
      <c r="AF42" s="49"/>
      <c r="AG42" s="53"/>
      <c r="AH42" s="49"/>
      <c r="AI42" s="53"/>
      <c r="AJ42" s="53"/>
      <c r="AK42" s="53"/>
      <c r="AL42" s="53"/>
      <c r="AM42" s="53"/>
      <c r="AN42" s="53"/>
      <c r="AO42" s="53"/>
      <c r="AP42" s="62">
        <f t="shared" si="0"/>
        <v>1516</v>
      </c>
      <c r="AQ42" s="55">
        <f t="shared" si="1"/>
        <v>1000560</v>
      </c>
    </row>
    <row r="43" spans="1:43">
      <c r="A43" s="47">
        <v>35</v>
      </c>
      <c r="B43" s="56">
        <v>4971710581928</v>
      </c>
      <c r="C43" s="57" t="s">
        <v>984</v>
      </c>
      <c r="D43" s="75" t="s">
        <v>1085</v>
      </c>
      <c r="E43" s="48" t="s">
        <v>857</v>
      </c>
      <c r="F43" s="58">
        <v>0</v>
      </c>
      <c r="G43" s="50">
        <v>0</v>
      </c>
      <c r="H43" s="51">
        <v>0</v>
      </c>
      <c r="I43" s="52">
        <v>0</v>
      </c>
      <c r="J43" s="49">
        <v>0</v>
      </c>
      <c r="K43" s="50">
        <v>0</v>
      </c>
      <c r="L43" s="49">
        <v>0</v>
      </c>
      <c r="M43" s="50">
        <v>0</v>
      </c>
      <c r="N43" s="49">
        <v>0</v>
      </c>
      <c r="O43" s="50">
        <v>0</v>
      </c>
      <c r="P43" s="49">
        <v>0</v>
      </c>
      <c r="Q43" s="53">
        <v>0</v>
      </c>
      <c r="R43" s="58"/>
      <c r="S43" s="59"/>
      <c r="T43" s="60"/>
      <c r="U43" s="61"/>
      <c r="V43" s="58"/>
      <c r="W43" s="59"/>
      <c r="X43" s="49"/>
      <c r="Y43" s="50"/>
      <c r="Z43" s="49">
        <v>462</v>
      </c>
      <c r="AA43" s="50">
        <v>813120</v>
      </c>
      <c r="AB43" s="49">
        <v>20</v>
      </c>
      <c r="AC43" s="53">
        <v>35200</v>
      </c>
      <c r="AD43" s="49">
        <v>12</v>
      </c>
      <c r="AE43" s="53">
        <v>21120</v>
      </c>
      <c r="AF43" s="49">
        <v>320</v>
      </c>
      <c r="AG43" s="53">
        <v>563200</v>
      </c>
      <c r="AH43" s="49">
        <v>508</v>
      </c>
      <c r="AI43" s="53">
        <v>894080</v>
      </c>
      <c r="AJ43" s="53"/>
      <c r="AK43" s="53"/>
      <c r="AL43" s="53"/>
      <c r="AM43" s="53"/>
      <c r="AN43" s="53">
        <v>177</v>
      </c>
      <c r="AO43" s="53">
        <v>330990</v>
      </c>
      <c r="AP43" s="62">
        <f t="shared" si="0"/>
        <v>1499</v>
      </c>
      <c r="AQ43" s="55">
        <f t="shared" si="1"/>
        <v>2657710</v>
      </c>
    </row>
    <row r="44" spans="1:43">
      <c r="A44" s="47">
        <v>41</v>
      </c>
      <c r="B44" s="56">
        <v>4971710556841</v>
      </c>
      <c r="C44" s="57" t="s">
        <v>450</v>
      </c>
      <c r="D44" s="75" t="s">
        <v>884</v>
      </c>
      <c r="E44" s="48" t="s">
        <v>451</v>
      </c>
      <c r="F44" s="58">
        <v>0</v>
      </c>
      <c r="G44" s="50">
        <v>0</v>
      </c>
      <c r="H44" s="51">
        <v>0</v>
      </c>
      <c r="I44" s="52">
        <v>0</v>
      </c>
      <c r="J44" s="49">
        <v>35</v>
      </c>
      <c r="K44" s="50">
        <v>34650</v>
      </c>
      <c r="L44" s="49">
        <v>30</v>
      </c>
      <c r="M44" s="50">
        <v>29700</v>
      </c>
      <c r="N44" s="49">
        <v>25</v>
      </c>
      <c r="O44" s="50">
        <v>24750</v>
      </c>
      <c r="P44" s="49">
        <v>70</v>
      </c>
      <c r="Q44" s="53">
        <v>69300</v>
      </c>
      <c r="R44" s="58">
        <v>170</v>
      </c>
      <c r="S44" s="59">
        <v>168300</v>
      </c>
      <c r="T44" s="60">
        <v>260</v>
      </c>
      <c r="U44" s="61">
        <v>128700</v>
      </c>
      <c r="V44" s="58">
        <v>72</v>
      </c>
      <c r="W44" s="59">
        <v>71280</v>
      </c>
      <c r="X44" s="49">
        <v>30</v>
      </c>
      <c r="Y44" s="50">
        <v>29700</v>
      </c>
      <c r="Z44" s="49">
        <v>38</v>
      </c>
      <c r="AA44" s="50">
        <v>37620</v>
      </c>
      <c r="AB44" s="49">
        <v>10</v>
      </c>
      <c r="AC44" s="53">
        <v>9900</v>
      </c>
      <c r="AD44" s="49">
        <v>2</v>
      </c>
      <c r="AE44" s="53">
        <v>1980</v>
      </c>
      <c r="AF44" s="49">
        <v>30</v>
      </c>
      <c r="AG44" s="53">
        <v>29700</v>
      </c>
      <c r="AH44" s="49">
        <v>520</v>
      </c>
      <c r="AI44" s="53">
        <v>514800</v>
      </c>
      <c r="AJ44" s="53"/>
      <c r="AK44" s="53"/>
      <c r="AL44" s="53"/>
      <c r="AM44" s="53"/>
      <c r="AN44" s="53">
        <v>50</v>
      </c>
      <c r="AO44" s="53">
        <v>49500</v>
      </c>
      <c r="AP44" s="62">
        <f t="shared" si="0"/>
        <v>1342</v>
      </c>
      <c r="AQ44" s="55">
        <f t="shared" si="1"/>
        <v>1199880</v>
      </c>
    </row>
    <row r="45" spans="1:43">
      <c r="A45" s="47">
        <v>55</v>
      </c>
      <c r="B45" s="56">
        <v>4971710582864</v>
      </c>
      <c r="C45" s="57" t="s">
        <v>694</v>
      </c>
      <c r="D45" s="75" t="s">
        <v>884</v>
      </c>
      <c r="E45" s="48" t="s">
        <v>695</v>
      </c>
      <c r="F45" s="58">
        <v>0</v>
      </c>
      <c r="G45" s="50">
        <v>0</v>
      </c>
      <c r="H45" s="51">
        <v>50</v>
      </c>
      <c r="I45" s="52">
        <v>35750</v>
      </c>
      <c r="J45" s="49">
        <v>10</v>
      </c>
      <c r="K45" s="50">
        <v>7150</v>
      </c>
      <c r="L45" s="49">
        <v>42</v>
      </c>
      <c r="M45" s="50">
        <v>30030</v>
      </c>
      <c r="N45" s="49">
        <v>160</v>
      </c>
      <c r="O45" s="50">
        <v>114400</v>
      </c>
      <c r="P45" s="49">
        <v>20</v>
      </c>
      <c r="Q45" s="53">
        <v>14300</v>
      </c>
      <c r="R45" s="58"/>
      <c r="S45" s="59"/>
      <c r="T45" s="60">
        <v>632</v>
      </c>
      <c r="U45" s="61">
        <v>225940</v>
      </c>
      <c r="V45" s="58">
        <v>8</v>
      </c>
      <c r="W45" s="59">
        <v>5720</v>
      </c>
      <c r="X45" s="49">
        <v>6</v>
      </c>
      <c r="Y45" s="50">
        <v>4290</v>
      </c>
      <c r="Z45" s="49">
        <v>42</v>
      </c>
      <c r="AA45" s="50">
        <v>30030</v>
      </c>
      <c r="AB45" s="49"/>
      <c r="AC45" s="53"/>
      <c r="AD45" s="49">
        <v>2</v>
      </c>
      <c r="AE45" s="53">
        <v>1430</v>
      </c>
      <c r="AF45" s="49"/>
      <c r="AG45" s="53"/>
      <c r="AH45" s="49">
        <v>354</v>
      </c>
      <c r="AI45" s="53">
        <v>253110</v>
      </c>
      <c r="AJ45" s="53"/>
      <c r="AK45" s="53"/>
      <c r="AL45" s="53"/>
      <c r="AM45" s="53"/>
      <c r="AN45" s="53"/>
      <c r="AO45" s="53"/>
      <c r="AP45" s="62">
        <f t="shared" si="0"/>
        <v>1326</v>
      </c>
      <c r="AQ45" s="55">
        <f t="shared" si="1"/>
        <v>722150</v>
      </c>
    </row>
    <row r="46" spans="1:43">
      <c r="A46" s="47">
        <v>38</v>
      </c>
      <c r="B46" s="56">
        <v>4971710595529</v>
      </c>
      <c r="C46" s="57" t="s">
        <v>764</v>
      </c>
      <c r="D46" s="75" t="s">
        <v>884</v>
      </c>
      <c r="E46" s="48" t="s">
        <v>765</v>
      </c>
      <c r="F46" s="58">
        <v>0</v>
      </c>
      <c r="G46" s="50">
        <v>0</v>
      </c>
      <c r="H46" s="51">
        <v>0</v>
      </c>
      <c r="I46" s="52">
        <v>0</v>
      </c>
      <c r="J46" s="49">
        <v>0</v>
      </c>
      <c r="K46" s="50">
        <v>0</v>
      </c>
      <c r="L46" s="49">
        <v>0</v>
      </c>
      <c r="M46" s="50">
        <v>0</v>
      </c>
      <c r="N46" s="49">
        <v>0</v>
      </c>
      <c r="O46" s="50">
        <v>0</v>
      </c>
      <c r="P46" s="49">
        <v>0</v>
      </c>
      <c r="Q46" s="53">
        <v>0</v>
      </c>
      <c r="R46" s="58"/>
      <c r="S46" s="59"/>
      <c r="T46" s="60">
        <v>58</v>
      </c>
      <c r="U46" s="61">
        <v>22330</v>
      </c>
      <c r="V46" s="58">
        <v>136</v>
      </c>
      <c r="W46" s="59">
        <v>104720</v>
      </c>
      <c r="X46" s="49">
        <v>174</v>
      </c>
      <c r="Y46" s="50">
        <v>133980</v>
      </c>
      <c r="Z46" s="49">
        <v>165</v>
      </c>
      <c r="AA46" s="50">
        <v>127050</v>
      </c>
      <c r="AB46" s="49">
        <v>242</v>
      </c>
      <c r="AC46" s="53">
        <v>186340</v>
      </c>
      <c r="AD46" s="49">
        <v>194</v>
      </c>
      <c r="AE46" s="53">
        <v>149380</v>
      </c>
      <c r="AF46" s="49"/>
      <c r="AG46" s="53"/>
      <c r="AH46" s="49">
        <v>206</v>
      </c>
      <c r="AI46" s="53">
        <v>158620</v>
      </c>
      <c r="AJ46" s="53"/>
      <c r="AK46" s="53"/>
      <c r="AL46" s="53"/>
      <c r="AM46" s="53"/>
      <c r="AN46" s="53">
        <v>126</v>
      </c>
      <c r="AO46" s="53">
        <v>97020</v>
      </c>
      <c r="AP46" s="62">
        <f t="shared" si="0"/>
        <v>1301</v>
      </c>
      <c r="AQ46" s="55">
        <f t="shared" si="1"/>
        <v>979440</v>
      </c>
    </row>
    <row r="47" spans="1:43">
      <c r="A47" s="47">
        <v>42</v>
      </c>
      <c r="B47" s="56">
        <v>4971710278521</v>
      </c>
      <c r="C47" s="57" t="s">
        <v>5</v>
      </c>
      <c r="D47" s="75" t="s">
        <v>882</v>
      </c>
      <c r="E47" s="48" t="s">
        <v>6</v>
      </c>
      <c r="F47" s="58">
        <v>20</v>
      </c>
      <c r="G47" s="50">
        <v>49500</v>
      </c>
      <c r="H47" s="51">
        <v>10</v>
      </c>
      <c r="I47" s="52">
        <v>24750</v>
      </c>
      <c r="J47" s="49">
        <v>0</v>
      </c>
      <c r="K47" s="50">
        <v>0</v>
      </c>
      <c r="L47" s="49">
        <v>20</v>
      </c>
      <c r="M47" s="50">
        <v>49500</v>
      </c>
      <c r="N47" s="49">
        <v>32</v>
      </c>
      <c r="O47" s="50">
        <v>79200</v>
      </c>
      <c r="P47" s="49">
        <v>96</v>
      </c>
      <c r="Q47" s="53">
        <v>237600</v>
      </c>
      <c r="R47" s="58"/>
      <c r="S47" s="59"/>
      <c r="T47" s="60"/>
      <c r="U47" s="61"/>
      <c r="V47" s="58">
        <v>60</v>
      </c>
      <c r="W47" s="59">
        <v>148500</v>
      </c>
      <c r="X47" s="49"/>
      <c r="Y47" s="50"/>
      <c r="Z47" s="49">
        <v>385</v>
      </c>
      <c r="AA47" s="50">
        <v>952875</v>
      </c>
      <c r="AB47" s="49"/>
      <c r="AC47" s="53"/>
      <c r="AD47" s="49">
        <v>32</v>
      </c>
      <c r="AE47" s="53">
        <v>79200</v>
      </c>
      <c r="AF47" s="49">
        <v>84</v>
      </c>
      <c r="AG47" s="53">
        <v>207900</v>
      </c>
      <c r="AH47" s="49">
        <v>408</v>
      </c>
      <c r="AI47" s="53">
        <v>1009800</v>
      </c>
      <c r="AJ47" s="53"/>
      <c r="AK47" s="53"/>
      <c r="AL47" s="53"/>
      <c r="AM47" s="53"/>
      <c r="AN47" s="53">
        <v>120</v>
      </c>
      <c r="AO47" s="53">
        <v>297000</v>
      </c>
      <c r="AP47" s="62">
        <f t="shared" si="0"/>
        <v>1267</v>
      </c>
      <c r="AQ47" s="55">
        <f t="shared" si="1"/>
        <v>3135825</v>
      </c>
    </row>
    <row r="48" spans="1:43">
      <c r="A48" s="47">
        <v>54</v>
      </c>
      <c r="B48" s="56">
        <v>4971710576627</v>
      </c>
      <c r="C48" s="57" t="s">
        <v>613</v>
      </c>
      <c r="D48" s="75" t="s">
        <v>884</v>
      </c>
      <c r="E48" s="48" t="s">
        <v>614</v>
      </c>
      <c r="F48" s="58">
        <v>0</v>
      </c>
      <c r="G48" s="50">
        <v>0</v>
      </c>
      <c r="H48" s="51">
        <v>0</v>
      </c>
      <c r="I48" s="52">
        <v>0</v>
      </c>
      <c r="J48" s="49">
        <v>24</v>
      </c>
      <c r="K48" s="50">
        <v>18480</v>
      </c>
      <c r="L48" s="49">
        <v>200</v>
      </c>
      <c r="M48" s="50">
        <v>154000</v>
      </c>
      <c r="N48" s="49">
        <v>0</v>
      </c>
      <c r="O48" s="50">
        <v>0</v>
      </c>
      <c r="P48" s="49">
        <v>0</v>
      </c>
      <c r="Q48" s="53">
        <v>0</v>
      </c>
      <c r="R48" s="58">
        <v>10</v>
      </c>
      <c r="S48" s="59">
        <v>7700</v>
      </c>
      <c r="T48" s="60">
        <v>604</v>
      </c>
      <c r="U48" s="61">
        <v>232540</v>
      </c>
      <c r="V48" s="58">
        <v>30</v>
      </c>
      <c r="W48" s="59">
        <v>23100</v>
      </c>
      <c r="X48" s="49">
        <v>12</v>
      </c>
      <c r="Y48" s="50">
        <v>9240</v>
      </c>
      <c r="Z48" s="49">
        <v>30</v>
      </c>
      <c r="AA48" s="50">
        <v>23100</v>
      </c>
      <c r="AB48" s="49"/>
      <c r="AC48" s="53"/>
      <c r="AD48" s="49">
        <v>96</v>
      </c>
      <c r="AE48" s="53">
        <v>73920</v>
      </c>
      <c r="AF48" s="49">
        <v>36</v>
      </c>
      <c r="AG48" s="53">
        <v>27720</v>
      </c>
      <c r="AH48" s="49">
        <v>20</v>
      </c>
      <c r="AI48" s="53">
        <v>15400</v>
      </c>
      <c r="AJ48" s="53"/>
      <c r="AK48" s="53"/>
      <c r="AL48" s="53"/>
      <c r="AM48" s="53"/>
      <c r="AN48" s="53">
        <v>200</v>
      </c>
      <c r="AO48" s="53">
        <v>154000</v>
      </c>
      <c r="AP48" s="62">
        <f t="shared" si="0"/>
        <v>1262</v>
      </c>
      <c r="AQ48" s="55">
        <f t="shared" si="1"/>
        <v>739200</v>
      </c>
    </row>
    <row r="49" spans="1:43">
      <c r="A49" s="47">
        <v>46</v>
      </c>
      <c r="B49" s="56">
        <v>4971710563238</v>
      </c>
      <c r="C49" s="57" t="s">
        <v>479</v>
      </c>
      <c r="D49" s="75" t="s">
        <v>896</v>
      </c>
      <c r="E49" s="48" t="s">
        <v>480</v>
      </c>
      <c r="F49" s="58">
        <v>0</v>
      </c>
      <c r="G49" s="50">
        <v>0</v>
      </c>
      <c r="H49" s="51">
        <v>30</v>
      </c>
      <c r="I49" s="52">
        <v>19800</v>
      </c>
      <c r="J49" s="49">
        <v>0</v>
      </c>
      <c r="K49" s="50">
        <v>0</v>
      </c>
      <c r="L49" s="49">
        <v>0</v>
      </c>
      <c r="M49" s="50">
        <v>0</v>
      </c>
      <c r="N49" s="49">
        <v>168</v>
      </c>
      <c r="O49" s="50">
        <v>110880</v>
      </c>
      <c r="P49" s="49">
        <v>65</v>
      </c>
      <c r="Q49" s="53">
        <v>42900</v>
      </c>
      <c r="R49" s="58">
        <v>120</v>
      </c>
      <c r="S49" s="59">
        <v>79200</v>
      </c>
      <c r="T49" s="60"/>
      <c r="U49" s="61"/>
      <c r="V49" s="58">
        <v>240</v>
      </c>
      <c r="W49" s="59">
        <v>158400</v>
      </c>
      <c r="X49" s="49">
        <v>80</v>
      </c>
      <c r="Y49" s="50">
        <v>52800</v>
      </c>
      <c r="Z49" s="49">
        <v>180</v>
      </c>
      <c r="AA49" s="50">
        <v>118800</v>
      </c>
      <c r="AB49" s="49"/>
      <c r="AC49" s="53"/>
      <c r="AD49" s="49">
        <v>45</v>
      </c>
      <c r="AE49" s="53">
        <v>29700</v>
      </c>
      <c r="AF49" s="49">
        <v>25</v>
      </c>
      <c r="AG49" s="53">
        <v>16500</v>
      </c>
      <c r="AH49" s="49">
        <v>96</v>
      </c>
      <c r="AI49" s="53">
        <v>63360</v>
      </c>
      <c r="AJ49" s="53"/>
      <c r="AK49" s="53"/>
      <c r="AL49" s="53"/>
      <c r="AM49" s="53"/>
      <c r="AN49" s="53">
        <v>200</v>
      </c>
      <c r="AO49" s="53">
        <v>132000</v>
      </c>
      <c r="AP49" s="62">
        <f t="shared" si="0"/>
        <v>1249</v>
      </c>
      <c r="AQ49" s="55">
        <f t="shared" si="1"/>
        <v>824340</v>
      </c>
    </row>
    <row r="50" spans="1:43">
      <c r="A50" s="47">
        <v>45</v>
      </c>
      <c r="B50" s="56">
        <v>4971710593037</v>
      </c>
      <c r="C50" s="57" t="s">
        <v>754</v>
      </c>
      <c r="D50" s="75" t="s">
        <v>884</v>
      </c>
      <c r="E50" s="48" t="s">
        <v>755</v>
      </c>
      <c r="F50" s="58">
        <v>0</v>
      </c>
      <c r="G50" s="50">
        <v>0</v>
      </c>
      <c r="H50" s="51">
        <v>0</v>
      </c>
      <c r="I50" s="52">
        <v>0</v>
      </c>
      <c r="J50" s="49">
        <v>0</v>
      </c>
      <c r="K50" s="50">
        <v>0</v>
      </c>
      <c r="L50" s="49">
        <v>0</v>
      </c>
      <c r="M50" s="50">
        <v>0</v>
      </c>
      <c r="N50" s="49">
        <v>0</v>
      </c>
      <c r="O50" s="50">
        <v>0</v>
      </c>
      <c r="P50" s="49">
        <v>0</v>
      </c>
      <c r="Q50" s="53">
        <v>0</v>
      </c>
      <c r="R50" s="58">
        <v>120</v>
      </c>
      <c r="S50" s="59">
        <v>112200</v>
      </c>
      <c r="T50" s="60">
        <v>388</v>
      </c>
      <c r="U50" s="61">
        <v>181390</v>
      </c>
      <c r="V50" s="58">
        <v>50</v>
      </c>
      <c r="W50" s="59">
        <v>46750</v>
      </c>
      <c r="X50" s="49">
        <v>42</v>
      </c>
      <c r="Y50" s="50">
        <v>39270</v>
      </c>
      <c r="Z50" s="49">
        <v>125</v>
      </c>
      <c r="AA50" s="50">
        <v>116875</v>
      </c>
      <c r="AB50" s="49"/>
      <c r="AC50" s="53"/>
      <c r="AD50" s="49">
        <v>172</v>
      </c>
      <c r="AE50" s="53">
        <v>160820</v>
      </c>
      <c r="AF50" s="49">
        <v>30</v>
      </c>
      <c r="AG50" s="53">
        <v>28050</v>
      </c>
      <c r="AH50" s="49">
        <v>20</v>
      </c>
      <c r="AI50" s="53">
        <v>18700</v>
      </c>
      <c r="AJ50" s="53"/>
      <c r="AK50" s="53"/>
      <c r="AL50" s="53"/>
      <c r="AM50" s="53"/>
      <c r="AN50" s="53">
        <v>242</v>
      </c>
      <c r="AO50" s="53">
        <v>226270</v>
      </c>
      <c r="AP50" s="62">
        <f t="shared" si="0"/>
        <v>1189</v>
      </c>
      <c r="AQ50" s="55">
        <f t="shared" si="1"/>
        <v>930325</v>
      </c>
    </row>
    <row r="51" spans="1:43">
      <c r="A51" s="47">
        <v>43</v>
      </c>
      <c r="B51" s="56">
        <v>4971710557718</v>
      </c>
      <c r="C51" s="57" t="s">
        <v>456</v>
      </c>
      <c r="D51" s="75" t="s">
        <v>880</v>
      </c>
      <c r="E51" s="48" t="s">
        <v>457</v>
      </c>
      <c r="F51" s="58">
        <v>10</v>
      </c>
      <c r="G51" s="50">
        <v>6600</v>
      </c>
      <c r="H51" s="51">
        <v>35</v>
      </c>
      <c r="I51" s="52">
        <v>23100</v>
      </c>
      <c r="J51" s="49">
        <v>35</v>
      </c>
      <c r="K51" s="50">
        <v>23100</v>
      </c>
      <c r="L51" s="49">
        <v>5</v>
      </c>
      <c r="M51" s="50">
        <v>3300</v>
      </c>
      <c r="N51" s="49">
        <v>60</v>
      </c>
      <c r="O51" s="50">
        <v>39600</v>
      </c>
      <c r="P51" s="49">
        <v>5</v>
      </c>
      <c r="Q51" s="53">
        <v>3300</v>
      </c>
      <c r="R51" s="58">
        <v>142</v>
      </c>
      <c r="S51" s="59">
        <v>93720</v>
      </c>
      <c r="T51" s="60">
        <v>64</v>
      </c>
      <c r="U51" s="61">
        <v>22440</v>
      </c>
      <c r="V51" s="58">
        <v>24</v>
      </c>
      <c r="W51" s="59">
        <v>15840</v>
      </c>
      <c r="X51" s="49">
        <v>172</v>
      </c>
      <c r="Y51" s="50">
        <v>113520</v>
      </c>
      <c r="Z51" s="49">
        <v>112</v>
      </c>
      <c r="AA51" s="50">
        <v>73920</v>
      </c>
      <c r="AB51" s="49"/>
      <c r="AC51" s="53"/>
      <c r="AD51" s="49">
        <v>236</v>
      </c>
      <c r="AE51" s="53">
        <v>155760</v>
      </c>
      <c r="AF51" s="49">
        <v>100</v>
      </c>
      <c r="AG51" s="53">
        <v>66000</v>
      </c>
      <c r="AH51" s="49">
        <v>32</v>
      </c>
      <c r="AI51" s="53">
        <v>21120</v>
      </c>
      <c r="AJ51" s="53"/>
      <c r="AK51" s="53"/>
      <c r="AL51" s="53"/>
      <c r="AM51" s="53"/>
      <c r="AN51" s="53">
        <v>104</v>
      </c>
      <c r="AO51" s="53">
        <v>68640</v>
      </c>
      <c r="AP51" s="62">
        <f t="shared" si="0"/>
        <v>1136</v>
      </c>
      <c r="AQ51" s="55">
        <f t="shared" si="1"/>
        <v>729960</v>
      </c>
    </row>
    <row r="52" spans="1:43">
      <c r="A52" s="47">
        <v>48</v>
      </c>
      <c r="B52" s="56">
        <v>4971710489194</v>
      </c>
      <c r="C52" s="57" t="s">
        <v>88</v>
      </c>
      <c r="D52" s="75" t="s">
        <v>884</v>
      </c>
      <c r="E52" s="48" t="s">
        <v>89</v>
      </c>
      <c r="F52" s="58">
        <v>0</v>
      </c>
      <c r="G52" s="50">
        <v>0</v>
      </c>
      <c r="H52" s="51">
        <v>0</v>
      </c>
      <c r="I52" s="52">
        <v>0</v>
      </c>
      <c r="J52" s="49">
        <v>0</v>
      </c>
      <c r="K52" s="50">
        <v>0</v>
      </c>
      <c r="L52" s="49">
        <v>50</v>
      </c>
      <c r="M52" s="50">
        <v>27500</v>
      </c>
      <c r="N52" s="49">
        <v>110</v>
      </c>
      <c r="O52" s="50">
        <v>60500</v>
      </c>
      <c r="P52" s="49">
        <v>10</v>
      </c>
      <c r="Q52" s="53">
        <v>5500</v>
      </c>
      <c r="R52" s="58">
        <v>70</v>
      </c>
      <c r="S52" s="59">
        <v>38500</v>
      </c>
      <c r="T52" s="60">
        <v>180</v>
      </c>
      <c r="U52" s="61">
        <v>49500</v>
      </c>
      <c r="V52" s="58"/>
      <c r="W52" s="59"/>
      <c r="X52" s="49"/>
      <c r="Y52" s="50"/>
      <c r="Z52" s="49">
        <v>260</v>
      </c>
      <c r="AA52" s="50">
        <v>143000</v>
      </c>
      <c r="AB52" s="49">
        <v>160</v>
      </c>
      <c r="AC52" s="53">
        <v>88000</v>
      </c>
      <c r="AD52" s="49">
        <v>15</v>
      </c>
      <c r="AE52" s="53">
        <v>8250</v>
      </c>
      <c r="AF52" s="49">
        <v>30</v>
      </c>
      <c r="AG52" s="53">
        <v>16500</v>
      </c>
      <c r="AH52" s="49">
        <v>165</v>
      </c>
      <c r="AI52" s="53">
        <v>90750</v>
      </c>
      <c r="AJ52" s="53"/>
      <c r="AK52" s="53"/>
      <c r="AL52" s="53"/>
      <c r="AM52" s="53"/>
      <c r="AN52" s="53">
        <v>80</v>
      </c>
      <c r="AO52" s="53">
        <v>44000</v>
      </c>
      <c r="AP52" s="62">
        <f t="shared" si="0"/>
        <v>1130</v>
      </c>
      <c r="AQ52" s="55">
        <f t="shared" si="1"/>
        <v>572000</v>
      </c>
    </row>
    <row r="53" spans="1:43">
      <c r="A53" s="47">
        <v>44</v>
      </c>
      <c r="B53" s="56">
        <v>4971710568103</v>
      </c>
      <c r="C53" s="57" t="s">
        <v>1013</v>
      </c>
      <c r="D53" s="75" t="s">
        <v>882</v>
      </c>
      <c r="E53" s="48" t="s">
        <v>863</v>
      </c>
      <c r="F53" s="58">
        <v>0</v>
      </c>
      <c r="G53" s="50">
        <v>0</v>
      </c>
      <c r="H53" s="51">
        <v>0</v>
      </c>
      <c r="I53" s="52">
        <v>0</v>
      </c>
      <c r="J53" s="49">
        <v>0</v>
      </c>
      <c r="K53" s="50">
        <v>0</v>
      </c>
      <c r="L53" s="49">
        <v>5</v>
      </c>
      <c r="M53" s="50">
        <v>13750</v>
      </c>
      <c r="N53" s="49">
        <v>0</v>
      </c>
      <c r="O53" s="50">
        <v>0</v>
      </c>
      <c r="P53" s="49">
        <v>0</v>
      </c>
      <c r="Q53" s="53">
        <v>0</v>
      </c>
      <c r="R53" s="58"/>
      <c r="S53" s="59"/>
      <c r="T53" s="60">
        <v>60</v>
      </c>
      <c r="U53" s="61">
        <v>82500</v>
      </c>
      <c r="V53" s="58"/>
      <c r="W53" s="59"/>
      <c r="X53" s="49"/>
      <c r="Y53" s="50"/>
      <c r="Z53" s="49">
        <v>22</v>
      </c>
      <c r="AA53" s="50">
        <v>60500</v>
      </c>
      <c r="AB53" s="49"/>
      <c r="AC53" s="53"/>
      <c r="AD53" s="49">
        <v>2</v>
      </c>
      <c r="AE53" s="53">
        <v>5500</v>
      </c>
      <c r="AF53" s="49"/>
      <c r="AG53" s="53"/>
      <c r="AH53" s="49">
        <v>1008</v>
      </c>
      <c r="AI53" s="53">
        <v>2772000</v>
      </c>
      <c r="AJ53" s="53"/>
      <c r="AK53" s="53"/>
      <c r="AL53" s="53"/>
      <c r="AM53" s="53"/>
      <c r="AN53" s="53"/>
      <c r="AO53" s="53"/>
      <c r="AP53" s="62">
        <f t="shared" si="0"/>
        <v>1097</v>
      </c>
      <c r="AQ53" s="55">
        <f t="shared" si="1"/>
        <v>2934250</v>
      </c>
    </row>
    <row r="54" spans="1:43">
      <c r="A54" s="47">
        <v>75</v>
      </c>
      <c r="B54" s="56">
        <v>4971710295252</v>
      </c>
      <c r="C54" s="57" t="s">
        <v>987</v>
      </c>
      <c r="D54" s="75" t="s">
        <v>882</v>
      </c>
      <c r="E54" s="48" t="s">
        <v>856</v>
      </c>
      <c r="F54" s="58">
        <v>0</v>
      </c>
      <c r="G54" s="50">
        <v>0</v>
      </c>
      <c r="H54" s="51">
        <v>30</v>
      </c>
      <c r="I54" s="52">
        <v>34650</v>
      </c>
      <c r="J54" s="49">
        <v>0</v>
      </c>
      <c r="K54" s="50">
        <v>0</v>
      </c>
      <c r="L54" s="49">
        <v>15</v>
      </c>
      <c r="M54" s="50">
        <v>17325</v>
      </c>
      <c r="N54" s="49">
        <v>150</v>
      </c>
      <c r="O54" s="50">
        <v>173250</v>
      </c>
      <c r="P54" s="49">
        <v>230</v>
      </c>
      <c r="Q54" s="53">
        <v>265650</v>
      </c>
      <c r="R54" s="58">
        <v>120</v>
      </c>
      <c r="S54" s="59">
        <v>138600</v>
      </c>
      <c r="T54" s="60">
        <v>148</v>
      </c>
      <c r="U54" s="61">
        <v>106260</v>
      </c>
      <c r="V54" s="58">
        <v>62</v>
      </c>
      <c r="W54" s="59">
        <v>71610</v>
      </c>
      <c r="X54" s="49">
        <v>86</v>
      </c>
      <c r="Y54" s="50">
        <v>99330</v>
      </c>
      <c r="Z54" s="49">
        <v>160</v>
      </c>
      <c r="AA54" s="50">
        <v>184800</v>
      </c>
      <c r="AB54" s="49"/>
      <c r="AC54" s="53"/>
      <c r="AD54" s="49"/>
      <c r="AE54" s="53"/>
      <c r="AF54" s="49"/>
      <c r="AG54" s="53"/>
      <c r="AH54" s="49"/>
      <c r="AI54" s="53"/>
      <c r="AJ54" s="53"/>
      <c r="AK54" s="53"/>
      <c r="AL54" s="53"/>
      <c r="AM54" s="53"/>
      <c r="AN54" s="53"/>
      <c r="AO54" s="53"/>
      <c r="AP54" s="62">
        <f t="shared" si="0"/>
        <v>1001</v>
      </c>
      <c r="AQ54" s="55">
        <f t="shared" si="1"/>
        <v>1091475</v>
      </c>
    </row>
    <row r="55" spans="1:43">
      <c r="A55" s="47">
        <v>56</v>
      </c>
      <c r="B55" s="56">
        <v>4971710561210</v>
      </c>
      <c r="C55" s="57" t="s">
        <v>463</v>
      </c>
      <c r="D55" s="75" t="s">
        <v>884</v>
      </c>
      <c r="E55" s="48" t="s">
        <v>464</v>
      </c>
      <c r="F55" s="58">
        <v>0</v>
      </c>
      <c r="G55" s="50">
        <v>0</v>
      </c>
      <c r="H55" s="51">
        <v>30</v>
      </c>
      <c r="I55" s="52">
        <v>23100</v>
      </c>
      <c r="J55" s="49">
        <v>5</v>
      </c>
      <c r="K55" s="50">
        <v>3850</v>
      </c>
      <c r="L55" s="49">
        <v>100</v>
      </c>
      <c r="M55" s="50">
        <v>77000</v>
      </c>
      <c r="N55" s="49">
        <v>40</v>
      </c>
      <c r="O55" s="50">
        <v>30800</v>
      </c>
      <c r="P55" s="49">
        <v>0</v>
      </c>
      <c r="Q55" s="53">
        <v>0</v>
      </c>
      <c r="R55" s="58">
        <v>91</v>
      </c>
      <c r="S55" s="59">
        <v>70070</v>
      </c>
      <c r="T55" s="60">
        <v>160</v>
      </c>
      <c r="U55" s="61">
        <v>61600</v>
      </c>
      <c r="V55" s="58">
        <v>2</v>
      </c>
      <c r="W55" s="59">
        <v>1540</v>
      </c>
      <c r="X55" s="49">
        <v>84</v>
      </c>
      <c r="Y55" s="50">
        <v>64680</v>
      </c>
      <c r="Z55" s="49">
        <v>108</v>
      </c>
      <c r="AA55" s="50">
        <v>83160</v>
      </c>
      <c r="AB55" s="49">
        <v>5</v>
      </c>
      <c r="AC55" s="53">
        <v>3850</v>
      </c>
      <c r="AD55" s="49">
        <v>66</v>
      </c>
      <c r="AE55" s="53">
        <v>50820</v>
      </c>
      <c r="AF55" s="49">
        <v>40</v>
      </c>
      <c r="AG55" s="53">
        <v>30800</v>
      </c>
      <c r="AH55" s="49">
        <v>87</v>
      </c>
      <c r="AI55" s="53">
        <v>66990</v>
      </c>
      <c r="AJ55" s="53"/>
      <c r="AK55" s="53"/>
      <c r="AL55" s="53"/>
      <c r="AM55" s="53"/>
      <c r="AN55" s="53">
        <v>148</v>
      </c>
      <c r="AO55" s="53">
        <v>113960</v>
      </c>
      <c r="AP55" s="62">
        <f t="shared" si="0"/>
        <v>966</v>
      </c>
      <c r="AQ55" s="55">
        <f t="shared" si="1"/>
        <v>682220</v>
      </c>
    </row>
    <row r="56" spans="1:43">
      <c r="A56" s="47">
        <v>50</v>
      </c>
      <c r="B56" s="56">
        <v>4971710295818</v>
      </c>
      <c r="C56" s="57" t="s">
        <v>986</v>
      </c>
      <c r="D56" s="75" t="s">
        <v>882</v>
      </c>
      <c r="E56" s="48" t="s">
        <v>13</v>
      </c>
      <c r="F56" s="58">
        <v>0</v>
      </c>
      <c r="G56" s="50">
        <v>0</v>
      </c>
      <c r="H56" s="51">
        <v>10</v>
      </c>
      <c r="I56" s="52">
        <v>40700</v>
      </c>
      <c r="J56" s="49">
        <v>0</v>
      </c>
      <c r="K56" s="50">
        <v>0</v>
      </c>
      <c r="L56" s="49">
        <v>5</v>
      </c>
      <c r="M56" s="50">
        <v>20350</v>
      </c>
      <c r="N56" s="49">
        <v>10</v>
      </c>
      <c r="O56" s="50">
        <v>40700</v>
      </c>
      <c r="P56" s="49">
        <v>24</v>
      </c>
      <c r="Q56" s="53">
        <v>97680</v>
      </c>
      <c r="R56" s="58">
        <v>122</v>
      </c>
      <c r="S56" s="59">
        <v>496540</v>
      </c>
      <c r="T56" s="60">
        <v>192</v>
      </c>
      <c r="U56" s="61">
        <v>463980</v>
      </c>
      <c r="V56" s="58">
        <v>105</v>
      </c>
      <c r="W56" s="59">
        <v>427350</v>
      </c>
      <c r="X56" s="49">
        <v>66</v>
      </c>
      <c r="Y56" s="50">
        <v>268620</v>
      </c>
      <c r="Z56" s="49">
        <v>148</v>
      </c>
      <c r="AA56" s="50">
        <v>602360</v>
      </c>
      <c r="AB56" s="49">
        <v>50</v>
      </c>
      <c r="AC56" s="53">
        <v>203500</v>
      </c>
      <c r="AD56" s="49">
        <v>44</v>
      </c>
      <c r="AE56" s="53">
        <v>179080</v>
      </c>
      <c r="AF56" s="49"/>
      <c r="AG56" s="53"/>
      <c r="AH56" s="49">
        <v>170</v>
      </c>
      <c r="AI56" s="53">
        <v>691900</v>
      </c>
      <c r="AJ56" s="53"/>
      <c r="AK56" s="53"/>
      <c r="AL56" s="53"/>
      <c r="AM56" s="53"/>
      <c r="AN56" s="53"/>
      <c r="AO56" s="53"/>
      <c r="AP56" s="62">
        <f t="shared" si="0"/>
        <v>946</v>
      </c>
      <c r="AQ56" s="55">
        <f t="shared" si="1"/>
        <v>3532760</v>
      </c>
    </row>
    <row r="57" spans="1:43">
      <c r="A57" s="47">
        <v>97</v>
      </c>
      <c r="B57" s="56">
        <v>4971710571844</v>
      </c>
      <c r="C57" s="57" t="s">
        <v>565</v>
      </c>
      <c r="D57" s="75" t="s">
        <v>884</v>
      </c>
      <c r="E57" s="48" t="s">
        <v>566</v>
      </c>
      <c r="F57" s="58">
        <v>200</v>
      </c>
      <c r="G57" s="50">
        <v>143000</v>
      </c>
      <c r="H57" s="51">
        <v>0</v>
      </c>
      <c r="I57" s="52">
        <v>0</v>
      </c>
      <c r="J57" s="49">
        <v>0</v>
      </c>
      <c r="K57" s="50">
        <v>0</v>
      </c>
      <c r="L57" s="49">
        <v>0</v>
      </c>
      <c r="M57" s="50">
        <v>0</v>
      </c>
      <c r="N57" s="49">
        <v>276</v>
      </c>
      <c r="O57" s="50">
        <v>197340</v>
      </c>
      <c r="P57" s="49">
        <v>0</v>
      </c>
      <c r="Q57" s="53">
        <v>0</v>
      </c>
      <c r="R57" s="58">
        <v>100</v>
      </c>
      <c r="S57" s="59">
        <v>71500</v>
      </c>
      <c r="T57" s="60">
        <v>220</v>
      </c>
      <c r="U57" s="61">
        <v>78650</v>
      </c>
      <c r="V57" s="58">
        <v>30</v>
      </c>
      <c r="W57" s="59">
        <v>21450</v>
      </c>
      <c r="X57" s="49"/>
      <c r="Y57" s="50"/>
      <c r="Z57" s="49">
        <v>115</v>
      </c>
      <c r="AA57" s="50">
        <v>82225</v>
      </c>
      <c r="AB57" s="49"/>
      <c r="AC57" s="53"/>
      <c r="AD57" s="49"/>
      <c r="AE57" s="53"/>
      <c r="AF57" s="49"/>
      <c r="AG57" s="53"/>
      <c r="AH57" s="49"/>
      <c r="AI57" s="53"/>
      <c r="AJ57" s="53"/>
      <c r="AK57" s="53"/>
      <c r="AL57" s="53"/>
      <c r="AM57" s="53"/>
      <c r="AN57" s="53"/>
      <c r="AO57" s="53"/>
      <c r="AP57" s="62">
        <f t="shared" si="0"/>
        <v>941</v>
      </c>
      <c r="AQ57" s="55">
        <f t="shared" si="1"/>
        <v>594165</v>
      </c>
    </row>
    <row r="58" spans="1:43">
      <c r="A58" s="47">
        <v>59</v>
      </c>
      <c r="B58" s="56">
        <v>4971710494211</v>
      </c>
      <c r="C58" s="57" t="s">
        <v>122</v>
      </c>
      <c r="D58" s="75" t="s">
        <v>884</v>
      </c>
      <c r="E58" s="48" t="s">
        <v>123</v>
      </c>
      <c r="F58" s="58">
        <v>130</v>
      </c>
      <c r="G58" s="50">
        <v>38610</v>
      </c>
      <c r="H58" s="51">
        <v>5</v>
      </c>
      <c r="I58" s="52">
        <v>1485</v>
      </c>
      <c r="J58" s="49">
        <v>0</v>
      </c>
      <c r="K58" s="50">
        <v>0</v>
      </c>
      <c r="L58" s="49">
        <v>56</v>
      </c>
      <c r="M58" s="50">
        <v>16632</v>
      </c>
      <c r="N58" s="49">
        <v>0</v>
      </c>
      <c r="O58" s="50">
        <v>0</v>
      </c>
      <c r="P58" s="49">
        <v>35</v>
      </c>
      <c r="Q58" s="53">
        <v>10395</v>
      </c>
      <c r="R58" s="58">
        <v>26</v>
      </c>
      <c r="S58" s="59">
        <v>7721</v>
      </c>
      <c r="T58" s="60">
        <v>24</v>
      </c>
      <c r="U58" s="61">
        <v>3564</v>
      </c>
      <c r="V58" s="58">
        <v>10</v>
      </c>
      <c r="W58" s="59">
        <v>2970</v>
      </c>
      <c r="X58" s="49">
        <v>68</v>
      </c>
      <c r="Y58" s="50">
        <v>20196</v>
      </c>
      <c r="Z58" s="49">
        <v>40</v>
      </c>
      <c r="AA58" s="50">
        <v>11880</v>
      </c>
      <c r="AB58" s="49">
        <v>12</v>
      </c>
      <c r="AC58" s="53">
        <v>3564</v>
      </c>
      <c r="AD58" s="49">
        <v>204</v>
      </c>
      <c r="AE58" s="53">
        <v>60588</v>
      </c>
      <c r="AF58" s="49">
        <v>104</v>
      </c>
      <c r="AG58" s="53">
        <v>30888</v>
      </c>
      <c r="AH58" s="49">
        <v>76</v>
      </c>
      <c r="AI58" s="53">
        <v>22572</v>
      </c>
      <c r="AJ58" s="53"/>
      <c r="AK58" s="53"/>
      <c r="AL58" s="53"/>
      <c r="AM58" s="53"/>
      <c r="AN58" s="53">
        <v>126</v>
      </c>
      <c r="AO58" s="53">
        <v>37422</v>
      </c>
      <c r="AP58" s="62">
        <f t="shared" si="0"/>
        <v>916</v>
      </c>
      <c r="AQ58" s="55">
        <f t="shared" si="1"/>
        <v>268487</v>
      </c>
    </row>
    <row r="59" spans="1:43">
      <c r="A59" s="47">
        <v>52</v>
      </c>
      <c r="B59" s="56">
        <v>4971710557725</v>
      </c>
      <c r="C59" s="57" t="s">
        <v>458</v>
      </c>
      <c r="D59" s="75" t="s">
        <v>880</v>
      </c>
      <c r="E59" s="48" t="s">
        <v>459</v>
      </c>
      <c r="F59" s="58">
        <v>10</v>
      </c>
      <c r="G59" s="50">
        <v>6600</v>
      </c>
      <c r="H59" s="51">
        <v>55</v>
      </c>
      <c r="I59" s="52">
        <v>36300</v>
      </c>
      <c r="J59" s="49">
        <v>0</v>
      </c>
      <c r="K59" s="50">
        <v>0</v>
      </c>
      <c r="L59" s="49">
        <v>0</v>
      </c>
      <c r="M59" s="50">
        <v>0</v>
      </c>
      <c r="N59" s="49">
        <v>30</v>
      </c>
      <c r="O59" s="50">
        <v>19800</v>
      </c>
      <c r="P59" s="49">
        <v>0</v>
      </c>
      <c r="Q59" s="53">
        <v>0</v>
      </c>
      <c r="R59" s="58">
        <v>125</v>
      </c>
      <c r="S59" s="59">
        <v>82500</v>
      </c>
      <c r="T59" s="60">
        <v>66</v>
      </c>
      <c r="U59" s="61">
        <v>23760</v>
      </c>
      <c r="V59" s="58">
        <v>40</v>
      </c>
      <c r="W59" s="59">
        <v>26400</v>
      </c>
      <c r="X59" s="49">
        <v>120</v>
      </c>
      <c r="Y59" s="50">
        <v>79200</v>
      </c>
      <c r="Z59" s="49">
        <v>112</v>
      </c>
      <c r="AA59" s="50">
        <v>73920</v>
      </c>
      <c r="AB59" s="49"/>
      <c r="AC59" s="53"/>
      <c r="AD59" s="49">
        <v>72</v>
      </c>
      <c r="AE59" s="53">
        <v>47520</v>
      </c>
      <c r="AF59" s="49">
        <v>104</v>
      </c>
      <c r="AG59" s="53">
        <v>68640</v>
      </c>
      <c r="AH59" s="49">
        <v>30</v>
      </c>
      <c r="AI59" s="53">
        <v>19800</v>
      </c>
      <c r="AJ59" s="53"/>
      <c r="AK59" s="53"/>
      <c r="AL59" s="53"/>
      <c r="AM59" s="53"/>
      <c r="AN59" s="53">
        <v>123</v>
      </c>
      <c r="AO59" s="53">
        <v>81180</v>
      </c>
      <c r="AP59" s="62">
        <f t="shared" si="0"/>
        <v>887</v>
      </c>
      <c r="AQ59" s="55">
        <f t="shared" si="1"/>
        <v>565620</v>
      </c>
    </row>
    <row r="60" spans="1:43">
      <c r="A60" s="47">
        <v>47</v>
      </c>
      <c r="B60" s="56">
        <v>4971710570250</v>
      </c>
      <c r="C60" s="57" t="s">
        <v>994</v>
      </c>
      <c r="D60" s="75" t="s">
        <v>1085</v>
      </c>
      <c r="E60" s="48" t="s">
        <v>860</v>
      </c>
      <c r="F60" s="58">
        <v>0</v>
      </c>
      <c r="G60" s="50">
        <v>0</v>
      </c>
      <c r="H60" s="51">
        <v>0</v>
      </c>
      <c r="I60" s="52">
        <v>0</v>
      </c>
      <c r="J60" s="49">
        <v>0</v>
      </c>
      <c r="K60" s="50">
        <v>0</v>
      </c>
      <c r="L60" s="49">
        <v>0</v>
      </c>
      <c r="M60" s="50">
        <v>0</v>
      </c>
      <c r="N60" s="49">
        <v>0</v>
      </c>
      <c r="O60" s="50">
        <v>0</v>
      </c>
      <c r="P60" s="49">
        <v>0</v>
      </c>
      <c r="Q60" s="53">
        <v>0</v>
      </c>
      <c r="R60" s="58"/>
      <c r="S60" s="59"/>
      <c r="T60" s="60"/>
      <c r="U60" s="61"/>
      <c r="V60" s="58"/>
      <c r="W60" s="59"/>
      <c r="X60" s="49"/>
      <c r="Y60" s="50"/>
      <c r="Z60" s="49">
        <v>234</v>
      </c>
      <c r="AA60" s="50">
        <v>514800</v>
      </c>
      <c r="AB60" s="49"/>
      <c r="AC60" s="53"/>
      <c r="AD60" s="49"/>
      <c r="AE60" s="53"/>
      <c r="AF60" s="49"/>
      <c r="AG60" s="53"/>
      <c r="AH60" s="49">
        <v>316</v>
      </c>
      <c r="AI60" s="53">
        <v>695200</v>
      </c>
      <c r="AJ60" s="53"/>
      <c r="AK60" s="53"/>
      <c r="AL60" s="53"/>
      <c r="AM60" s="53"/>
      <c r="AN60" s="53">
        <v>321</v>
      </c>
      <c r="AO60" s="53">
        <v>759165</v>
      </c>
      <c r="AP60" s="63">
        <f t="shared" si="0"/>
        <v>871</v>
      </c>
      <c r="AQ60" s="55">
        <f t="shared" si="1"/>
        <v>1969165</v>
      </c>
    </row>
    <row r="61" spans="1:43">
      <c r="A61" s="47">
        <v>62</v>
      </c>
      <c r="B61" s="56">
        <v>4971710593044</v>
      </c>
      <c r="C61" s="57" t="s">
        <v>756</v>
      </c>
      <c r="D61" s="75" t="s">
        <v>884</v>
      </c>
      <c r="E61" s="48" t="s">
        <v>757</v>
      </c>
      <c r="F61" s="58">
        <v>0</v>
      </c>
      <c r="G61" s="50">
        <v>0</v>
      </c>
      <c r="H61" s="51">
        <v>0</v>
      </c>
      <c r="I61" s="52">
        <v>0</v>
      </c>
      <c r="J61" s="49">
        <v>0</v>
      </c>
      <c r="K61" s="50">
        <v>0</v>
      </c>
      <c r="L61" s="49">
        <v>0</v>
      </c>
      <c r="M61" s="50">
        <v>0</v>
      </c>
      <c r="N61" s="49">
        <v>0</v>
      </c>
      <c r="O61" s="50">
        <v>0</v>
      </c>
      <c r="P61" s="49">
        <v>0</v>
      </c>
      <c r="Q61" s="53">
        <v>0</v>
      </c>
      <c r="R61" s="58">
        <v>120</v>
      </c>
      <c r="S61" s="59">
        <v>112200</v>
      </c>
      <c r="T61" s="60">
        <v>394</v>
      </c>
      <c r="U61" s="61">
        <v>184195</v>
      </c>
      <c r="V61" s="58">
        <v>12</v>
      </c>
      <c r="W61" s="59">
        <v>11220</v>
      </c>
      <c r="X61" s="49">
        <v>36</v>
      </c>
      <c r="Y61" s="50">
        <v>33660</v>
      </c>
      <c r="Z61" s="49">
        <v>100</v>
      </c>
      <c r="AA61" s="50">
        <v>93500</v>
      </c>
      <c r="AB61" s="49"/>
      <c r="AC61" s="53"/>
      <c r="AD61" s="49">
        <v>102</v>
      </c>
      <c r="AE61" s="53">
        <v>95370</v>
      </c>
      <c r="AF61" s="49"/>
      <c r="AG61" s="53"/>
      <c r="AH61" s="49">
        <v>15</v>
      </c>
      <c r="AI61" s="53">
        <v>14025</v>
      </c>
      <c r="AJ61" s="53"/>
      <c r="AK61" s="53"/>
      <c r="AL61" s="53"/>
      <c r="AM61" s="53"/>
      <c r="AN61" s="53">
        <v>82</v>
      </c>
      <c r="AO61" s="53">
        <v>76670</v>
      </c>
      <c r="AP61" s="62">
        <f t="shared" si="0"/>
        <v>861</v>
      </c>
      <c r="AQ61" s="55">
        <f t="shared" si="1"/>
        <v>620840</v>
      </c>
    </row>
    <row r="62" spans="1:43">
      <c r="A62" s="47">
        <v>49</v>
      </c>
      <c r="B62" s="56">
        <v>4971710585278</v>
      </c>
      <c r="C62" s="57" t="s">
        <v>991</v>
      </c>
      <c r="D62" s="75" t="s">
        <v>1085</v>
      </c>
      <c r="E62" s="48" t="s">
        <v>862</v>
      </c>
      <c r="F62" s="58">
        <v>0</v>
      </c>
      <c r="G62" s="50">
        <v>0</v>
      </c>
      <c r="H62" s="51">
        <v>0</v>
      </c>
      <c r="I62" s="52">
        <v>0</v>
      </c>
      <c r="J62" s="49">
        <v>0</v>
      </c>
      <c r="K62" s="50">
        <v>0</v>
      </c>
      <c r="L62" s="49">
        <v>0</v>
      </c>
      <c r="M62" s="50">
        <v>0</v>
      </c>
      <c r="N62" s="49">
        <v>0</v>
      </c>
      <c r="O62" s="50">
        <v>0</v>
      </c>
      <c r="P62" s="49">
        <v>0</v>
      </c>
      <c r="Q62" s="53">
        <v>0</v>
      </c>
      <c r="R62" s="58"/>
      <c r="S62" s="59"/>
      <c r="T62" s="60"/>
      <c r="U62" s="61"/>
      <c r="V62" s="58"/>
      <c r="W62" s="59"/>
      <c r="X62" s="49"/>
      <c r="Y62" s="50"/>
      <c r="Z62" s="49">
        <v>192</v>
      </c>
      <c r="AA62" s="50">
        <v>211200</v>
      </c>
      <c r="AB62" s="49"/>
      <c r="AC62" s="53"/>
      <c r="AD62" s="49">
        <v>100</v>
      </c>
      <c r="AE62" s="53">
        <v>110000</v>
      </c>
      <c r="AF62" s="49"/>
      <c r="AG62" s="53"/>
      <c r="AH62" s="49">
        <v>354</v>
      </c>
      <c r="AI62" s="53">
        <v>389400</v>
      </c>
      <c r="AJ62" s="53"/>
      <c r="AK62" s="53"/>
      <c r="AL62" s="53"/>
      <c r="AM62" s="53"/>
      <c r="AN62" s="53">
        <v>202</v>
      </c>
      <c r="AO62" s="53">
        <v>255530</v>
      </c>
      <c r="AP62" s="62">
        <f t="shared" si="0"/>
        <v>848</v>
      </c>
      <c r="AQ62" s="55">
        <f t="shared" si="1"/>
        <v>966130</v>
      </c>
    </row>
    <row r="63" spans="1:43">
      <c r="A63" s="47">
        <v>73</v>
      </c>
      <c r="B63" s="56">
        <v>4971710494204</v>
      </c>
      <c r="C63" s="57" t="s">
        <v>120</v>
      </c>
      <c r="D63" s="75" t="s">
        <v>884</v>
      </c>
      <c r="E63" s="48" t="s">
        <v>121</v>
      </c>
      <c r="F63" s="58">
        <v>0</v>
      </c>
      <c r="G63" s="50">
        <v>0</v>
      </c>
      <c r="H63" s="51">
        <v>5</v>
      </c>
      <c r="I63" s="52">
        <v>1485</v>
      </c>
      <c r="J63" s="49">
        <v>50</v>
      </c>
      <c r="K63" s="50">
        <v>14850</v>
      </c>
      <c r="L63" s="49">
        <v>85</v>
      </c>
      <c r="M63" s="50">
        <v>25245</v>
      </c>
      <c r="N63" s="49">
        <v>0</v>
      </c>
      <c r="O63" s="50">
        <v>0</v>
      </c>
      <c r="P63" s="49">
        <v>0</v>
      </c>
      <c r="Q63" s="53">
        <v>0</v>
      </c>
      <c r="R63" s="58">
        <v>80</v>
      </c>
      <c r="S63" s="59">
        <v>23760</v>
      </c>
      <c r="T63" s="60">
        <v>304</v>
      </c>
      <c r="U63" s="61">
        <v>45144</v>
      </c>
      <c r="V63" s="58">
        <v>6</v>
      </c>
      <c r="W63" s="59">
        <v>1782</v>
      </c>
      <c r="X63" s="49">
        <v>56</v>
      </c>
      <c r="Y63" s="50">
        <v>16632</v>
      </c>
      <c r="Z63" s="49">
        <v>106</v>
      </c>
      <c r="AA63" s="50">
        <v>31482</v>
      </c>
      <c r="AB63" s="49">
        <v>6</v>
      </c>
      <c r="AC63" s="53">
        <v>1782</v>
      </c>
      <c r="AD63" s="49">
        <v>16</v>
      </c>
      <c r="AE63" s="53">
        <v>4752</v>
      </c>
      <c r="AF63" s="49">
        <v>6</v>
      </c>
      <c r="AG63" s="53">
        <v>1782</v>
      </c>
      <c r="AH63" s="49">
        <v>10</v>
      </c>
      <c r="AI63" s="53">
        <v>2970</v>
      </c>
      <c r="AJ63" s="53"/>
      <c r="AK63" s="53"/>
      <c r="AL63" s="53"/>
      <c r="AM63" s="53"/>
      <c r="AN63" s="53">
        <v>114</v>
      </c>
      <c r="AO63" s="53">
        <v>33858</v>
      </c>
      <c r="AP63" s="62">
        <f t="shared" si="0"/>
        <v>844</v>
      </c>
      <c r="AQ63" s="55">
        <f t="shared" si="1"/>
        <v>205524</v>
      </c>
    </row>
    <row r="64" spans="1:43">
      <c r="A64" s="47">
        <v>53</v>
      </c>
      <c r="B64" s="56">
        <v>4971710595499</v>
      </c>
      <c r="C64" s="57" t="s">
        <v>758</v>
      </c>
      <c r="D64" s="75" t="s">
        <v>884</v>
      </c>
      <c r="E64" s="48" t="s">
        <v>759</v>
      </c>
      <c r="F64" s="58">
        <v>0</v>
      </c>
      <c r="G64" s="50">
        <v>0</v>
      </c>
      <c r="H64" s="51">
        <v>0</v>
      </c>
      <c r="I64" s="52">
        <v>0</v>
      </c>
      <c r="J64" s="49">
        <v>0</v>
      </c>
      <c r="K64" s="50">
        <v>0</v>
      </c>
      <c r="L64" s="49">
        <v>0</v>
      </c>
      <c r="M64" s="50">
        <v>0</v>
      </c>
      <c r="N64" s="49">
        <v>0</v>
      </c>
      <c r="O64" s="50">
        <v>0</v>
      </c>
      <c r="P64" s="49">
        <v>0</v>
      </c>
      <c r="Q64" s="53">
        <v>0</v>
      </c>
      <c r="R64" s="58"/>
      <c r="S64" s="59"/>
      <c r="T64" s="60">
        <v>124</v>
      </c>
      <c r="U64" s="61">
        <v>47740</v>
      </c>
      <c r="V64" s="58">
        <v>220</v>
      </c>
      <c r="W64" s="59">
        <v>169400</v>
      </c>
      <c r="X64" s="49">
        <v>110</v>
      </c>
      <c r="Y64" s="50">
        <v>84700</v>
      </c>
      <c r="Z64" s="49">
        <v>38</v>
      </c>
      <c r="AA64" s="50">
        <v>29260</v>
      </c>
      <c r="AB64" s="49">
        <v>216</v>
      </c>
      <c r="AC64" s="53">
        <v>166320</v>
      </c>
      <c r="AD64" s="49"/>
      <c r="AE64" s="53"/>
      <c r="AF64" s="49">
        <v>20</v>
      </c>
      <c r="AG64" s="53">
        <v>15400</v>
      </c>
      <c r="AH64" s="49">
        <v>65</v>
      </c>
      <c r="AI64" s="53">
        <v>50050</v>
      </c>
      <c r="AJ64" s="53"/>
      <c r="AK64" s="53"/>
      <c r="AL64" s="53"/>
      <c r="AM64" s="53"/>
      <c r="AN64" s="53">
        <v>30</v>
      </c>
      <c r="AO64" s="53">
        <v>23100</v>
      </c>
      <c r="AP64" s="62">
        <f t="shared" si="0"/>
        <v>823</v>
      </c>
      <c r="AQ64" s="55">
        <f t="shared" si="1"/>
        <v>585970</v>
      </c>
    </row>
    <row r="65" spans="1:43">
      <c r="A65" s="47">
        <v>63</v>
      </c>
      <c r="B65" s="56">
        <v>4971710582857</v>
      </c>
      <c r="C65" s="57" t="s">
        <v>692</v>
      </c>
      <c r="D65" s="75" t="s">
        <v>884</v>
      </c>
      <c r="E65" s="48" t="s">
        <v>693</v>
      </c>
      <c r="F65" s="58">
        <v>0</v>
      </c>
      <c r="G65" s="50">
        <v>0</v>
      </c>
      <c r="H65" s="51">
        <v>50</v>
      </c>
      <c r="I65" s="52">
        <v>35750</v>
      </c>
      <c r="J65" s="49">
        <v>10</v>
      </c>
      <c r="K65" s="50">
        <v>7150</v>
      </c>
      <c r="L65" s="49">
        <v>41</v>
      </c>
      <c r="M65" s="50">
        <v>29315</v>
      </c>
      <c r="N65" s="49">
        <v>1</v>
      </c>
      <c r="O65" s="50">
        <v>715</v>
      </c>
      <c r="P65" s="49">
        <v>0</v>
      </c>
      <c r="Q65" s="53">
        <v>0</v>
      </c>
      <c r="R65" s="58">
        <v>150</v>
      </c>
      <c r="S65" s="59">
        <v>107250</v>
      </c>
      <c r="T65" s="60">
        <v>152</v>
      </c>
      <c r="U65" s="61">
        <v>54340</v>
      </c>
      <c r="V65" s="58">
        <v>8</v>
      </c>
      <c r="W65" s="59">
        <v>5720</v>
      </c>
      <c r="X65" s="49">
        <v>6</v>
      </c>
      <c r="Y65" s="50">
        <v>4290</v>
      </c>
      <c r="Z65" s="49">
        <v>2</v>
      </c>
      <c r="AA65" s="50">
        <v>1430</v>
      </c>
      <c r="AB65" s="49"/>
      <c r="AC65" s="53"/>
      <c r="AD65" s="49">
        <v>2</v>
      </c>
      <c r="AE65" s="53">
        <v>1430</v>
      </c>
      <c r="AF65" s="49">
        <v>10</v>
      </c>
      <c r="AG65" s="53">
        <v>7150</v>
      </c>
      <c r="AH65" s="49">
        <v>300</v>
      </c>
      <c r="AI65" s="53">
        <v>214500</v>
      </c>
      <c r="AJ65" s="53"/>
      <c r="AK65" s="53"/>
      <c r="AL65" s="53"/>
      <c r="AM65" s="53"/>
      <c r="AN65" s="53">
        <v>82</v>
      </c>
      <c r="AO65" s="53">
        <v>58630</v>
      </c>
      <c r="AP65" s="62">
        <f t="shared" si="0"/>
        <v>814</v>
      </c>
      <c r="AQ65" s="55">
        <f t="shared" si="1"/>
        <v>527670</v>
      </c>
    </row>
    <row r="66" spans="1:43">
      <c r="A66" s="47">
        <v>173</v>
      </c>
      <c r="B66" s="56">
        <v>4971710581911</v>
      </c>
      <c r="C66" s="57" t="s">
        <v>690</v>
      </c>
      <c r="D66" s="75" t="s">
        <v>884</v>
      </c>
      <c r="E66" s="48" t="s">
        <v>691</v>
      </c>
      <c r="F66" s="58">
        <v>0</v>
      </c>
      <c r="G66" s="50">
        <v>0</v>
      </c>
      <c r="H66" s="51">
        <v>0</v>
      </c>
      <c r="I66" s="52">
        <v>0</v>
      </c>
      <c r="J66" s="49">
        <v>300</v>
      </c>
      <c r="K66" s="50">
        <v>214500</v>
      </c>
      <c r="L66" s="49">
        <v>300</v>
      </c>
      <c r="M66" s="50">
        <v>214500</v>
      </c>
      <c r="N66" s="49">
        <v>40</v>
      </c>
      <c r="O66" s="50">
        <v>28600</v>
      </c>
      <c r="P66" s="49">
        <v>0</v>
      </c>
      <c r="Q66" s="53">
        <v>0</v>
      </c>
      <c r="R66" s="58">
        <v>100</v>
      </c>
      <c r="S66" s="59">
        <v>71500</v>
      </c>
      <c r="T66" s="60"/>
      <c r="U66" s="61"/>
      <c r="V66" s="58"/>
      <c r="W66" s="59"/>
      <c r="X66" s="49">
        <v>70</v>
      </c>
      <c r="Y66" s="50">
        <v>50050</v>
      </c>
      <c r="Z66" s="49"/>
      <c r="AA66" s="50"/>
      <c r="AB66" s="49"/>
      <c r="AC66" s="53"/>
      <c r="AD66" s="49"/>
      <c r="AE66" s="53"/>
      <c r="AF66" s="49"/>
      <c r="AG66" s="53"/>
      <c r="AH66" s="49"/>
      <c r="AI66" s="53"/>
      <c r="AJ66" s="53"/>
      <c r="AK66" s="53"/>
      <c r="AL66" s="53"/>
      <c r="AM66" s="53"/>
      <c r="AN66" s="53"/>
      <c r="AO66" s="53"/>
      <c r="AP66" s="62">
        <f t="shared" si="0"/>
        <v>810</v>
      </c>
      <c r="AQ66" s="55">
        <f t="shared" si="1"/>
        <v>579150</v>
      </c>
    </row>
    <row r="67" spans="1:43">
      <c r="A67" s="47">
        <v>51</v>
      </c>
      <c r="B67" s="56">
        <v>4971710557732</v>
      </c>
      <c r="C67" s="57" t="s">
        <v>460</v>
      </c>
      <c r="D67" s="75" t="s">
        <v>880</v>
      </c>
      <c r="E67" s="48" t="s">
        <v>461</v>
      </c>
      <c r="F67" s="58">
        <v>10</v>
      </c>
      <c r="G67" s="50">
        <v>6600</v>
      </c>
      <c r="H67" s="51">
        <v>50</v>
      </c>
      <c r="I67" s="52">
        <v>33000</v>
      </c>
      <c r="J67" s="49">
        <v>40</v>
      </c>
      <c r="K67" s="50">
        <v>26400</v>
      </c>
      <c r="L67" s="49">
        <v>5</v>
      </c>
      <c r="M67" s="50">
        <v>3300</v>
      </c>
      <c r="N67" s="49">
        <v>10</v>
      </c>
      <c r="O67" s="50">
        <v>6600</v>
      </c>
      <c r="P67" s="49">
        <v>5</v>
      </c>
      <c r="Q67" s="53">
        <v>3300</v>
      </c>
      <c r="R67" s="58">
        <v>132</v>
      </c>
      <c r="S67" s="59">
        <v>87120</v>
      </c>
      <c r="T67" s="60">
        <v>64</v>
      </c>
      <c r="U67" s="61">
        <v>22440</v>
      </c>
      <c r="V67" s="58">
        <v>6</v>
      </c>
      <c r="W67" s="59">
        <v>3960</v>
      </c>
      <c r="X67" s="49">
        <v>66</v>
      </c>
      <c r="Y67" s="50">
        <v>43560</v>
      </c>
      <c r="Z67" s="49">
        <v>112</v>
      </c>
      <c r="AA67" s="50">
        <v>73920</v>
      </c>
      <c r="AB67" s="49"/>
      <c r="AC67" s="53"/>
      <c r="AD67" s="49">
        <v>188</v>
      </c>
      <c r="AE67" s="53">
        <v>124080</v>
      </c>
      <c r="AF67" s="49">
        <v>106</v>
      </c>
      <c r="AG67" s="53">
        <v>69960</v>
      </c>
      <c r="AH67" s="49">
        <v>10</v>
      </c>
      <c r="AI67" s="53">
        <v>6600</v>
      </c>
      <c r="AJ67" s="53"/>
      <c r="AK67" s="53"/>
      <c r="AL67" s="53"/>
      <c r="AM67" s="53"/>
      <c r="AN67" s="53"/>
      <c r="AO67" s="53"/>
      <c r="AP67" s="62">
        <f t="shared" ref="AP67:AP130" si="2">F67+H67+J67+L67+N67+P67+R67+T67+V67+X67+Z67+AB67+AD67+AF67+AH67+AJ67+AL67+AN67</f>
        <v>804</v>
      </c>
      <c r="AQ67" s="55">
        <f t="shared" ref="AQ67:AQ130" si="3">G67+I67+K67+M67+O67+Q67+S67+U67+W67+Y67+AA67+AC67+AE67+AG67+AI67+AK67+AM67+AO67</f>
        <v>510840</v>
      </c>
    </row>
    <row r="68" spans="1:43">
      <c r="A68" s="47">
        <v>88</v>
      </c>
      <c r="B68" s="56">
        <v>4971710588132</v>
      </c>
      <c r="C68" s="57" t="s">
        <v>718</v>
      </c>
      <c r="D68" s="75" t="s">
        <v>884</v>
      </c>
      <c r="E68" s="48" t="s">
        <v>719</v>
      </c>
      <c r="F68" s="58">
        <v>0</v>
      </c>
      <c r="G68" s="50">
        <v>0</v>
      </c>
      <c r="H68" s="51">
        <v>0</v>
      </c>
      <c r="I68" s="52">
        <v>0</v>
      </c>
      <c r="J68" s="49">
        <v>0</v>
      </c>
      <c r="K68" s="50">
        <v>0</v>
      </c>
      <c r="L68" s="49">
        <v>0</v>
      </c>
      <c r="M68" s="50">
        <v>0</v>
      </c>
      <c r="N68" s="49">
        <v>0</v>
      </c>
      <c r="O68" s="50">
        <v>0</v>
      </c>
      <c r="P68" s="49">
        <v>0</v>
      </c>
      <c r="Q68" s="53">
        <v>0</v>
      </c>
      <c r="R68" s="58"/>
      <c r="S68" s="59"/>
      <c r="T68" s="60">
        <v>600</v>
      </c>
      <c r="U68" s="61">
        <v>214500</v>
      </c>
      <c r="V68" s="58"/>
      <c r="W68" s="59"/>
      <c r="X68" s="49"/>
      <c r="Y68" s="50"/>
      <c r="Z68" s="49"/>
      <c r="AA68" s="50"/>
      <c r="AB68" s="49">
        <v>20</v>
      </c>
      <c r="AC68" s="53">
        <v>14300</v>
      </c>
      <c r="AD68" s="49"/>
      <c r="AE68" s="53"/>
      <c r="AF68" s="49"/>
      <c r="AG68" s="53"/>
      <c r="AH68" s="49">
        <v>118</v>
      </c>
      <c r="AI68" s="53">
        <v>84370</v>
      </c>
      <c r="AJ68" s="53"/>
      <c r="AK68" s="53"/>
      <c r="AL68" s="53"/>
      <c r="AM68" s="53"/>
      <c r="AN68" s="53"/>
      <c r="AO68" s="53"/>
      <c r="AP68" s="62">
        <f t="shared" si="2"/>
        <v>738</v>
      </c>
      <c r="AQ68" s="55">
        <f t="shared" si="3"/>
        <v>313170</v>
      </c>
    </row>
    <row r="69" spans="1:43">
      <c r="A69" s="47">
        <v>71</v>
      </c>
      <c r="B69" s="56">
        <v>4971710299212</v>
      </c>
      <c r="C69" s="57" t="s">
        <v>14</v>
      </c>
      <c r="D69" s="75" t="s">
        <v>882</v>
      </c>
      <c r="E69" s="48" t="s">
        <v>15</v>
      </c>
      <c r="F69" s="58">
        <v>30</v>
      </c>
      <c r="G69" s="50">
        <v>29700</v>
      </c>
      <c r="H69" s="51">
        <v>60</v>
      </c>
      <c r="I69" s="52">
        <v>59400</v>
      </c>
      <c r="J69" s="49">
        <v>20</v>
      </c>
      <c r="K69" s="50">
        <v>19800</v>
      </c>
      <c r="L69" s="49">
        <v>35</v>
      </c>
      <c r="M69" s="50">
        <v>34650</v>
      </c>
      <c r="N69" s="49">
        <v>30</v>
      </c>
      <c r="O69" s="50">
        <v>29700</v>
      </c>
      <c r="P69" s="49">
        <v>0</v>
      </c>
      <c r="Q69" s="53">
        <v>0</v>
      </c>
      <c r="R69" s="58">
        <v>562</v>
      </c>
      <c r="S69" s="59">
        <v>556380</v>
      </c>
      <c r="T69" s="60"/>
      <c r="U69" s="61"/>
      <c r="V69" s="58"/>
      <c r="W69" s="59"/>
      <c r="X69" s="49"/>
      <c r="Y69" s="50"/>
      <c r="Z69" s="49"/>
      <c r="AA69" s="50"/>
      <c r="AB69" s="49"/>
      <c r="AC69" s="53"/>
      <c r="AD69" s="49"/>
      <c r="AE69" s="53"/>
      <c r="AF69" s="49"/>
      <c r="AG69" s="53"/>
      <c r="AH69" s="49"/>
      <c r="AI69" s="53"/>
      <c r="AJ69" s="53"/>
      <c r="AK69" s="53"/>
      <c r="AL69" s="53"/>
      <c r="AM69" s="53"/>
      <c r="AN69" s="53"/>
      <c r="AO69" s="53"/>
      <c r="AP69" s="62">
        <f t="shared" si="2"/>
        <v>737</v>
      </c>
      <c r="AQ69" s="55">
        <f t="shared" si="3"/>
        <v>729630</v>
      </c>
    </row>
    <row r="70" spans="1:43">
      <c r="A70" s="47">
        <v>96</v>
      </c>
      <c r="B70" s="56">
        <v>4971710576610</v>
      </c>
      <c r="C70" s="57" t="s">
        <v>611</v>
      </c>
      <c r="D70" s="75" t="s">
        <v>884</v>
      </c>
      <c r="E70" s="48" t="s">
        <v>612</v>
      </c>
      <c r="F70" s="58">
        <v>0</v>
      </c>
      <c r="G70" s="50">
        <v>0</v>
      </c>
      <c r="H70" s="51">
        <v>0</v>
      </c>
      <c r="I70" s="52">
        <v>0</v>
      </c>
      <c r="J70" s="49">
        <v>24</v>
      </c>
      <c r="K70" s="50">
        <v>18480</v>
      </c>
      <c r="L70" s="49">
        <v>200</v>
      </c>
      <c r="M70" s="50">
        <v>154000</v>
      </c>
      <c r="N70" s="49">
        <v>0</v>
      </c>
      <c r="O70" s="50">
        <v>0</v>
      </c>
      <c r="P70" s="49">
        <v>0</v>
      </c>
      <c r="Q70" s="53">
        <v>0</v>
      </c>
      <c r="R70" s="58">
        <v>10</v>
      </c>
      <c r="S70" s="59">
        <v>7700</v>
      </c>
      <c r="T70" s="60">
        <v>304</v>
      </c>
      <c r="U70" s="61">
        <v>117040</v>
      </c>
      <c r="V70" s="58">
        <v>30</v>
      </c>
      <c r="W70" s="59">
        <v>23100</v>
      </c>
      <c r="X70" s="49">
        <v>6</v>
      </c>
      <c r="Y70" s="50">
        <v>4620</v>
      </c>
      <c r="Z70" s="49"/>
      <c r="AA70" s="50"/>
      <c r="AB70" s="49"/>
      <c r="AC70" s="53"/>
      <c r="AD70" s="49">
        <v>30</v>
      </c>
      <c r="AE70" s="53">
        <v>23100</v>
      </c>
      <c r="AF70" s="49">
        <v>34</v>
      </c>
      <c r="AG70" s="53">
        <v>26180</v>
      </c>
      <c r="AH70" s="49">
        <v>8</v>
      </c>
      <c r="AI70" s="53">
        <v>6160</v>
      </c>
      <c r="AJ70" s="53"/>
      <c r="AK70" s="53"/>
      <c r="AL70" s="53"/>
      <c r="AM70" s="53"/>
      <c r="AN70" s="53">
        <v>86</v>
      </c>
      <c r="AO70" s="53">
        <v>66220</v>
      </c>
      <c r="AP70" s="62">
        <f t="shared" si="2"/>
        <v>732</v>
      </c>
      <c r="AQ70" s="55">
        <f t="shared" si="3"/>
        <v>446600</v>
      </c>
    </row>
    <row r="71" spans="1:43">
      <c r="A71" s="47">
        <v>60</v>
      </c>
      <c r="B71" s="56">
        <v>4971710541212</v>
      </c>
      <c r="C71" s="57" t="s">
        <v>432</v>
      </c>
      <c r="D71" s="75" t="s">
        <v>882</v>
      </c>
      <c r="E71" s="48" t="s">
        <v>433</v>
      </c>
      <c r="F71" s="58">
        <v>0</v>
      </c>
      <c r="G71" s="50">
        <v>0</v>
      </c>
      <c r="H71" s="51">
        <v>10</v>
      </c>
      <c r="I71" s="52">
        <v>17600</v>
      </c>
      <c r="J71" s="49">
        <v>0</v>
      </c>
      <c r="K71" s="50">
        <v>0</v>
      </c>
      <c r="L71" s="49">
        <v>10</v>
      </c>
      <c r="M71" s="50">
        <v>17600</v>
      </c>
      <c r="N71" s="49">
        <v>10</v>
      </c>
      <c r="O71" s="50">
        <v>17600</v>
      </c>
      <c r="P71" s="49">
        <v>0</v>
      </c>
      <c r="Q71" s="53">
        <v>0</v>
      </c>
      <c r="R71" s="58">
        <v>138</v>
      </c>
      <c r="S71" s="59">
        <v>242880</v>
      </c>
      <c r="T71" s="60">
        <v>20</v>
      </c>
      <c r="U71" s="61">
        <v>28160</v>
      </c>
      <c r="V71" s="58"/>
      <c r="W71" s="59"/>
      <c r="X71" s="49">
        <v>43</v>
      </c>
      <c r="Y71" s="50">
        <v>75680</v>
      </c>
      <c r="Z71" s="49">
        <v>319</v>
      </c>
      <c r="AA71" s="50">
        <v>561440</v>
      </c>
      <c r="AB71" s="49"/>
      <c r="AC71" s="53"/>
      <c r="AD71" s="49">
        <v>1</v>
      </c>
      <c r="AE71" s="53">
        <v>1760</v>
      </c>
      <c r="AF71" s="49"/>
      <c r="AG71" s="53"/>
      <c r="AH71" s="49">
        <v>156</v>
      </c>
      <c r="AI71" s="53">
        <v>274560</v>
      </c>
      <c r="AJ71" s="53"/>
      <c r="AK71" s="53"/>
      <c r="AL71" s="53"/>
      <c r="AM71" s="53"/>
      <c r="AN71" s="53"/>
      <c r="AO71" s="53"/>
      <c r="AP71" s="62">
        <f t="shared" si="2"/>
        <v>707</v>
      </c>
      <c r="AQ71" s="55">
        <f t="shared" si="3"/>
        <v>1237280</v>
      </c>
    </row>
    <row r="72" spans="1:43">
      <c r="A72" s="47">
        <v>83</v>
      </c>
      <c r="B72" s="56">
        <v>4971710490756</v>
      </c>
      <c r="C72" s="57" t="s">
        <v>94</v>
      </c>
      <c r="D72" s="75" t="s">
        <v>884</v>
      </c>
      <c r="E72" s="48" t="s">
        <v>95</v>
      </c>
      <c r="F72" s="58">
        <v>0</v>
      </c>
      <c r="G72" s="50">
        <v>0</v>
      </c>
      <c r="H72" s="51">
        <v>0</v>
      </c>
      <c r="I72" s="52">
        <v>0</v>
      </c>
      <c r="J72" s="49">
        <v>0</v>
      </c>
      <c r="K72" s="50">
        <v>0</v>
      </c>
      <c r="L72" s="49">
        <v>60</v>
      </c>
      <c r="M72" s="50">
        <v>33000</v>
      </c>
      <c r="N72" s="49">
        <v>10</v>
      </c>
      <c r="O72" s="50">
        <v>5500</v>
      </c>
      <c r="P72" s="49">
        <v>0</v>
      </c>
      <c r="Q72" s="53">
        <v>0</v>
      </c>
      <c r="R72" s="58">
        <v>150</v>
      </c>
      <c r="S72" s="59">
        <v>82500</v>
      </c>
      <c r="T72" s="60">
        <v>360</v>
      </c>
      <c r="U72" s="61">
        <v>99000</v>
      </c>
      <c r="V72" s="58"/>
      <c r="W72" s="59"/>
      <c r="X72" s="49">
        <v>30</v>
      </c>
      <c r="Y72" s="50">
        <v>16500</v>
      </c>
      <c r="Z72" s="49"/>
      <c r="AA72" s="50"/>
      <c r="AB72" s="49"/>
      <c r="AC72" s="53"/>
      <c r="AD72" s="49">
        <v>30</v>
      </c>
      <c r="AE72" s="53">
        <v>16500</v>
      </c>
      <c r="AF72" s="49"/>
      <c r="AG72" s="53"/>
      <c r="AH72" s="49"/>
      <c r="AI72" s="53"/>
      <c r="AJ72" s="53"/>
      <c r="AK72" s="53"/>
      <c r="AL72" s="53"/>
      <c r="AM72" s="53"/>
      <c r="AN72" s="53">
        <v>60</v>
      </c>
      <c r="AO72" s="53">
        <v>33000</v>
      </c>
      <c r="AP72" s="62">
        <f t="shared" si="2"/>
        <v>700</v>
      </c>
      <c r="AQ72" s="55">
        <f t="shared" si="3"/>
        <v>286000</v>
      </c>
    </row>
    <row r="73" spans="1:43">
      <c r="A73" s="47">
        <v>57</v>
      </c>
      <c r="B73" s="56">
        <v>4971710599923</v>
      </c>
      <c r="C73" s="57" t="s">
        <v>973</v>
      </c>
      <c r="D73" s="75" t="s">
        <v>882</v>
      </c>
      <c r="E73" s="48" t="s">
        <v>974</v>
      </c>
      <c r="F73" s="58"/>
      <c r="G73" s="50"/>
      <c r="H73" s="51"/>
      <c r="I73" s="52"/>
      <c r="J73" s="49"/>
      <c r="K73" s="50"/>
      <c r="L73" s="49"/>
      <c r="M73" s="50"/>
      <c r="N73" s="49"/>
      <c r="O73" s="50"/>
      <c r="P73" s="49"/>
      <c r="Q73" s="53"/>
      <c r="R73" s="58"/>
      <c r="S73" s="59"/>
      <c r="T73" s="60"/>
      <c r="U73" s="61"/>
      <c r="V73" s="58"/>
      <c r="W73" s="59"/>
      <c r="X73" s="49"/>
      <c r="Y73" s="50"/>
      <c r="Z73" s="49"/>
      <c r="AA73" s="50"/>
      <c r="AB73" s="49"/>
      <c r="AC73" s="53"/>
      <c r="AD73" s="49"/>
      <c r="AE73" s="53"/>
      <c r="AF73" s="49"/>
      <c r="AG73" s="53"/>
      <c r="AH73" s="49">
        <v>180</v>
      </c>
      <c r="AI73" s="53">
        <v>297000</v>
      </c>
      <c r="AJ73" s="53"/>
      <c r="AK73" s="53"/>
      <c r="AL73" s="53"/>
      <c r="AM73" s="53"/>
      <c r="AN73" s="53">
        <v>517</v>
      </c>
      <c r="AO73" s="53">
        <v>853050</v>
      </c>
      <c r="AP73" s="63">
        <f t="shared" si="2"/>
        <v>697</v>
      </c>
      <c r="AQ73" s="55">
        <f t="shared" si="3"/>
        <v>1150050</v>
      </c>
    </row>
    <row r="74" spans="1:43">
      <c r="A74" s="47">
        <v>66</v>
      </c>
      <c r="B74" s="56">
        <v>4971710523065</v>
      </c>
      <c r="C74" s="57" t="s">
        <v>394</v>
      </c>
      <c r="D74" s="75" t="s">
        <v>880</v>
      </c>
      <c r="E74" s="48" t="s">
        <v>395</v>
      </c>
      <c r="F74" s="58">
        <v>6</v>
      </c>
      <c r="G74" s="50">
        <v>5280</v>
      </c>
      <c r="H74" s="51">
        <v>5</v>
      </c>
      <c r="I74" s="52">
        <v>4400</v>
      </c>
      <c r="J74" s="49">
        <v>0</v>
      </c>
      <c r="K74" s="50">
        <v>0</v>
      </c>
      <c r="L74" s="49">
        <v>4</v>
      </c>
      <c r="M74" s="50">
        <v>3520</v>
      </c>
      <c r="N74" s="49">
        <v>51</v>
      </c>
      <c r="O74" s="50">
        <v>44880</v>
      </c>
      <c r="P74" s="49">
        <v>0</v>
      </c>
      <c r="Q74" s="53">
        <v>0</v>
      </c>
      <c r="R74" s="58">
        <v>96</v>
      </c>
      <c r="S74" s="59">
        <v>84480</v>
      </c>
      <c r="T74" s="60">
        <v>12</v>
      </c>
      <c r="U74" s="61">
        <v>5280</v>
      </c>
      <c r="V74" s="58">
        <v>78</v>
      </c>
      <c r="W74" s="59">
        <v>68640</v>
      </c>
      <c r="X74" s="49">
        <v>11</v>
      </c>
      <c r="Y74" s="50">
        <v>9680</v>
      </c>
      <c r="Z74" s="49">
        <v>80</v>
      </c>
      <c r="AA74" s="50">
        <v>70400</v>
      </c>
      <c r="AB74" s="49"/>
      <c r="AC74" s="53"/>
      <c r="AD74" s="49">
        <v>98</v>
      </c>
      <c r="AE74" s="53">
        <v>86240</v>
      </c>
      <c r="AF74" s="49">
        <v>66</v>
      </c>
      <c r="AG74" s="53">
        <v>58080</v>
      </c>
      <c r="AH74" s="49">
        <v>90</v>
      </c>
      <c r="AI74" s="53">
        <v>79200</v>
      </c>
      <c r="AJ74" s="53"/>
      <c r="AK74" s="53"/>
      <c r="AL74" s="53"/>
      <c r="AM74" s="53"/>
      <c r="AN74" s="53">
        <v>90</v>
      </c>
      <c r="AO74" s="53">
        <v>79200</v>
      </c>
      <c r="AP74" s="62">
        <f t="shared" si="2"/>
        <v>687</v>
      </c>
      <c r="AQ74" s="55">
        <f t="shared" si="3"/>
        <v>599280</v>
      </c>
    </row>
    <row r="75" spans="1:43">
      <c r="A75" s="47">
        <v>74</v>
      </c>
      <c r="B75" s="56">
        <v>4971710494167</v>
      </c>
      <c r="C75" s="57" t="s">
        <v>112</v>
      </c>
      <c r="D75" s="75" t="s">
        <v>884</v>
      </c>
      <c r="E75" s="48" t="s">
        <v>113</v>
      </c>
      <c r="F75" s="58">
        <v>0</v>
      </c>
      <c r="G75" s="50">
        <v>0</v>
      </c>
      <c r="H75" s="51">
        <v>10</v>
      </c>
      <c r="I75" s="52">
        <v>2970</v>
      </c>
      <c r="J75" s="49">
        <v>0</v>
      </c>
      <c r="K75" s="50">
        <v>0</v>
      </c>
      <c r="L75" s="49">
        <v>30</v>
      </c>
      <c r="M75" s="50">
        <v>8910</v>
      </c>
      <c r="N75" s="49">
        <v>0</v>
      </c>
      <c r="O75" s="50">
        <v>0</v>
      </c>
      <c r="P75" s="49">
        <v>10</v>
      </c>
      <c r="Q75" s="53">
        <v>2970</v>
      </c>
      <c r="R75" s="58">
        <v>62</v>
      </c>
      <c r="S75" s="59">
        <v>18413</v>
      </c>
      <c r="T75" s="60">
        <v>188</v>
      </c>
      <c r="U75" s="61">
        <v>27918</v>
      </c>
      <c r="V75" s="58"/>
      <c r="W75" s="59"/>
      <c r="X75" s="49">
        <v>68</v>
      </c>
      <c r="Y75" s="50">
        <v>20196</v>
      </c>
      <c r="Z75" s="49">
        <v>106</v>
      </c>
      <c r="AA75" s="50">
        <v>31482</v>
      </c>
      <c r="AB75" s="49">
        <v>18</v>
      </c>
      <c r="AC75" s="53">
        <v>5346</v>
      </c>
      <c r="AD75" s="49">
        <v>6</v>
      </c>
      <c r="AE75" s="53">
        <v>1782</v>
      </c>
      <c r="AF75" s="49">
        <v>12</v>
      </c>
      <c r="AG75" s="53">
        <v>3564</v>
      </c>
      <c r="AH75" s="49">
        <v>54</v>
      </c>
      <c r="AI75" s="53">
        <v>16038</v>
      </c>
      <c r="AJ75" s="53"/>
      <c r="AK75" s="53"/>
      <c r="AL75" s="53"/>
      <c r="AM75" s="53"/>
      <c r="AN75" s="53">
        <v>108</v>
      </c>
      <c r="AO75" s="53">
        <v>32076</v>
      </c>
      <c r="AP75" s="62">
        <f t="shared" si="2"/>
        <v>672</v>
      </c>
      <c r="AQ75" s="55">
        <f t="shared" si="3"/>
        <v>171665</v>
      </c>
    </row>
    <row r="76" spans="1:43">
      <c r="A76" s="47">
        <v>61</v>
      </c>
      <c r="B76" s="56">
        <v>4971710592993</v>
      </c>
      <c r="C76" s="57" t="s">
        <v>746</v>
      </c>
      <c r="D76" s="75" t="s">
        <v>884</v>
      </c>
      <c r="E76" s="48" t="s">
        <v>747</v>
      </c>
      <c r="F76" s="58">
        <v>0</v>
      </c>
      <c r="G76" s="50">
        <v>0</v>
      </c>
      <c r="H76" s="51">
        <v>0</v>
      </c>
      <c r="I76" s="52">
        <v>0</v>
      </c>
      <c r="J76" s="49">
        <v>0</v>
      </c>
      <c r="K76" s="50">
        <v>0</v>
      </c>
      <c r="L76" s="49">
        <v>0</v>
      </c>
      <c r="M76" s="50">
        <v>0</v>
      </c>
      <c r="N76" s="49">
        <v>0</v>
      </c>
      <c r="O76" s="50">
        <v>0</v>
      </c>
      <c r="P76" s="49">
        <v>0</v>
      </c>
      <c r="Q76" s="53">
        <v>0</v>
      </c>
      <c r="R76" s="58">
        <v>65</v>
      </c>
      <c r="S76" s="59">
        <v>39325</v>
      </c>
      <c r="T76" s="60"/>
      <c r="U76" s="61"/>
      <c r="V76" s="58"/>
      <c r="W76" s="59"/>
      <c r="X76" s="49"/>
      <c r="Y76" s="50"/>
      <c r="Z76" s="49"/>
      <c r="AA76" s="50"/>
      <c r="AB76" s="49"/>
      <c r="AC76" s="53"/>
      <c r="AD76" s="49">
        <v>232</v>
      </c>
      <c r="AE76" s="53">
        <v>140360</v>
      </c>
      <c r="AF76" s="49">
        <v>30</v>
      </c>
      <c r="AG76" s="53">
        <v>18150</v>
      </c>
      <c r="AH76" s="49">
        <v>8</v>
      </c>
      <c r="AI76" s="53">
        <v>4840</v>
      </c>
      <c r="AJ76" s="53"/>
      <c r="AK76" s="53"/>
      <c r="AL76" s="53"/>
      <c r="AM76" s="53"/>
      <c r="AN76" s="53">
        <v>330</v>
      </c>
      <c r="AO76" s="53">
        <v>199650</v>
      </c>
      <c r="AP76" s="62">
        <f t="shared" si="2"/>
        <v>665</v>
      </c>
      <c r="AQ76" s="55">
        <f t="shared" si="3"/>
        <v>402325</v>
      </c>
    </row>
    <row r="77" spans="1:43">
      <c r="A77" s="47">
        <v>65</v>
      </c>
      <c r="B77" s="56">
        <v>4971710580471</v>
      </c>
      <c r="C77" s="57" t="s">
        <v>682</v>
      </c>
      <c r="D77" s="75" t="s">
        <v>880</v>
      </c>
      <c r="E77" s="48" t="s">
        <v>683</v>
      </c>
      <c r="F77" s="58">
        <v>0</v>
      </c>
      <c r="G77" s="50">
        <v>0</v>
      </c>
      <c r="H77" s="51">
        <v>0</v>
      </c>
      <c r="I77" s="52">
        <v>0</v>
      </c>
      <c r="J77" s="49">
        <v>0</v>
      </c>
      <c r="K77" s="50">
        <v>0</v>
      </c>
      <c r="L77" s="49">
        <v>0</v>
      </c>
      <c r="M77" s="50">
        <v>0</v>
      </c>
      <c r="N77" s="49">
        <v>30</v>
      </c>
      <c r="O77" s="50">
        <v>19800</v>
      </c>
      <c r="P77" s="49">
        <v>0</v>
      </c>
      <c r="Q77" s="53">
        <v>0</v>
      </c>
      <c r="R77" s="58">
        <v>120</v>
      </c>
      <c r="S77" s="59">
        <v>79200</v>
      </c>
      <c r="T77" s="60">
        <v>4</v>
      </c>
      <c r="U77" s="61">
        <v>1320</v>
      </c>
      <c r="V77" s="58">
        <v>32</v>
      </c>
      <c r="W77" s="59">
        <v>21120</v>
      </c>
      <c r="X77" s="49">
        <v>12</v>
      </c>
      <c r="Y77" s="50">
        <v>7920</v>
      </c>
      <c r="Z77" s="49">
        <v>60</v>
      </c>
      <c r="AA77" s="50">
        <v>39600</v>
      </c>
      <c r="AB77" s="49">
        <v>6</v>
      </c>
      <c r="AC77" s="53">
        <v>3960</v>
      </c>
      <c r="AD77" s="49">
        <v>105</v>
      </c>
      <c r="AE77" s="53">
        <v>69300</v>
      </c>
      <c r="AF77" s="49">
        <v>154</v>
      </c>
      <c r="AG77" s="53">
        <v>101640</v>
      </c>
      <c r="AH77" s="49">
        <v>6</v>
      </c>
      <c r="AI77" s="53">
        <v>3960</v>
      </c>
      <c r="AJ77" s="53"/>
      <c r="AK77" s="53"/>
      <c r="AL77" s="53"/>
      <c r="AM77" s="53"/>
      <c r="AN77" s="53">
        <v>120</v>
      </c>
      <c r="AO77" s="53">
        <v>79200</v>
      </c>
      <c r="AP77" s="62">
        <f t="shared" si="2"/>
        <v>649</v>
      </c>
      <c r="AQ77" s="55">
        <f t="shared" si="3"/>
        <v>427020</v>
      </c>
    </row>
    <row r="78" spans="1:43">
      <c r="A78" s="47">
        <v>64</v>
      </c>
      <c r="B78" s="56">
        <v>4971710508833</v>
      </c>
      <c r="C78" s="57" t="s">
        <v>200</v>
      </c>
      <c r="D78" s="75" t="s">
        <v>884</v>
      </c>
      <c r="E78" s="48" t="s">
        <v>201</v>
      </c>
      <c r="F78" s="58">
        <v>0</v>
      </c>
      <c r="G78" s="50">
        <v>0</v>
      </c>
      <c r="H78" s="51">
        <v>0</v>
      </c>
      <c r="I78" s="52">
        <v>0</v>
      </c>
      <c r="J78" s="49">
        <v>0</v>
      </c>
      <c r="K78" s="50">
        <v>0</v>
      </c>
      <c r="L78" s="49">
        <v>0</v>
      </c>
      <c r="M78" s="50">
        <v>0</v>
      </c>
      <c r="N78" s="49">
        <v>0</v>
      </c>
      <c r="O78" s="50">
        <v>0</v>
      </c>
      <c r="P78" s="49">
        <v>0</v>
      </c>
      <c r="Q78" s="53">
        <v>0</v>
      </c>
      <c r="R78" s="58">
        <v>6</v>
      </c>
      <c r="S78" s="59">
        <v>5280</v>
      </c>
      <c r="T78" s="60"/>
      <c r="U78" s="61"/>
      <c r="V78" s="58"/>
      <c r="W78" s="59"/>
      <c r="X78" s="49">
        <v>50</v>
      </c>
      <c r="Y78" s="50">
        <v>44000</v>
      </c>
      <c r="Z78" s="49"/>
      <c r="AA78" s="50"/>
      <c r="AB78" s="49"/>
      <c r="AC78" s="53"/>
      <c r="AD78" s="49">
        <v>35</v>
      </c>
      <c r="AE78" s="53">
        <v>30800</v>
      </c>
      <c r="AF78" s="49">
        <v>20</v>
      </c>
      <c r="AG78" s="53">
        <v>17600</v>
      </c>
      <c r="AH78" s="49">
        <v>250</v>
      </c>
      <c r="AI78" s="53">
        <v>220000</v>
      </c>
      <c r="AJ78" s="53"/>
      <c r="AK78" s="53"/>
      <c r="AL78" s="53"/>
      <c r="AM78" s="53"/>
      <c r="AN78" s="53">
        <v>260</v>
      </c>
      <c r="AO78" s="53">
        <v>228800</v>
      </c>
      <c r="AP78" s="62">
        <f t="shared" si="2"/>
        <v>621</v>
      </c>
      <c r="AQ78" s="55">
        <f t="shared" si="3"/>
        <v>546480</v>
      </c>
    </row>
    <row r="79" spans="1:43">
      <c r="A79" s="47">
        <v>72</v>
      </c>
      <c r="B79" s="56">
        <v>4971710595536</v>
      </c>
      <c r="C79" s="57" t="s">
        <v>766</v>
      </c>
      <c r="D79" s="75" t="s">
        <v>884</v>
      </c>
      <c r="E79" s="48" t="s">
        <v>767</v>
      </c>
      <c r="F79" s="58">
        <v>0</v>
      </c>
      <c r="G79" s="50">
        <v>0</v>
      </c>
      <c r="H79" s="51">
        <v>0</v>
      </c>
      <c r="I79" s="52">
        <v>0</v>
      </c>
      <c r="J79" s="49">
        <v>0</v>
      </c>
      <c r="K79" s="50">
        <v>0</v>
      </c>
      <c r="L79" s="49">
        <v>0</v>
      </c>
      <c r="M79" s="50">
        <v>0</v>
      </c>
      <c r="N79" s="49">
        <v>0</v>
      </c>
      <c r="O79" s="50">
        <v>0</v>
      </c>
      <c r="P79" s="49">
        <v>0</v>
      </c>
      <c r="Q79" s="53">
        <v>0</v>
      </c>
      <c r="R79" s="58"/>
      <c r="S79" s="59"/>
      <c r="T79" s="60">
        <v>128</v>
      </c>
      <c r="U79" s="61">
        <v>49280</v>
      </c>
      <c r="V79" s="58">
        <v>136</v>
      </c>
      <c r="W79" s="59">
        <v>104720</v>
      </c>
      <c r="X79" s="49">
        <v>176</v>
      </c>
      <c r="Y79" s="50">
        <v>135520</v>
      </c>
      <c r="Z79" s="49">
        <v>30</v>
      </c>
      <c r="AA79" s="50">
        <v>23100</v>
      </c>
      <c r="AB79" s="49">
        <v>86</v>
      </c>
      <c r="AC79" s="53">
        <v>66220</v>
      </c>
      <c r="AD79" s="49"/>
      <c r="AE79" s="53"/>
      <c r="AF79" s="49"/>
      <c r="AG79" s="53"/>
      <c r="AH79" s="49">
        <v>65</v>
      </c>
      <c r="AI79" s="53">
        <v>50050</v>
      </c>
      <c r="AJ79" s="53"/>
      <c r="AK79" s="53"/>
      <c r="AL79" s="53"/>
      <c r="AM79" s="53"/>
      <c r="AN79" s="53"/>
      <c r="AO79" s="53"/>
      <c r="AP79" s="62">
        <f t="shared" si="2"/>
        <v>621</v>
      </c>
      <c r="AQ79" s="55">
        <f t="shared" si="3"/>
        <v>428890</v>
      </c>
    </row>
    <row r="80" spans="1:43">
      <c r="A80" s="47">
        <v>76</v>
      </c>
      <c r="B80" s="56">
        <v>4971710513622</v>
      </c>
      <c r="C80" s="57" t="s">
        <v>260</v>
      </c>
      <c r="D80" s="75" t="s">
        <v>880</v>
      </c>
      <c r="E80" s="48" t="s">
        <v>261</v>
      </c>
      <c r="F80" s="58">
        <v>0</v>
      </c>
      <c r="G80" s="50">
        <v>0</v>
      </c>
      <c r="H80" s="51">
        <v>30</v>
      </c>
      <c r="I80" s="52">
        <v>9060</v>
      </c>
      <c r="J80" s="49">
        <v>0</v>
      </c>
      <c r="K80" s="50">
        <v>0</v>
      </c>
      <c r="L80" s="49">
        <v>50</v>
      </c>
      <c r="M80" s="50">
        <v>15100</v>
      </c>
      <c r="N80" s="49">
        <v>30</v>
      </c>
      <c r="O80" s="50">
        <v>9060</v>
      </c>
      <c r="P80" s="49">
        <v>0</v>
      </c>
      <c r="Q80" s="53">
        <v>0</v>
      </c>
      <c r="R80" s="58">
        <v>246</v>
      </c>
      <c r="S80" s="59">
        <v>74291</v>
      </c>
      <c r="T80" s="60"/>
      <c r="U80" s="61"/>
      <c r="V80" s="58"/>
      <c r="W80" s="59"/>
      <c r="X80" s="49">
        <v>6</v>
      </c>
      <c r="Y80" s="50">
        <v>1812</v>
      </c>
      <c r="Z80" s="49">
        <v>60</v>
      </c>
      <c r="AA80" s="50">
        <v>18120</v>
      </c>
      <c r="AB80" s="49">
        <v>24</v>
      </c>
      <c r="AC80" s="53">
        <v>7248</v>
      </c>
      <c r="AD80" s="49">
        <v>64</v>
      </c>
      <c r="AE80" s="53">
        <v>19328</v>
      </c>
      <c r="AF80" s="49">
        <v>30</v>
      </c>
      <c r="AG80" s="53">
        <v>9060</v>
      </c>
      <c r="AH80" s="49">
        <v>25</v>
      </c>
      <c r="AI80" s="53">
        <v>7550</v>
      </c>
      <c r="AJ80" s="53"/>
      <c r="AK80" s="53"/>
      <c r="AL80" s="53"/>
      <c r="AM80" s="53"/>
      <c r="AN80" s="53">
        <v>50</v>
      </c>
      <c r="AO80" s="53">
        <v>15100</v>
      </c>
      <c r="AP80" s="62">
        <f t="shared" si="2"/>
        <v>615</v>
      </c>
      <c r="AQ80" s="55">
        <f t="shared" si="3"/>
        <v>185729</v>
      </c>
    </row>
    <row r="81" spans="1:43">
      <c r="A81" s="47">
        <v>80</v>
      </c>
      <c r="B81" s="56">
        <v>4971710561227</v>
      </c>
      <c r="C81" s="57" t="s">
        <v>465</v>
      </c>
      <c r="D81" s="75" t="s">
        <v>884</v>
      </c>
      <c r="E81" s="48" t="s">
        <v>466</v>
      </c>
      <c r="F81" s="58">
        <v>0</v>
      </c>
      <c r="G81" s="50">
        <v>0</v>
      </c>
      <c r="H81" s="51">
        <v>24</v>
      </c>
      <c r="I81" s="52">
        <v>18480</v>
      </c>
      <c r="J81" s="49">
        <v>24</v>
      </c>
      <c r="K81" s="50">
        <v>18480</v>
      </c>
      <c r="L81" s="49">
        <v>52</v>
      </c>
      <c r="M81" s="50">
        <v>40040</v>
      </c>
      <c r="N81" s="49">
        <v>10</v>
      </c>
      <c r="O81" s="50">
        <v>7700</v>
      </c>
      <c r="P81" s="49">
        <v>0</v>
      </c>
      <c r="Q81" s="53">
        <v>0</v>
      </c>
      <c r="R81" s="58">
        <v>67</v>
      </c>
      <c r="S81" s="59">
        <v>51590</v>
      </c>
      <c r="T81" s="60">
        <v>80</v>
      </c>
      <c r="U81" s="61">
        <v>30800</v>
      </c>
      <c r="V81" s="58">
        <v>12</v>
      </c>
      <c r="W81" s="59">
        <v>9240</v>
      </c>
      <c r="X81" s="49">
        <v>42</v>
      </c>
      <c r="Y81" s="50">
        <v>32340</v>
      </c>
      <c r="Z81" s="49">
        <v>66</v>
      </c>
      <c r="AA81" s="50">
        <v>50820</v>
      </c>
      <c r="AB81" s="49">
        <v>7</v>
      </c>
      <c r="AC81" s="53">
        <v>5390</v>
      </c>
      <c r="AD81" s="49">
        <v>30</v>
      </c>
      <c r="AE81" s="53">
        <v>23100</v>
      </c>
      <c r="AF81" s="49">
        <v>32</v>
      </c>
      <c r="AG81" s="53">
        <v>24640</v>
      </c>
      <c r="AH81" s="49">
        <v>20</v>
      </c>
      <c r="AI81" s="53">
        <v>15400</v>
      </c>
      <c r="AJ81" s="53"/>
      <c r="AK81" s="53"/>
      <c r="AL81" s="53"/>
      <c r="AM81" s="53"/>
      <c r="AN81" s="53">
        <v>149</v>
      </c>
      <c r="AO81" s="53">
        <v>114730</v>
      </c>
      <c r="AP81" s="62">
        <f t="shared" si="2"/>
        <v>615</v>
      </c>
      <c r="AQ81" s="55">
        <f t="shared" si="3"/>
        <v>442750</v>
      </c>
    </row>
    <row r="82" spans="1:43">
      <c r="A82" s="47">
        <v>67</v>
      </c>
      <c r="B82" s="56">
        <v>4971710582338</v>
      </c>
      <c r="C82" s="57" t="s">
        <v>993</v>
      </c>
      <c r="D82" s="75" t="s">
        <v>1085</v>
      </c>
      <c r="E82" s="48" t="s">
        <v>860</v>
      </c>
      <c r="F82" s="58">
        <v>0</v>
      </c>
      <c r="G82" s="50">
        <v>0</v>
      </c>
      <c r="H82" s="51">
        <v>0</v>
      </c>
      <c r="I82" s="52">
        <v>0</v>
      </c>
      <c r="J82" s="49">
        <v>0</v>
      </c>
      <c r="K82" s="50">
        <v>0</v>
      </c>
      <c r="L82" s="49">
        <v>0</v>
      </c>
      <c r="M82" s="50">
        <v>0</v>
      </c>
      <c r="N82" s="49">
        <v>0</v>
      </c>
      <c r="O82" s="50">
        <v>0</v>
      </c>
      <c r="P82" s="49">
        <v>0</v>
      </c>
      <c r="Q82" s="53">
        <v>0</v>
      </c>
      <c r="R82" s="58"/>
      <c r="S82" s="59"/>
      <c r="T82" s="60"/>
      <c r="U82" s="61"/>
      <c r="V82" s="58"/>
      <c r="W82" s="59"/>
      <c r="X82" s="49"/>
      <c r="Y82" s="50"/>
      <c r="Z82" s="49">
        <v>266</v>
      </c>
      <c r="AA82" s="50">
        <v>526680</v>
      </c>
      <c r="AB82" s="49"/>
      <c r="AC82" s="53"/>
      <c r="AD82" s="49"/>
      <c r="AE82" s="53"/>
      <c r="AF82" s="49"/>
      <c r="AG82" s="53"/>
      <c r="AH82" s="49">
        <v>130</v>
      </c>
      <c r="AI82" s="53">
        <v>257400</v>
      </c>
      <c r="AJ82" s="53"/>
      <c r="AK82" s="53"/>
      <c r="AL82" s="53"/>
      <c r="AM82" s="53"/>
      <c r="AN82" s="53">
        <v>216</v>
      </c>
      <c r="AO82" s="53">
        <v>463320</v>
      </c>
      <c r="AP82" s="62">
        <f t="shared" si="2"/>
        <v>612</v>
      </c>
      <c r="AQ82" s="55">
        <f t="shared" si="3"/>
        <v>1247400</v>
      </c>
    </row>
    <row r="83" spans="1:43">
      <c r="A83" s="47">
        <v>106</v>
      </c>
      <c r="B83" s="56">
        <v>4971710591088</v>
      </c>
      <c r="C83" s="57" t="s">
        <v>734</v>
      </c>
      <c r="D83" s="75" t="s">
        <v>884</v>
      </c>
      <c r="E83" s="48" t="s">
        <v>735</v>
      </c>
      <c r="F83" s="58">
        <v>0</v>
      </c>
      <c r="G83" s="50">
        <v>0</v>
      </c>
      <c r="H83" s="51">
        <v>0</v>
      </c>
      <c r="I83" s="52">
        <v>0</v>
      </c>
      <c r="J83" s="49">
        <v>0</v>
      </c>
      <c r="K83" s="50">
        <v>0</v>
      </c>
      <c r="L83" s="49">
        <v>0</v>
      </c>
      <c r="M83" s="50">
        <v>0</v>
      </c>
      <c r="N83" s="49">
        <v>0</v>
      </c>
      <c r="O83" s="50">
        <v>0</v>
      </c>
      <c r="P83" s="49">
        <v>0</v>
      </c>
      <c r="Q83" s="53">
        <v>0</v>
      </c>
      <c r="R83" s="58"/>
      <c r="S83" s="59"/>
      <c r="T83" s="60">
        <v>600</v>
      </c>
      <c r="U83" s="61">
        <v>231000</v>
      </c>
      <c r="V83" s="58">
        <v>6</v>
      </c>
      <c r="W83" s="59">
        <v>4620</v>
      </c>
      <c r="X83" s="49"/>
      <c r="Y83" s="50"/>
      <c r="Z83" s="49"/>
      <c r="AA83" s="50"/>
      <c r="AB83" s="49"/>
      <c r="AC83" s="53"/>
      <c r="AD83" s="49"/>
      <c r="AE83" s="53"/>
      <c r="AF83" s="49"/>
      <c r="AG83" s="53"/>
      <c r="AH83" s="49"/>
      <c r="AI83" s="53"/>
      <c r="AJ83" s="53"/>
      <c r="AK83" s="53"/>
      <c r="AL83" s="53"/>
      <c r="AM83" s="53"/>
      <c r="AN83" s="53"/>
      <c r="AO83" s="53"/>
      <c r="AP83" s="62">
        <f t="shared" si="2"/>
        <v>606</v>
      </c>
      <c r="AQ83" s="55">
        <f t="shared" si="3"/>
        <v>235620</v>
      </c>
    </row>
    <row r="84" spans="1:43">
      <c r="A84" s="47">
        <v>107</v>
      </c>
      <c r="B84" s="56">
        <v>4971710591095</v>
      </c>
      <c r="C84" s="57" t="s">
        <v>736</v>
      </c>
      <c r="D84" s="75" t="s">
        <v>884</v>
      </c>
      <c r="E84" s="48" t="s">
        <v>737</v>
      </c>
      <c r="F84" s="58">
        <v>0</v>
      </c>
      <c r="G84" s="50">
        <v>0</v>
      </c>
      <c r="H84" s="51">
        <v>0</v>
      </c>
      <c r="I84" s="52">
        <v>0</v>
      </c>
      <c r="J84" s="49">
        <v>0</v>
      </c>
      <c r="K84" s="50">
        <v>0</v>
      </c>
      <c r="L84" s="49">
        <v>0</v>
      </c>
      <c r="M84" s="50">
        <v>0</v>
      </c>
      <c r="N84" s="49">
        <v>0</v>
      </c>
      <c r="O84" s="50">
        <v>0</v>
      </c>
      <c r="P84" s="49">
        <v>0</v>
      </c>
      <c r="Q84" s="53">
        <v>0</v>
      </c>
      <c r="R84" s="58"/>
      <c r="S84" s="59"/>
      <c r="T84" s="60">
        <v>600</v>
      </c>
      <c r="U84" s="61">
        <v>231000</v>
      </c>
      <c r="V84" s="58">
        <v>6</v>
      </c>
      <c r="W84" s="59">
        <v>4620</v>
      </c>
      <c r="X84" s="49"/>
      <c r="Y84" s="50"/>
      <c r="Z84" s="49"/>
      <c r="AA84" s="50"/>
      <c r="AB84" s="49"/>
      <c r="AC84" s="53"/>
      <c r="AD84" s="49"/>
      <c r="AE84" s="53"/>
      <c r="AF84" s="49"/>
      <c r="AG84" s="53"/>
      <c r="AH84" s="49"/>
      <c r="AI84" s="53"/>
      <c r="AJ84" s="53"/>
      <c r="AK84" s="53"/>
      <c r="AL84" s="53"/>
      <c r="AM84" s="53"/>
      <c r="AN84" s="53"/>
      <c r="AO84" s="53"/>
      <c r="AP84" s="62">
        <f t="shared" si="2"/>
        <v>606</v>
      </c>
      <c r="AQ84" s="55">
        <f t="shared" si="3"/>
        <v>235620</v>
      </c>
    </row>
    <row r="85" spans="1:43">
      <c r="A85" s="47">
        <v>68</v>
      </c>
      <c r="B85" s="56">
        <v>4971710599954</v>
      </c>
      <c r="C85" s="57" t="s">
        <v>975</v>
      </c>
      <c r="D85" s="75" t="s">
        <v>882</v>
      </c>
      <c r="E85" s="48" t="s">
        <v>976</v>
      </c>
      <c r="F85" s="58"/>
      <c r="G85" s="50"/>
      <c r="H85" s="51"/>
      <c r="I85" s="52"/>
      <c r="J85" s="49"/>
      <c r="K85" s="50"/>
      <c r="L85" s="49"/>
      <c r="M85" s="50"/>
      <c r="N85" s="49"/>
      <c r="O85" s="50"/>
      <c r="P85" s="49"/>
      <c r="Q85" s="53"/>
      <c r="R85" s="58"/>
      <c r="S85" s="59"/>
      <c r="T85" s="60"/>
      <c r="U85" s="61"/>
      <c r="V85" s="58"/>
      <c r="W85" s="59"/>
      <c r="X85" s="49"/>
      <c r="Y85" s="50"/>
      <c r="Z85" s="49"/>
      <c r="AA85" s="50"/>
      <c r="AB85" s="49"/>
      <c r="AC85" s="53"/>
      <c r="AD85" s="49"/>
      <c r="AE85" s="53"/>
      <c r="AF85" s="49"/>
      <c r="AG85" s="53"/>
      <c r="AH85" s="49">
        <v>600</v>
      </c>
      <c r="AI85" s="53">
        <v>858000</v>
      </c>
      <c r="AJ85" s="53"/>
      <c r="AK85" s="53"/>
      <c r="AL85" s="53"/>
      <c r="AM85" s="53"/>
      <c r="AN85" s="53"/>
      <c r="AO85" s="53"/>
      <c r="AP85" s="63">
        <f t="shared" si="2"/>
        <v>600</v>
      </c>
      <c r="AQ85" s="55">
        <f t="shared" si="3"/>
        <v>858000</v>
      </c>
    </row>
    <row r="86" spans="1:43">
      <c r="A86" s="47">
        <v>70</v>
      </c>
      <c r="B86" s="56">
        <v>4971710494914</v>
      </c>
      <c r="C86" s="57" t="s">
        <v>132</v>
      </c>
      <c r="D86" s="75" t="s">
        <v>884</v>
      </c>
      <c r="E86" s="48" t="s">
        <v>133</v>
      </c>
      <c r="F86" s="58">
        <v>0</v>
      </c>
      <c r="G86" s="50">
        <v>0</v>
      </c>
      <c r="H86" s="51">
        <v>0</v>
      </c>
      <c r="I86" s="52">
        <v>0</v>
      </c>
      <c r="J86" s="49">
        <v>0</v>
      </c>
      <c r="K86" s="50">
        <v>0</v>
      </c>
      <c r="L86" s="49">
        <v>0</v>
      </c>
      <c r="M86" s="50">
        <v>0</v>
      </c>
      <c r="N86" s="49">
        <v>10</v>
      </c>
      <c r="O86" s="50">
        <v>6600</v>
      </c>
      <c r="P86" s="49">
        <v>0</v>
      </c>
      <c r="Q86" s="53">
        <v>0</v>
      </c>
      <c r="R86" s="58"/>
      <c r="S86" s="59"/>
      <c r="T86" s="60">
        <v>40</v>
      </c>
      <c r="U86" s="61">
        <v>13200</v>
      </c>
      <c r="V86" s="58">
        <v>20</v>
      </c>
      <c r="W86" s="59">
        <v>13200</v>
      </c>
      <c r="X86" s="49">
        <v>130</v>
      </c>
      <c r="Y86" s="50">
        <v>85800</v>
      </c>
      <c r="Z86" s="49">
        <v>50</v>
      </c>
      <c r="AA86" s="50">
        <v>33000</v>
      </c>
      <c r="AB86" s="49">
        <v>100</v>
      </c>
      <c r="AC86" s="53">
        <v>66000</v>
      </c>
      <c r="AD86" s="49">
        <v>100</v>
      </c>
      <c r="AE86" s="53">
        <v>66000</v>
      </c>
      <c r="AF86" s="49"/>
      <c r="AG86" s="53"/>
      <c r="AH86" s="49"/>
      <c r="AI86" s="53"/>
      <c r="AJ86" s="53"/>
      <c r="AK86" s="53"/>
      <c r="AL86" s="53"/>
      <c r="AM86" s="53"/>
      <c r="AN86" s="53">
        <v>150</v>
      </c>
      <c r="AO86" s="53">
        <v>99000</v>
      </c>
      <c r="AP86" s="62">
        <f t="shared" si="2"/>
        <v>600</v>
      </c>
      <c r="AQ86" s="55">
        <f t="shared" si="3"/>
        <v>382800</v>
      </c>
    </row>
    <row r="87" spans="1:43">
      <c r="A87" s="47">
        <v>69</v>
      </c>
      <c r="B87" s="56">
        <v>4971710585254</v>
      </c>
      <c r="C87" s="57" t="s">
        <v>997</v>
      </c>
      <c r="D87" s="75" t="s">
        <v>1085</v>
      </c>
      <c r="E87" s="48" t="s">
        <v>859</v>
      </c>
      <c r="F87" s="58">
        <v>0</v>
      </c>
      <c r="G87" s="50">
        <v>0</v>
      </c>
      <c r="H87" s="51">
        <v>0</v>
      </c>
      <c r="I87" s="52">
        <v>0</v>
      </c>
      <c r="J87" s="49">
        <v>0</v>
      </c>
      <c r="K87" s="50">
        <v>0</v>
      </c>
      <c r="L87" s="49">
        <v>0</v>
      </c>
      <c r="M87" s="50">
        <v>0</v>
      </c>
      <c r="N87" s="49">
        <v>0</v>
      </c>
      <c r="O87" s="50">
        <v>0</v>
      </c>
      <c r="P87" s="49">
        <v>0</v>
      </c>
      <c r="Q87" s="53">
        <v>0</v>
      </c>
      <c r="R87" s="58"/>
      <c r="S87" s="59"/>
      <c r="T87" s="60"/>
      <c r="U87" s="61"/>
      <c r="V87" s="58"/>
      <c r="W87" s="59"/>
      <c r="X87" s="49"/>
      <c r="Y87" s="50"/>
      <c r="Z87" s="49">
        <v>192</v>
      </c>
      <c r="AA87" s="50">
        <v>264000</v>
      </c>
      <c r="AB87" s="49"/>
      <c r="AC87" s="53"/>
      <c r="AD87" s="49"/>
      <c r="AE87" s="53"/>
      <c r="AF87" s="49">
        <v>20</v>
      </c>
      <c r="AG87" s="53">
        <v>27500</v>
      </c>
      <c r="AH87" s="49">
        <v>275</v>
      </c>
      <c r="AI87" s="53">
        <v>378125</v>
      </c>
      <c r="AJ87" s="53"/>
      <c r="AK87" s="53"/>
      <c r="AL87" s="53"/>
      <c r="AM87" s="53"/>
      <c r="AN87" s="53">
        <v>99</v>
      </c>
      <c r="AO87" s="53">
        <v>147015</v>
      </c>
      <c r="AP87" s="63">
        <f t="shared" si="2"/>
        <v>586</v>
      </c>
      <c r="AQ87" s="55">
        <f t="shared" si="3"/>
        <v>816640</v>
      </c>
    </row>
    <row r="88" spans="1:43">
      <c r="A88" s="47">
        <v>86</v>
      </c>
      <c r="B88" s="56">
        <v>4971710592962</v>
      </c>
      <c r="C88" s="57" t="s">
        <v>740</v>
      </c>
      <c r="D88" s="75" t="s">
        <v>884</v>
      </c>
      <c r="E88" s="48" t="s">
        <v>741</v>
      </c>
      <c r="F88" s="58">
        <v>0</v>
      </c>
      <c r="G88" s="50">
        <v>0</v>
      </c>
      <c r="H88" s="51">
        <v>0</v>
      </c>
      <c r="I88" s="52">
        <v>0</v>
      </c>
      <c r="J88" s="49">
        <v>0</v>
      </c>
      <c r="K88" s="50">
        <v>0</v>
      </c>
      <c r="L88" s="49">
        <v>0</v>
      </c>
      <c r="M88" s="50">
        <v>0</v>
      </c>
      <c r="N88" s="49">
        <v>0</v>
      </c>
      <c r="O88" s="50">
        <v>0</v>
      </c>
      <c r="P88" s="49">
        <v>0</v>
      </c>
      <c r="Q88" s="53">
        <v>0</v>
      </c>
      <c r="R88" s="58">
        <v>65</v>
      </c>
      <c r="S88" s="59">
        <v>39325</v>
      </c>
      <c r="T88" s="60">
        <v>270</v>
      </c>
      <c r="U88" s="61">
        <v>81675</v>
      </c>
      <c r="V88" s="58">
        <v>64</v>
      </c>
      <c r="W88" s="59">
        <v>38720</v>
      </c>
      <c r="X88" s="49">
        <v>12</v>
      </c>
      <c r="Y88" s="50">
        <v>7260</v>
      </c>
      <c r="Z88" s="49">
        <v>35</v>
      </c>
      <c r="AA88" s="50">
        <v>21175</v>
      </c>
      <c r="AB88" s="49">
        <v>14</v>
      </c>
      <c r="AC88" s="53">
        <v>8470</v>
      </c>
      <c r="AD88" s="49">
        <v>2</v>
      </c>
      <c r="AE88" s="53">
        <v>1210</v>
      </c>
      <c r="AF88" s="49"/>
      <c r="AG88" s="53"/>
      <c r="AH88" s="49">
        <v>25</v>
      </c>
      <c r="AI88" s="53">
        <v>15125</v>
      </c>
      <c r="AJ88" s="53"/>
      <c r="AK88" s="53"/>
      <c r="AL88" s="53"/>
      <c r="AM88" s="53"/>
      <c r="AN88" s="53">
        <v>92</v>
      </c>
      <c r="AO88" s="53">
        <v>55660</v>
      </c>
      <c r="AP88" s="62">
        <f t="shared" si="2"/>
        <v>579</v>
      </c>
      <c r="AQ88" s="55">
        <f t="shared" si="3"/>
        <v>268620</v>
      </c>
    </row>
    <row r="89" spans="1:43">
      <c r="A89" s="47">
        <v>87</v>
      </c>
      <c r="B89" s="56">
        <v>4971710561258</v>
      </c>
      <c r="C89" s="57" t="s">
        <v>471</v>
      </c>
      <c r="D89" s="75" t="s">
        <v>884</v>
      </c>
      <c r="E89" s="48" t="s">
        <v>472</v>
      </c>
      <c r="F89" s="58">
        <v>0</v>
      </c>
      <c r="G89" s="50">
        <v>0</v>
      </c>
      <c r="H89" s="51">
        <v>24</v>
      </c>
      <c r="I89" s="52">
        <v>18480</v>
      </c>
      <c r="J89" s="49">
        <v>24</v>
      </c>
      <c r="K89" s="50">
        <v>18480</v>
      </c>
      <c r="L89" s="49">
        <v>2</v>
      </c>
      <c r="M89" s="50">
        <v>1540</v>
      </c>
      <c r="N89" s="49">
        <v>40</v>
      </c>
      <c r="O89" s="50">
        <v>30800</v>
      </c>
      <c r="P89" s="49">
        <v>32</v>
      </c>
      <c r="Q89" s="53">
        <v>24640</v>
      </c>
      <c r="R89" s="58">
        <v>83</v>
      </c>
      <c r="S89" s="59">
        <v>63910</v>
      </c>
      <c r="T89" s="60">
        <v>28</v>
      </c>
      <c r="U89" s="61">
        <v>10780</v>
      </c>
      <c r="V89" s="58">
        <v>8</v>
      </c>
      <c r="W89" s="59">
        <v>6160</v>
      </c>
      <c r="X89" s="49">
        <v>36</v>
      </c>
      <c r="Y89" s="50">
        <v>27720</v>
      </c>
      <c r="Z89" s="49">
        <v>82</v>
      </c>
      <c r="AA89" s="50">
        <v>63140</v>
      </c>
      <c r="AB89" s="49">
        <v>5</v>
      </c>
      <c r="AC89" s="53">
        <v>3850</v>
      </c>
      <c r="AD89" s="49">
        <v>2</v>
      </c>
      <c r="AE89" s="53">
        <v>1540</v>
      </c>
      <c r="AF89" s="49">
        <v>2</v>
      </c>
      <c r="AG89" s="53">
        <v>1540</v>
      </c>
      <c r="AH89" s="49">
        <v>54</v>
      </c>
      <c r="AI89" s="53">
        <v>41580</v>
      </c>
      <c r="AJ89" s="53"/>
      <c r="AK89" s="53"/>
      <c r="AL89" s="53"/>
      <c r="AM89" s="53"/>
      <c r="AN89" s="53">
        <v>154</v>
      </c>
      <c r="AO89" s="53">
        <v>118580</v>
      </c>
      <c r="AP89" s="62">
        <f t="shared" si="2"/>
        <v>576</v>
      </c>
      <c r="AQ89" s="55">
        <f t="shared" si="3"/>
        <v>432740</v>
      </c>
    </row>
    <row r="90" spans="1:43">
      <c r="A90" s="47">
        <v>92</v>
      </c>
      <c r="B90" s="56">
        <v>4971710556834</v>
      </c>
      <c r="C90" s="57" t="s">
        <v>448</v>
      </c>
      <c r="D90" s="75" t="s">
        <v>884</v>
      </c>
      <c r="E90" s="48" t="s">
        <v>449</v>
      </c>
      <c r="F90" s="58">
        <v>0</v>
      </c>
      <c r="G90" s="50">
        <v>0</v>
      </c>
      <c r="H90" s="51">
        <v>5</v>
      </c>
      <c r="I90" s="52">
        <v>4950</v>
      </c>
      <c r="J90" s="49">
        <v>15</v>
      </c>
      <c r="K90" s="50">
        <v>14850</v>
      </c>
      <c r="L90" s="49">
        <v>55</v>
      </c>
      <c r="M90" s="50">
        <v>54450</v>
      </c>
      <c r="N90" s="49">
        <v>15</v>
      </c>
      <c r="O90" s="50">
        <v>14850</v>
      </c>
      <c r="P90" s="49">
        <v>65</v>
      </c>
      <c r="Q90" s="53">
        <v>64350</v>
      </c>
      <c r="R90" s="58">
        <v>50</v>
      </c>
      <c r="S90" s="59">
        <v>49500</v>
      </c>
      <c r="T90" s="60">
        <v>38</v>
      </c>
      <c r="U90" s="61">
        <v>18810</v>
      </c>
      <c r="V90" s="58">
        <v>2</v>
      </c>
      <c r="W90" s="59">
        <v>1980</v>
      </c>
      <c r="X90" s="49">
        <v>32</v>
      </c>
      <c r="Y90" s="50">
        <v>31680</v>
      </c>
      <c r="Z90" s="49">
        <v>55</v>
      </c>
      <c r="AA90" s="50">
        <v>54450</v>
      </c>
      <c r="AB90" s="49">
        <v>7</v>
      </c>
      <c r="AC90" s="53">
        <v>6930</v>
      </c>
      <c r="AD90" s="49">
        <v>4</v>
      </c>
      <c r="AE90" s="53">
        <v>3960</v>
      </c>
      <c r="AF90" s="49">
        <v>30</v>
      </c>
      <c r="AG90" s="53">
        <v>29700</v>
      </c>
      <c r="AH90" s="49">
        <v>120</v>
      </c>
      <c r="AI90" s="53">
        <v>118800</v>
      </c>
      <c r="AJ90" s="53"/>
      <c r="AK90" s="53"/>
      <c r="AL90" s="53"/>
      <c r="AM90" s="53"/>
      <c r="AN90" s="53">
        <v>82</v>
      </c>
      <c r="AO90" s="53">
        <v>81180</v>
      </c>
      <c r="AP90" s="62">
        <f t="shared" si="2"/>
        <v>575</v>
      </c>
      <c r="AQ90" s="55">
        <f t="shared" si="3"/>
        <v>550440</v>
      </c>
    </row>
    <row r="91" spans="1:43">
      <c r="A91" s="47">
        <v>154</v>
      </c>
      <c r="B91" s="56">
        <v>4971710561241</v>
      </c>
      <c r="C91" s="57" t="s">
        <v>469</v>
      </c>
      <c r="D91" s="75" t="s">
        <v>884</v>
      </c>
      <c r="E91" s="48" t="s">
        <v>470</v>
      </c>
      <c r="F91" s="58">
        <v>0</v>
      </c>
      <c r="G91" s="50">
        <v>0</v>
      </c>
      <c r="H91" s="51">
        <v>0</v>
      </c>
      <c r="I91" s="52">
        <v>0</v>
      </c>
      <c r="J91" s="49">
        <v>0</v>
      </c>
      <c r="K91" s="50">
        <v>0</v>
      </c>
      <c r="L91" s="49">
        <v>55</v>
      </c>
      <c r="M91" s="50">
        <v>42350</v>
      </c>
      <c r="N91" s="49">
        <v>300</v>
      </c>
      <c r="O91" s="50">
        <v>231000</v>
      </c>
      <c r="P91" s="49">
        <v>5</v>
      </c>
      <c r="Q91" s="53">
        <v>3850</v>
      </c>
      <c r="R91" s="58">
        <v>12</v>
      </c>
      <c r="S91" s="59">
        <v>9240</v>
      </c>
      <c r="T91" s="60">
        <v>20</v>
      </c>
      <c r="U91" s="61">
        <v>7700</v>
      </c>
      <c r="V91" s="58">
        <v>2</v>
      </c>
      <c r="W91" s="59">
        <v>1540</v>
      </c>
      <c r="X91" s="49">
        <v>26</v>
      </c>
      <c r="Y91" s="50">
        <v>20020</v>
      </c>
      <c r="Z91" s="49">
        <v>2</v>
      </c>
      <c r="AA91" s="50">
        <v>1540</v>
      </c>
      <c r="AB91" s="49">
        <v>10</v>
      </c>
      <c r="AC91" s="53">
        <v>7700</v>
      </c>
      <c r="AD91" s="49">
        <v>32</v>
      </c>
      <c r="AE91" s="53">
        <v>24640</v>
      </c>
      <c r="AF91" s="49">
        <v>20</v>
      </c>
      <c r="AG91" s="53">
        <v>15400</v>
      </c>
      <c r="AH91" s="49">
        <v>4</v>
      </c>
      <c r="AI91" s="53">
        <v>3080</v>
      </c>
      <c r="AJ91" s="53"/>
      <c r="AK91" s="53"/>
      <c r="AL91" s="53"/>
      <c r="AM91" s="53"/>
      <c r="AN91" s="53">
        <v>81</v>
      </c>
      <c r="AO91" s="53">
        <v>62370</v>
      </c>
      <c r="AP91" s="62">
        <f t="shared" si="2"/>
        <v>569</v>
      </c>
      <c r="AQ91" s="55">
        <f t="shared" si="3"/>
        <v>430430</v>
      </c>
    </row>
    <row r="92" spans="1:43">
      <c r="A92" s="47">
        <v>85</v>
      </c>
      <c r="B92" s="56">
        <v>4971710593020</v>
      </c>
      <c r="C92" s="57" t="s">
        <v>752</v>
      </c>
      <c r="D92" s="75" t="s">
        <v>884</v>
      </c>
      <c r="E92" s="48" t="s">
        <v>753</v>
      </c>
      <c r="F92" s="58">
        <v>0</v>
      </c>
      <c r="G92" s="50">
        <v>0</v>
      </c>
      <c r="H92" s="51">
        <v>0</v>
      </c>
      <c r="I92" s="52">
        <v>0</v>
      </c>
      <c r="J92" s="49">
        <v>0</v>
      </c>
      <c r="K92" s="50">
        <v>0</v>
      </c>
      <c r="L92" s="49">
        <v>0</v>
      </c>
      <c r="M92" s="50">
        <v>0</v>
      </c>
      <c r="N92" s="49">
        <v>0</v>
      </c>
      <c r="O92" s="50">
        <v>0</v>
      </c>
      <c r="P92" s="49">
        <v>0</v>
      </c>
      <c r="Q92" s="53">
        <v>0</v>
      </c>
      <c r="R92" s="58">
        <v>65</v>
      </c>
      <c r="S92" s="59">
        <v>39325</v>
      </c>
      <c r="T92" s="60">
        <v>226</v>
      </c>
      <c r="U92" s="61">
        <v>68365</v>
      </c>
      <c r="V92" s="58">
        <v>24</v>
      </c>
      <c r="W92" s="59">
        <v>14520</v>
      </c>
      <c r="X92" s="49">
        <v>40</v>
      </c>
      <c r="Y92" s="50">
        <v>24200</v>
      </c>
      <c r="Z92" s="49">
        <v>12</v>
      </c>
      <c r="AA92" s="50">
        <v>7260</v>
      </c>
      <c r="AB92" s="49">
        <v>170</v>
      </c>
      <c r="AC92" s="53">
        <v>102850</v>
      </c>
      <c r="AD92" s="49">
        <v>2</v>
      </c>
      <c r="AE92" s="53">
        <v>1210</v>
      </c>
      <c r="AF92" s="49">
        <v>20</v>
      </c>
      <c r="AG92" s="53">
        <v>12100</v>
      </c>
      <c r="AH92" s="49">
        <v>2</v>
      </c>
      <c r="AI92" s="53">
        <v>1210</v>
      </c>
      <c r="AJ92" s="53"/>
      <c r="AK92" s="53"/>
      <c r="AL92" s="53"/>
      <c r="AM92" s="53"/>
      <c r="AN92" s="53"/>
      <c r="AO92" s="53"/>
      <c r="AP92" s="62">
        <f t="shared" si="2"/>
        <v>561</v>
      </c>
      <c r="AQ92" s="55">
        <f t="shared" si="3"/>
        <v>271040</v>
      </c>
    </row>
    <row r="93" spans="1:43">
      <c r="A93" s="47">
        <v>77</v>
      </c>
      <c r="B93" s="56">
        <v>4971710595512</v>
      </c>
      <c r="C93" s="57" t="s">
        <v>762</v>
      </c>
      <c r="D93" s="75" t="s">
        <v>884</v>
      </c>
      <c r="E93" s="48" t="s">
        <v>763</v>
      </c>
      <c r="F93" s="58">
        <v>0</v>
      </c>
      <c r="G93" s="50">
        <v>0</v>
      </c>
      <c r="H93" s="51">
        <v>0</v>
      </c>
      <c r="I93" s="52">
        <v>0</v>
      </c>
      <c r="J93" s="49">
        <v>0</v>
      </c>
      <c r="K93" s="50">
        <v>0</v>
      </c>
      <c r="L93" s="49">
        <v>0</v>
      </c>
      <c r="M93" s="50">
        <v>0</v>
      </c>
      <c r="N93" s="49">
        <v>0</v>
      </c>
      <c r="O93" s="50">
        <v>0</v>
      </c>
      <c r="P93" s="49">
        <v>0</v>
      </c>
      <c r="Q93" s="53">
        <v>0</v>
      </c>
      <c r="R93" s="58"/>
      <c r="S93" s="59"/>
      <c r="T93" s="60">
        <v>98</v>
      </c>
      <c r="U93" s="61">
        <v>37730</v>
      </c>
      <c r="V93" s="58">
        <v>67</v>
      </c>
      <c r="W93" s="59">
        <v>51590</v>
      </c>
      <c r="X93" s="49">
        <v>100</v>
      </c>
      <c r="Y93" s="50">
        <v>77000</v>
      </c>
      <c r="Z93" s="49">
        <v>60</v>
      </c>
      <c r="AA93" s="50">
        <v>46200</v>
      </c>
      <c r="AB93" s="49">
        <v>60</v>
      </c>
      <c r="AC93" s="53">
        <v>46200</v>
      </c>
      <c r="AD93" s="49"/>
      <c r="AE93" s="53"/>
      <c r="AF93" s="49"/>
      <c r="AG93" s="53"/>
      <c r="AH93" s="49">
        <v>95</v>
      </c>
      <c r="AI93" s="53">
        <v>73150</v>
      </c>
      <c r="AJ93" s="53"/>
      <c r="AK93" s="53"/>
      <c r="AL93" s="53"/>
      <c r="AM93" s="53"/>
      <c r="AN93" s="53">
        <v>70</v>
      </c>
      <c r="AO93" s="53">
        <v>53900</v>
      </c>
      <c r="AP93" s="62">
        <f t="shared" si="2"/>
        <v>550</v>
      </c>
      <c r="AQ93" s="55">
        <f t="shared" si="3"/>
        <v>385770</v>
      </c>
    </row>
    <row r="94" spans="1:43">
      <c r="A94" s="47">
        <v>90</v>
      </c>
      <c r="B94" s="56">
        <v>4971710593006</v>
      </c>
      <c r="C94" s="57" t="s">
        <v>748</v>
      </c>
      <c r="D94" s="75" t="s">
        <v>884</v>
      </c>
      <c r="E94" s="48" t="s">
        <v>749</v>
      </c>
      <c r="F94" s="58">
        <v>0</v>
      </c>
      <c r="G94" s="50">
        <v>0</v>
      </c>
      <c r="H94" s="51">
        <v>0</v>
      </c>
      <c r="I94" s="52">
        <v>0</v>
      </c>
      <c r="J94" s="49">
        <v>0</v>
      </c>
      <c r="K94" s="50">
        <v>0</v>
      </c>
      <c r="L94" s="49">
        <v>0</v>
      </c>
      <c r="M94" s="50">
        <v>0</v>
      </c>
      <c r="N94" s="49">
        <v>0</v>
      </c>
      <c r="O94" s="50">
        <v>0</v>
      </c>
      <c r="P94" s="49">
        <v>0</v>
      </c>
      <c r="Q94" s="53">
        <v>0</v>
      </c>
      <c r="R94" s="58">
        <v>65</v>
      </c>
      <c r="S94" s="59">
        <v>39325</v>
      </c>
      <c r="T94" s="60">
        <v>238</v>
      </c>
      <c r="U94" s="61">
        <v>71995</v>
      </c>
      <c r="V94" s="58">
        <v>39</v>
      </c>
      <c r="W94" s="59">
        <v>23595</v>
      </c>
      <c r="X94" s="49">
        <v>6</v>
      </c>
      <c r="Y94" s="50">
        <v>3630</v>
      </c>
      <c r="Z94" s="49"/>
      <c r="AA94" s="50"/>
      <c r="AB94" s="49"/>
      <c r="AC94" s="53"/>
      <c r="AD94" s="49">
        <v>47</v>
      </c>
      <c r="AE94" s="53">
        <v>28435</v>
      </c>
      <c r="AF94" s="49">
        <v>30</v>
      </c>
      <c r="AG94" s="53">
        <v>18150</v>
      </c>
      <c r="AH94" s="49">
        <v>2</v>
      </c>
      <c r="AI94" s="53">
        <v>1210</v>
      </c>
      <c r="AJ94" s="53"/>
      <c r="AK94" s="53"/>
      <c r="AL94" s="53"/>
      <c r="AM94" s="53"/>
      <c r="AN94" s="53">
        <v>120</v>
      </c>
      <c r="AO94" s="53">
        <v>72600</v>
      </c>
      <c r="AP94" s="62">
        <f t="shared" si="2"/>
        <v>547</v>
      </c>
      <c r="AQ94" s="55">
        <f t="shared" si="3"/>
        <v>258940</v>
      </c>
    </row>
    <row r="95" spans="1:43">
      <c r="A95" s="47">
        <v>89</v>
      </c>
      <c r="B95" s="56">
        <v>4971710593013</v>
      </c>
      <c r="C95" s="57" t="s">
        <v>750</v>
      </c>
      <c r="D95" s="75" t="s">
        <v>884</v>
      </c>
      <c r="E95" s="48" t="s">
        <v>751</v>
      </c>
      <c r="F95" s="58">
        <v>0</v>
      </c>
      <c r="G95" s="50">
        <v>0</v>
      </c>
      <c r="H95" s="51">
        <v>0</v>
      </c>
      <c r="I95" s="52">
        <v>0</v>
      </c>
      <c r="J95" s="49">
        <v>0</v>
      </c>
      <c r="K95" s="50">
        <v>0</v>
      </c>
      <c r="L95" s="49">
        <v>0</v>
      </c>
      <c r="M95" s="50">
        <v>0</v>
      </c>
      <c r="N95" s="49">
        <v>0</v>
      </c>
      <c r="O95" s="50">
        <v>0</v>
      </c>
      <c r="P95" s="49">
        <v>0</v>
      </c>
      <c r="Q95" s="53">
        <v>0</v>
      </c>
      <c r="R95" s="58">
        <v>65</v>
      </c>
      <c r="S95" s="59">
        <v>39325</v>
      </c>
      <c r="T95" s="60">
        <v>216</v>
      </c>
      <c r="U95" s="61">
        <v>65340</v>
      </c>
      <c r="V95" s="58">
        <v>35</v>
      </c>
      <c r="W95" s="59">
        <v>21175</v>
      </c>
      <c r="X95" s="49">
        <v>2</v>
      </c>
      <c r="Y95" s="50">
        <v>1210</v>
      </c>
      <c r="Z95" s="49">
        <v>60</v>
      </c>
      <c r="AA95" s="50">
        <v>36300</v>
      </c>
      <c r="AB95" s="49">
        <v>14</v>
      </c>
      <c r="AC95" s="53">
        <v>8470</v>
      </c>
      <c r="AD95" s="49"/>
      <c r="AE95" s="53"/>
      <c r="AF95" s="49"/>
      <c r="AG95" s="53"/>
      <c r="AH95" s="49">
        <v>30</v>
      </c>
      <c r="AI95" s="53">
        <v>18150</v>
      </c>
      <c r="AJ95" s="53"/>
      <c r="AK95" s="53"/>
      <c r="AL95" s="53"/>
      <c r="AM95" s="53"/>
      <c r="AN95" s="53">
        <v>122</v>
      </c>
      <c r="AO95" s="53">
        <v>73810</v>
      </c>
      <c r="AP95" s="62">
        <f t="shared" si="2"/>
        <v>544</v>
      </c>
      <c r="AQ95" s="55">
        <f t="shared" si="3"/>
        <v>263780</v>
      </c>
    </row>
    <row r="96" spans="1:43">
      <c r="A96" s="47">
        <v>84</v>
      </c>
      <c r="B96" s="56">
        <v>4971710523058</v>
      </c>
      <c r="C96" s="57" t="s">
        <v>392</v>
      </c>
      <c r="D96" s="75" t="s">
        <v>880</v>
      </c>
      <c r="E96" s="48" t="s">
        <v>393</v>
      </c>
      <c r="F96" s="58">
        <v>6</v>
      </c>
      <c r="G96" s="50">
        <v>5280</v>
      </c>
      <c r="H96" s="51">
        <v>5</v>
      </c>
      <c r="I96" s="52">
        <v>4400</v>
      </c>
      <c r="J96" s="49">
        <v>0</v>
      </c>
      <c r="K96" s="50">
        <v>0</v>
      </c>
      <c r="L96" s="49">
        <v>4</v>
      </c>
      <c r="M96" s="50">
        <v>3520</v>
      </c>
      <c r="N96" s="49">
        <v>15</v>
      </c>
      <c r="O96" s="50">
        <v>13200</v>
      </c>
      <c r="P96" s="49">
        <v>30</v>
      </c>
      <c r="Q96" s="53">
        <v>26400</v>
      </c>
      <c r="R96" s="58">
        <v>47</v>
      </c>
      <c r="S96" s="59">
        <v>41360</v>
      </c>
      <c r="T96" s="60">
        <v>12</v>
      </c>
      <c r="U96" s="61">
        <v>5280</v>
      </c>
      <c r="V96" s="58">
        <v>48</v>
      </c>
      <c r="W96" s="59">
        <v>42240</v>
      </c>
      <c r="X96" s="49">
        <v>25</v>
      </c>
      <c r="Y96" s="50">
        <v>22000</v>
      </c>
      <c r="Z96" s="49">
        <v>54</v>
      </c>
      <c r="AA96" s="50">
        <v>47520</v>
      </c>
      <c r="AB96" s="49"/>
      <c r="AC96" s="53"/>
      <c r="AD96" s="49">
        <v>64</v>
      </c>
      <c r="AE96" s="53">
        <v>56320</v>
      </c>
      <c r="AF96" s="49">
        <v>54</v>
      </c>
      <c r="AG96" s="53">
        <v>47520</v>
      </c>
      <c r="AH96" s="49">
        <v>80</v>
      </c>
      <c r="AI96" s="53">
        <v>70400</v>
      </c>
      <c r="AJ96" s="53"/>
      <c r="AK96" s="53"/>
      <c r="AL96" s="53"/>
      <c r="AM96" s="53"/>
      <c r="AN96" s="53">
        <v>70</v>
      </c>
      <c r="AO96" s="53">
        <v>61600</v>
      </c>
      <c r="AP96" s="62">
        <f t="shared" si="2"/>
        <v>514</v>
      </c>
      <c r="AQ96" s="55">
        <f t="shared" si="3"/>
        <v>447040</v>
      </c>
    </row>
    <row r="97" spans="1:43">
      <c r="A97" s="47">
        <v>213</v>
      </c>
      <c r="B97" s="56">
        <v>4971710588125</v>
      </c>
      <c r="C97" s="57" t="s">
        <v>716</v>
      </c>
      <c r="D97" s="75" t="s">
        <v>884</v>
      </c>
      <c r="E97" s="48" t="s">
        <v>717</v>
      </c>
      <c r="F97" s="58">
        <v>0</v>
      </c>
      <c r="G97" s="50">
        <v>0</v>
      </c>
      <c r="H97" s="51">
        <v>0</v>
      </c>
      <c r="I97" s="52">
        <v>0</v>
      </c>
      <c r="J97" s="49">
        <v>0</v>
      </c>
      <c r="K97" s="50">
        <v>0</v>
      </c>
      <c r="L97" s="49">
        <v>0</v>
      </c>
      <c r="M97" s="50">
        <v>0</v>
      </c>
      <c r="N97" s="49">
        <v>300</v>
      </c>
      <c r="O97" s="50">
        <v>214500</v>
      </c>
      <c r="P97" s="49">
        <v>72</v>
      </c>
      <c r="Q97" s="53">
        <v>51480</v>
      </c>
      <c r="R97" s="58">
        <v>15</v>
      </c>
      <c r="S97" s="59">
        <v>10725</v>
      </c>
      <c r="T97" s="60">
        <v>12</v>
      </c>
      <c r="U97" s="61">
        <v>4290</v>
      </c>
      <c r="V97" s="58">
        <v>66</v>
      </c>
      <c r="W97" s="59">
        <v>47190</v>
      </c>
      <c r="X97" s="49">
        <v>36</v>
      </c>
      <c r="Y97" s="50">
        <v>25740</v>
      </c>
      <c r="Z97" s="49"/>
      <c r="AA97" s="50"/>
      <c r="AB97" s="49"/>
      <c r="AC97" s="53"/>
      <c r="AD97" s="49">
        <v>2</v>
      </c>
      <c r="AE97" s="53">
        <v>1430</v>
      </c>
      <c r="AF97" s="49"/>
      <c r="AG97" s="53"/>
      <c r="AH97" s="49">
        <v>2</v>
      </c>
      <c r="AI97" s="53">
        <v>1430</v>
      </c>
      <c r="AJ97" s="53"/>
      <c r="AK97" s="53"/>
      <c r="AL97" s="53"/>
      <c r="AM97" s="53"/>
      <c r="AN97" s="53"/>
      <c r="AO97" s="53"/>
      <c r="AP97" s="62">
        <f t="shared" si="2"/>
        <v>505</v>
      </c>
      <c r="AQ97" s="55">
        <f t="shared" si="3"/>
        <v>356785</v>
      </c>
    </row>
    <row r="98" spans="1:43">
      <c r="A98" s="47">
        <v>78</v>
      </c>
      <c r="B98" s="56">
        <v>4971710599985</v>
      </c>
      <c r="C98" s="57" t="s">
        <v>979</v>
      </c>
      <c r="D98" s="75" t="s">
        <v>882</v>
      </c>
      <c r="E98" s="48" t="s">
        <v>978</v>
      </c>
      <c r="F98" s="58"/>
      <c r="G98" s="50"/>
      <c r="H98" s="51"/>
      <c r="I98" s="52"/>
      <c r="J98" s="49"/>
      <c r="K98" s="50"/>
      <c r="L98" s="49"/>
      <c r="M98" s="50"/>
      <c r="N98" s="49"/>
      <c r="O98" s="50"/>
      <c r="P98" s="49"/>
      <c r="Q98" s="53"/>
      <c r="R98" s="58"/>
      <c r="S98" s="59"/>
      <c r="T98" s="60"/>
      <c r="U98" s="61"/>
      <c r="V98" s="58"/>
      <c r="W98" s="59"/>
      <c r="X98" s="49"/>
      <c r="Y98" s="50"/>
      <c r="Z98" s="49"/>
      <c r="AA98" s="50"/>
      <c r="AB98" s="49"/>
      <c r="AC98" s="53"/>
      <c r="AD98" s="49"/>
      <c r="AE98" s="53"/>
      <c r="AF98" s="49"/>
      <c r="AG98" s="53"/>
      <c r="AH98" s="49">
        <v>500</v>
      </c>
      <c r="AI98" s="53">
        <v>797500</v>
      </c>
      <c r="AJ98" s="53"/>
      <c r="AK98" s="53"/>
      <c r="AL98" s="53"/>
      <c r="AM98" s="53"/>
      <c r="AN98" s="53"/>
      <c r="AO98" s="53"/>
      <c r="AP98" s="63">
        <f t="shared" si="2"/>
        <v>500</v>
      </c>
      <c r="AQ98" s="55">
        <f t="shared" si="3"/>
        <v>797500</v>
      </c>
    </row>
    <row r="99" spans="1:43">
      <c r="A99" s="47">
        <v>81</v>
      </c>
      <c r="B99" s="56">
        <v>4971710569193</v>
      </c>
      <c r="C99" s="57" t="s">
        <v>541</v>
      </c>
      <c r="D99" s="75" t="s">
        <v>880</v>
      </c>
      <c r="E99" s="48" t="s">
        <v>542</v>
      </c>
      <c r="F99" s="58">
        <v>10</v>
      </c>
      <c r="G99" s="50">
        <v>6600</v>
      </c>
      <c r="H99" s="51">
        <v>30</v>
      </c>
      <c r="I99" s="52">
        <v>19800</v>
      </c>
      <c r="J99" s="49">
        <v>5</v>
      </c>
      <c r="K99" s="50">
        <v>3300</v>
      </c>
      <c r="L99" s="49">
        <v>40</v>
      </c>
      <c r="M99" s="50">
        <v>26400</v>
      </c>
      <c r="N99" s="49">
        <v>10</v>
      </c>
      <c r="O99" s="50">
        <v>6600</v>
      </c>
      <c r="P99" s="49">
        <v>0</v>
      </c>
      <c r="Q99" s="53">
        <v>0</v>
      </c>
      <c r="R99" s="58">
        <v>137</v>
      </c>
      <c r="S99" s="59">
        <v>90420</v>
      </c>
      <c r="T99" s="60">
        <v>12</v>
      </c>
      <c r="U99" s="61">
        <v>3960</v>
      </c>
      <c r="V99" s="58"/>
      <c r="W99" s="59"/>
      <c r="X99" s="49">
        <v>62</v>
      </c>
      <c r="Y99" s="50">
        <v>40920</v>
      </c>
      <c r="Z99" s="49">
        <v>50</v>
      </c>
      <c r="AA99" s="50">
        <v>33000</v>
      </c>
      <c r="AB99" s="49">
        <v>12</v>
      </c>
      <c r="AC99" s="53">
        <v>7920</v>
      </c>
      <c r="AD99" s="49"/>
      <c r="AE99" s="53"/>
      <c r="AF99" s="49">
        <v>6</v>
      </c>
      <c r="AG99" s="53">
        <v>3960</v>
      </c>
      <c r="AH99" s="49">
        <v>54</v>
      </c>
      <c r="AI99" s="53">
        <v>35640</v>
      </c>
      <c r="AJ99" s="53"/>
      <c r="AK99" s="53"/>
      <c r="AL99" s="53"/>
      <c r="AM99" s="53"/>
      <c r="AN99" s="53">
        <v>50</v>
      </c>
      <c r="AO99" s="53">
        <v>33000</v>
      </c>
      <c r="AP99" s="62">
        <f t="shared" si="2"/>
        <v>478</v>
      </c>
      <c r="AQ99" s="55">
        <f t="shared" si="3"/>
        <v>311520</v>
      </c>
    </row>
    <row r="100" spans="1:43">
      <c r="A100" s="47">
        <v>91</v>
      </c>
      <c r="B100" s="56">
        <v>4971710566147</v>
      </c>
      <c r="C100" s="57" t="s">
        <v>517</v>
      </c>
      <c r="D100" s="75" t="s">
        <v>880</v>
      </c>
      <c r="E100" s="48" t="s">
        <v>518</v>
      </c>
      <c r="F100" s="58">
        <v>0</v>
      </c>
      <c r="G100" s="50">
        <v>0</v>
      </c>
      <c r="H100" s="51">
        <v>30</v>
      </c>
      <c r="I100" s="52">
        <v>16500</v>
      </c>
      <c r="J100" s="49">
        <v>10</v>
      </c>
      <c r="K100" s="50">
        <v>5500</v>
      </c>
      <c r="L100" s="49">
        <v>0</v>
      </c>
      <c r="M100" s="50">
        <v>0</v>
      </c>
      <c r="N100" s="49">
        <v>30</v>
      </c>
      <c r="O100" s="50">
        <v>16500</v>
      </c>
      <c r="P100" s="49">
        <v>0</v>
      </c>
      <c r="Q100" s="53">
        <v>0</v>
      </c>
      <c r="R100" s="58">
        <v>152</v>
      </c>
      <c r="S100" s="59">
        <v>83600</v>
      </c>
      <c r="T100" s="60"/>
      <c r="U100" s="61"/>
      <c r="V100" s="58">
        <v>2</v>
      </c>
      <c r="W100" s="59">
        <v>1100</v>
      </c>
      <c r="X100" s="49">
        <v>1</v>
      </c>
      <c r="Y100" s="50">
        <v>550</v>
      </c>
      <c r="Z100" s="49">
        <v>80</v>
      </c>
      <c r="AA100" s="50">
        <v>44000</v>
      </c>
      <c r="AB100" s="49">
        <v>6</v>
      </c>
      <c r="AC100" s="53">
        <v>3300</v>
      </c>
      <c r="AD100" s="49">
        <v>44</v>
      </c>
      <c r="AE100" s="53">
        <v>24200</v>
      </c>
      <c r="AF100" s="49">
        <v>6</v>
      </c>
      <c r="AG100" s="53">
        <v>3300</v>
      </c>
      <c r="AH100" s="49">
        <v>66</v>
      </c>
      <c r="AI100" s="53">
        <v>36300</v>
      </c>
      <c r="AJ100" s="53"/>
      <c r="AK100" s="53"/>
      <c r="AL100" s="53"/>
      <c r="AM100" s="53"/>
      <c r="AN100" s="53">
        <v>50</v>
      </c>
      <c r="AO100" s="53">
        <v>27500</v>
      </c>
      <c r="AP100" s="62">
        <f t="shared" si="2"/>
        <v>477</v>
      </c>
      <c r="AQ100" s="55">
        <f t="shared" si="3"/>
        <v>262350</v>
      </c>
    </row>
    <row r="101" spans="1:43">
      <c r="A101" s="47">
        <v>99</v>
      </c>
      <c r="B101" s="56">
        <v>4971710513714</v>
      </c>
      <c r="C101" s="57" t="s">
        <v>278</v>
      </c>
      <c r="D101" s="75" t="s">
        <v>880</v>
      </c>
      <c r="E101" s="48" t="s">
        <v>279</v>
      </c>
      <c r="F101" s="58">
        <v>0</v>
      </c>
      <c r="G101" s="50">
        <v>0</v>
      </c>
      <c r="H101" s="51">
        <v>30</v>
      </c>
      <c r="I101" s="52">
        <v>16500</v>
      </c>
      <c r="J101" s="49">
        <v>0</v>
      </c>
      <c r="K101" s="50">
        <v>0</v>
      </c>
      <c r="L101" s="49">
        <v>50</v>
      </c>
      <c r="M101" s="50">
        <v>27500</v>
      </c>
      <c r="N101" s="49">
        <v>50</v>
      </c>
      <c r="O101" s="50">
        <v>27500</v>
      </c>
      <c r="P101" s="49">
        <v>0</v>
      </c>
      <c r="Q101" s="53">
        <v>0</v>
      </c>
      <c r="R101" s="58">
        <v>156</v>
      </c>
      <c r="S101" s="59">
        <v>85800</v>
      </c>
      <c r="T101" s="60"/>
      <c r="U101" s="61"/>
      <c r="V101" s="58"/>
      <c r="W101" s="59"/>
      <c r="X101" s="49">
        <v>30</v>
      </c>
      <c r="Y101" s="50">
        <v>16500</v>
      </c>
      <c r="Z101" s="49">
        <v>30</v>
      </c>
      <c r="AA101" s="50">
        <v>16500</v>
      </c>
      <c r="AB101" s="49"/>
      <c r="AC101" s="53"/>
      <c r="AD101" s="49">
        <v>30</v>
      </c>
      <c r="AE101" s="53">
        <v>16500</v>
      </c>
      <c r="AF101" s="49">
        <v>30</v>
      </c>
      <c r="AG101" s="53">
        <v>16500</v>
      </c>
      <c r="AH101" s="49">
        <v>10</v>
      </c>
      <c r="AI101" s="53">
        <v>5500</v>
      </c>
      <c r="AJ101" s="53"/>
      <c r="AK101" s="53"/>
      <c r="AL101" s="53"/>
      <c r="AM101" s="53"/>
      <c r="AN101" s="53">
        <v>60</v>
      </c>
      <c r="AO101" s="53">
        <v>33000</v>
      </c>
      <c r="AP101" s="62">
        <f t="shared" si="2"/>
        <v>476</v>
      </c>
      <c r="AQ101" s="55">
        <f t="shared" si="3"/>
        <v>261800</v>
      </c>
    </row>
    <row r="102" spans="1:43">
      <c r="A102" s="47">
        <v>79</v>
      </c>
      <c r="B102" s="56">
        <v>4971710585261</v>
      </c>
      <c r="C102" s="57" t="s">
        <v>992</v>
      </c>
      <c r="D102" s="75" t="s">
        <v>1085</v>
      </c>
      <c r="E102" s="48" t="s">
        <v>859</v>
      </c>
      <c r="F102" s="58">
        <v>0</v>
      </c>
      <c r="G102" s="50">
        <v>0</v>
      </c>
      <c r="H102" s="51">
        <v>0</v>
      </c>
      <c r="I102" s="52">
        <v>0</v>
      </c>
      <c r="J102" s="49">
        <v>0</v>
      </c>
      <c r="K102" s="50">
        <v>0</v>
      </c>
      <c r="L102" s="49">
        <v>0</v>
      </c>
      <c r="M102" s="50">
        <v>0</v>
      </c>
      <c r="N102" s="49">
        <v>0</v>
      </c>
      <c r="O102" s="50">
        <v>0</v>
      </c>
      <c r="P102" s="49">
        <v>0</v>
      </c>
      <c r="Q102" s="53">
        <v>0</v>
      </c>
      <c r="R102" s="58"/>
      <c r="S102" s="59"/>
      <c r="T102" s="60"/>
      <c r="U102" s="61"/>
      <c r="V102" s="58"/>
      <c r="W102" s="59"/>
      <c r="X102" s="49"/>
      <c r="Y102" s="50"/>
      <c r="Z102" s="49">
        <v>268</v>
      </c>
      <c r="AA102" s="50">
        <v>294800</v>
      </c>
      <c r="AB102" s="49"/>
      <c r="AC102" s="53"/>
      <c r="AD102" s="49"/>
      <c r="AE102" s="53"/>
      <c r="AF102" s="49"/>
      <c r="AG102" s="53"/>
      <c r="AH102" s="49">
        <v>40</v>
      </c>
      <c r="AI102" s="53">
        <v>44000</v>
      </c>
      <c r="AJ102" s="53"/>
      <c r="AK102" s="53"/>
      <c r="AL102" s="53"/>
      <c r="AM102" s="53"/>
      <c r="AN102" s="53">
        <v>162</v>
      </c>
      <c r="AO102" s="53">
        <v>196020</v>
      </c>
      <c r="AP102" s="62">
        <f t="shared" si="2"/>
        <v>470</v>
      </c>
      <c r="AQ102" s="55">
        <f t="shared" si="3"/>
        <v>534820</v>
      </c>
    </row>
    <row r="103" spans="1:43">
      <c r="A103" s="47">
        <v>103</v>
      </c>
      <c r="B103" s="56">
        <v>4971710494853</v>
      </c>
      <c r="C103" s="57" t="s">
        <v>124</v>
      </c>
      <c r="D103" s="75" t="s">
        <v>884</v>
      </c>
      <c r="E103" s="48" t="s">
        <v>125</v>
      </c>
      <c r="F103" s="58">
        <v>0</v>
      </c>
      <c r="G103" s="50">
        <v>0</v>
      </c>
      <c r="H103" s="51">
        <v>10</v>
      </c>
      <c r="I103" s="52">
        <v>6050</v>
      </c>
      <c r="J103" s="49">
        <v>5</v>
      </c>
      <c r="K103" s="50">
        <v>3025</v>
      </c>
      <c r="L103" s="49">
        <v>40</v>
      </c>
      <c r="M103" s="50">
        <v>24200</v>
      </c>
      <c r="N103" s="49">
        <v>0</v>
      </c>
      <c r="O103" s="50">
        <v>0</v>
      </c>
      <c r="P103" s="49">
        <v>30</v>
      </c>
      <c r="Q103" s="53">
        <v>18150</v>
      </c>
      <c r="R103" s="58">
        <v>80</v>
      </c>
      <c r="S103" s="59">
        <v>48400</v>
      </c>
      <c r="T103" s="60">
        <v>96</v>
      </c>
      <c r="U103" s="61">
        <v>29040</v>
      </c>
      <c r="V103" s="58"/>
      <c r="W103" s="59"/>
      <c r="X103" s="49">
        <v>6</v>
      </c>
      <c r="Y103" s="50">
        <v>3630</v>
      </c>
      <c r="Z103" s="49">
        <v>50</v>
      </c>
      <c r="AA103" s="50">
        <v>30250</v>
      </c>
      <c r="AB103" s="49">
        <v>2</v>
      </c>
      <c r="AC103" s="53">
        <v>1210</v>
      </c>
      <c r="AD103" s="49">
        <v>20</v>
      </c>
      <c r="AE103" s="53">
        <v>12100</v>
      </c>
      <c r="AF103" s="49"/>
      <c r="AG103" s="53"/>
      <c r="AH103" s="49">
        <v>130</v>
      </c>
      <c r="AI103" s="53">
        <v>78650</v>
      </c>
      <c r="AJ103" s="53"/>
      <c r="AK103" s="53"/>
      <c r="AL103" s="53"/>
      <c r="AM103" s="53"/>
      <c r="AN103" s="53"/>
      <c r="AO103" s="53"/>
      <c r="AP103" s="62">
        <f t="shared" si="2"/>
        <v>469</v>
      </c>
      <c r="AQ103" s="55">
        <f t="shared" si="3"/>
        <v>254705</v>
      </c>
    </row>
    <row r="104" spans="1:43">
      <c r="A104" s="47">
        <v>150</v>
      </c>
      <c r="B104" s="56">
        <v>4971710489200</v>
      </c>
      <c r="C104" s="57" t="s">
        <v>90</v>
      </c>
      <c r="D104" s="75" t="s">
        <v>884</v>
      </c>
      <c r="E104" s="48" t="s">
        <v>91</v>
      </c>
      <c r="F104" s="58">
        <v>0</v>
      </c>
      <c r="G104" s="50">
        <v>0</v>
      </c>
      <c r="H104" s="51">
        <v>0</v>
      </c>
      <c r="I104" s="52">
        <v>0</v>
      </c>
      <c r="J104" s="49">
        <v>0</v>
      </c>
      <c r="K104" s="50">
        <v>0</v>
      </c>
      <c r="L104" s="49">
        <v>50</v>
      </c>
      <c r="M104" s="50">
        <v>27500</v>
      </c>
      <c r="N104" s="49">
        <v>200</v>
      </c>
      <c r="O104" s="50">
        <v>110000</v>
      </c>
      <c r="P104" s="49">
        <v>0</v>
      </c>
      <c r="Q104" s="53">
        <v>0</v>
      </c>
      <c r="R104" s="58">
        <v>20</v>
      </c>
      <c r="S104" s="59">
        <v>11000</v>
      </c>
      <c r="T104" s="60"/>
      <c r="U104" s="61"/>
      <c r="V104" s="58">
        <v>10</v>
      </c>
      <c r="W104" s="59">
        <v>5500</v>
      </c>
      <c r="X104" s="49">
        <v>10</v>
      </c>
      <c r="Y104" s="50">
        <v>5500</v>
      </c>
      <c r="Z104" s="49"/>
      <c r="AA104" s="50"/>
      <c r="AB104" s="49">
        <v>20</v>
      </c>
      <c r="AC104" s="53">
        <v>11000</v>
      </c>
      <c r="AD104" s="49"/>
      <c r="AE104" s="53"/>
      <c r="AF104" s="49"/>
      <c r="AG104" s="53"/>
      <c r="AH104" s="49">
        <v>130</v>
      </c>
      <c r="AI104" s="53">
        <v>71500</v>
      </c>
      <c r="AJ104" s="53"/>
      <c r="AK104" s="53"/>
      <c r="AL104" s="53"/>
      <c r="AM104" s="53"/>
      <c r="AN104" s="53">
        <v>20</v>
      </c>
      <c r="AO104" s="53">
        <v>11000</v>
      </c>
      <c r="AP104" s="62">
        <f t="shared" si="2"/>
        <v>460</v>
      </c>
      <c r="AQ104" s="55">
        <f t="shared" si="3"/>
        <v>253000</v>
      </c>
    </row>
    <row r="105" spans="1:43">
      <c r="A105" s="47">
        <v>93</v>
      </c>
      <c r="B105" s="56">
        <v>4971710513615</v>
      </c>
      <c r="C105" s="57" t="s">
        <v>258</v>
      </c>
      <c r="D105" s="75" t="s">
        <v>880</v>
      </c>
      <c r="E105" s="48" t="s">
        <v>259</v>
      </c>
      <c r="F105" s="58">
        <v>0</v>
      </c>
      <c r="G105" s="50">
        <v>0</v>
      </c>
      <c r="H105" s="51">
        <v>30</v>
      </c>
      <c r="I105" s="52">
        <v>9060</v>
      </c>
      <c r="J105" s="49">
        <v>0</v>
      </c>
      <c r="K105" s="50">
        <v>0</v>
      </c>
      <c r="L105" s="49">
        <v>0</v>
      </c>
      <c r="M105" s="50">
        <v>0</v>
      </c>
      <c r="N105" s="49">
        <v>30</v>
      </c>
      <c r="O105" s="50">
        <v>9060</v>
      </c>
      <c r="P105" s="49">
        <v>0</v>
      </c>
      <c r="Q105" s="53">
        <v>0</v>
      </c>
      <c r="R105" s="58">
        <v>116</v>
      </c>
      <c r="S105" s="59">
        <v>35031</v>
      </c>
      <c r="T105" s="60"/>
      <c r="U105" s="61"/>
      <c r="V105" s="58"/>
      <c r="W105" s="59"/>
      <c r="X105" s="49">
        <v>6</v>
      </c>
      <c r="Y105" s="50">
        <v>1812</v>
      </c>
      <c r="Z105" s="49"/>
      <c r="AA105" s="50"/>
      <c r="AB105" s="49">
        <v>72</v>
      </c>
      <c r="AC105" s="53">
        <v>21744</v>
      </c>
      <c r="AD105" s="49">
        <v>94</v>
      </c>
      <c r="AE105" s="53">
        <v>28388</v>
      </c>
      <c r="AF105" s="49">
        <v>30</v>
      </c>
      <c r="AG105" s="53">
        <v>9060</v>
      </c>
      <c r="AH105" s="49">
        <v>25</v>
      </c>
      <c r="AI105" s="53">
        <v>7550</v>
      </c>
      <c r="AJ105" s="53"/>
      <c r="AK105" s="53"/>
      <c r="AL105" s="53"/>
      <c r="AM105" s="53"/>
      <c r="AN105" s="53">
        <v>50</v>
      </c>
      <c r="AO105" s="53">
        <v>15100</v>
      </c>
      <c r="AP105" s="62">
        <f t="shared" si="2"/>
        <v>453</v>
      </c>
      <c r="AQ105" s="55">
        <f t="shared" si="3"/>
        <v>136805</v>
      </c>
    </row>
    <row r="106" spans="1:43">
      <c r="A106" s="47">
        <v>82</v>
      </c>
      <c r="B106" s="56">
        <v>4971710595475</v>
      </c>
      <c r="C106" s="57" t="s">
        <v>786</v>
      </c>
      <c r="D106" s="75" t="s">
        <v>884</v>
      </c>
      <c r="E106" s="48" t="s">
        <v>998</v>
      </c>
      <c r="F106" s="58">
        <v>0</v>
      </c>
      <c r="G106" s="50">
        <v>0</v>
      </c>
      <c r="H106" s="51">
        <v>0</v>
      </c>
      <c r="I106" s="52">
        <v>0</v>
      </c>
      <c r="J106" s="49">
        <v>0</v>
      </c>
      <c r="K106" s="50">
        <v>0</v>
      </c>
      <c r="L106" s="49">
        <v>0</v>
      </c>
      <c r="M106" s="50">
        <v>0</v>
      </c>
      <c r="N106" s="49">
        <v>0</v>
      </c>
      <c r="O106" s="50">
        <v>0</v>
      </c>
      <c r="P106" s="49">
        <v>0</v>
      </c>
      <c r="Q106" s="53">
        <v>0</v>
      </c>
      <c r="R106" s="58"/>
      <c r="S106" s="59"/>
      <c r="T106" s="60"/>
      <c r="U106" s="61"/>
      <c r="V106" s="58"/>
      <c r="W106" s="59"/>
      <c r="X106" s="49">
        <v>200</v>
      </c>
      <c r="Y106" s="50">
        <v>165000</v>
      </c>
      <c r="Z106" s="49"/>
      <c r="AA106" s="50"/>
      <c r="AB106" s="49"/>
      <c r="AC106" s="53"/>
      <c r="AD106" s="49"/>
      <c r="AE106" s="53"/>
      <c r="AF106" s="49"/>
      <c r="AG106" s="53"/>
      <c r="AH106" s="49"/>
      <c r="AI106" s="53"/>
      <c r="AJ106" s="53"/>
      <c r="AK106" s="53"/>
      <c r="AL106" s="53"/>
      <c r="AM106" s="53"/>
      <c r="AN106" s="53">
        <v>251</v>
      </c>
      <c r="AO106" s="53">
        <v>207075</v>
      </c>
      <c r="AP106" s="62">
        <f t="shared" si="2"/>
        <v>451</v>
      </c>
      <c r="AQ106" s="55">
        <f t="shared" si="3"/>
        <v>372075</v>
      </c>
    </row>
    <row r="107" spans="1:43">
      <c r="A107" s="47">
        <v>94</v>
      </c>
      <c r="B107" s="56">
        <v>4971710513684</v>
      </c>
      <c r="C107" s="57" t="s">
        <v>272</v>
      </c>
      <c r="D107" s="75" t="s">
        <v>880</v>
      </c>
      <c r="E107" s="48" t="s">
        <v>273</v>
      </c>
      <c r="F107" s="58">
        <v>0</v>
      </c>
      <c r="G107" s="50">
        <v>0</v>
      </c>
      <c r="H107" s="51">
        <v>30</v>
      </c>
      <c r="I107" s="52">
        <v>16500</v>
      </c>
      <c r="J107" s="49">
        <v>0</v>
      </c>
      <c r="K107" s="50">
        <v>0</v>
      </c>
      <c r="L107" s="49">
        <v>0</v>
      </c>
      <c r="M107" s="50">
        <v>0</v>
      </c>
      <c r="N107" s="49">
        <v>30</v>
      </c>
      <c r="O107" s="50">
        <v>16500</v>
      </c>
      <c r="P107" s="49">
        <v>0</v>
      </c>
      <c r="Q107" s="53">
        <v>0</v>
      </c>
      <c r="R107" s="58">
        <v>120</v>
      </c>
      <c r="S107" s="59">
        <v>66000</v>
      </c>
      <c r="T107" s="60">
        <v>40</v>
      </c>
      <c r="U107" s="61">
        <v>11000</v>
      </c>
      <c r="V107" s="58"/>
      <c r="W107" s="59"/>
      <c r="X107" s="49">
        <v>6</v>
      </c>
      <c r="Y107" s="50">
        <v>3300</v>
      </c>
      <c r="Z107" s="49">
        <v>60</v>
      </c>
      <c r="AA107" s="50">
        <v>33000</v>
      </c>
      <c r="AB107" s="49"/>
      <c r="AC107" s="53"/>
      <c r="AD107" s="49">
        <v>64</v>
      </c>
      <c r="AE107" s="53">
        <v>35200</v>
      </c>
      <c r="AF107" s="49">
        <v>30</v>
      </c>
      <c r="AG107" s="53">
        <v>16500</v>
      </c>
      <c r="AH107" s="49">
        <v>10</v>
      </c>
      <c r="AI107" s="53">
        <v>5500</v>
      </c>
      <c r="AJ107" s="53"/>
      <c r="AK107" s="53"/>
      <c r="AL107" s="53"/>
      <c r="AM107" s="53"/>
      <c r="AN107" s="53">
        <v>50</v>
      </c>
      <c r="AO107" s="53">
        <v>27500</v>
      </c>
      <c r="AP107" s="62">
        <f t="shared" si="2"/>
        <v>440</v>
      </c>
      <c r="AQ107" s="55">
        <f t="shared" si="3"/>
        <v>231000</v>
      </c>
    </row>
    <row r="108" spans="1:43">
      <c r="A108" s="47">
        <v>98</v>
      </c>
      <c r="B108" s="56">
        <v>4971710561234</v>
      </c>
      <c r="C108" s="57" t="s">
        <v>467</v>
      </c>
      <c r="D108" s="75" t="s">
        <v>884</v>
      </c>
      <c r="E108" s="48" t="s">
        <v>468</v>
      </c>
      <c r="F108" s="58">
        <v>0</v>
      </c>
      <c r="G108" s="50">
        <v>0</v>
      </c>
      <c r="H108" s="51">
        <v>0</v>
      </c>
      <c r="I108" s="52">
        <v>0</v>
      </c>
      <c r="J108" s="49">
        <v>5</v>
      </c>
      <c r="K108" s="50">
        <v>3850</v>
      </c>
      <c r="L108" s="49">
        <v>50</v>
      </c>
      <c r="M108" s="50">
        <v>38500</v>
      </c>
      <c r="N108" s="49">
        <v>11</v>
      </c>
      <c r="O108" s="50">
        <v>8470</v>
      </c>
      <c r="P108" s="49">
        <v>2</v>
      </c>
      <c r="Q108" s="53">
        <v>1540</v>
      </c>
      <c r="R108" s="58">
        <v>97</v>
      </c>
      <c r="S108" s="59">
        <v>74690</v>
      </c>
      <c r="T108" s="60">
        <v>28</v>
      </c>
      <c r="U108" s="61">
        <v>10780</v>
      </c>
      <c r="V108" s="58">
        <v>12</v>
      </c>
      <c r="W108" s="59">
        <v>9240</v>
      </c>
      <c r="X108" s="49">
        <v>42</v>
      </c>
      <c r="Y108" s="50">
        <v>32340</v>
      </c>
      <c r="Z108" s="49">
        <v>2</v>
      </c>
      <c r="AA108" s="50">
        <v>1540</v>
      </c>
      <c r="AB108" s="49">
        <v>5</v>
      </c>
      <c r="AC108" s="53">
        <v>3850</v>
      </c>
      <c r="AD108" s="49">
        <v>5</v>
      </c>
      <c r="AE108" s="53">
        <v>3850</v>
      </c>
      <c r="AF108" s="49">
        <v>30</v>
      </c>
      <c r="AG108" s="53">
        <v>23100</v>
      </c>
      <c r="AH108" s="49"/>
      <c r="AI108" s="53"/>
      <c r="AJ108" s="53"/>
      <c r="AK108" s="53"/>
      <c r="AL108" s="53"/>
      <c r="AM108" s="53"/>
      <c r="AN108" s="53">
        <v>144</v>
      </c>
      <c r="AO108" s="53">
        <v>110880</v>
      </c>
      <c r="AP108" s="62">
        <f t="shared" si="2"/>
        <v>433</v>
      </c>
      <c r="AQ108" s="55">
        <f t="shared" si="3"/>
        <v>322630</v>
      </c>
    </row>
    <row r="109" spans="1:43">
      <c r="A109" s="47">
        <v>104</v>
      </c>
      <c r="B109" s="56">
        <v>4971710561265</v>
      </c>
      <c r="C109" s="57" t="s">
        <v>473</v>
      </c>
      <c r="D109" s="75" t="s">
        <v>884</v>
      </c>
      <c r="E109" s="48" t="s">
        <v>474</v>
      </c>
      <c r="F109" s="58">
        <v>0</v>
      </c>
      <c r="G109" s="50">
        <v>0</v>
      </c>
      <c r="H109" s="51">
        <v>24</v>
      </c>
      <c r="I109" s="52">
        <v>18480</v>
      </c>
      <c r="J109" s="49">
        <v>24</v>
      </c>
      <c r="K109" s="50">
        <v>18480</v>
      </c>
      <c r="L109" s="49">
        <v>8</v>
      </c>
      <c r="M109" s="50">
        <v>6160</v>
      </c>
      <c r="N109" s="49">
        <v>5</v>
      </c>
      <c r="O109" s="50">
        <v>3850</v>
      </c>
      <c r="P109" s="49">
        <v>30</v>
      </c>
      <c r="Q109" s="53">
        <v>23100</v>
      </c>
      <c r="R109" s="58">
        <v>80</v>
      </c>
      <c r="S109" s="59">
        <v>61600</v>
      </c>
      <c r="T109" s="60">
        <v>26</v>
      </c>
      <c r="U109" s="61">
        <v>10010</v>
      </c>
      <c r="V109" s="58">
        <v>2</v>
      </c>
      <c r="W109" s="59">
        <v>1540</v>
      </c>
      <c r="X109" s="49">
        <v>6</v>
      </c>
      <c r="Y109" s="50">
        <v>4620</v>
      </c>
      <c r="Z109" s="49">
        <v>2</v>
      </c>
      <c r="AA109" s="50">
        <v>1540</v>
      </c>
      <c r="AB109" s="49">
        <v>8</v>
      </c>
      <c r="AC109" s="53">
        <v>6160</v>
      </c>
      <c r="AD109" s="49">
        <v>2</v>
      </c>
      <c r="AE109" s="53">
        <v>1540</v>
      </c>
      <c r="AF109" s="49">
        <v>20</v>
      </c>
      <c r="AG109" s="53">
        <v>15400</v>
      </c>
      <c r="AH109" s="49">
        <v>24</v>
      </c>
      <c r="AI109" s="53">
        <v>18480</v>
      </c>
      <c r="AJ109" s="53"/>
      <c r="AK109" s="53"/>
      <c r="AL109" s="53"/>
      <c r="AM109" s="53"/>
      <c r="AN109" s="53">
        <v>160</v>
      </c>
      <c r="AO109" s="53">
        <v>123200</v>
      </c>
      <c r="AP109" s="62">
        <f t="shared" si="2"/>
        <v>421</v>
      </c>
      <c r="AQ109" s="55">
        <f t="shared" si="3"/>
        <v>314160</v>
      </c>
    </row>
    <row r="110" spans="1:43">
      <c r="A110" s="47">
        <v>266</v>
      </c>
      <c r="B110" s="56">
        <v>4971710588118</v>
      </c>
      <c r="C110" s="57" t="s">
        <v>714</v>
      </c>
      <c r="D110" s="75" t="s">
        <v>884</v>
      </c>
      <c r="E110" s="48" t="s">
        <v>715</v>
      </c>
      <c r="F110" s="58">
        <v>0</v>
      </c>
      <c r="G110" s="50">
        <v>0</v>
      </c>
      <c r="H110" s="51">
        <v>0</v>
      </c>
      <c r="I110" s="52">
        <v>0</v>
      </c>
      <c r="J110" s="49">
        <v>0</v>
      </c>
      <c r="K110" s="50">
        <v>0</v>
      </c>
      <c r="L110" s="49">
        <v>0</v>
      </c>
      <c r="M110" s="50">
        <v>0</v>
      </c>
      <c r="N110" s="49">
        <v>300</v>
      </c>
      <c r="O110" s="50">
        <v>214500</v>
      </c>
      <c r="P110" s="49">
        <v>42</v>
      </c>
      <c r="Q110" s="53">
        <v>30030</v>
      </c>
      <c r="R110" s="58">
        <v>5</v>
      </c>
      <c r="S110" s="59">
        <v>3575</v>
      </c>
      <c r="T110" s="60">
        <v>12</v>
      </c>
      <c r="U110" s="61">
        <v>4290</v>
      </c>
      <c r="V110" s="58">
        <v>6</v>
      </c>
      <c r="W110" s="59">
        <v>4290</v>
      </c>
      <c r="X110" s="49">
        <v>6</v>
      </c>
      <c r="Y110" s="50">
        <v>4290</v>
      </c>
      <c r="Z110" s="49"/>
      <c r="AA110" s="50"/>
      <c r="AB110" s="49"/>
      <c r="AC110" s="53"/>
      <c r="AD110" s="49">
        <v>2</v>
      </c>
      <c r="AE110" s="53">
        <v>1430</v>
      </c>
      <c r="AF110" s="49"/>
      <c r="AG110" s="53"/>
      <c r="AH110" s="49">
        <v>42</v>
      </c>
      <c r="AI110" s="53">
        <v>30030</v>
      </c>
      <c r="AJ110" s="53"/>
      <c r="AK110" s="53"/>
      <c r="AL110" s="53"/>
      <c r="AM110" s="53"/>
      <c r="AN110" s="53"/>
      <c r="AO110" s="53"/>
      <c r="AP110" s="62">
        <f t="shared" si="2"/>
        <v>415</v>
      </c>
      <c r="AQ110" s="55">
        <f t="shared" si="3"/>
        <v>292435</v>
      </c>
    </row>
    <row r="111" spans="1:43">
      <c r="A111" s="47">
        <v>105</v>
      </c>
      <c r="B111" s="56">
        <v>4971710556858</v>
      </c>
      <c r="C111" s="57" t="s">
        <v>452</v>
      </c>
      <c r="D111" s="75" t="s">
        <v>884</v>
      </c>
      <c r="E111" s="48" t="s">
        <v>453</v>
      </c>
      <c r="F111" s="58">
        <v>0</v>
      </c>
      <c r="G111" s="50">
        <v>0</v>
      </c>
      <c r="H111" s="51">
        <v>30</v>
      </c>
      <c r="I111" s="52">
        <v>24750</v>
      </c>
      <c r="J111" s="49">
        <v>5</v>
      </c>
      <c r="K111" s="50">
        <v>4125</v>
      </c>
      <c r="L111" s="49">
        <v>0</v>
      </c>
      <c r="M111" s="50">
        <v>0</v>
      </c>
      <c r="N111" s="49">
        <v>30</v>
      </c>
      <c r="O111" s="50">
        <v>24750</v>
      </c>
      <c r="P111" s="49">
        <v>0</v>
      </c>
      <c r="Q111" s="53">
        <v>0</v>
      </c>
      <c r="R111" s="58">
        <v>85</v>
      </c>
      <c r="S111" s="59">
        <v>70125</v>
      </c>
      <c r="T111" s="60">
        <v>62</v>
      </c>
      <c r="U111" s="61">
        <v>25575</v>
      </c>
      <c r="V111" s="58"/>
      <c r="W111" s="59"/>
      <c r="X111" s="49">
        <v>20</v>
      </c>
      <c r="Y111" s="50">
        <v>16500</v>
      </c>
      <c r="Z111" s="49">
        <v>25</v>
      </c>
      <c r="AA111" s="50">
        <v>20625</v>
      </c>
      <c r="AB111" s="49">
        <v>30</v>
      </c>
      <c r="AC111" s="53">
        <v>24750</v>
      </c>
      <c r="AD111" s="49">
        <v>10</v>
      </c>
      <c r="AE111" s="53">
        <v>8250</v>
      </c>
      <c r="AF111" s="49">
        <v>20</v>
      </c>
      <c r="AG111" s="53">
        <v>16500</v>
      </c>
      <c r="AH111" s="49">
        <v>15</v>
      </c>
      <c r="AI111" s="53">
        <v>12375</v>
      </c>
      <c r="AJ111" s="53"/>
      <c r="AK111" s="53"/>
      <c r="AL111" s="53"/>
      <c r="AM111" s="53"/>
      <c r="AN111" s="53">
        <v>80</v>
      </c>
      <c r="AO111" s="53">
        <v>66000</v>
      </c>
      <c r="AP111" s="62">
        <f t="shared" si="2"/>
        <v>412</v>
      </c>
      <c r="AQ111" s="55">
        <f t="shared" si="3"/>
        <v>314325</v>
      </c>
    </row>
    <row r="112" spans="1:43">
      <c r="A112" s="47">
        <v>120</v>
      </c>
      <c r="B112" s="56">
        <v>4971710568547</v>
      </c>
      <c r="C112" s="57" t="s">
        <v>521</v>
      </c>
      <c r="D112" s="75" t="s">
        <v>884</v>
      </c>
      <c r="E112" s="48" t="s">
        <v>522</v>
      </c>
      <c r="F112" s="58">
        <v>10</v>
      </c>
      <c r="G112" s="50">
        <v>6600</v>
      </c>
      <c r="H112" s="51">
        <v>24</v>
      </c>
      <c r="I112" s="52">
        <v>15840</v>
      </c>
      <c r="J112" s="49">
        <v>24</v>
      </c>
      <c r="K112" s="50">
        <v>15840</v>
      </c>
      <c r="L112" s="49">
        <v>2</v>
      </c>
      <c r="M112" s="50">
        <v>1320</v>
      </c>
      <c r="N112" s="49">
        <v>0</v>
      </c>
      <c r="O112" s="50">
        <v>0</v>
      </c>
      <c r="P112" s="49">
        <v>50</v>
      </c>
      <c r="Q112" s="53">
        <v>33000</v>
      </c>
      <c r="R112" s="58"/>
      <c r="S112" s="59"/>
      <c r="T112" s="60">
        <v>40</v>
      </c>
      <c r="U112" s="61">
        <v>13200</v>
      </c>
      <c r="V112" s="58"/>
      <c r="W112" s="59"/>
      <c r="X112" s="49">
        <v>50</v>
      </c>
      <c r="Y112" s="50">
        <v>33000</v>
      </c>
      <c r="Z112" s="49">
        <v>20</v>
      </c>
      <c r="AA112" s="50">
        <v>13200</v>
      </c>
      <c r="AB112" s="49"/>
      <c r="AC112" s="53"/>
      <c r="AD112" s="49">
        <v>37</v>
      </c>
      <c r="AE112" s="53">
        <v>24420</v>
      </c>
      <c r="AF112" s="49">
        <v>50</v>
      </c>
      <c r="AG112" s="53">
        <v>33000</v>
      </c>
      <c r="AH112" s="49">
        <v>32</v>
      </c>
      <c r="AI112" s="53">
        <v>21120</v>
      </c>
      <c r="AJ112" s="53"/>
      <c r="AK112" s="53"/>
      <c r="AL112" s="53"/>
      <c r="AM112" s="53"/>
      <c r="AN112" s="53">
        <v>70</v>
      </c>
      <c r="AO112" s="53">
        <v>46200</v>
      </c>
      <c r="AP112" s="62">
        <f t="shared" si="2"/>
        <v>409</v>
      </c>
      <c r="AQ112" s="55">
        <f t="shared" si="3"/>
        <v>256740</v>
      </c>
    </row>
    <row r="113" spans="1:43">
      <c r="A113" s="47">
        <v>115</v>
      </c>
      <c r="B113" s="56">
        <v>4971710592986</v>
      </c>
      <c r="C113" s="57" t="s">
        <v>744</v>
      </c>
      <c r="D113" s="75" t="s">
        <v>884</v>
      </c>
      <c r="E113" s="48" t="s">
        <v>745</v>
      </c>
      <c r="F113" s="58">
        <v>0</v>
      </c>
      <c r="G113" s="50">
        <v>0</v>
      </c>
      <c r="H113" s="51">
        <v>0</v>
      </c>
      <c r="I113" s="52">
        <v>0</v>
      </c>
      <c r="J113" s="49">
        <v>0</v>
      </c>
      <c r="K113" s="50">
        <v>0</v>
      </c>
      <c r="L113" s="49">
        <v>0</v>
      </c>
      <c r="M113" s="50">
        <v>0</v>
      </c>
      <c r="N113" s="49">
        <v>0</v>
      </c>
      <c r="O113" s="50">
        <v>0</v>
      </c>
      <c r="P113" s="49">
        <v>0</v>
      </c>
      <c r="Q113" s="53">
        <v>0</v>
      </c>
      <c r="R113" s="58">
        <v>65</v>
      </c>
      <c r="S113" s="59">
        <v>39325</v>
      </c>
      <c r="T113" s="60">
        <v>216</v>
      </c>
      <c r="U113" s="61">
        <v>65340</v>
      </c>
      <c r="V113" s="58">
        <v>10</v>
      </c>
      <c r="W113" s="59">
        <v>6050</v>
      </c>
      <c r="X113" s="49">
        <v>38</v>
      </c>
      <c r="Y113" s="50">
        <v>22990</v>
      </c>
      <c r="Z113" s="49"/>
      <c r="AA113" s="50"/>
      <c r="AB113" s="49">
        <v>2</v>
      </c>
      <c r="AC113" s="53">
        <v>1210</v>
      </c>
      <c r="AD113" s="49">
        <v>2</v>
      </c>
      <c r="AE113" s="53">
        <v>1210</v>
      </c>
      <c r="AF113" s="49">
        <v>10</v>
      </c>
      <c r="AG113" s="53">
        <v>6050</v>
      </c>
      <c r="AH113" s="49">
        <v>4</v>
      </c>
      <c r="AI113" s="53">
        <v>2420</v>
      </c>
      <c r="AJ113" s="53"/>
      <c r="AK113" s="53"/>
      <c r="AL113" s="53"/>
      <c r="AM113" s="53"/>
      <c r="AN113" s="53">
        <v>60</v>
      </c>
      <c r="AO113" s="53">
        <v>36300</v>
      </c>
      <c r="AP113" s="62">
        <f t="shared" si="2"/>
        <v>407</v>
      </c>
      <c r="AQ113" s="55">
        <f t="shared" si="3"/>
        <v>180895</v>
      </c>
    </row>
    <row r="114" spans="1:43">
      <c r="A114" s="47">
        <v>100</v>
      </c>
      <c r="B114" s="56">
        <v>4971710564907</v>
      </c>
      <c r="C114" s="57" t="s">
        <v>499</v>
      </c>
      <c r="D114" s="75" t="s">
        <v>880</v>
      </c>
      <c r="E114" s="48" t="s">
        <v>500</v>
      </c>
      <c r="F114" s="58">
        <v>0</v>
      </c>
      <c r="G114" s="50">
        <v>0</v>
      </c>
      <c r="H114" s="51">
        <v>0</v>
      </c>
      <c r="I114" s="52">
        <v>0</v>
      </c>
      <c r="J114" s="49">
        <v>25</v>
      </c>
      <c r="K114" s="50">
        <v>13750</v>
      </c>
      <c r="L114" s="49">
        <v>0</v>
      </c>
      <c r="M114" s="50">
        <v>0</v>
      </c>
      <c r="N114" s="49">
        <v>6</v>
      </c>
      <c r="O114" s="50">
        <v>3300</v>
      </c>
      <c r="P114" s="49">
        <v>30</v>
      </c>
      <c r="Q114" s="53">
        <v>16500</v>
      </c>
      <c r="R114" s="58">
        <v>86</v>
      </c>
      <c r="S114" s="59">
        <v>47300</v>
      </c>
      <c r="T114" s="60">
        <v>8</v>
      </c>
      <c r="U114" s="61">
        <v>2200</v>
      </c>
      <c r="V114" s="58"/>
      <c r="W114" s="59"/>
      <c r="X114" s="49">
        <v>30</v>
      </c>
      <c r="Y114" s="50">
        <v>16500</v>
      </c>
      <c r="Z114" s="49">
        <v>50</v>
      </c>
      <c r="AA114" s="50">
        <v>27500</v>
      </c>
      <c r="AB114" s="49">
        <v>6</v>
      </c>
      <c r="AC114" s="53">
        <v>3300</v>
      </c>
      <c r="AD114" s="49">
        <v>44</v>
      </c>
      <c r="AE114" s="53">
        <v>24200</v>
      </c>
      <c r="AF114" s="49">
        <v>52</v>
      </c>
      <c r="AG114" s="53">
        <v>28600</v>
      </c>
      <c r="AH114" s="49">
        <v>18</v>
      </c>
      <c r="AI114" s="53">
        <v>9900</v>
      </c>
      <c r="AJ114" s="53"/>
      <c r="AK114" s="53"/>
      <c r="AL114" s="53"/>
      <c r="AM114" s="53"/>
      <c r="AN114" s="53">
        <v>50</v>
      </c>
      <c r="AO114" s="53">
        <v>27500</v>
      </c>
      <c r="AP114" s="62">
        <f t="shared" si="2"/>
        <v>405</v>
      </c>
      <c r="AQ114" s="55">
        <f t="shared" si="3"/>
        <v>220550</v>
      </c>
    </row>
    <row r="115" spans="1:43">
      <c r="A115" s="47">
        <v>109</v>
      </c>
      <c r="B115" s="56">
        <v>4971710494174</v>
      </c>
      <c r="C115" s="57" t="s">
        <v>114</v>
      </c>
      <c r="D115" s="75" t="s">
        <v>884</v>
      </c>
      <c r="E115" s="48" t="s">
        <v>115</v>
      </c>
      <c r="F115" s="58">
        <v>0</v>
      </c>
      <c r="G115" s="50">
        <v>0</v>
      </c>
      <c r="H115" s="51">
        <v>10</v>
      </c>
      <c r="I115" s="52">
        <v>2970</v>
      </c>
      <c r="J115" s="49">
        <v>10</v>
      </c>
      <c r="K115" s="50">
        <v>2970</v>
      </c>
      <c r="L115" s="49">
        <v>30</v>
      </c>
      <c r="M115" s="50">
        <v>8910</v>
      </c>
      <c r="N115" s="49">
        <v>2</v>
      </c>
      <c r="O115" s="50">
        <v>594</v>
      </c>
      <c r="P115" s="49">
        <v>5</v>
      </c>
      <c r="Q115" s="53">
        <v>1485</v>
      </c>
      <c r="R115" s="58">
        <v>40</v>
      </c>
      <c r="S115" s="59">
        <v>11880</v>
      </c>
      <c r="T115" s="60">
        <v>88</v>
      </c>
      <c r="U115" s="61">
        <v>13068</v>
      </c>
      <c r="V115" s="58"/>
      <c r="W115" s="59"/>
      <c r="X115" s="49">
        <v>16</v>
      </c>
      <c r="Y115" s="50">
        <v>4752</v>
      </c>
      <c r="Z115" s="49">
        <v>52</v>
      </c>
      <c r="AA115" s="50">
        <v>15444</v>
      </c>
      <c r="AB115" s="49">
        <v>4</v>
      </c>
      <c r="AC115" s="53">
        <v>1188</v>
      </c>
      <c r="AD115" s="49">
        <v>10</v>
      </c>
      <c r="AE115" s="53">
        <v>2970</v>
      </c>
      <c r="AF115" s="49">
        <v>12</v>
      </c>
      <c r="AG115" s="53">
        <v>3564</v>
      </c>
      <c r="AH115" s="49">
        <v>62</v>
      </c>
      <c r="AI115" s="53">
        <v>18414</v>
      </c>
      <c r="AJ115" s="53"/>
      <c r="AK115" s="53"/>
      <c r="AL115" s="53"/>
      <c r="AM115" s="53"/>
      <c r="AN115" s="53">
        <v>64</v>
      </c>
      <c r="AO115" s="53">
        <v>19008</v>
      </c>
      <c r="AP115" s="62">
        <f t="shared" si="2"/>
        <v>405</v>
      </c>
      <c r="AQ115" s="55">
        <f t="shared" si="3"/>
        <v>107217</v>
      </c>
    </row>
    <row r="116" spans="1:43">
      <c r="A116" s="47">
        <v>101</v>
      </c>
      <c r="B116" s="56">
        <v>4971710295245</v>
      </c>
      <c r="C116" s="57" t="s">
        <v>10</v>
      </c>
      <c r="D116" s="75" t="s">
        <v>882</v>
      </c>
      <c r="E116" s="48" t="s">
        <v>11</v>
      </c>
      <c r="F116" s="58">
        <v>0</v>
      </c>
      <c r="G116" s="50">
        <v>0</v>
      </c>
      <c r="H116" s="51">
        <v>5</v>
      </c>
      <c r="I116" s="52">
        <v>6600</v>
      </c>
      <c r="J116" s="49">
        <v>0</v>
      </c>
      <c r="K116" s="50">
        <v>0</v>
      </c>
      <c r="L116" s="49">
        <v>10</v>
      </c>
      <c r="M116" s="50">
        <v>13200</v>
      </c>
      <c r="N116" s="49">
        <v>0</v>
      </c>
      <c r="O116" s="50">
        <v>0</v>
      </c>
      <c r="P116" s="49">
        <v>48</v>
      </c>
      <c r="Q116" s="53">
        <v>63360</v>
      </c>
      <c r="R116" s="58">
        <v>150</v>
      </c>
      <c r="S116" s="59">
        <v>198000</v>
      </c>
      <c r="T116" s="60"/>
      <c r="U116" s="61"/>
      <c r="V116" s="58"/>
      <c r="W116" s="59"/>
      <c r="X116" s="49">
        <v>56</v>
      </c>
      <c r="Y116" s="50">
        <v>73920</v>
      </c>
      <c r="Z116" s="49">
        <v>132</v>
      </c>
      <c r="AA116" s="50">
        <v>174240</v>
      </c>
      <c r="AB116" s="49"/>
      <c r="AC116" s="53"/>
      <c r="AD116" s="49"/>
      <c r="AE116" s="53"/>
      <c r="AF116" s="49"/>
      <c r="AG116" s="53"/>
      <c r="AH116" s="49"/>
      <c r="AI116" s="53"/>
      <c r="AJ116" s="53"/>
      <c r="AK116" s="53"/>
      <c r="AL116" s="53"/>
      <c r="AM116" s="53"/>
      <c r="AN116" s="53"/>
      <c r="AO116" s="53"/>
      <c r="AP116" s="62">
        <f t="shared" si="2"/>
        <v>401</v>
      </c>
      <c r="AQ116" s="55">
        <f t="shared" si="3"/>
        <v>529320</v>
      </c>
    </row>
    <row r="117" spans="1:43">
      <c r="A117" s="47">
        <v>95</v>
      </c>
      <c r="B117" s="56">
        <v>4971710595505</v>
      </c>
      <c r="C117" s="57" t="s">
        <v>760</v>
      </c>
      <c r="D117" s="75" t="s">
        <v>884</v>
      </c>
      <c r="E117" s="48" t="s">
        <v>761</v>
      </c>
      <c r="F117" s="58">
        <v>0</v>
      </c>
      <c r="G117" s="50">
        <v>0</v>
      </c>
      <c r="H117" s="51">
        <v>0</v>
      </c>
      <c r="I117" s="52">
        <v>0</v>
      </c>
      <c r="J117" s="49">
        <v>0</v>
      </c>
      <c r="K117" s="50">
        <v>0</v>
      </c>
      <c r="L117" s="49">
        <v>0</v>
      </c>
      <c r="M117" s="50">
        <v>0</v>
      </c>
      <c r="N117" s="49">
        <v>0</v>
      </c>
      <c r="O117" s="50">
        <v>0</v>
      </c>
      <c r="P117" s="49">
        <v>0</v>
      </c>
      <c r="Q117" s="53">
        <v>0</v>
      </c>
      <c r="R117" s="58"/>
      <c r="S117" s="59"/>
      <c r="T117" s="60">
        <v>78</v>
      </c>
      <c r="U117" s="61">
        <v>30030</v>
      </c>
      <c r="V117" s="58">
        <v>115</v>
      </c>
      <c r="W117" s="59">
        <v>88550</v>
      </c>
      <c r="X117" s="49">
        <v>80</v>
      </c>
      <c r="Y117" s="50">
        <v>61600</v>
      </c>
      <c r="Z117" s="49">
        <v>60</v>
      </c>
      <c r="AA117" s="50">
        <v>46200</v>
      </c>
      <c r="AB117" s="49">
        <v>20</v>
      </c>
      <c r="AC117" s="53">
        <v>15400</v>
      </c>
      <c r="AD117" s="49"/>
      <c r="AE117" s="53"/>
      <c r="AF117" s="49"/>
      <c r="AG117" s="53"/>
      <c r="AH117" s="49">
        <v>45</v>
      </c>
      <c r="AI117" s="53">
        <v>34650</v>
      </c>
      <c r="AJ117" s="53"/>
      <c r="AK117" s="53"/>
      <c r="AL117" s="53"/>
      <c r="AM117" s="53"/>
      <c r="AN117" s="53"/>
      <c r="AO117" s="53"/>
      <c r="AP117" s="62">
        <f t="shared" si="2"/>
        <v>398</v>
      </c>
      <c r="AQ117" s="55">
        <f t="shared" si="3"/>
        <v>276430</v>
      </c>
    </row>
    <row r="118" spans="1:43">
      <c r="A118" s="47">
        <v>119</v>
      </c>
      <c r="B118" s="56">
        <v>4971710580754</v>
      </c>
      <c r="C118" s="57" t="s">
        <v>688</v>
      </c>
      <c r="D118" s="75" t="s">
        <v>884</v>
      </c>
      <c r="E118" s="48" t="s">
        <v>689</v>
      </c>
      <c r="F118" s="58">
        <v>0</v>
      </c>
      <c r="G118" s="50">
        <v>0</v>
      </c>
      <c r="H118" s="51">
        <v>0</v>
      </c>
      <c r="I118" s="52">
        <v>0</v>
      </c>
      <c r="J118" s="49">
        <v>0</v>
      </c>
      <c r="K118" s="50">
        <v>0</v>
      </c>
      <c r="L118" s="49">
        <v>90</v>
      </c>
      <c r="M118" s="50">
        <v>59400</v>
      </c>
      <c r="N118" s="49">
        <v>0</v>
      </c>
      <c r="O118" s="50">
        <v>0</v>
      </c>
      <c r="P118" s="49">
        <v>10</v>
      </c>
      <c r="Q118" s="53">
        <v>6600</v>
      </c>
      <c r="R118" s="58">
        <v>40</v>
      </c>
      <c r="S118" s="59">
        <v>26400</v>
      </c>
      <c r="T118" s="60"/>
      <c r="U118" s="61"/>
      <c r="V118" s="58">
        <v>100</v>
      </c>
      <c r="W118" s="59">
        <v>66000</v>
      </c>
      <c r="X118" s="49">
        <v>60</v>
      </c>
      <c r="Y118" s="50">
        <v>39600</v>
      </c>
      <c r="Z118" s="49">
        <v>60</v>
      </c>
      <c r="AA118" s="50">
        <v>39600</v>
      </c>
      <c r="AB118" s="49">
        <v>20</v>
      </c>
      <c r="AC118" s="53">
        <v>13200</v>
      </c>
      <c r="AD118" s="49"/>
      <c r="AE118" s="53"/>
      <c r="AF118" s="49"/>
      <c r="AG118" s="53"/>
      <c r="AH118" s="49"/>
      <c r="AI118" s="53"/>
      <c r="AJ118" s="53"/>
      <c r="AK118" s="53"/>
      <c r="AL118" s="53"/>
      <c r="AM118" s="53"/>
      <c r="AN118" s="53"/>
      <c r="AO118" s="53"/>
      <c r="AP118" s="62">
        <f t="shared" si="2"/>
        <v>380</v>
      </c>
      <c r="AQ118" s="55">
        <f t="shared" si="3"/>
        <v>250800</v>
      </c>
    </row>
    <row r="119" spans="1:43">
      <c r="A119" s="47">
        <v>110</v>
      </c>
      <c r="B119" s="56">
        <v>4971710494198</v>
      </c>
      <c r="C119" s="57" t="s">
        <v>118</v>
      </c>
      <c r="D119" s="75" t="s">
        <v>884</v>
      </c>
      <c r="E119" s="48" t="s">
        <v>119</v>
      </c>
      <c r="F119" s="58">
        <v>0</v>
      </c>
      <c r="G119" s="50">
        <v>0</v>
      </c>
      <c r="H119" s="51">
        <v>5</v>
      </c>
      <c r="I119" s="52">
        <v>1485</v>
      </c>
      <c r="J119" s="49">
        <v>5</v>
      </c>
      <c r="K119" s="50">
        <v>1485</v>
      </c>
      <c r="L119" s="49">
        <v>30</v>
      </c>
      <c r="M119" s="50">
        <v>8910</v>
      </c>
      <c r="N119" s="49">
        <v>2</v>
      </c>
      <c r="O119" s="50">
        <v>594</v>
      </c>
      <c r="P119" s="49">
        <v>0</v>
      </c>
      <c r="Q119" s="53">
        <v>0</v>
      </c>
      <c r="R119" s="58">
        <v>30</v>
      </c>
      <c r="S119" s="59">
        <v>8910</v>
      </c>
      <c r="T119" s="60">
        <v>64</v>
      </c>
      <c r="U119" s="61">
        <v>9504</v>
      </c>
      <c r="V119" s="58">
        <v>6</v>
      </c>
      <c r="W119" s="59">
        <v>1782</v>
      </c>
      <c r="X119" s="49">
        <v>16</v>
      </c>
      <c r="Y119" s="50">
        <v>4752</v>
      </c>
      <c r="Z119" s="49">
        <v>54</v>
      </c>
      <c r="AA119" s="50">
        <v>16038</v>
      </c>
      <c r="AB119" s="49">
        <v>6</v>
      </c>
      <c r="AC119" s="53">
        <v>1782</v>
      </c>
      <c r="AD119" s="49">
        <v>12</v>
      </c>
      <c r="AE119" s="53">
        <v>3564</v>
      </c>
      <c r="AF119" s="49">
        <v>36</v>
      </c>
      <c r="AG119" s="53">
        <v>10692</v>
      </c>
      <c r="AH119" s="49"/>
      <c r="AI119" s="53"/>
      <c r="AJ119" s="53"/>
      <c r="AK119" s="53"/>
      <c r="AL119" s="53"/>
      <c r="AM119" s="53"/>
      <c r="AN119" s="53">
        <v>108</v>
      </c>
      <c r="AO119" s="53">
        <v>32076</v>
      </c>
      <c r="AP119" s="62">
        <f t="shared" si="2"/>
        <v>374</v>
      </c>
      <c r="AQ119" s="55">
        <f t="shared" si="3"/>
        <v>101574</v>
      </c>
    </row>
    <row r="120" spans="1:43">
      <c r="A120" s="47">
        <v>111</v>
      </c>
      <c r="B120" s="56">
        <v>4971710523072</v>
      </c>
      <c r="C120" s="57" t="s">
        <v>396</v>
      </c>
      <c r="D120" s="75" t="s">
        <v>880</v>
      </c>
      <c r="E120" s="48" t="s">
        <v>397</v>
      </c>
      <c r="F120" s="58">
        <v>6</v>
      </c>
      <c r="G120" s="50">
        <v>5280</v>
      </c>
      <c r="H120" s="51">
        <v>0</v>
      </c>
      <c r="I120" s="52">
        <v>0</v>
      </c>
      <c r="J120" s="49">
        <v>9</v>
      </c>
      <c r="K120" s="50">
        <v>7920</v>
      </c>
      <c r="L120" s="49">
        <v>10</v>
      </c>
      <c r="M120" s="50">
        <v>8800</v>
      </c>
      <c r="N120" s="49">
        <v>15</v>
      </c>
      <c r="O120" s="50">
        <v>13200</v>
      </c>
      <c r="P120" s="49">
        <v>30</v>
      </c>
      <c r="Q120" s="53">
        <v>26400</v>
      </c>
      <c r="R120" s="58">
        <v>47</v>
      </c>
      <c r="S120" s="59">
        <v>41360</v>
      </c>
      <c r="T120" s="60">
        <v>4</v>
      </c>
      <c r="U120" s="61">
        <v>1760</v>
      </c>
      <c r="V120" s="58">
        <v>30</v>
      </c>
      <c r="W120" s="59">
        <v>26400</v>
      </c>
      <c r="X120" s="49">
        <v>29</v>
      </c>
      <c r="Y120" s="50">
        <v>25520</v>
      </c>
      <c r="Z120" s="49">
        <v>30</v>
      </c>
      <c r="AA120" s="50">
        <v>26400</v>
      </c>
      <c r="AB120" s="49">
        <v>6</v>
      </c>
      <c r="AC120" s="53">
        <v>5280</v>
      </c>
      <c r="AD120" s="49">
        <v>4</v>
      </c>
      <c r="AE120" s="53">
        <v>3520</v>
      </c>
      <c r="AF120" s="49">
        <v>42</v>
      </c>
      <c r="AG120" s="53">
        <v>36960</v>
      </c>
      <c r="AH120" s="49">
        <v>60</v>
      </c>
      <c r="AI120" s="53">
        <v>52800</v>
      </c>
      <c r="AJ120" s="53"/>
      <c r="AK120" s="53"/>
      <c r="AL120" s="53"/>
      <c r="AM120" s="53"/>
      <c r="AN120" s="53">
        <v>50</v>
      </c>
      <c r="AO120" s="53">
        <v>44000</v>
      </c>
      <c r="AP120" s="62">
        <f t="shared" si="2"/>
        <v>372</v>
      </c>
      <c r="AQ120" s="55">
        <f t="shared" si="3"/>
        <v>325600</v>
      </c>
    </row>
    <row r="121" spans="1:43">
      <c r="A121" s="47">
        <v>125</v>
      </c>
      <c r="B121" s="56">
        <v>4971710569186</v>
      </c>
      <c r="C121" s="57" t="s">
        <v>539</v>
      </c>
      <c r="D121" s="75" t="s">
        <v>880</v>
      </c>
      <c r="E121" s="48" t="s">
        <v>540</v>
      </c>
      <c r="F121" s="58">
        <v>10</v>
      </c>
      <c r="G121" s="50">
        <v>6600</v>
      </c>
      <c r="H121" s="51">
        <v>30</v>
      </c>
      <c r="I121" s="52">
        <v>19800</v>
      </c>
      <c r="J121" s="49">
        <v>10</v>
      </c>
      <c r="K121" s="50">
        <v>6600</v>
      </c>
      <c r="L121" s="49">
        <v>5</v>
      </c>
      <c r="M121" s="50">
        <v>3300</v>
      </c>
      <c r="N121" s="49">
        <v>10</v>
      </c>
      <c r="O121" s="50">
        <v>6600</v>
      </c>
      <c r="P121" s="49">
        <v>55</v>
      </c>
      <c r="Q121" s="53">
        <v>36300</v>
      </c>
      <c r="R121" s="58">
        <v>42</v>
      </c>
      <c r="S121" s="59">
        <v>27720</v>
      </c>
      <c r="T121" s="60"/>
      <c r="U121" s="61"/>
      <c r="V121" s="58"/>
      <c r="W121" s="59"/>
      <c r="X121" s="49">
        <v>42</v>
      </c>
      <c r="Y121" s="50">
        <v>27720</v>
      </c>
      <c r="Z121" s="49">
        <v>52</v>
      </c>
      <c r="AA121" s="50">
        <v>34320</v>
      </c>
      <c r="AB121" s="49"/>
      <c r="AC121" s="53"/>
      <c r="AD121" s="49">
        <v>64</v>
      </c>
      <c r="AE121" s="53">
        <v>42240</v>
      </c>
      <c r="AF121" s="49"/>
      <c r="AG121" s="53"/>
      <c r="AH121" s="49">
        <v>2</v>
      </c>
      <c r="AI121" s="53">
        <v>1320</v>
      </c>
      <c r="AJ121" s="53"/>
      <c r="AK121" s="53"/>
      <c r="AL121" s="53"/>
      <c r="AM121" s="53"/>
      <c r="AN121" s="53">
        <v>50</v>
      </c>
      <c r="AO121" s="53">
        <v>33000</v>
      </c>
      <c r="AP121" s="62">
        <f t="shared" si="2"/>
        <v>372</v>
      </c>
      <c r="AQ121" s="55">
        <f t="shared" si="3"/>
        <v>245520</v>
      </c>
    </row>
    <row r="122" spans="1:43">
      <c r="A122" s="47">
        <v>117</v>
      </c>
      <c r="B122" s="56">
        <v>4971710494181</v>
      </c>
      <c r="C122" s="57" t="s">
        <v>116</v>
      </c>
      <c r="D122" s="75" t="s">
        <v>884</v>
      </c>
      <c r="E122" s="48" t="s">
        <v>117</v>
      </c>
      <c r="F122" s="58">
        <v>0</v>
      </c>
      <c r="G122" s="50">
        <v>0</v>
      </c>
      <c r="H122" s="51">
        <v>5</v>
      </c>
      <c r="I122" s="52">
        <v>1485</v>
      </c>
      <c r="J122" s="49">
        <v>5</v>
      </c>
      <c r="K122" s="50">
        <v>1485</v>
      </c>
      <c r="L122" s="49">
        <v>30</v>
      </c>
      <c r="M122" s="50">
        <v>8910</v>
      </c>
      <c r="N122" s="49">
        <v>0</v>
      </c>
      <c r="O122" s="50">
        <v>0</v>
      </c>
      <c r="P122" s="49">
        <v>0</v>
      </c>
      <c r="Q122" s="53">
        <v>0</v>
      </c>
      <c r="R122" s="58">
        <v>10</v>
      </c>
      <c r="S122" s="59">
        <v>2970</v>
      </c>
      <c r="T122" s="60">
        <v>64</v>
      </c>
      <c r="U122" s="61">
        <v>9504</v>
      </c>
      <c r="V122" s="58"/>
      <c r="W122" s="59"/>
      <c r="X122" s="49">
        <v>62</v>
      </c>
      <c r="Y122" s="50">
        <v>18414</v>
      </c>
      <c r="Z122" s="49">
        <v>2</v>
      </c>
      <c r="AA122" s="50">
        <v>594</v>
      </c>
      <c r="AB122" s="49">
        <v>6</v>
      </c>
      <c r="AC122" s="53">
        <v>1782</v>
      </c>
      <c r="AD122" s="49">
        <v>62</v>
      </c>
      <c r="AE122" s="53">
        <v>18414</v>
      </c>
      <c r="AF122" s="49">
        <v>60</v>
      </c>
      <c r="AG122" s="53">
        <v>17820</v>
      </c>
      <c r="AH122" s="49"/>
      <c r="AI122" s="53"/>
      <c r="AJ122" s="53"/>
      <c r="AK122" s="53"/>
      <c r="AL122" s="53"/>
      <c r="AM122" s="53"/>
      <c r="AN122" s="53">
        <v>60</v>
      </c>
      <c r="AO122" s="53">
        <v>17820</v>
      </c>
      <c r="AP122" s="62">
        <f t="shared" si="2"/>
        <v>366</v>
      </c>
      <c r="AQ122" s="55">
        <f t="shared" si="3"/>
        <v>99198</v>
      </c>
    </row>
    <row r="123" spans="1:43">
      <c r="A123" s="47">
        <v>116</v>
      </c>
      <c r="B123" s="56">
        <v>4971710580457</v>
      </c>
      <c r="C123" s="57" t="s">
        <v>678</v>
      </c>
      <c r="D123" s="75" t="s">
        <v>880</v>
      </c>
      <c r="E123" s="48" t="s">
        <v>679</v>
      </c>
      <c r="F123" s="58">
        <v>0</v>
      </c>
      <c r="G123" s="50">
        <v>0</v>
      </c>
      <c r="H123" s="51">
        <v>0</v>
      </c>
      <c r="I123" s="52">
        <v>0</v>
      </c>
      <c r="J123" s="49">
        <v>0</v>
      </c>
      <c r="K123" s="50">
        <v>0</v>
      </c>
      <c r="L123" s="49">
        <v>0</v>
      </c>
      <c r="M123" s="50">
        <v>0</v>
      </c>
      <c r="N123" s="49">
        <v>30</v>
      </c>
      <c r="O123" s="50">
        <v>19800</v>
      </c>
      <c r="P123" s="49">
        <v>0</v>
      </c>
      <c r="Q123" s="53">
        <v>0</v>
      </c>
      <c r="R123" s="58">
        <v>30</v>
      </c>
      <c r="S123" s="59">
        <v>19800</v>
      </c>
      <c r="T123" s="60">
        <v>64</v>
      </c>
      <c r="U123" s="61">
        <v>22440</v>
      </c>
      <c r="V123" s="58"/>
      <c r="W123" s="59"/>
      <c r="X123" s="49">
        <v>34</v>
      </c>
      <c r="Y123" s="50">
        <v>22440</v>
      </c>
      <c r="Z123" s="49"/>
      <c r="AA123" s="50"/>
      <c r="AB123" s="49">
        <v>12</v>
      </c>
      <c r="AC123" s="53">
        <v>7920</v>
      </c>
      <c r="AD123" s="49">
        <v>80</v>
      </c>
      <c r="AE123" s="53">
        <v>52800</v>
      </c>
      <c r="AF123" s="49">
        <v>38</v>
      </c>
      <c r="AG123" s="53">
        <v>25080</v>
      </c>
      <c r="AH123" s="49">
        <v>8</v>
      </c>
      <c r="AI123" s="53">
        <v>5280</v>
      </c>
      <c r="AJ123" s="53"/>
      <c r="AK123" s="53"/>
      <c r="AL123" s="53"/>
      <c r="AM123" s="53"/>
      <c r="AN123" s="53">
        <v>60</v>
      </c>
      <c r="AO123" s="53">
        <v>39600</v>
      </c>
      <c r="AP123" s="62">
        <f t="shared" si="2"/>
        <v>356</v>
      </c>
      <c r="AQ123" s="55">
        <f t="shared" si="3"/>
        <v>215160</v>
      </c>
    </row>
    <row r="124" spans="1:43">
      <c r="A124" s="47">
        <v>135</v>
      </c>
      <c r="B124" s="56">
        <v>4971710571813</v>
      </c>
      <c r="C124" s="57" t="s">
        <v>559</v>
      </c>
      <c r="D124" s="75" t="s">
        <v>884</v>
      </c>
      <c r="E124" s="48" t="s">
        <v>560</v>
      </c>
      <c r="F124" s="58">
        <v>0</v>
      </c>
      <c r="G124" s="50">
        <v>0</v>
      </c>
      <c r="H124" s="51">
        <v>24</v>
      </c>
      <c r="I124" s="52">
        <v>15840</v>
      </c>
      <c r="J124" s="49">
        <v>24</v>
      </c>
      <c r="K124" s="50">
        <v>15840</v>
      </c>
      <c r="L124" s="49">
        <v>6</v>
      </c>
      <c r="M124" s="50">
        <v>3960</v>
      </c>
      <c r="N124" s="49">
        <v>0</v>
      </c>
      <c r="O124" s="50">
        <v>0</v>
      </c>
      <c r="P124" s="49">
        <v>10</v>
      </c>
      <c r="Q124" s="53">
        <v>6600</v>
      </c>
      <c r="R124" s="58">
        <v>5</v>
      </c>
      <c r="S124" s="59">
        <v>3300</v>
      </c>
      <c r="T124" s="60">
        <v>116</v>
      </c>
      <c r="U124" s="61">
        <v>38280</v>
      </c>
      <c r="V124" s="58"/>
      <c r="W124" s="59"/>
      <c r="X124" s="49">
        <v>16</v>
      </c>
      <c r="Y124" s="50">
        <v>10560</v>
      </c>
      <c r="Z124" s="49">
        <v>30</v>
      </c>
      <c r="AA124" s="50">
        <v>19800</v>
      </c>
      <c r="AB124" s="49">
        <v>4</v>
      </c>
      <c r="AC124" s="53">
        <v>2640</v>
      </c>
      <c r="AD124" s="49"/>
      <c r="AE124" s="53"/>
      <c r="AF124" s="49"/>
      <c r="AG124" s="53"/>
      <c r="AH124" s="49">
        <v>100</v>
      </c>
      <c r="AI124" s="53">
        <v>66000</v>
      </c>
      <c r="AJ124" s="53"/>
      <c r="AK124" s="53"/>
      <c r="AL124" s="53"/>
      <c r="AM124" s="53"/>
      <c r="AN124" s="53">
        <v>20</v>
      </c>
      <c r="AO124" s="53">
        <v>13200</v>
      </c>
      <c r="AP124" s="62">
        <f t="shared" si="2"/>
        <v>355</v>
      </c>
      <c r="AQ124" s="55">
        <f t="shared" si="3"/>
        <v>196020</v>
      </c>
    </row>
    <row r="125" spans="1:43">
      <c r="A125" s="47">
        <v>128</v>
      </c>
      <c r="B125" s="56">
        <v>4971710584059</v>
      </c>
      <c r="C125" s="57" t="s">
        <v>700</v>
      </c>
      <c r="D125" s="75" t="s">
        <v>884</v>
      </c>
      <c r="E125" s="48" t="s">
        <v>701</v>
      </c>
      <c r="F125" s="58">
        <v>0</v>
      </c>
      <c r="G125" s="50">
        <v>0</v>
      </c>
      <c r="H125" s="51">
        <v>50</v>
      </c>
      <c r="I125" s="52">
        <v>35750</v>
      </c>
      <c r="J125" s="49">
        <v>0</v>
      </c>
      <c r="K125" s="50">
        <v>0</v>
      </c>
      <c r="L125" s="49">
        <v>10</v>
      </c>
      <c r="M125" s="50">
        <v>7150</v>
      </c>
      <c r="N125" s="49">
        <v>3</v>
      </c>
      <c r="O125" s="50">
        <v>2145</v>
      </c>
      <c r="P125" s="49">
        <v>0</v>
      </c>
      <c r="Q125" s="53">
        <v>0</v>
      </c>
      <c r="R125" s="58">
        <v>100</v>
      </c>
      <c r="S125" s="59">
        <v>71500</v>
      </c>
      <c r="T125" s="60">
        <v>80</v>
      </c>
      <c r="U125" s="61">
        <v>28600</v>
      </c>
      <c r="V125" s="58">
        <v>14</v>
      </c>
      <c r="W125" s="59">
        <v>10010</v>
      </c>
      <c r="X125" s="49"/>
      <c r="Y125" s="50"/>
      <c r="Z125" s="49">
        <v>2</v>
      </c>
      <c r="AA125" s="50">
        <v>1430</v>
      </c>
      <c r="AB125" s="49"/>
      <c r="AC125" s="53"/>
      <c r="AD125" s="49"/>
      <c r="AE125" s="53"/>
      <c r="AF125" s="49"/>
      <c r="AG125" s="53"/>
      <c r="AH125" s="49">
        <v>18</v>
      </c>
      <c r="AI125" s="53">
        <v>12870</v>
      </c>
      <c r="AJ125" s="53"/>
      <c r="AK125" s="53"/>
      <c r="AL125" s="53"/>
      <c r="AM125" s="53"/>
      <c r="AN125" s="53">
        <v>75</v>
      </c>
      <c r="AO125" s="53">
        <v>53625</v>
      </c>
      <c r="AP125" s="62">
        <f t="shared" si="2"/>
        <v>352</v>
      </c>
      <c r="AQ125" s="55">
        <f t="shared" si="3"/>
        <v>223080</v>
      </c>
    </row>
    <row r="126" spans="1:43">
      <c r="A126" s="47">
        <v>122</v>
      </c>
      <c r="B126" s="56">
        <v>4971710576009</v>
      </c>
      <c r="C126" s="57" t="s">
        <v>604</v>
      </c>
      <c r="D126" s="75" t="s">
        <v>884</v>
      </c>
      <c r="E126" s="48" t="s">
        <v>605</v>
      </c>
      <c r="F126" s="58">
        <v>0</v>
      </c>
      <c r="G126" s="50">
        <v>0</v>
      </c>
      <c r="H126" s="51">
        <v>0</v>
      </c>
      <c r="I126" s="52">
        <v>0</v>
      </c>
      <c r="J126" s="49">
        <v>10</v>
      </c>
      <c r="K126" s="50">
        <v>6600</v>
      </c>
      <c r="L126" s="49">
        <v>50</v>
      </c>
      <c r="M126" s="50">
        <v>33000</v>
      </c>
      <c r="N126" s="49">
        <v>0</v>
      </c>
      <c r="O126" s="50">
        <v>0</v>
      </c>
      <c r="P126" s="49">
        <v>0</v>
      </c>
      <c r="Q126" s="53">
        <v>0</v>
      </c>
      <c r="R126" s="58">
        <v>65</v>
      </c>
      <c r="S126" s="59">
        <v>42900</v>
      </c>
      <c r="T126" s="60">
        <v>8</v>
      </c>
      <c r="U126" s="61">
        <v>2640</v>
      </c>
      <c r="V126" s="58">
        <v>2</v>
      </c>
      <c r="W126" s="59">
        <v>1320</v>
      </c>
      <c r="X126" s="49">
        <v>20</v>
      </c>
      <c r="Y126" s="50">
        <v>13200</v>
      </c>
      <c r="Z126" s="49">
        <v>62</v>
      </c>
      <c r="AA126" s="50">
        <v>40920</v>
      </c>
      <c r="AB126" s="49">
        <v>15</v>
      </c>
      <c r="AC126" s="53">
        <v>9900</v>
      </c>
      <c r="AD126" s="49"/>
      <c r="AE126" s="53"/>
      <c r="AF126" s="49"/>
      <c r="AG126" s="53"/>
      <c r="AH126" s="49">
        <v>38</v>
      </c>
      <c r="AI126" s="53">
        <v>25080</v>
      </c>
      <c r="AJ126" s="53"/>
      <c r="AK126" s="53"/>
      <c r="AL126" s="53"/>
      <c r="AM126" s="53"/>
      <c r="AN126" s="53">
        <v>70</v>
      </c>
      <c r="AO126" s="53">
        <v>46200</v>
      </c>
      <c r="AP126" s="62">
        <f t="shared" si="2"/>
        <v>340</v>
      </c>
      <c r="AQ126" s="55">
        <f t="shared" si="3"/>
        <v>221760</v>
      </c>
    </row>
    <row r="127" spans="1:43">
      <c r="A127" s="47">
        <v>102</v>
      </c>
      <c r="B127" s="56">
        <v>4971710599978</v>
      </c>
      <c r="C127" s="57" t="s">
        <v>977</v>
      </c>
      <c r="D127" s="75" t="s">
        <v>882</v>
      </c>
      <c r="E127" s="48" t="s">
        <v>978</v>
      </c>
      <c r="F127" s="58"/>
      <c r="G127" s="50"/>
      <c r="H127" s="51"/>
      <c r="I127" s="52"/>
      <c r="J127" s="49"/>
      <c r="K127" s="50"/>
      <c r="L127" s="49"/>
      <c r="M127" s="50"/>
      <c r="N127" s="49"/>
      <c r="O127" s="50"/>
      <c r="P127" s="49"/>
      <c r="Q127" s="53"/>
      <c r="R127" s="58"/>
      <c r="S127" s="59"/>
      <c r="T127" s="60"/>
      <c r="U127" s="61"/>
      <c r="V127" s="58"/>
      <c r="W127" s="59"/>
      <c r="X127" s="49"/>
      <c r="Y127" s="50"/>
      <c r="Z127" s="49"/>
      <c r="AA127" s="50"/>
      <c r="AB127" s="49"/>
      <c r="AC127" s="53"/>
      <c r="AD127" s="49"/>
      <c r="AE127" s="53"/>
      <c r="AF127" s="49"/>
      <c r="AG127" s="53"/>
      <c r="AH127" s="49">
        <v>180</v>
      </c>
      <c r="AI127" s="53">
        <v>346500</v>
      </c>
      <c r="AJ127" s="53"/>
      <c r="AK127" s="53"/>
      <c r="AL127" s="53"/>
      <c r="AM127" s="53"/>
      <c r="AN127" s="53">
        <v>157</v>
      </c>
      <c r="AO127" s="53">
        <v>302225</v>
      </c>
      <c r="AP127" s="63">
        <f t="shared" si="2"/>
        <v>337</v>
      </c>
      <c r="AQ127" s="55">
        <f t="shared" si="3"/>
        <v>648725</v>
      </c>
    </row>
    <row r="128" spans="1:43">
      <c r="A128" s="47">
        <v>108</v>
      </c>
      <c r="B128" s="56">
        <v>4971710580488</v>
      </c>
      <c r="C128" s="57" t="s">
        <v>684</v>
      </c>
      <c r="D128" s="75" t="s">
        <v>880</v>
      </c>
      <c r="E128" s="48" t="s">
        <v>685</v>
      </c>
      <c r="F128" s="58">
        <v>0</v>
      </c>
      <c r="G128" s="50">
        <v>0</v>
      </c>
      <c r="H128" s="51">
        <v>0</v>
      </c>
      <c r="I128" s="52">
        <v>0</v>
      </c>
      <c r="J128" s="49">
        <v>0</v>
      </c>
      <c r="K128" s="50">
        <v>0</v>
      </c>
      <c r="L128" s="49">
        <v>0</v>
      </c>
      <c r="M128" s="50">
        <v>0</v>
      </c>
      <c r="N128" s="49">
        <v>30</v>
      </c>
      <c r="O128" s="50">
        <v>13860</v>
      </c>
      <c r="P128" s="49">
        <v>0</v>
      </c>
      <c r="Q128" s="53">
        <v>0</v>
      </c>
      <c r="R128" s="58"/>
      <c r="S128" s="59"/>
      <c r="T128" s="60"/>
      <c r="U128" s="61"/>
      <c r="V128" s="58">
        <v>4</v>
      </c>
      <c r="W128" s="59">
        <v>1848</v>
      </c>
      <c r="X128" s="49">
        <v>102</v>
      </c>
      <c r="Y128" s="50">
        <v>47124</v>
      </c>
      <c r="Z128" s="49"/>
      <c r="AA128" s="50"/>
      <c r="AB128" s="49">
        <v>6</v>
      </c>
      <c r="AC128" s="53">
        <v>2772</v>
      </c>
      <c r="AD128" s="49">
        <v>65</v>
      </c>
      <c r="AE128" s="53">
        <v>30030</v>
      </c>
      <c r="AF128" s="49"/>
      <c r="AG128" s="53"/>
      <c r="AH128" s="49">
        <v>4</v>
      </c>
      <c r="AI128" s="53">
        <v>1848</v>
      </c>
      <c r="AJ128" s="53"/>
      <c r="AK128" s="53"/>
      <c r="AL128" s="53"/>
      <c r="AM128" s="53"/>
      <c r="AN128" s="53">
        <v>124</v>
      </c>
      <c r="AO128" s="53">
        <v>57288</v>
      </c>
      <c r="AP128" s="62">
        <f t="shared" si="2"/>
        <v>335</v>
      </c>
      <c r="AQ128" s="55">
        <f t="shared" si="3"/>
        <v>154770</v>
      </c>
    </row>
    <row r="129" spans="1:43">
      <c r="A129" s="47">
        <v>179</v>
      </c>
      <c r="B129" s="56">
        <v>4971710571806</v>
      </c>
      <c r="C129" s="57" t="s">
        <v>557</v>
      </c>
      <c r="D129" s="75" t="s">
        <v>884</v>
      </c>
      <c r="E129" s="48" t="s">
        <v>558</v>
      </c>
      <c r="F129" s="58">
        <v>0</v>
      </c>
      <c r="G129" s="50">
        <v>0</v>
      </c>
      <c r="H129" s="51">
        <v>24</v>
      </c>
      <c r="I129" s="52">
        <v>15840</v>
      </c>
      <c r="J129" s="49">
        <v>24</v>
      </c>
      <c r="K129" s="50">
        <v>15840</v>
      </c>
      <c r="L129" s="49">
        <v>6</v>
      </c>
      <c r="M129" s="50">
        <v>3960</v>
      </c>
      <c r="N129" s="49">
        <v>0</v>
      </c>
      <c r="O129" s="50">
        <v>0</v>
      </c>
      <c r="P129" s="49">
        <v>10</v>
      </c>
      <c r="Q129" s="53">
        <v>6600</v>
      </c>
      <c r="R129" s="58">
        <v>15</v>
      </c>
      <c r="S129" s="59">
        <v>9900</v>
      </c>
      <c r="T129" s="60">
        <v>220</v>
      </c>
      <c r="U129" s="61">
        <v>72600</v>
      </c>
      <c r="V129" s="58"/>
      <c r="W129" s="59"/>
      <c r="X129" s="49">
        <v>8</v>
      </c>
      <c r="Y129" s="50">
        <v>5280</v>
      </c>
      <c r="Z129" s="49"/>
      <c r="AA129" s="50"/>
      <c r="AB129" s="49">
        <v>6</v>
      </c>
      <c r="AC129" s="53">
        <v>3960</v>
      </c>
      <c r="AD129" s="49">
        <v>2</v>
      </c>
      <c r="AE129" s="53">
        <v>1320</v>
      </c>
      <c r="AF129" s="49"/>
      <c r="AG129" s="53"/>
      <c r="AH129" s="49"/>
      <c r="AI129" s="53"/>
      <c r="AJ129" s="53"/>
      <c r="AK129" s="53"/>
      <c r="AL129" s="53"/>
      <c r="AM129" s="53"/>
      <c r="AN129" s="53">
        <v>20</v>
      </c>
      <c r="AO129" s="53">
        <v>13200</v>
      </c>
      <c r="AP129" s="62">
        <f t="shared" si="2"/>
        <v>335</v>
      </c>
      <c r="AQ129" s="55">
        <f t="shared" si="3"/>
        <v>148500</v>
      </c>
    </row>
    <row r="130" spans="1:43">
      <c r="A130" s="47">
        <v>133</v>
      </c>
      <c r="B130" s="56">
        <v>4971710564761</v>
      </c>
      <c r="C130" s="57" t="s">
        <v>487</v>
      </c>
      <c r="D130" s="75" t="s">
        <v>884</v>
      </c>
      <c r="E130" s="48" t="s">
        <v>488</v>
      </c>
      <c r="F130" s="58">
        <v>10</v>
      </c>
      <c r="G130" s="50">
        <v>6600</v>
      </c>
      <c r="H130" s="51">
        <v>24</v>
      </c>
      <c r="I130" s="52">
        <v>15840</v>
      </c>
      <c r="J130" s="49">
        <v>24</v>
      </c>
      <c r="K130" s="50">
        <v>15840</v>
      </c>
      <c r="L130" s="49">
        <v>0</v>
      </c>
      <c r="M130" s="50">
        <v>0</v>
      </c>
      <c r="N130" s="49">
        <v>0</v>
      </c>
      <c r="O130" s="50">
        <v>0</v>
      </c>
      <c r="P130" s="49">
        <v>37</v>
      </c>
      <c r="Q130" s="53">
        <v>24420</v>
      </c>
      <c r="R130" s="58">
        <v>40</v>
      </c>
      <c r="S130" s="59">
        <v>26400</v>
      </c>
      <c r="T130" s="60"/>
      <c r="U130" s="61"/>
      <c r="V130" s="58">
        <v>32</v>
      </c>
      <c r="W130" s="59">
        <v>21120</v>
      </c>
      <c r="X130" s="49">
        <v>8</v>
      </c>
      <c r="Y130" s="50">
        <v>5280</v>
      </c>
      <c r="Z130" s="49">
        <v>62</v>
      </c>
      <c r="AA130" s="50">
        <v>40920</v>
      </c>
      <c r="AB130" s="49">
        <v>6</v>
      </c>
      <c r="AC130" s="53">
        <v>3960</v>
      </c>
      <c r="AD130" s="49">
        <v>24</v>
      </c>
      <c r="AE130" s="53">
        <v>15840</v>
      </c>
      <c r="AF130" s="49"/>
      <c r="AG130" s="53"/>
      <c r="AH130" s="49">
        <v>30</v>
      </c>
      <c r="AI130" s="53">
        <v>19800</v>
      </c>
      <c r="AJ130" s="53"/>
      <c r="AK130" s="53"/>
      <c r="AL130" s="53"/>
      <c r="AM130" s="53"/>
      <c r="AN130" s="53">
        <v>36</v>
      </c>
      <c r="AO130" s="53">
        <v>23760</v>
      </c>
      <c r="AP130" s="62">
        <f t="shared" si="2"/>
        <v>333</v>
      </c>
      <c r="AQ130" s="55">
        <f t="shared" si="3"/>
        <v>219780</v>
      </c>
    </row>
    <row r="131" spans="1:43">
      <c r="A131" s="47">
        <v>118</v>
      </c>
      <c r="B131" s="56">
        <v>4971710569209</v>
      </c>
      <c r="C131" s="57" t="s">
        <v>543</v>
      </c>
      <c r="D131" s="75" t="s">
        <v>880</v>
      </c>
      <c r="E131" s="48" t="s">
        <v>544</v>
      </c>
      <c r="F131" s="58">
        <v>10</v>
      </c>
      <c r="G131" s="50">
        <v>6600</v>
      </c>
      <c r="H131" s="51">
        <v>0</v>
      </c>
      <c r="I131" s="52">
        <v>0</v>
      </c>
      <c r="J131" s="49">
        <v>0</v>
      </c>
      <c r="K131" s="50">
        <v>0</v>
      </c>
      <c r="L131" s="49">
        <v>0</v>
      </c>
      <c r="M131" s="50">
        <v>0</v>
      </c>
      <c r="N131" s="49">
        <v>32</v>
      </c>
      <c r="O131" s="50">
        <v>21120</v>
      </c>
      <c r="P131" s="49">
        <v>0</v>
      </c>
      <c r="Q131" s="53">
        <v>0</v>
      </c>
      <c r="R131" s="58">
        <v>123</v>
      </c>
      <c r="S131" s="59">
        <v>81180</v>
      </c>
      <c r="T131" s="60">
        <v>4</v>
      </c>
      <c r="U131" s="61">
        <v>1320</v>
      </c>
      <c r="V131" s="58"/>
      <c r="W131" s="59"/>
      <c r="X131" s="49">
        <v>36</v>
      </c>
      <c r="Y131" s="50">
        <v>23760</v>
      </c>
      <c r="Z131" s="49">
        <v>4</v>
      </c>
      <c r="AA131" s="50">
        <v>2640</v>
      </c>
      <c r="AB131" s="49"/>
      <c r="AC131" s="53"/>
      <c r="AD131" s="49">
        <v>66</v>
      </c>
      <c r="AE131" s="53">
        <v>43560</v>
      </c>
      <c r="AF131" s="49">
        <v>4</v>
      </c>
      <c r="AG131" s="53">
        <v>2640</v>
      </c>
      <c r="AH131" s="49"/>
      <c r="AI131" s="53"/>
      <c r="AJ131" s="53"/>
      <c r="AK131" s="53"/>
      <c r="AL131" s="53"/>
      <c r="AM131" s="53"/>
      <c r="AN131" s="53">
        <v>50</v>
      </c>
      <c r="AO131" s="53">
        <v>33000</v>
      </c>
      <c r="AP131" s="62">
        <f t="shared" ref="AP131:AP194" si="4">F131+H131+J131+L131+N131+P131+R131+T131+V131+X131+Z131+AB131+AD131+AF131+AH131+AJ131+AL131+AN131</f>
        <v>329</v>
      </c>
      <c r="AQ131" s="55">
        <f t="shared" ref="AQ131:AQ194" si="5">G131+I131+K131+M131+O131+Q131+S131+U131+W131+Y131+AA131+AC131+AE131+AG131+AI131+AK131+AM131+AO131</f>
        <v>215820</v>
      </c>
    </row>
    <row r="132" spans="1:43">
      <c r="A132" s="47">
        <v>130</v>
      </c>
      <c r="B132" s="56">
        <v>4971710513691</v>
      </c>
      <c r="C132" s="57" t="s">
        <v>274</v>
      </c>
      <c r="D132" s="75" t="s">
        <v>880</v>
      </c>
      <c r="E132" s="48" t="s">
        <v>275</v>
      </c>
      <c r="F132" s="58">
        <v>0</v>
      </c>
      <c r="G132" s="50">
        <v>0</v>
      </c>
      <c r="H132" s="51">
        <v>30</v>
      </c>
      <c r="I132" s="52">
        <v>16500</v>
      </c>
      <c r="J132" s="49">
        <v>0</v>
      </c>
      <c r="K132" s="50">
        <v>0</v>
      </c>
      <c r="L132" s="49">
        <v>50</v>
      </c>
      <c r="M132" s="50">
        <v>27500</v>
      </c>
      <c r="N132" s="49">
        <v>0</v>
      </c>
      <c r="O132" s="50">
        <v>0</v>
      </c>
      <c r="P132" s="49">
        <v>0</v>
      </c>
      <c r="Q132" s="53">
        <v>0</v>
      </c>
      <c r="R132" s="58">
        <v>50</v>
      </c>
      <c r="S132" s="59">
        <v>27500</v>
      </c>
      <c r="T132" s="60"/>
      <c r="U132" s="61"/>
      <c r="V132" s="58"/>
      <c r="W132" s="59"/>
      <c r="X132" s="49">
        <v>36</v>
      </c>
      <c r="Y132" s="50">
        <v>19800</v>
      </c>
      <c r="Z132" s="49">
        <v>50</v>
      </c>
      <c r="AA132" s="50">
        <v>27500</v>
      </c>
      <c r="AB132" s="49"/>
      <c r="AC132" s="53"/>
      <c r="AD132" s="49"/>
      <c r="AE132" s="53"/>
      <c r="AF132" s="49"/>
      <c r="AG132" s="53"/>
      <c r="AH132" s="49">
        <v>60</v>
      </c>
      <c r="AI132" s="53">
        <v>33000</v>
      </c>
      <c r="AJ132" s="53"/>
      <c r="AK132" s="53"/>
      <c r="AL132" s="53"/>
      <c r="AM132" s="53"/>
      <c r="AN132" s="53">
        <v>50</v>
      </c>
      <c r="AO132" s="53">
        <v>27500</v>
      </c>
      <c r="AP132" s="62">
        <f t="shared" si="4"/>
        <v>326</v>
      </c>
      <c r="AQ132" s="55">
        <f t="shared" si="5"/>
        <v>179300</v>
      </c>
    </row>
    <row r="133" spans="1:43">
      <c r="A133" s="47">
        <v>145</v>
      </c>
      <c r="B133" s="56">
        <v>4971710592979</v>
      </c>
      <c r="C133" s="57" t="s">
        <v>742</v>
      </c>
      <c r="D133" s="75" t="s">
        <v>884</v>
      </c>
      <c r="E133" s="48" t="s">
        <v>743</v>
      </c>
      <c r="F133" s="58">
        <v>0</v>
      </c>
      <c r="G133" s="50">
        <v>0</v>
      </c>
      <c r="H133" s="51">
        <v>0</v>
      </c>
      <c r="I133" s="52">
        <v>0</v>
      </c>
      <c r="J133" s="49">
        <v>0</v>
      </c>
      <c r="K133" s="50">
        <v>0</v>
      </c>
      <c r="L133" s="49">
        <v>0</v>
      </c>
      <c r="M133" s="50">
        <v>0</v>
      </c>
      <c r="N133" s="49">
        <v>0</v>
      </c>
      <c r="O133" s="50">
        <v>0</v>
      </c>
      <c r="P133" s="49">
        <v>0</v>
      </c>
      <c r="Q133" s="53">
        <v>0</v>
      </c>
      <c r="R133" s="58">
        <v>65</v>
      </c>
      <c r="S133" s="59">
        <v>39325</v>
      </c>
      <c r="T133" s="60">
        <v>216</v>
      </c>
      <c r="U133" s="61">
        <v>65340</v>
      </c>
      <c r="V133" s="58">
        <v>5</v>
      </c>
      <c r="W133" s="59">
        <v>3025</v>
      </c>
      <c r="X133" s="49">
        <v>36</v>
      </c>
      <c r="Y133" s="50">
        <v>21780</v>
      </c>
      <c r="Z133" s="49"/>
      <c r="AA133" s="50"/>
      <c r="AB133" s="49">
        <v>2</v>
      </c>
      <c r="AC133" s="53">
        <v>1210</v>
      </c>
      <c r="AD133" s="49"/>
      <c r="AE133" s="53"/>
      <c r="AF133" s="49"/>
      <c r="AG133" s="53"/>
      <c r="AH133" s="49">
        <v>2</v>
      </c>
      <c r="AI133" s="53">
        <v>1210</v>
      </c>
      <c r="AJ133" s="53"/>
      <c r="AK133" s="53"/>
      <c r="AL133" s="53"/>
      <c r="AM133" s="53"/>
      <c r="AN133" s="53"/>
      <c r="AO133" s="53"/>
      <c r="AP133" s="62">
        <f t="shared" si="4"/>
        <v>326</v>
      </c>
      <c r="AQ133" s="55">
        <f t="shared" si="5"/>
        <v>131890</v>
      </c>
    </row>
    <row r="134" spans="1:43">
      <c r="A134" s="47">
        <v>325</v>
      </c>
      <c r="B134" s="56">
        <v>4971710590067</v>
      </c>
      <c r="C134" s="57" t="s">
        <v>732</v>
      </c>
      <c r="D134" s="75" t="s">
        <v>884</v>
      </c>
      <c r="E134" s="48" t="s">
        <v>733</v>
      </c>
      <c r="F134" s="58">
        <v>0</v>
      </c>
      <c r="G134" s="50">
        <v>0</v>
      </c>
      <c r="H134" s="51">
        <v>0</v>
      </c>
      <c r="I134" s="52">
        <v>0</v>
      </c>
      <c r="J134" s="49">
        <v>0</v>
      </c>
      <c r="K134" s="50">
        <v>0</v>
      </c>
      <c r="L134" s="49">
        <v>0</v>
      </c>
      <c r="M134" s="50">
        <v>0</v>
      </c>
      <c r="N134" s="49">
        <v>300</v>
      </c>
      <c r="O134" s="50">
        <v>231000</v>
      </c>
      <c r="P134" s="49">
        <v>0</v>
      </c>
      <c r="Q134" s="53">
        <v>0</v>
      </c>
      <c r="R134" s="58"/>
      <c r="S134" s="59"/>
      <c r="T134" s="60"/>
      <c r="U134" s="61"/>
      <c r="V134" s="58">
        <v>5</v>
      </c>
      <c r="W134" s="59">
        <v>3850</v>
      </c>
      <c r="X134" s="49"/>
      <c r="Y134" s="50"/>
      <c r="Z134" s="49">
        <v>2</v>
      </c>
      <c r="AA134" s="50">
        <v>1540</v>
      </c>
      <c r="AB134" s="49">
        <v>10</v>
      </c>
      <c r="AC134" s="53">
        <v>7700</v>
      </c>
      <c r="AD134" s="49"/>
      <c r="AE134" s="53"/>
      <c r="AF134" s="49"/>
      <c r="AG134" s="53"/>
      <c r="AH134" s="49"/>
      <c r="AI134" s="53"/>
      <c r="AJ134" s="53"/>
      <c r="AK134" s="53"/>
      <c r="AL134" s="53"/>
      <c r="AM134" s="53"/>
      <c r="AN134" s="53">
        <v>6</v>
      </c>
      <c r="AO134" s="53">
        <v>4620</v>
      </c>
      <c r="AP134" s="62">
        <f t="shared" si="4"/>
        <v>323</v>
      </c>
      <c r="AQ134" s="55">
        <f t="shared" si="5"/>
        <v>248710</v>
      </c>
    </row>
    <row r="135" spans="1:43">
      <c r="A135" s="47">
        <v>331</v>
      </c>
      <c r="B135" s="56">
        <v>4971710590036</v>
      </c>
      <c r="C135" s="57" t="s">
        <v>726</v>
      </c>
      <c r="D135" s="75" t="s">
        <v>884</v>
      </c>
      <c r="E135" s="48" t="s">
        <v>727</v>
      </c>
      <c r="F135" s="58">
        <v>0</v>
      </c>
      <c r="G135" s="50">
        <v>0</v>
      </c>
      <c r="H135" s="51">
        <v>0</v>
      </c>
      <c r="I135" s="52">
        <v>0</v>
      </c>
      <c r="J135" s="49">
        <v>0</v>
      </c>
      <c r="K135" s="50">
        <v>0</v>
      </c>
      <c r="L135" s="49">
        <v>0</v>
      </c>
      <c r="M135" s="50">
        <v>0</v>
      </c>
      <c r="N135" s="49">
        <v>300</v>
      </c>
      <c r="O135" s="50">
        <v>231000</v>
      </c>
      <c r="P135" s="49">
        <v>2</v>
      </c>
      <c r="Q135" s="53">
        <v>1540</v>
      </c>
      <c r="R135" s="58"/>
      <c r="S135" s="59"/>
      <c r="T135" s="60"/>
      <c r="U135" s="61"/>
      <c r="V135" s="58">
        <v>2</v>
      </c>
      <c r="W135" s="59">
        <v>1540</v>
      </c>
      <c r="X135" s="49"/>
      <c r="Y135" s="50"/>
      <c r="Z135" s="49">
        <v>2</v>
      </c>
      <c r="AA135" s="50">
        <v>1540</v>
      </c>
      <c r="AB135" s="49"/>
      <c r="AC135" s="53"/>
      <c r="AD135" s="49">
        <v>5</v>
      </c>
      <c r="AE135" s="53">
        <v>3850</v>
      </c>
      <c r="AF135" s="49"/>
      <c r="AG135" s="53"/>
      <c r="AH135" s="49">
        <v>5</v>
      </c>
      <c r="AI135" s="53">
        <v>3850</v>
      </c>
      <c r="AJ135" s="53"/>
      <c r="AK135" s="53"/>
      <c r="AL135" s="53"/>
      <c r="AM135" s="53"/>
      <c r="AN135" s="53">
        <v>6</v>
      </c>
      <c r="AO135" s="53">
        <v>4620</v>
      </c>
      <c r="AP135" s="62">
        <f t="shared" si="4"/>
        <v>322</v>
      </c>
      <c r="AQ135" s="55">
        <f t="shared" si="5"/>
        <v>247940</v>
      </c>
    </row>
    <row r="136" spans="1:43">
      <c r="A136" s="47">
        <v>183</v>
      </c>
      <c r="B136" s="56">
        <v>4971710565096</v>
      </c>
      <c r="C136" s="57" t="s">
        <v>509</v>
      </c>
      <c r="D136" s="75" t="s">
        <v>880</v>
      </c>
      <c r="E136" s="48" t="s">
        <v>510</v>
      </c>
      <c r="F136" s="58">
        <v>0</v>
      </c>
      <c r="G136" s="50">
        <v>0</v>
      </c>
      <c r="H136" s="51">
        <v>35</v>
      </c>
      <c r="I136" s="52">
        <v>23100</v>
      </c>
      <c r="J136" s="49">
        <v>55</v>
      </c>
      <c r="K136" s="50">
        <v>36300</v>
      </c>
      <c r="L136" s="49">
        <v>45</v>
      </c>
      <c r="M136" s="50">
        <v>29700</v>
      </c>
      <c r="N136" s="49">
        <v>30</v>
      </c>
      <c r="O136" s="50">
        <v>19800</v>
      </c>
      <c r="P136" s="49">
        <v>0</v>
      </c>
      <c r="Q136" s="53">
        <v>0</v>
      </c>
      <c r="R136" s="58">
        <v>17</v>
      </c>
      <c r="S136" s="59">
        <v>11220</v>
      </c>
      <c r="T136" s="60"/>
      <c r="U136" s="61"/>
      <c r="V136" s="58">
        <v>32</v>
      </c>
      <c r="W136" s="59">
        <v>21120</v>
      </c>
      <c r="X136" s="49">
        <v>2</v>
      </c>
      <c r="Y136" s="50">
        <v>1320</v>
      </c>
      <c r="Z136" s="49">
        <v>31</v>
      </c>
      <c r="AA136" s="50">
        <v>20460</v>
      </c>
      <c r="AB136" s="49">
        <v>4</v>
      </c>
      <c r="AC136" s="53">
        <v>2640</v>
      </c>
      <c r="AD136" s="49">
        <v>2</v>
      </c>
      <c r="AE136" s="53">
        <v>1320</v>
      </c>
      <c r="AF136" s="49">
        <v>36</v>
      </c>
      <c r="AG136" s="53">
        <v>23760</v>
      </c>
      <c r="AH136" s="49"/>
      <c r="AI136" s="53"/>
      <c r="AJ136" s="53"/>
      <c r="AK136" s="53"/>
      <c r="AL136" s="53"/>
      <c r="AM136" s="53"/>
      <c r="AN136" s="53">
        <v>30</v>
      </c>
      <c r="AO136" s="53">
        <v>19800</v>
      </c>
      <c r="AP136" s="62">
        <f t="shared" si="4"/>
        <v>319</v>
      </c>
      <c r="AQ136" s="55">
        <f t="shared" si="5"/>
        <v>210540</v>
      </c>
    </row>
    <row r="137" spans="1:43">
      <c r="A137" s="47">
        <v>156</v>
      </c>
      <c r="B137" s="56">
        <v>4971710512274</v>
      </c>
      <c r="C137" s="57" t="s">
        <v>250</v>
      </c>
      <c r="D137" s="75" t="s">
        <v>884</v>
      </c>
      <c r="E137" s="48" t="s">
        <v>251</v>
      </c>
      <c r="F137" s="58">
        <v>0</v>
      </c>
      <c r="G137" s="50">
        <v>0</v>
      </c>
      <c r="H137" s="51">
        <v>0</v>
      </c>
      <c r="I137" s="52">
        <v>0</v>
      </c>
      <c r="J137" s="49">
        <v>30</v>
      </c>
      <c r="K137" s="50">
        <v>13200</v>
      </c>
      <c r="L137" s="49">
        <v>90</v>
      </c>
      <c r="M137" s="50">
        <v>39600</v>
      </c>
      <c r="N137" s="49">
        <v>0</v>
      </c>
      <c r="O137" s="50">
        <v>0</v>
      </c>
      <c r="P137" s="49">
        <v>0</v>
      </c>
      <c r="Q137" s="53">
        <v>0</v>
      </c>
      <c r="R137" s="58">
        <v>30</v>
      </c>
      <c r="S137" s="59">
        <v>13200</v>
      </c>
      <c r="T137" s="60"/>
      <c r="U137" s="61"/>
      <c r="V137" s="58">
        <v>10</v>
      </c>
      <c r="W137" s="59">
        <v>4400</v>
      </c>
      <c r="X137" s="49">
        <v>26</v>
      </c>
      <c r="Y137" s="50">
        <v>11440</v>
      </c>
      <c r="Z137" s="49"/>
      <c r="AA137" s="50"/>
      <c r="AB137" s="49">
        <v>50</v>
      </c>
      <c r="AC137" s="53">
        <v>22000</v>
      </c>
      <c r="AD137" s="49">
        <v>50</v>
      </c>
      <c r="AE137" s="53">
        <v>22000</v>
      </c>
      <c r="AF137" s="49">
        <v>30</v>
      </c>
      <c r="AG137" s="53">
        <v>13200</v>
      </c>
      <c r="AH137" s="49"/>
      <c r="AI137" s="53"/>
      <c r="AJ137" s="53"/>
      <c r="AK137" s="53"/>
      <c r="AL137" s="53"/>
      <c r="AM137" s="53"/>
      <c r="AN137" s="53"/>
      <c r="AO137" s="53"/>
      <c r="AP137" s="62">
        <f t="shared" si="4"/>
        <v>316</v>
      </c>
      <c r="AQ137" s="55">
        <f t="shared" si="5"/>
        <v>139040</v>
      </c>
    </row>
    <row r="138" spans="1:43">
      <c r="A138" s="47">
        <v>123</v>
      </c>
      <c r="B138" s="56">
        <v>4971710515817</v>
      </c>
      <c r="C138" s="57" t="s">
        <v>316</v>
      </c>
      <c r="D138" s="75" t="s">
        <v>884</v>
      </c>
      <c r="E138" s="48" t="s">
        <v>317</v>
      </c>
      <c r="F138" s="58">
        <v>0</v>
      </c>
      <c r="G138" s="50">
        <v>0</v>
      </c>
      <c r="H138" s="51">
        <v>5</v>
      </c>
      <c r="I138" s="52">
        <v>2610</v>
      </c>
      <c r="J138" s="49">
        <v>0</v>
      </c>
      <c r="K138" s="50">
        <v>0</v>
      </c>
      <c r="L138" s="49">
        <v>30</v>
      </c>
      <c r="M138" s="50">
        <v>15660</v>
      </c>
      <c r="N138" s="49">
        <v>0</v>
      </c>
      <c r="O138" s="50">
        <v>0</v>
      </c>
      <c r="P138" s="49">
        <v>0</v>
      </c>
      <c r="Q138" s="53">
        <v>0</v>
      </c>
      <c r="R138" s="58">
        <v>40</v>
      </c>
      <c r="S138" s="59">
        <v>20880</v>
      </c>
      <c r="T138" s="60">
        <v>8</v>
      </c>
      <c r="U138" s="61">
        <v>2088</v>
      </c>
      <c r="V138" s="58">
        <v>14</v>
      </c>
      <c r="W138" s="59">
        <v>7308</v>
      </c>
      <c r="X138" s="49">
        <v>36</v>
      </c>
      <c r="Y138" s="50">
        <v>18792</v>
      </c>
      <c r="Z138" s="49">
        <v>2</v>
      </c>
      <c r="AA138" s="50">
        <v>1044</v>
      </c>
      <c r="AB138" s="49">
        <v>56</v>
      </c>
      <c r="AC138" s="53">
        <v>29232</v>
      </c>
      <c r="AD138" s="49">
        <v>38</v>
      </c>
      <c r="AE138" s="53">
        <v>19836</v>
      </c>
      <c r="AF138" s="49">
        <v>50</v>
      </c>
      <c r="AG138" s="53">
        <v>26100</v>
      </c>
      <c r="AH138" s="49">
        <v>8</v>
      </c>
      <c r="AI138" s="53">
        <v>4176</v>
      </c>
      <c r="AJ138" s="53"/>
      <c r="AK138" s="53"/>
      <c r="AL138" s="53"/>
      <c r="AM138" s="53"/>
      <c r="AN138" s="53">
        <v>28</v>
      </c>
      <c r="AO138" s="53">
        <v>14616</v>
      </c>
      <c r="AP138" s="62">
        <f t="shared" si="4"/>
        <v>315</v>
      </c>
      <c r="AQ138" s="55">
        <f t="shared" si="5"/>
        <v>162342</v>
      </c>
    </row>
    <row r="139" spans="1:43">
      <c r="A139" s="47">
        <v>354</v>
      </c>
      <c r="B139" s="56">
        <v>4971710590050</v>
      </c>
      <c r="C139" s="57" t="s">
        <v>730</v>
      </c>
      <c r="D139" s="75" t="s">
        <v>884</v>
      </c>
      <c r="E139" s="48" t="s">
        <v>731</v>
      </c>
      <c r="F139" s="58">
        <v>0</v>
      </c>
      <c r="G139" s="50">
        <v>0</v>
      </c>
      <c r="H139" s="51">
        <v>0</v>
      </c>
      <c r="I139" s="52">
        <v>0</v>
      </c>
      <c r="J139" s="49">
        <v>0</v>
      </c>
      <c r="K139" s="50">
        <v>0</v>
      </c>
      <c r="L139" s="49">
        <v>0</v>
      </c>
      <c r="M139" s="50">
        <v>0</v>
      </c>
      <c r="N139" s="49">
        <v>300</v>
      </c>
      <c r="O139" s="50">
        <v>231000</v>
      </c>
      <c r="P139" s="49">
        <v>0</v>
      </c>
      <c r="Q139" s="53">
        <v>0</v>
      </c>
      <c r="R139" s="58"/>
      <c r="S139" s="59"/>
      <c r="T139" s="60"/>
      <c r="U139" s="61"/>
      <c r="V139" s="58">
        <v>2</v>
      </c>
      <c r="W139" s="59">
        <v>1540</v>
      </c>
      <c r="X139" s="49"/>
      <c r="Y139" s="50"/>
      <c r="Z139" s="49">
        <v>2</v>
      </c>
      <c r="AA139" s="50">
        <v>1540</v>
      </c>
      <c r="AB139" s="49"/>
      <c r="AC139" s="53"/>
      <c r="AD139" s="49"/>
      <c r="AE139" s="53"/>
      <c r="AF139" s="49"/>
      <c r="AG139" s="53"/>
      <c r="AH139" s="49">
        <v>5</v>
      </c>
      <c r="AI139" s="53">
        <v>3850</v>
      </c>
      <c r="AJ139" s="53"/>
      <c r="AK139" s="53"/>
      <c r="AL139" s="53"/>
      <c r="AM139" s="53"/>
      <c r="AN139" s="53">
        <v>6</v>
      </c>
      <c r="AO139" s="53">
        <v>4620</v>
      </c>
      <c r="AP139" s="62">
        <f t="shared" si="4"/>
        <v>315</v>
      </c>
      <c r="AQ139" s="55">
        <f t="shared" si="5"/>
        <v>242550</v>
      </c>
    </row>
    <row r="140" spans="1:43">
      <c r="A140" s="47">
        <v>426</v>
      </c>
      <c r="B140" s="56">
        <v>4971710571851</v>
      </c>
      <c r="C140" s="57" t="s">
        <v>567</v>
      </c>
      <c r="D140" s="75" t="s">
        <v>884</v>
      </c>
      <c r="E140" s="48" t="s">
        <v>568</v>
      </c>
      <c r="F140" s="58"/>
      <c r="G140" s="50">
        <v>0</v>
      </c>
      <c r="H140" s="51">
        <v>0</v>
      </c>
      <c r="I140" s="52">
        <v>0</v>
      </c>
      <c r="J140" s="49">
        <v>310</v>
      </c>
      <c r="K140" s="50">
        <v>221650</v>
      </c>
      <c r="L140" s="49">
        <v>5</v>
      </c>
      <c r="M140" s="50">
        <v>3575</v>
      </c>
      <c r="N140" s="49">
        <v>0</v>
      </c>
      <c r="O140" s="50">
        <v>0</v>
      </c>
      <c r="P140" s="49">
        <v>0</v>
      </c>
      <c r="Q140" s="53">
        <v>0</v>
      </c>
      <c r="R140" s="58"/>
      <c r="S140" s="59"/>
      <c r="T140" s="60"/>
      <c r="U140" s="61"/>
      <c r="V140" s="58"/>
      <c r="W140" s="59"/>
      <c r="X140" s="49"/>
      <c r="Y140" s="50"/>
      <c r="Z140" s="49"/>
      <c r="AA140" s="50"/>
      <c r="AB140" s="49"/>
      <c r="AC140" s="53"/>
      <c r="AD140" s="49"/>
      <c r="AE140" s="53"/>
      <c r="AF140" s="49"/>
      <c r="AG140" s="53"/>
      <c r="AH140" s="49"/>
      <c r="AI140" s="53"/>
      <c r="AJ140" s="53"/>
      <c r="AK140" s="53"/>
      <c r="AL140" s="53"/>
      <c r="AM140" s="53"/>
      <c r="AN140" s="53"/>
      <c r="AO140" s="53"/>
      <c r="AP140" s="62">
        <f t="shared" si="4"/>
        <v>315</v>
      </c>
      <c r="AQ140" s="55">
        <f t="shared" si="5"/>
        <v>225225</v>
      </c>
    </row>
    <row r="141" spans="1:43">
      <c r="A141" s="47">
        <v>363</v>
      </c>
      <c r="B141" s="56">
        <v>4971710590043</v>
      </c>
      <c r="C141" s="57" t="s">
        <v>728</v>
      </c>
      <c r="D141" s="75" t="s">
        <v>884</v>
      </c>
      <c r="E141" s="48" t="s">
        <v>729</v>
      </c>
      <c r="F141" s="58">
        <v>0</v>
      </c>
      <c r="G141" s="50">
        <v>0</v>
      </c>
      <c r="H141" s="51">
        <v>0</v>
      </c>
      <c r="I141" s="52">
        <v>0</v>
      </c>
      <c r="J141" s="49">
        <v>0</v>
      </c>
      <c r="K141" s="50">
        <v>0</v>
      </c>
      <c r="L141" s="49">
        <v>0</v>
      </c>
      <c r="M141" s="50">
        <v>0</v>
      </c>
      <c r="N141" s="49">
        <v>300</v>
      </c>
      <c r="O141" s="50">
        <v>231000</v>
      </c>
      <c r="P141" s="49">
        <v>0</v>
      </c>
      <c r="Q141" s="53">
        <v>0</v>
      </c>
      <c r="R141" s="58"/>
      <c r="S141" s="59"/>
      <c r="T141" s="60">
        <v>4</v>
      </c>
      <c r="U141" s="61">
        <v>1540</v>
      </c>
      <c r="V141" s="58">
        <v>2</v>
      </c>
      <c r="W141" s="59">
        <v>1540</v>
      </c>
      <c r="X141" s="49"/>
      <c r="Y141" s="50"/>
      <c r="Z141" s="49">
        <v>2</v>
      </c>
      <c r="AA141" s="50">
        <v>1540</v>
      </c>
      <c r="AB141" s="49">
        <v>5</v>
      </c>
      <c r="AC141" s="53">
        <v>3850</v>
      </c>
      <c r="AD141" s="49"/>
      <c r="AE141" s="53"/>
      <c r="AF141" s="49"/>
      <c r="AG141" s="53"/>
      <c r="AH141" s="49"/>
      <c r="AI141" s="53"/>
      <c r="AJ141" s="53"/>
      <c r="AK141" s="53"/>
      <c r="AL141" s="53"/>
      <c r="AM141" s="53"/>
      <c r="AN141" s="53"/>
      <c r="AO141" s="53"/>
      <c r="AP141" s="62">
        <f t="shared" si="4"/>
        <v>313</v>
      </c>
      <c r="AQ141" s="55">
        <f t="shared" si="5"/>
        <v>239470</v>
      </c>
    </row>
    <row r="142" spans="1:43">
      <c r="A142" s="47">
        <v>126</v>
      </c>
      <c r="B142" s="56">
        <v>4971710568561</v>
      </c>
      <c r="C142" s="57" t="s">
        <v>525</v>
      </c>
      <c r="D142" s="75" t="s">
        <v>884</v>
      </c>
      <c r="E142" s="48" t="s">
        <v>526</v>
      </c>
      <c r="F142" s="58">
        <v>10</v>
      </c>
      <c r="G142" s="50">
        <v>6600</v>
      </c>
      <c r="H142" s="51">
        <v>24</v>
      </c>
      <c r="I142" s="52">
        <v>15840</v>
      </c>
      <c r="J142" s="49">
        <v>24</v>
      </c>
      <c r="K142" s="50">
        <v>15840</v>
      </c>
      <c r="L142" s="49">
        <v>2</v>
      </c>
      <c r="M142" s="50">
        <v>1320</v>
      </c>
      <c r="N142" s="49">
        <v>0</v>
      </c>
      <c r="O142" s="50">
        <v>0</v>
      </c>
      <c r="P142" s="49">
        <v>0</v>
      </c>
      <c r="Q142" s="53">
        <v>0</v>
      </c>
      <c r="R142" s="58">
        <v>50</v>
      </c>
      <c r="S142" s="59">
        <v>33000</v>
      </c>
      <c r="T142" s="60"/>
      <c r="U142" s="61"/>
      <c r="V142" s="58"/>
      <c r="W142" s="59"/>
      <c r="X142" s="49">
        <v>50</v>
      </c>
      <c r="Y142" s="50">
        <v>33000</v>
      </c>
      <c r="Z142" s="49"/>
      <c r="AA142" s="50"/>
      <c r="AB142" s="49"/>
      <c r="AC142" s="53"/>
      <c r="AD142" s="49">
        <v>40</v>
      </c>
      <c r="AE142" s="53">
        <v>26400</v>
      </c>
      <c r="AF142" s="49">
        <v>50</v>
      </c>
      <c r="AG142" s="53">
        <v>33000</v>
      </c>
      <c r="AH142" s="49">
        <v>50</v>
      </c>
      <c r="AI142" s="53">
        <v>33000</v>
      </c>
      <c r="AJ142" s="53"/>
      <c r="AK142" s="53"/>
      <c r="AL142" s="53"/>
      <c r="AM142" s="53"/>
      <c r="AN142" s="53">
        <v>10</v>
      </c>
      <c r="AO142" s="53">
        <v>6600</v>
      </c>
      <c r="AP142" s="62">
        <f t="shared" si="4"/>
        <v>310</v>
      </c>
      <c r="AQ142" s="55">
        <f t="shared" si="5"/>
        <v>204600</v>
      </c>
    </row>
    <row r="143" spans="1:43">
      <c r="A143" s="47">
        <v>129</v>
      </c>
      <c r="B143" s="56">
        <v>4971710513639</v>
      </c>
      <c r="C143" s="57" t="s">
        <v>262</v>
      </c>
      <c r="D143" s="75" t="s">
        <v>880</v>
      </c>
      <c r="E143" s="48" t="s">
        <v>263</v>
      </c>
      <c r="F143" s="58">
        <v>0</v>
      </c>
      <c r="G143" s="50">
        <v>0</v>
      </c>
      <c r="H143" s="51">
        <v>30</v>
      </c>
      <c r="I143" s="52">
        <v>9060</v>
      </c>
      <c r="J143" s="49">
        <v>0</v>
      </c>
      <c r="K143" s="50">
        <v>0</v>
      </c>
      <c r="L143" s="49">
        <v>0</v>
      </c>
      <c r="M143" s="50">
        <v>0</v>
      </c>
      <c r="N143" s="49">
        <v>0</v>
      </c>
      <c r="O143" s="50">
        <v>0</v>
      </c>
      <c r="P143" s="49">
        <v>30</v>
      </c>
      <c r="Q143" s="53">
        <v>9060</v>
      </c>
      <c r="R143" s="58">
        <v>30</v>
      </c>
      <c r="S143" s="59">
        <v>9060</v>
      </c>
      <c r="T143" s="60"/>
      <c r="U143" s="61"/>
      <c r="V143" s="58"/>
      <c r="W143" s="59"/>
      <c r="X143" s="49">
        <v>6</v>
      </c>
      <c r="Y143" s="50">
        <v>1812</v>
      </c>
      <c r="Z143" s="49">
        <v>30</v>
      </c>
      <c r="AA143" s="50">
        <v>9060</v>
      </c>
      <c r="AB143" s="49">
        <v>24</v>
      </c>
      <c r="AC143" s="53">
        <v>7248</v>
      </c>
      <c r="AD143" s="49">
        <v>64</v>
      </c>
      <c r="AE143" s="53">
        <v>19328</v>
      </c>
      <c r="AF143" s="49">
        <v>20</v>
      </c>
      <c r="AG143" s="53">
        <v>6040</v>
      </c>
      <c r="AH143" s="49">
        <v>25</v>
      </c>
      <c r="AI143" s="53">
        <v>7550</v>
      </c>
      <c r="AJ143" s="53"/>
      <c r="AK143" s="53"/>
      <c r="AL143" s="53"/>
      <c r="AM143" s="53"/>
      <c r="AN143" s="53">
        <v>50</v>
      </c>
      <c r="AO143" s="53">
        <v>15100</v>
      </c>
      <c r="AP143" s="62">
        <f t="shared" si="4"/>
        <v>309</v>
      </c>
      <c r="AQ143" s="55">
        <f t="shared" si="5"/>
        <v>93318</v>
      </c>
    </row>
    <row r="144" spans="1:43">
      <c r="A144" s="47">
        <v>134</v>
      </c>
      <c r="B144" s="56">
        <v>4971710577402</v>
      </c>
      <c r="C144" s="57" t="s">
        <v>622</v>
      </c>
      <c r="D144" s="75" t="s">
        <v>884</v>
      </c>
      <c r="E144" s="48" t="s">
        <v>623</v>
      </c>
      <c r="F144" s="58">
        <v>10</v>
      </c>
      <c r="G144" s="50">
        <v>6600</v>
      </c>
      <c r="H144" s="51">
        <v>0</v>
      </c>
      <c r="I144" s="52">
        <v>0</v>
      </c>
      <c r="J144" s="49">
        <v>0</v>
      </c>
      <c r="K144" s="50">
        <v>0</v>
      </c>
      <c r="L144" s="49">
        <v>60</v>
      </c>
      <c r="M144" s="50">
        <v>39600</v>
      </c>
      <c r="N144" s="49">
        <v>0</v>
      </c>
      <c r="O144" s="50">
        <v>0</v>
      </c>
      <c r="P144" s="49">
        <v>0</v>
      </c>
      <c r="Q144" s="53">
        <v>0</v>
      </c>
      <c r="R144" s="58">
        <v>25</v>
      </c>
      <c r="S144" s="59">
        <v>16500</v>
      </c>
      <c r="T144" s="60">
        <v>4</v>
      </c>
      <c r="U144" s="61">
        <v>1320</v>
      </c>
      <c r="V144" s="58">
        <v>30</v>
      </c>
      <c r="W144" s="59">
        <v>19800</v>
      </c>
      <c r="X144" s="49">
        <v>56</v>
      </c>
      <c r="Y144" s="50">
        <v>36960</v>
      </c>
      <c r="Z144" s="49">
        <v>4</v>
      </c>
      <c r="AA144" s="50">
        <v>2640</v>
      </c>
      <c r="AB144" s="49"/>
      <c r="AC144" s="53"/>
      <c r="AD144" s="49">
        <v>6</v>
      </c>
      <c r="AE144" s="53">
        <v>3960</v>
      </c>
      <c r="AF144" s="49"/>
      <c r="AG144" s="53"/>
      <c r="AH144" s="49">
        <v>54</v>
      </c>
      <c r="AI144" s="53">
        <v>35640</v>
      </c>
      <c r="AJ144" s="53"/>
      <c r="AK144" s="53"/>
      <c r="AL144" s="53"/>
      <c r="AM144" s="53"/>
      <c r="AN144" s="53">
        <v>60</v>
      </c>
      <c r="AO144" s="53">
        <v>39600</v>
      </c>
      <c r="AP144" s="62">
        <f t="shared" si="4"/>
        <v>309</v>
      </c>
      <c r="AQ144" s="55">
        <f t="shared" si="5"/>
        <v>202620</v>
      </c>
    </row>
    <row r="145" spans="1:43">
      <c r="A145" s="47">
        <v>427</v>
      </c>
      <c r="B145" s="56">
        <v>4971710484274</v>
      </c>
      <c r="C145" s="57" t="s">
        <v>36</v>
      </c>
      <c r="D145" s="75" t="s">
        <v>884</v>
      </c>
      <c r="E145" s="48" t="s">
        <v>37</v>
      </c>
      <c r="F145" s="58"/>
      <c r="G145" s="50">
        <v>0</v>
      </c>
      <c r="H145" s="51">
        <v>0</v>
      </c>
      <c r="I145" s="52">
        <v>0</v>
      </c>
      <c r="J145" s="49"/>
      <c r="K145" s="50"/>
      <c r="L145" s="49">
        <v>154</v>
      </c>
      <c r="M145" s="50">
        <v>101640</v>
      </c>
      <c r="N145" s="49">
        <v>109</v>
      </c>
      <c r="O145" s="50">
        <v>71940</v>
      </c>
      <c r="P145" s="49">
        <v>42</v>
      </c>
      <c r="Q145" s="53">
        <v>27720</v>
      </c>
      <c r="R145" s="58"/>
      <c r="S145" s="59"/>
      <c r="T145" s="60"/>
      <c r="U145" s="61"/>
      <c r="V145" s="58"/>
      <c r="W145" s="59"/>
      <c r="X145" s="49"/>
      <c r="Y145" s="50"/>
      <c r="Z145" s="49"/>
      <c r="AA145" s="50"/>
      <c r="AB145" s="49"/>
      <c r="AC145" s="53"/>
      <c r="AD145" s="49"/>
      <c r="AE145" s="53"/>
      <c r="AF145" s="49"/>
      <c r="AG145" s="53"/>
      <c r="AH145" s="49"/>
      <c r="AI145" s="53"/>
      <c r="AJ145" s="53"/>
      <c r="AK145" s="53"/>
      <c r="AL145" s="53"/>
      <c r="AM145" s="53"/>
      <c r="AN145" s="53"/>
      <c r="AO145" s="53"/>
      <c r="AP145" s="62">
        <f t="shared" si="4"/>
        <v>305</v>
      </c>
      <c r="AQ145" s="55">
        <f t="shared" si="5"/>
        <v>201300</v>
      </c>
    </row>
    <row r="146" spans="1:43">
      <c r="A146" s="47">
        <v>127</v>
      </c>
      <c r="B146" s="56">
        <v>4971710575989</v>
      </c>
      <c r="C146" s="57" t="s">
        <v>600</v>
      </c>
      <c r="D146" s="75" t="s">
        <v>884</v>
      </c>
      <c r="E146" s="48" t="s">
        <v>601</v>
      </c>
      <c r="F146" s="58">
        <v>10</v>
      </c>
      <c r="G146" s="50">
        <v>6600</v>
      </c>
      <c r="H146" s="51">
        <v>0</v>
      </c>
      <c r="I146" s="52">
        <v>0</v>
      </c>
      <c r="J146" s="49">
        <v>0</v>
      </c>
      <c r="K146" s="50">
        <v>0</v>
      </c>
      <c r="L146" s="49">
        <v>40</v>
      </c>
      <c r="M146" s="50">
        <v>26400</v>
      </c>
      <c r="N146" s="49">
        <v>0</v>
      </c>
      <c r="O146" s="50">
        <v>0</v>
      </c>
      <c r="P146" s="49">
        <v>0</v>
      </c>
      <c r="Q146" s="53">
        <v>0</v>
      </c>
      <c r="R146" s="58">
        <v>45</v>
      </c>
      <c r="S146" s="59">
        <v>29700</v>
      </c>
      <c r="T146" s="60">
        <v>8</v>
      </c>
      <c r="U146" s="61">
        <v>2640</v>
      </c>
      <c r="V146" s="58">
        <v>5</v>
      </c>
      <c r="W146" s="59">
        <v>3300</v>
      </c>
      <c r="X146" s="49">
        <v>57</v>
      </c>
      <c r="Y146" s="50">
        <v>37620</v>
      </c>
      <c r="Z146" s="49">
        <v>2</v>
      </c>
      <c r="AA146" s="50">
        <v>1320</v>
      </c>
      <c r="AB146" s="49">
        <v>17</v>
      </c>
      <c r="AC146" s="53">
        <v>11220</v>
      </c>
      <c r="AD146" s="49"/>
      <c r="AE146" s="53"/>
      <c r="AF146" s="49">
        <v>32</v>
      </c>
      <c r="AG146" s="53">
        <v>21120</v>
      </c>
      <c r="AH146" s="49">
        <v>5</v>
      </c>
      <c r="AI146" s="53">
        <v>3300</v>
      </c>
      <c r="AJ146" s="53"/>
      <c r="AK146" s="53"/>
      <c r="AL146" s="53"/>
      <c r="AM146" s="53"/>
      <c r="AN146" s="53">
        <v>82</v>
      </c>
      <c r="AO146" s="53">
        <v>54120</v>
      </c>
      <c r="AP146" s="62">
        <f t="shared" si="4"/>
        <v>303</v>
      </c>
      <c r="AQ146" s="55">
        <f t="shared" si="5"/>
        <v>197340</v>
      </c>
    </row>
    <row r="147" spans="1:43">
      <c r="A147" s="47">
        <v>112</v>
      </c>
      <c r="B147" s="56">
        <v>4971710597707</v>
      </c>
      <c r="C147" s="57" t="s">
        <v>823</v>
      </c>
      <c r="D147" s="75" t="s">
        <v>896</v>
      </c>
      <c r="E147" s="48" t="s">
        <v>999</v>
      </c>
      <c r="F147" s="58">
        <v>0</v>
      </c>
      <c r="G147" s="50">
        <v>0</v>
      </c>
      <c r="H147" s="51">
        <v>0</v>
      </c>
      <c r="I147" s="52">
        <v>0</v>
      </c>
      <c r="J147" s="49">
        <v>0</v>
      </c>
      <c r="K147" s="50">
        <v>0</v>
      </c>
      <c r="L147" s="49">
        <v>0</v>
      </c>
      <c r="M147" s="50">
        <v>0</v>
      </c>
      <c r="N147" s="49">
        <v>0</v>
      </c>
      <c r="O147" s="50">
        <v>0</v>
      </c>
      <c r="P147" s="49">
        <v>0</v>
      </c>
      <c r="Q147" s="53">
        <v>0</v>
      </c>
      <c r="R147" s="58"/>
      <c r="S147" s="59"/>
      <c r="T147" s="60"/>
      <c r="U147" s="61"/>
      <c r="V147" s="58"/>
      <c r="W147" s="59"/>
      <c r="X147" s="49"/>
      <c r="Y147" s="50"/>
      <c r="Z147" s="49"/>
      <c r="AA147" s="50"/>
      <c r="AB147" s="49">
        <v>100</v>
      </c>
      <c r="AC147" s="53">
        <v>24700</v>
      </c>
      <c r="AD147" s="49"/>
      <c r="AE147" s="53"/>
      <c r="AF147" s="49">
        <v>20</v>
      </c>
      <c r="AG147" s="53">
        <v>4940</v>
      </c>
      <c r="AH147" s="49">
        <v>180</v>
      </c>
      <c r="AI147" s="53">
        <v>44460</v>
      </c>
      <c r="AJ147" s="53"/>
      <c r="AK147" s="53"/>
      <c r="AL147" s="53"/>
      <c r="AM147" s="53"/>
      <c r="AN147" s="53"/>
      <c r="AO147" s="53"/>
      <c r="AP147" s="63">
        <f t="shared" si="4"/>
        <v>300</v>
      </c>
      <c r="AQ147" s="55">
        <f t="shared" si="5"/>
        <v>74100</v>
      </c>
    </row>
    <row r="148" spans="1:43">
      <c r="A148" s="47">
        <v>113</v>
      </c>
      <c r="B148" s="56">
        <v>4971710596953</v>
      </c>
      <c r="C148" s="57" t="s">
        <v>827</v>
      </c>
      <c r="D148" s="75" t="s">
        <v>884</v>
      </c>
      <c r="E148" s="48" t="s">
        <v>989</v>
      </c>
      <c r="F148" s="58">
        <v>0</v>
      </c>
      <c r="G148" s="50">
        <v>0</v>
      </c>
      <c r="H148" s="51">
        <v>0</v>
      </c>
      <c r="I148" s="52">
        <v>0</v>
      </c>
      <c r="J148" s="49">
        <v>0</v>
      </c>
      <c r="K148" s="50">
        <v>0</v>
      </c>
      <c r="L148" s="49">
        <v>0</v>
      </c>
      <c r="M148" s="50">
        <v>0</v>
      </c>
      <c r="N148" s="49">
        <v>0</v>
      </c>
      <c r="O148" s="50">
        <v>0</v>
      </c>
      <c r="P148" s="49">
        <v>0</v>
      </c>
      <c r="Q148" s="53">
        <v>0</v>
      </c>
      <c r="R148" s="58"/>
      <c r="S148" s="59"/>
      <c r="T148" s="60"/>
      <c r="U148" s="61"/>
      <c r="V148" s="58"/>
      <c r="W148" s="59"/>
      <c r="X148" s="49"/>
      <c r="Y148" s="50"/>
      <c r="Z148" s="49"/>
      <c r="AA148" s="50"/>
      <c r="AB148" s="49">
        <v>204</v>
      </c>
      <c r="AC148" s="53">
        <v>157080</v>
      </c>
      <c r="AD148" s="49">
        <v>96</v>
      </c>
      <c r="AE148" s="53">
        <v>73920</v>
      </c>
      <c r="AF148" s="49"/>
      <c r="AG148" s="53"/>
      <c r="AH148" s="49"/>
      <c r="AI148" s="53"/>
      <c r="AJ148" s="53"/>
      <c r="AK148" s="53"/>
      <c r="AL148" s="53"/>
      <c r="AM148" s="53"/>
      <c r="AN148" s="53"/>
      <c r="AO148" s="53"/>
      <c r="AP148" s="63">
        <f t="shared" si="4"/>
        <v>300</v>
      </c>
      <c r="AQ148" s="55">
        <f t="shared" si="5"/>
        <v>231000</v>
      </c>
    </row>
    <row r="149" spans="1:43">
      <c r="A149" s="47">
        <v>114</v>
      </c>
      <c r="B149" s="56">
        <v>4971710596946</v>
      </c>
      <c r="C149" s="57" t="s">
        <v>828</v>
      </c>
      <c r="D149" s="75" t="s">
        <v>884</v>
      </c>
      <c r="E149" s="48" t="s">
        <v>990</v>
      </c>
      <c r="F149" s="58">
        <v>0</v>
      </c>
      <c r="G149" s="50">
        <v>0</v>
      </c>
      <c r="H149" s="51">
        <v>0</v>
      </c>
      <c r="I149" s="52">
        <v>0</v>
      </c>
      <c r="J149" s="49">
        <v>0</v>
      </c>
      <c r="K149" s="50">
        <v>0</v>
      </c>
      <c r="L149" s="49">
        <v>0</v>
      </c>
      <c r="M149" s="50">
        <v>0</v>
      </c>
      <c r="N149" s="49">
        <v>0</v>
      </c>
      <c r="O149" s="50">
        <v>0</v>
      </c>
      <c r="P149" s="49">
        <v>0</v>
      </c>
      <c r="Q149" s="53">
        <v>0</v>
      </c>
      <c r="R149" s="58"/>
      <c r="S149" s="59"/>
      <c r="T149" s="60"/>
      <c r="U149" s="61"/>
      <c r="V149" s="58"/>
      <c r="W149" s="59"/>
      <c r="X149" s="49"/>
      <c r="Y149" s="50"/>
      <c r="Z149" s="49"/>
      <c r="AA149" s="50"/>
      <c r="AB149" s="49">
        <v>204</v>
      </c>
      <c r="AC149" s="53">
        <v>157080</v>
      </c>
      <c r="AD149" s="49">
        <v>96</v>
      </c>
      <c r="AE149" s="53">
        <v>73920</v>
      </c>
      <c r="AF149" s="49"/>
      <c r="AG149" s="53"/>
      <c r="AH149" s="49"/>
      <c r="AI149" s="53"/>
      <c r="AJ149" s="53"/>
      <c r="AK149" s="53"/>
      <c r="AL149" s="53"/>
      <c r="AM149" s="53"/>
      <c r="AN149" s="53"/>
      <c r="AO149" s="53"/>
      <c r="AP149" s="63">
        <f t="shared" si="4"/>
        <v>300</v>
      </c>
      <c r="AQ149" s="55">
        <f t="shared" si="5"/>
        <v>231000</v>
      </c>
    </row>
    <row r="150" spans="1:43">
      <c r="A150" s="47">
        <v>143</v>
      </c>
      <c r="B150" s="56">
        <v>4971710583991</v>
      </c>
      <c r="C150" s="57" t="s">
        <v>696</v>
      </c>
      <c r="D150" s="75" t="s">
        <v>884</v>
      </c>
      <c r="E150" s="48" t="s">
        <v>697</v>
      </c>
      <c r="F150" s="58">
        <v>0</v>
      </c>
      <c r="G150" s="50">
        <v>0</v>
      </c>
      <c r="H150" s="51">
        <v>50</v>
      </c>
      <c r="I150" s="52">
        <v>35750</v>
      </c>
      <c r="J150" s="49">
        <v>0</v>
      </c>
      <c r="K150" s="50">
        <v>0</v>
      </c>
      <c r="L150" s="49">
        <v>10</v>
      </c>
      <c r="M150" s="50">
        <v>7150</v>
      </c>
      <c r="N150" s="49">
        <v>5</v>
      </c>
      <c r="O150" s="50">
        <v>3575</v>
      </c>
      <c r="P150" s="49">
        <v>0</v>
      </c>
      <c r="Q150" s="53">
        <v>0</v>
      </c>
      <c r="R150" s="58">
        <v>60</v>
      </c>
      <c r="S150" s="59">
        <v>42900</v>
      </c>
      <c r="T150" s="60">
        <v>20</v>
      </c>
      <c r="U150" s="61">
        <v>7150</v>
      </c>
      <c r="V150" s="58">
        <v>22</v>
      </c>
      <c r="W150" s="59">
        <v>15730</v>
      </c>
      <c r="X150" s="49">
        <v>13</v>
      </c>
      <c r="Y150" s="50">
        <v>9295</v>
      </c>
      <c r="Z150" s="49">
        <v>104</v>
      </c>
      <c r="AA150" s="50">
        <v>74360</v>
      </c>
      <c r="AB150" s="49">
        <v>5</v>
      </c>
      <c r="AC150" s="53">
        <v>3575</v>
      </c>
      <c r="AD150" s="49">
        <v>3</v>
      </c>
      <c r="AE150" s="53">
        <v>2145</v>
      </c>
      <c r="AF150" s="49"/>
      <c r="AG150" s="53"/>
      <c r="AH150" s="49">
        <v>5</v>
      </c>
      <c r="AI150" s="53">
        <v>3575</v>
      </c>
      <c r="AJ150" s="53"/>
      <c r="AK150" s="53"/>
      <c r="AL150" s="53"/>
      <c r="AM150" s="53"/>
      <c r="AN150" s="53">
        <v>1</v>
      </c>
      <c r="AO150" s="53">
        <v>715</v>
      </c>
      <c r="AP150" s="62">
        <f t="shared" si="4"/>
        <v>298</v>
      </c>
      <c r="AQ150" s="55">
        <f t="shared" si="5"/>
        <v>205920</v>
      </c>
    </row>
    <row r="151" spans="1:43">
      <c r="A151" s="47">
        <v>146</v>
      </c>
      <c r="B151" s="56">
        <v>4971710524277</v>
      </c>
      <c r="C151" s="57" t="s">
        <v>400</v>
      </c>
      <c r="D151" s="75" t="s">
        <v>884</v>
      </c>
      <c r="E151" s="48" t="s">
        <v>401</v>
      </c>
      <c r="F151" s="58">
        <v>0</v>
      </c>
      <c r="G151" s="50">
        <v>0</v>
      </c>
      <c r="H151" s="51">
        <v>0</v>
      </c>
      <c r="I151" s="52">
        <v>0</v>
      </c>
      <c r="J151" s="49">
        <v>10</v>
      </c>
      <c r="K151" s="50">
        <v>8250</v>
      </c>
      <c r="L151" s="49">
        <v>20</v>
      </c>
      <c r="M151" s="50">
        <v>16500</v>
      </c>
      <c r="N151" s="49">
        <v>40</v>
      </c>
      <c r="O151" s="50">
        <v>33000</v>
      </c>
      <c r="P151" s="49">
        <v>0</v>
      </c>
      <c r="Q151" s="53">
        <v>0</v>
      </c>
      <c r="R151" s="58">
        <v>132</v>
      </c>
      <c r="S151" s="59">
        <v>108900</v>
      </c>
      <c r="T151" s="60">
        <v>4</v>
      </c>
      <c r="U151" s="61">
        <v>1650</v>
      </c>
      <c r="V151" s="58"/>
      <c r="W151" s="59"/>
      <c r="X151" s="49"/>
      <c r="Y151" s="50"/>
      <c r="Z151" s="49">
        <v>10</v>
      </c>
      <c r="AA151" s="50">
        <v>8250</v>
      </c>
      <c r="AB151" s="49"/>
      <c r="AC151" s="53"/>
      <c r="AD151" s="49"/>
      <c r="AE151" s="53"/>
      <c r="AF151" s="49">
        <v>20</v>
      </c>
      <c r="AG151" s="53">
        <v>16500</v>
      </c>
      <c r="AH151" s="49">
        <v>52</v>
      </c>
      <c r="AI151" s="53">
        <v>42900</v>
      </c>
      <c r="AJ151" s="53"/>
      <c r="AK151" s="53"/>
      <c r="AL151" s="53"/>
      <c r="AM151" s="53"/>
      <c r="AN151" s="53"/>
      <c r="AO151" s="53"/>
      <c r="AP151" s="62">
        <f t="shared" si="4"/>
        <v>288</v>
      </c>
      <c r="AQ151" s="55">
        <f t="shared" si="5"/>
        <v>235950</v>
      </c>
    </row>
    <row r="152" spans="1:43">
      <c r="A152" s="47">
        <v>162</v>
      </c>
      <c r="B152" s="56">
        <v>4971710513677</v>
      </c>
      <c r="C152" s="57" t="s">
        <v>270</v>
      </c>
      <c r="D152" s="75" t="s">
        <v>880</v>
      </c>
      <c r="E152" s="48" t="s">
        <v>271</v>
      </c>
      <c r="F152" s="58">
        <v>0</v>
      </c>
      <c r="G152" s="50">
        <v>0</v>
      </c>
      <c r="H152" s="51">
        <v>0</v>
      </c>
      <c r="I152" s="52">
        <v>0</v>
      </c>
      <c r="J152" s="49">
        <v>0</v>
      </c>
      <c r="K152" s="50">
        <v>0</v>
      </c>
      <c r="L152" s="49">
        <v>50</v>
      </c>
      <c r="M152" s="50">
        <v>27500</v>
      </c>
      <c r="N152" s="49">
        <v>30</v>
      </c>
      <c r="O152" s="50">
        <v>16500</v>
      </c>
      <c r="P152" s="49">
        <v>0</v>
      </c>
      <c r="Q152" s="53">
        <v>0</v>
      </c>
      <c r="R152" s="58"/>
      <c r="S152" s="59"/>
      <c r="T152" s="60">
        <v>40</v>
      </c>
      <c r="U152" s="61">
        <v>11000</v>
      </c>
      <c r="V152" s="58"/>
      <c r="W152" s="59"/>
      <c r="X152" s="49">
        <v>26</v>
      </c>
      <c r="Y152" s="50">
        <v>14300</v>
      </c>
      <c r="Z152" s="49"/>
      <c r="AA152" s="50"/>
      <c r="AB152" s="49"/>
      <c r="AC152" s="53"/>
      <c r="AD152" s="49">
        <v>50</v>
      </c>
      <c r="AE152" s="53">
        <v>27500</v>
      </c>
      <c r="AF152" s="49">
        <v>30</v>
      </c>
      <c r="AG152" s="53">
        <v>16500</v>
      </c>
      <c r="AH152" s="49">
        <v>10</v>
      </c>
      <c r="AI152" s="53">
        <v>5500</v>
      </c>
      <c r="AJ152" s="53"/>
      <c r="AK152" s="53"/>
      <c r="AL152" s="53"/>
      <c r="AM152" s="53"/>
      <c r="AN152" s="53">
        <v>50</v>
      </c>
      <c r="AO152" s="53">
        <v>27500</v>
      </c>
      <c r="AP152" s="62">
        <f t="shared" si="4"/>
        <v>286</v>
      </c>
      <c r="AQ152" s="55">
        <f t="shared" si="5"/>
        <v>146300</v>
      </c>
    </row>
    <row r="153" spans="1:43">
      <c r="A153" s="47">
        <v>163</v>
      </c>
      <c r="B153" s="56">
        <v>4971710565072</v>
      </c>
      <c r="C153" s="57" t="s">
        <v>505</v>
      </c>
      <c r="D153" s="75" t="s">
        <v>880</v>
      </c>
      <c r="E153" s="48" t="s">
        <v>506</v>
      </c>
      <c r="F153" s="58">
        <v>0</v>
      </c>
      <c r="G153" s="50">
        <v>0</v>
      </c>
      <c r="H153" s="51">
        <v>0</v>
      </c>
      <c r="I153" s="52">
        <v>0</v>
      </c>
      <c r="J153" s="49">
        <v>10</v>
      </c>
      <c r="K153" s="50">
        <v>6600</v>
      </c>
      <c r="L153" s="49">
        <v>40</v>
      </c>
      <c r="M153" s="50">
        <v>26400</v>
      </c>
      <c r="N153" s="49">
        <v>36</v>
      </c>
      <c r="O153" s="50">
        <v>23760</v>
      </c>
      <c r="P153" s="49">
        <v>0</v>
      </c>
      <c r="Q153" s="53">
        <v>0</v>
      </c>
      <c r="R153" s="58">
        <v>12</v>
      </c>
      <c r="S153" s="59">
        <v>7920</v>
      </c>
      <c r="T153" s="60">
        <v>32</v>
      </c>
      <c r="U153" s="61">
        <v>11880</v>
      </c>
      <c r="V153" s="58"/>
      <c r="W153" s="59"/>
      <c r="X153" s="49">
        <v>42</v>
      </c>
      <c r="Y153" s="50">
        <v>27720</v>
      </c>
      <c r="Z153" s="49"/>
      <c r="AA153" s="50"/>
      <c r="AB153" s="49"/>
      <c r="AC153" s="53"/>
      <c r="AD153" s="49">
        <v>48</v>
      </c>
      <c r="AE153" s="53">
        <v>31680</v>
      </c>
      <c r="AF153" s="49">
        <v>30</v>
      </c>
      <c r="AG153" s="53">
        <v>19800</v>
      </c>
      <c r="AH153" s="49"/>
      <c r="AI153" s="53"/>
      <c r="AJ153" s="53"/>
      <c r="AK153" s="53"/>
      <c r="AL153" s="53"/>
      <c r="AM153" s="53"/>
      <c r="AN153" s="53">
        <v>36</v>
      </c>
      <c r="AO153" s="53">
        <v>23760</v>
      </c>
      <c r="AP153" s="62">
        <f t="shared" si="4"/>
        <v>286</v>
      </c>
      <c r="AQ153" s="55">
        <f t="shared" si="5"/>
        <v>179520</v>
      </c>
    </row>
    <row r="154" spans="1:43">
      <c r="A154" s="47">
        <v>136</v>
      </c>
      <c r="B154" s="56">
        <v>4971710575996</v>
      </c>
      <c r="C154" s="57" t="s">
        <v>602</v>
      </c>
      <c r="D154" s="75" t="s">
        <v>884</v>
      </c>
      <c r="E154" s="48" t="s">
        <v>603</v>
      </c>
      <c r="F154" s="58">
        <v>10</v>
      </c>
      <c r="G154" s="50">
        <v>6600</v>
      </c>
      <c r="H154" s="51">
        <v>0</v>
      </c>
      <c r="I154" s="52">
        <v>0</v>
      </c>
      <c r="J154" s="49">
        <v>0</v>
      </c>
      <c r="K154" s="50">
        <v>0</v>
      </c>
      <c r="L154" s="49">
        <v>45</v>
      </c>
      <c r="M154" s="50">
        <v>29700</v>
      </c>
      <c r="N154" s="49">
        <v>0</v>
      </c>
      <c r="O154" s="50">
        <v>0</v>
      </c>
      <c r="P154" s="49">
        <v>0</v>
      </c>
      <c r="Q154" s="53">
        <v>0</v>
      </c>
      <c r="R154" s="58">
        <v>60</v>
      </c>
      <c r="S154" s="59">
        <v>39600</v>
      </c>
      <c r="T154" s="60"/>
      <c r="U154" s="61"/>
      <c r="V154" s="58">
        <v>7</v>
      </c>
      <c r="W154" s="59">
        <v>4620</v>
      </c>
      <c r="X154" s="49">
        <v>20</v>
      </c>
      <c r="Y154" s="50">
        <v>13200</v>
      </c>
      <c r="Z154" s="49">
        <v>36</v>
      </c>
      <c r="AA154" s="50">
        <v>23760</v>
      </c>
      <c r="AB154" s="49"/>
      <c r="AC154" s="53"/>
      <c r="AD154" s="49"/>
      <c r="AE154" s="53"/>
      <c r="AF154" s="49">
        <v>4</v>
      </c>
      <c r="AG154" s="53">
        <v>2640</v>
      </c>
      <c r="AH154" s="49">
        <v>33</v>
      </c>
      <c r="AI154" s="53">
        <v>21780</v>
      </c>
      <c r="AJ154" s="53"/>
      <c r="AK154" s="53"/>
      <c r="AL154" s="53"/>
      <c r="AM154" s="53"/>
      <c r="AN154" s="53">
        <v>70</v>
      </c>
      <c r="AO154" s="53">
        <v>46200</v>
      </c>
      <c r="AP154" s="62">
        <f t="shared" si="4"/>
        <v>285</v>
      </c>
      <c r="AQ154" s="55">
        <f t="shared" si="5"/>
        <v>188100</v>
      </c>
    </row>
    <row r="155" spans="1:43">
      <c r="A155" s="47">
        <v>157</v>
      </c>
      <c r="B155" s="56">
        <v>4971710565102</v>
      </c>
      <c r="C155" s="57" t="s">
        <v>511</v>
      </c>
      <c r="D155" s="75" t="s">
        <v>880</v>
      </c>
      <c r="E155" s="48" t="s">
        <v>512</v>
      </c>
      <c r="F155" s="58">
        <v>0</v>
      </c>
      <c r="G155" s="50">
        <v>0</v>
      </c>
      <c r="H155" s="51">
        <v>0</v>
      </c>
      <c r="I155" s="52">
        <v>0</v>
      </c>
      <c r="J155" s="49">
        <v>10</v>
      </c>
      <c r="K155" s="50">
        <v>6600</v>
      </c>
      <c r="L155" s="49">
        <v>45</v>
      </c>
      <c r="M155" s="50">
        <v>29700</v>
      </c>
      <c r="N155" s="49">
        <v>30</v>
      </c>
      <c r="O155" s="50">
        <v>19800</v>
      </c>
      <c r="P155" s="49">
        <v>5</v>
      </c>
      <c r="Q155" s="53">
        <v>3300</v>
      </c>
      <c r="R155" s="58">
        <v>12</v>
      </c>
      <c r="S155" s="59">
        <v>7920</v>
      </c>
      <c r="T155" s="60"/>
      <c r="U155" s="61"/>
      <c r="V155" s="58">
        <v>2</v>
      </c>
      <c r="W155" s="59">
        <v>1320</v>
      </c>
      <c r="X155" s="49">
        <v>32</v>
      </c>
      <c r="Y155" s="50">
        <v>21120</v>
      </c>
      <c r="Z155" s="49"/>
      <c r="AA155" s="50"/>
      <c r="AB155" s="49"/>
      <c r="AC155" s="53"/>
      <c r="AD155" s="49">
        <v>84</v>
      </c>
      <c r="AE155" s="53">
        <v>55440</v>
      </c>
      <c r="AF155" s="49">
        <v>30</v>
      </c>
      <c r="AG155" s="53">
        <v>19800</v>
      </c>
      <c r="AH155" s="49">
        <v>2</v>
      </c>
      <c r="AI155" s="53">
        <v>1320</v>
      </c>
      <c r="AJ155" s="53"/>
      <c r="AK155" s="53"/>
      <c r="AL155" s="53"/>
      <c r="AM155" s="53"/>
      <c r="AN155" s="53">
        <v>30</v>
      </c>
      <c r="AO155" s="53">
        <v>19800</v>
      </c>
      <c r="AP155" s="62">
        <f t="shared" si="4"/>
        <v>282</v>
      </c>
      <c r="AQ155" s="55">
        <f t="shared" si="5"/>
        <v>186120</v>
      </c>
    </row>
    <row r="156" spans="1:43">
      <c r="A156" s="47">
        <v>137</v>
      </c>
      <c r="B156" s="56">
        <v>4971710490732</v>
      </c>
      <c r="C156" s="57" t="s">
        <v>92</v>
      </c>
      <c r="D156" s="75" t="s">
        <v>884</v>
      </c>
      <c r="E156" s="48" t="s">
        <v>93</v>
      </c>
      <c r="F156" s="58">
        <v>0</v>
      </c>
      <c r="G156" s="50">
        <v>0</v>
      </c>
      <c r="H156" s="51">
        <v>0</v>
      </c>
      <c r="I156" s="52">
        <v>0</v>
      </c>
      <c r="J156" s="49">
        <v>0</v>
      </c>
      <c r="K156" s="50">
        <v>0</v>
      </c>
      <c r="L156" s="49">
        <v>20</v>
      </c>
      <c r="M156" s="50">
        <v>11000</v>
      </c>
      <c r="N156" s="49">
        <v>30</v>
      </c>
      <c r="O156" s="50">
        <v>16500</v>
      </c>
      <c r="P156" s="49">
        <v>0</v>
      </c>
      <c r="Q156" s="53">
        <v>0</v>
      </c>
      <c r="R156" s="58">
        <v>20</v>
      </c>
      <c r="S156" s="59">
        <v>11000</v>
      </c>
      <c r="T156" s="60"/>
      <c r="U156" s="61"/>
      <c r="V156" s="58"/>
      <c r="W156" s="59"/>
      <c r="X156" s="49"/>
      <c r="Y156" s="50"/>
      <c r="Z156" s="49">
        <v>30</v>
      </c>
      <c r="AA156" s="50">
        <v>16500</v>
      </c>
      <c r="AB156" s="49"/>
      <c r="AC156" s="53"/>
      <c r="AD156" s="49">
        <v>60</v>
      </c>
      <c r="AE156" s="53">
        <v>33000</v>
      </c>
      <c r="AF156" s="49"/>
      <c r="AG156" s="53"/>
      <c r="AH156" s="49">
        <v>60</v>
      </c>
      <c r="AI156" s="53">
        <v>33000</v>
      </c>
      <c r="AJ156" s="53"/>
      <c r="AK156" s="53"/>
      <c r="AL156" s="53"/>
      <c r="AM156" s="53"/>
      <c r="AN156" s="53">
        <v>60</v>
      </c>
      <c r="AO156" s="53">
        <v>33000</v>
      </c>
      <c r="AP156" s="62">
        <f t="shared" si="4"/>
        <v>280</v>
      </c>
      <c r="AQ156" s="55">
        <f t="shared" si="5"/>
        <v>154000</v>
      </c>
    </row>
    <row r="157" spans="1:43">
      <c r="A157" s="47">
        <v>166</v>
      </c>
      <c r="B157" s="56">
        <v>4971710513721</v>
      </c>
      <c r="C157" s="57" t="s">
        <v>280</v>
      </c>
      <c r="D157" s="75" t="s">
        <v>880</v>
      </c>
      <c r="E157" s="48" t="s">
        <v>281</v>
      </c>
      <c r="F157" s="58">
        <v>0</v>
      </c>
      <c r="G157" s="50">
        <v>0</v>
      </c>
      <c r="H157" s="51">
        <v>0</v>
      </c>
      <c r="I157" s="52">
        <v>0</v>
      </c>
      <c r="J157" s="49">
        <v>0</v>
      </c>
      <c r="K157" s="50">
        <v>0</v>
      </c>
      <c r="L157" s="49">
        <v>50</v>
      </c>
      <c r="M157" s="50">
        <v>27500</v>
      </c>
      <c r="N157" s="49">
        <v>50</v>
      </c>
      <c r="O157" s="50">
        <v>27500</v>
      </c>
      <c r="P157" s="49">
        <v>0</v>
      </c>
      <c r="Q157" s="53">
        <v>0</v>
      </c>
      <c r="R157" s="58"/>
      <c r="S157" s="59"/>
      <c r="T157" s="60"/>
      <c r="U157" s="61"/>
      <c r="V157" s="58">
        <v>30</v>
      </c>
      <c r="W157" s="59">
        <v>16500</v>
      </c>
      <c r="X157" s="49"/>
      <c r="Y157" s="50"/>
      <c r="Z157" s="49">
        <v>80</v>
      </c>
      <c r="AA157" s="50">
        <v>44000</v>
      </c>
      <c r="AB157" s="49"/>
      <c r="AC157" s="53"/>
      <c r="AD157" s="49"/>
      <c r="AE157" s="53"/>
      <c r="AF157" s="49"/>
      <c r="AG157" s="53"/>
      <c r="AH157" s="49">
        <v>10</v>
      </c>
      <c r="AI157" s="53">
        <v>5500</v>
      </c>
      <c r="AJ157" s="53"/>
      <c r="AK157" s="53"/>
      <c r="AL157" s="53"/>
      <c r="AM157" s="53"/>
      <c r="AN157" s="53">
        <v>60</v>
      </c>
      <c r="AO157" s="53">
        <v>33000</v>
      </c>
      <c r="AP157" s="62">
        <f t="shared" si="4"/>
        <v>280</v>
      </c>
      <c r="AQ157" s="55">
        <f t="shared" si="5"/>
        <v>154000</v>
      </c>
    </row>
    <row r="158" spans="1:43">
      <c r="A158" s="47">
        <v>141</v>
      </c>
      <c r="B158" s="56">
        <v>4971710566130</v>
      </c>
      <c r="C158" s="57" t="s">
        <v>515</v>
      </c>
      <c r="D158" s="75" t="s">
        <v>880</v>
      </c>
      <c r="E158" s="48" t="s">
        <v>516</v>
      </c>
      <c r="F158" s="58">
        <v>0</v>
      </c>
      <c r="G158" s="50">
        <v>0</v>
      </c>
      <c r="H158" s="51">
        <v>0</v>
      </c>
      <c r="I158" s="52">
        <v>0</v>
      </c>
      <c r="J158" s="49">
        <v>15</v>
      </c>
      <c r="K158" s="50">
        <v>8250</v>
      </c>
      <c r="L158" s="49">
        <v>0</v>
      </c>
      <c r="M158" s="50">
        <v>0</v>
      </c>
      <c r="N158" s="49">
        <v>30</v>
      </c>
      <c r="O158" s="50">
        <v>16500</v>
      </c>
      <c r="P158" s="49">
        <v>0</v>
      </c>
      <c r="Q158" s="53">
        <v>0</v>
      </c>
      <c r="R158" s="58">
        <v>102</v>
      </c>
      <c r="S158" s="59">
        <v>56100</v>
      </c>
      <c r="T158" s="60">
        <v>12</v>
      </c>
      <c r="U158" s="61">
        <v>3300</v>
      </c>
      <c r="V158" s="58"/>
      <c r="W158" s="59"/>
      <c r="X158" s="49">
        <v>6</v>
      </c>
      <c r="Y158" s="50">
        <v>3300</v>
      </c>
      <c r="Z158" s="49">
        <v>50</v>
      </c>
      <c r="AA158" s="50">
        <v>27500</v>
      </c>
      <c r="AB158" s="49">
        <v>4</v>
      </c>
      <c r="AC158" s="53">
        <v>2200</v>
      </c>
      <c r="AD158" s="49">
        <v>6</v>
      </c>
      <c r="AE158" s="53">
        <v>3300</v>
      </c>
      <c r="AF158" s="49"/>
      <c r="AG158" s="53"/>
      <c r="AH158" s="49">
        <v>50</v>
      </c>
      <c r="AI158" s="53">
        <v>27500</v>
      </c>
      <c r="AJ158" s="53"/>
      <c r="AK158" s="53"/>
      <c r="AL158" s="53"/>
      <c r="AM158" s="53"/>
      <c r="AN158" s="53">
        <v>4</v>
      </c>
      <c r="AO158" s="53">
        <v>2200</v>
      </c>
      <c r="AP158" s="62">
        <f t="shared" si="4"/>
        <v>279</v>
      </c>
      <c r="AQ158" s="55">
        <f t="shared" si="5"/>
        <v>150150</v>
      </c>
    </row>
    <row r="159" spans="1:43">
      <c r="A159" s="47">
        <v>121</v>
      </c>
      <c r="B159" s="56">
        <v>4971710598575</v>
      </c>
      <c r="C159" s="57" t="s">
        <v>817</v>
      </c>
      <c r="D159" s="75" t="s">
        <v>884</v>
      </c>
      <c r="E159" s="48" t="s">
        <v>1003</v>
      </c>
      <c r="F159" s="58">
        <v>0</v>
      </c>
      <c r="G159" s="50">
        <v>0</v>
      </c>
      <c r="H159" s="51">
        <v>0</v>
      </c>
      <c r="I159" s="52">
        <v>0</v>
      </c>
      <c r="J159" s="49">
        <v>0</v>
      </c>
      <c r="K159" s="50">
        <v>0</v>
      </c>
      <c r="L159" s="49">
        <v>0</v>
      </c>
      <c r="M159" s="50">
        <v>0</v>
      </c>
      <c r="N159" s="49">
        <v>0</v>
      </c>
      <c r="O159" s="50">
        <v>0</v>
      </c>
      <c r="P159" s="49">
        <v>0</v>
      </c>
      <c r="Q159" s="53">
        <v>0</v>
      </c>
      <c r="R159" s="58"/>
      <c r="S159" s="59"/>
      <c r="T159" s="60"/>
      <c r="U159" s="61"/>
      <c r="V159" s="58"/>
      <c r="W159" s="59"/>
      <c r="X159" s="49"/>
      <c r="Y159" s="50"/>
      <c r="Z159" s="49"/>
      <c r="AA159" s="50"/>
      <c r="AB159" s="49">
        <v>65</v>
      </c>
      <c r="AC159" s="53">
        <v>35750</v>
      </c>
      <c r="AD159" s="49">
        <v>12</v>
      </c>
      <c r="AE159" s="53">
        <v>6600</v>
      </c>
      <c r="AF159" s="49">
        <v>2</v>
      </c>
      <c r="AG159" s="53">
        <v>1100</v>
      </c>
      <c r="AH159" s="49">
        <v>119</v>
      </c>
      <c r="AI159" s="53">
        <v>65450</v>
      </c>
      <c r="AJ159" s="53"/>
      <c r="AK159" s="53"/>
      <c r="AL159" s="53"/>
      <c r="AM159" s="53"/>
      <c r="AN159" s="53">
        <v>80</v>
      </c>
      <c r="AO159" s="53">
        <v>44000</v>
      </c>
      <c r="AP159" s="63">
        <f t="shared" si="4"/>
        <v>278</v>
      </c>
      <c r="AQ159" s="55">
        <f t="shared" si="5"/>
        <v>152900</v>
      </c>
    </row>
    <row r="160" spans="1:43">
      <c r="A160" s="47">
        <v>152</v>
      </c>
      <c r="B160" s="56">
        <v>4971710516692</v>
      </c>
      <c r="C160" s="57" t="s">
        <v>320</v>
      </c>
      <c r="D160" s="75" t="s">
        <v>880</v>
      </c>
      <c r="E160" s="48" t="s">
        <v>321</v>
      </c>
      <c r="F160" s="58">
        <v>0</v>
      </c>
      <c r="G160" s="50">
        <v>0</v>
      </c>
      <c r="H160" s="51">
        <v>0</v>
      </c>
      <c r="I160" s="52">
        <v>0</v>
      </c>
      <c r="J160" s="49">
        <v>0</v>
      </c>
      <c r="K160" s="50">
        <v>0</v>
      </c>
      <c r="L160" s="49">
        <v>0</v>
      </c>
      <c r="M160" s="50">
        <v>0</v>
      </c>
      <c r="N160" s="49">
        <v>20</v>
      </c>
      <c r="O160" s="50">
        <v>11000</v>
      </c>
      <c r="P160" s="49">
        <v>0</v>
      </c>
      <c r="Q160" s="53">
        <v>0</v>
      </c>
      <c r="R160" s="58"/>
      <c r="S160" s="59"/>
      <c r="T160" s="60">
        <v>100</v>
      </c>
      <c r="U160" s="61">
        <v>27500</v>
      </c>
      <c r="V160" s="58"/>
      <c r="W160" s="59"/>
      <c r="X160" s="49">
        <v>6</v>
      </c>
      <c r="Y160" s="50">
        <v>3300</v>
      </c>
      <c r="Z160" s="49">
        <v>30</v>
      </c>
      <c r="AA160" s="50">
        <v>16500</v>
      </c>
      <c r="AB160" s="49"/>
      <c r="AC160" s="53"/>
      <c r="AD160" s="49"/>
      <c r="AE160" s="53"/>
      <c r="AF160" s="49">
        <v>30</v>
      </c>
      <c r="AG160" s="53">
        <v>16500</v>
      </c>
      <c r="AH160" s="49"/>
      <c r="AI160" s="53"/>
      <c r="AJ160" s="53"/>
      <c r="AK160" s="53"/>
      <c r="AL160" s="53"/>
      <c r="AM160" s="53"/>
      <c r="AN160" s="53">
        <v>90</v>
      </c>
      <c r="AO160" s="53">
        <v>49500</v>
      </c>
      <c r="AP160" s="62">
        <f t="shared" si="4"/>
        <v>276</v>
      </c>
      <c r="AQ160" s="55">
        <f t="shared" si="5"/>
        <v>124300</v>
      </c>
    </row>
    <row r="161" spans="1:43">
      <c r="A161" s="47">
        <v>206</v>
      </c>
      <c r="B161" s="56">
        <v>4971710564808</v>
      </c>
      <c r="C161" s="57" t="s">
        <v>495</v>
      </c>
      <c r="D161" s="75" t="s">
        <v>884</v>
      </c>
      <c r="E161" s="48" t="s">
        <v>496</v>
      </c>
      <c r="F161" s="58">
        <v>10</v>
      </c>
      <c r="G161" s="50">
        <v>7150</v>
      </c>
      <c r="H161" s="51">
        <v>24</v>
      </c>
      <c r="I161" s="52">
        <v>17160</v>
      </c>
      <c r="J161" s="49">
        <v>24</v>
      </c>
      <c r="K161" s="50">
        <v>17160</v>
      </c>
      <c r="L161" s="49">
        <v>76</v>
      </c>
      <c r="M161" s="50">
        <v>54340</v>
      </c>
      <c r="N161" s="49">
        <v>0</v>
      </c>
      <c r="O161" s="50">
        <v>0</v>
      </c>
      <c r="P161" s="49">
        <v>2</v>
      </c>
      <c r="Q161" s="53">
        <v>1430</v>
      </c>
      <c r="R161" s="58">
        <v>5</v>
      </c>
      <c r="S161" s="59">
        <v>3575</v>
      </c>
      <c r="T161" s="60">
        <v>4</v>
      </c>
      <c r="U161" s="61">
        <v>1430</v>
      </c>
      <c r="V161" s="58"/>
      <c r="W161" s="59"/>
      <c r="X161" s="49">
        <v>6</v>
      </c>
      <c r="Y161" s="50">
        <v>4290</v>
      </c>
      <c r="Z161" s="49"/>
      <c r="AA161" s="50"/>
      <c r="AB161" s="49">
        <v>15</v>
      </c>
      <c r="AC161" s="53">
        <v>10725</v>
      </c>
      <c r="AD161" s="49">
        <v>30</v>
      </c>
      <c r="AE161" s="53">
        <v>21450</v>
      </c>
      <c r="AF161" s="49">
        <v>30</v>
      </c>
      <c r="AG161" s="53">
        <v>21450</v>
      </c>
      <c r="AH161" s="49"/>
      <c r="AI161" s="53"/>
      <c r="AJ161" s="53"/>
      <c r="AK161" s="53"/>
      <c r="AL161" s="53"/>
      <c r="AM161" s="53"/>
      <c r="AN161" s="53">
        <v>50</v>
      </c>
      <c r="AO161" s="53">
        <v>35750</v>
      </c>
      <c r="AP161" s="62">
        <f t="shared" si="4"/>
        <v>276</v>
      </c>
      <c r="AQ161" s="55">
        <f t="shared" si="5"/>
        <v>195910</v>
      </c>
    </row>
    <row r="162" spans="1:43">
      <c r="A162" s="47">
        <v>151</v>
      </c>
      <c r="B162" s="56">
        <v>4971710584073</v>
      </c>
      <c r="C162" s="57" t="s">
        <v>704</v>
      </c>
      <c r="D162" s="75" t="s">
        <v>884</v>
      </c>
      <c r="E162" s="48" t="s">
        <v>705</v>
      </c>
      <c r="F162" s="58">
        <v>0</v>
      </c>
      <c r="G162" s="50">
        <v>0</v>
      </c>
      <c r="H162" s="51">
        <v>50</v>
      </c>
      <c r="I162" s="52">
        <v>35750</v>
      </c>
      <c r="J162" s="49">
        <v>0</v>
      </c>
      <c r="K162" s="50">
        <v>0</v>
      </c>
      <c r="L162" s="49">
        <v>10</v>
      </c>
      <c r="M162" s="50">
        <v>7150</v>
      </c>
      <c r="N162" s="49">
        <v>0</v>
      </c>
      <c r="O162" s="50">
        <v>0</v>
      </c>
      <c r="P162" s="49">
        <v>0</v>
      </c>
      <c r="Q162" s="53">
        <v>0</v>
      </c>
      <c r="R162" s="58">
        <v>90</v>
      </c>
      <c r="S162" s="59">
        <v>64350</v>
      </c>
      <c r="T162" s="60">
        <v>12</v>
      </c>
      <c r="U162" s="61">
        <v>4290</v>
      </c>
      <c r="V162" s="58">
        <v>14</v>
      </c>
      <c r="W162" s="59">
        <v>10010</v>
      </c>
      <c r="X162" s="49"/>
      <c r="Y162" s="50"/>
      <c r="Z162" s="49">
        <v>2</v>
      </c>
      <c r="AA162" s="50">
        <v>1430</v>
      </c>
      <c r="AB162" s="49">
        <v>35</v>
      </c>
      <c r="AC162" s="53">
        <v>25025</v>
      </c>
      <c r="AD162" s="49"/>
      <c r="AE162" s="53"/>
      <c r="AF162" s="49"/>
      <c r="AG162" s="53"/>
      <c r="AH162" s="49"/>
      <c r="AI162" s="53"/>
      <c r="AJ162" s="53"/>
      <c r="AK162" s="53"/>
      <c r="AL162" s="53"/>
      <c r="AM162" s="53"/>
      <c r="AN162" s="53">
        <v>60</v>
      </c>
      <c r="AO162" s="53">
        <v>42900</v>
      </c>
      <c r="AP162" s="62">
        <f t="shared" si="4"/>
        <v>273</v>
      </c>
      <c r="AQ162" s="55">
        <f t="shared" si="5"/>
        <v>190905</v>
      </c>
    </row>
    <row r="163" spans="1:43">
      <c r="A163" s="47">
        <v>205</v>
      </c>
      <c r="B163" s="56">
        <v>4971710514667</v>
      </c>
      <c r="C163" s="57" t="s">
        <v>304</v>
      </c>
      <c r="D163" s="75" t="s">
        <v>1095</v>
      </c>
      <c r="E163" s="48" t="s">
        <v>305</v>
      </c>
      <c r="F163" s="58">
        <v>0</v>
      </c>
      <c r="G163" s="50">
        <v>0</v>
      </c>
      <c r="H163" s="51">
        <v>60</v>
      </c>
      <c r="I163" s="52">
        <v>33000</v>
      </c>
      <c r="J163" s="49">
        <v>20</v>
      </c>
      <c r="K163" s="50">
        <v>11000</v>
      </c>
      <c r="L163" s="49">
        <v>0</v>
      </c>
      <c r="M163" s="50">
        <v>0</v>
      </c>
      <c r="N163" s="49">
        <v>20</v>
      </c>
      <c r="O163" s="50">
        <v>11000</v>
      </c>
      <c r="P163" s="49">
        <v>30</v>
      </c>
      <c r="Q163" s="53">
        <v>16500</v>
      </c>
      <c r="R163" s="58">
        <v>140</v>
      </c>
      <c r="S163" s="59">
        <v>77000</v>
      </c>
      <c r="T163" s="60"/>
      <c r="U163" s="61"/>
      <c r="V163" s="58"/>
      <c r="W163" s="59"/>
      <c r="X163" s="49"/>
      <c r="Y163" s="50"/>
      <c r="Z163" s="49"/>
      <c r="AA163" s="50"/>
      <c r="AB163" s="49"/>
      <c r="AC163" s="53"/>
      <c r="AD163" s="49"/>
      <c r="AE163" s="53"/>
      <c r="AF163" s="49"/>
      <c r="AG163" s="53"/>
      <c r="AH163" s="49"/>
      <c r="AI163" s="53"/>
      <c r="AJ163" s="53"/>
      <c r="AK163" s="53"/>
      <c r="AL163" s="53"/>
      <c r="AM163" s="53"/>
      <c r="AN163" s="53"/>
      <c r="AO163" s="53"/>
      <c r="AP163" s="62">
        <f t="shared" si="4"/>
        <v>270</v>
      </c>
      <c r="AQ163" s="55">
        <f t="shared" si="5"/>
        <v>148500</v>
      </c>
    </row>
    <row r="164" spans="1:43">
      <c r="A164" s="47">
        <v>233</v>
      </c>
      <c r="B164" s="56">
        <v>4971710288612</v>
      </c>
      <c r="C164" s="57" t="s">
        <v>9</v>
      </c>
      <c r="D164" s="75" t="s">
        <v>882</v>
      </c>
      <c r="E164" s="48" t="s">
        <v>8</v>
      </c>
      <c r="F164" s="58">
        <v>0</v>
      </c>
      <c r="G164" s="50">
        <v>0</v>
      </c>
      <c r="H164" s="51">
        <v>20</v>
      </c>
      <c r="I164" s="52">
        <v>52800</v>
      </c>
      <c r="J164" s="49">
        <v>0</v>
      </c>
      <c r="K164" s="50">
        <v>0</v>
      </c>
      <c r="L164" s="49">
        <v>30</v>
      </c>
      <c r="M164" s="50">
        <v>79200</v>
      </c>
      <c r="N164" s="49">
        <v>30</v>
      </c>
      <c r="O164" s="50">
        <v>79200</v>
      </c>
      <c r="P164" s="49">
        <v>96</v>
      </c>
      <c r="Q164" s="53">
        <v>253440</v>
      </c>
      <c r="R164" s="58">
        <v>90</v>
      </c>
      <c r="S164" s="59">
        <v>237600</v>
      </c>
      <c r="T164" s="60"/>
      <c r="U164" s="61"/>
      <c r="V164" s="58"/>
      <c r="W164" s="59"/>
      <c r="X164" s="49"/>
      <c r="Y164" s="50"/>
      <c r="Z164" s="49"/>
      <c r="AA164" s="50"/>
      <c r="AB164" s="49"/>
      <c r="AC164" s="53"/>
      <c r="AD164" s="49"/>
      <c r="AE164" s="53"/>
      <c r="AF164" s="49"/>
      <c r="AG164" s="53"/>
      <c r="AH164" s="49"/>
      <c r="AI164" s="53"/>
      <c r="AJ164" s="53"/>
      <c r="AK164" s="53"/>
      <c r="AL164" s="53"/>
      <c r="AM164" s="53"/>
      <c r="AN164" s="53"/>
      <c r="AO164" s="53"/>
      <c r="AP164" s="62">
        <f t="shared" si="4"/>
        <v>266</v>
      </c>
      <c r="AQ164" s="55">
        <f t="shared" si="5"/>
        <v>702240</v>
      </c>
    </row>
    <row r="165" spans="1:43">
      <c r="A165" s="47">
        <v>124</v>
      </c>
      <c r="B165" s="56">
        <v>4971710598537</v>
      </c>
      <c r="C165" s="57" t="s">
        <v>821</v>
      </c>
      <c r="D165" s="75" t="s">
        <v>884</v>
      </c>
      <c r="E165" s="48" t="s">
        <v>829</v>
      </c>
      <c r="F165" s="58">
        <v>0</v>
      </c>
      <c r="G165" s="50">
        <v>0</v>
      </c>
      <c r="H165" s="51">
        <v>0</v>
      </c>
      <c r="I165" s="52">
        <v>0</v>
      </c>
      <c r="J165" s="49">
        <v>0</v>
      </c>
      <c r="K165" s="50">
        <v>0</v>
      </c>
      <c r="L165" s="49">
        <v>0</v>
      </c>
      <c r="M165" s="50">
        <v>0</v>
      </c>
      <c r="N165" s="49">
        <v>0</v>
      </c>
      <c r="O165" s="50">
        <v>0</v>
      </c>
      <c r="P165" s="49">
        <v>0</v>
      </c>
      <c r="Q165" s="53">
        <v>0</v>
      </c>
      <c r="R165" s="58"/>
      <c r="S165" s="59"/>
      <c r="T165" s="60"/>
      <c r="U165" s="61"/>
      <c r="V165" s="58"/>
      <c r="W165" s="59"/>
      <c r="X165" s="49"/>
      <c r="Y165" s="50"/>
      <c r="Z165" s="49"/>
      <c r="AA165" s="50"/>
      <c r="AB165" s="49">
        <v>60</v>
      </c>
      <c r="AC165" s="53">
        <v>39600</v>
      </c>
      <c r="AD165" s="49">
        <v>2</v>
      </c>
      <c r="AE165" s="53">
        <v>1320</v>
      </c>
      <c r="AF165" s="49">
        <v>17</v>
      </c>
      <c r="AG165" s="53">
        <v>11220</v>
      </c>
      <c r="AH165" s="49">
        <v>57</v>
      </c>
      <c r="AI165" s="53">
        <v>37620</v>
      </c>
      <c r="AJ165" s="53"/>
      <c r="AK165" s="53"/>
      <c r="AL165" s="53"/>
      <c r="AM165" s="53"/>
      <c r="AN165" s="53">
        <v>128</v>
      </c>
      <c r="AO165" s="53">
        <v>84480</v>
      </c>
      <c r="AP165" s="63">
        <f t="shared" si="4"/>
        <v>264</v>
      </c>
      <c r="AQ165" s="55">
        <f t="shared" si="5"/>
        <v>174240</v>
      </c>
    </row>
    <row r="166" spans="1:43">
      <c r="A166" s="47">
        <v>170</v>
      </c>
      <c r="B166" s="56">
        <v>4971710566154</v>
      </c>
      <c r="C166" s="57" t="s">
        <v>519</v>
      </c>
      <c r="D166" s="75" t="s">
        <v>880</v>
      </c>
      <c r="E166" s="48" t="s">
        <v>520</v>
      </c>
      <c r="F166" s="58">
        <v>0</v>
      </c>
      <c r="G166" s="50">
        <v>0</v>
      </c>
      <c r="H166" s="51">
        <v>0</v>
      </c>
      <c r="I166" s="52">
        <v>0</v>
      </c>
      <c r="J166" s="49">
        <v>15</v>
      </c>
      <c r="K166" s="50">
        <v>8250</v>
      </c>
      <c r="L166" s="49">
        <v>45</v>
      </c>
      <c r="M166" s="50">
        <v>24750</v>
      </c>
      <c r="N166" s="49">
        <v>30</v>
      </c>
      <c r="O166" s="50">
        <v>16500</v>
      </c>
      <c r="P166" s="49">
        <v>0</v>
      </c>
      <c r="Q166" s="53">
        <v>0</v>
      </c>
      <c r="R166" s="58">
        <v>12</v>
      </c>
      <c r="S166" s="59">
        <v>6600</v>
      </c>
      <c r="T166" s="60"/>
      <c r="U166" s="61"/>
      <c r="V166" s="58"/>
      <c r="W166" s="59"/>
      <c r="X166" s="49"/>
      <c r="Y166" s="50"/>
      <c r="Z166" s="49">
        <v>50</v>
      </c>
      <c r="AA166" s="50">
        <v>27500</v>
      </c>
      <c r="AB166" s="49"/>
      <c r="AC166" s="53"/>
      <c r="AD166" s="49"/>
      <c r="AE166" s="53"/>
      <c r="AF166" s="49"/>
      <c r="AG166" s="53"/>
      <c r="AH166" s="49">
        <v>60</v>
      </c>
      <c r="AI166" s="53">
        <v>33000</v>
      </c>
      <c r="AJ166" s="53"/>
      <c r="AK166" s="53"/>
      <c r="AL166" s="53"/>
      <c r="AM166" s="53"/>
      <c r="AN166" s="53">
        <v>50</v>
      </c>
      <c r="AO166" s="53">
        <v>27500</v>
      </c>
      <c r="AP166" s="62">
        <f t="shared" si="4"/>
        <v>262</v>
      </c>
      <c r="AQ166" s="55">
        <f t="shared" si="5"/>
        <v>144100</v>
      </c>
    </row>
    <row r="167" spans="1:43">
      <c r="A167" s="47">
        <v>147</v>
      </c>
      <c r="B167" s="56">
        <v>4971710578577</v>
      </c>
      <c r="C167" s="57" t="s">
        <v>630</v>
      </c>
      <c r="D167" s="75" t="s">
        <v>880</v>
      </c>
      <c r="E167" s="48" t="s">
        <v>631</v>
      </c>
      <c r="F167" s="58">
        <v>0</v>
      </c>
      <c r="G167" s="50">
        <v>0</v>
      </c>
      <c r="H167" s="51">
        <v>0</v>
      </c>
      <c r="I167" s="52">
        <v>0</v>
      </c>
      <c r="J167" s="49">
        <v>20</v>
      </c>
      <c r="K167" s="50">
        <v>11000</v>
      </c>
      <c r="L167" s="49">
        <v>0</v>
      </c>
      <c r="M167" s="50">
        <v>0</v>
      </c>
      <c r="N167" s="49">
        <v>24</v>
      </c>
      <c r="O167" s="50">
        <v>13200</v>
      </c>
      <c r="P167" s="49">
        <v>0</v>
      </c>
      <c r="Q167" s="53">
        <v>0</v>
      </c>
      <c r="R167" s="58">
        <v>21</v>
      </c>
      <c r="S167" s="59">
        <v>11550</v>
      </c>
      <c r="T167" s="60">
        <v>4</v>
      </c>
      <c r="U167" s="61">
        <v>1100</v>
      </c>
      <c r="V167" s="58">
        <v>30</v>
      </c>
      <c r="W167" s="59">
        <v>16500</v>
      </c>
      <c r="X167" s="49">
        <v>4</v>
      </c>
      <c r="Y167" s="50">
        <v>2200</v>
      </c>
      <c r="Z167" s="49">
        <v>30</v>
      </c>
      <c r="AA167" s="50">
        <v>16500</v>
      </c>
      <c r="AB167" s="49"/>
      <c r="AC167" s="53"/>
      <c r="AD167" s="49"/>
      <c r="AE167" s="53"/>
      <c r="AF167" s="49">
        <v>4</v>
      </c>
      <c r="AG167" s="53">
        <v>2200</v>
      </c>
      <c r="AH167" s="49">
        <v>64</v>
      </c>
      <c r="AI167" s="53">
        <v>35200</v>
      </c>
      <c r="AJ167" s="53"/>
      <c r="AK167" s="53"/>
      <c r="AL167" s="53"/>
      <c r="AM167" s="53"/>
      <c r="AN167" s="53">
        <v>60</v>
      </c>
      <c r="AO167" s="53">
        <v>33000</v>
      </c>
      <c r="AP167" s="62">
        <f t="shared" si="4"/>
        <v>261</v>
      </c>
      <c r="AQ167" s="55">
        <f t="shared" si="5"/>
        <v>142450</v>
      </c>
    </row>
    <row r="168" spans="1:43">
      <c r="A168" s="47">
        <v>155</v>
      </c>
      <c r="B168" s="56">
        <v>4971710564778</v>
      </c>
      <c r="C168" s="57" t="s">
        <v>489</v>
      </c>
      <c r="D168" s="75" t="s">
        <v>884</v>
      </c>
      <c r="E168" s="48" t="s">
        <v>490</v>
      </c>
      <c r="F168" s="58">
        <v>10</v>
      </c>
      <c r="G168" s="50">
        <v>6600</v>
      </c>
      <c r="H168" s="51">
        <v>29</v>
      </c>
      <c r="I168" s="52">
        <v>19140</v>
      </c>
      <c r="J168" s="49">
        <v>24</v>
      </c>
      <c r="K168" s="50">
        <v>15840</v>
      </c>
      <c r="L168" s="49">
        <v>0</v>
      </c>
      <c r="M168" s="50">
        <v>0</v>
      </c>
      <c r="N168" s="49">
        <v>0</v>
      </c>
      <c r="O168" s="50">
        <v>0</v>
      </c>
      <c r="P168" s="49">
        <v>0</v>
      </c>
      <c r="Q168" s="53">
        <v>0</v>
      </c>
      <c r="R168" s="58">
        <v>90</v>
      </c>
      <c r="S168" s="59">
        <v>59400</v>
      </c>
      <c r="T168" s="60"/>
      <c r="U168" s="61"/>
      <c r="V168" s="58">
        <v>2</v>
      </c>
      <c r="W168" s="59">
        <v>1320</v>
      </c>
      <c r="X168" s="49">
        <v>14</v>
      </c>
      <c r="Y168" s="50">
        <v>9240</v>
      </c>
      <c r="Z168" s="49">
        <v>2</v>
      </c>
      <c r="AA168" s="50">
        <v>1320</v>
      </c>
      <c r="AB168" s="49"/>
      <c r="AC168" s="53"/>
      <c r="AD168" s="49">
        <v>52</v>
      </c>
      <c r="AE168" s="53">
        <v>34320</v>
      </c>
      <c r="AF168" s="49">
        <v>4</v>
      </c>
      <c r="AG168" s="53">
        <v>2640</v>
      </c>
      <c r="AH168" s="49">
        <v>4</v>
      </c>
      <c r="AI168" s="53">
        <v>2640</v>
      </c>
      <c r="AJ168" s="53"/>
      <c r="AK168" s="53"/>
      <c r="AL168" s="53"/>
      <c r="AM168" s="53"/>
      <c r="AN168" s="53">
        <v>30</v>
      </c>
      <c r="AO168" s="53">
        <v>19800</v>
      </c>
      <c r="AP168" s="62">
        <f t="shared" si="4"/>
        <v>261</v>
      </c>
      <c r="AQ168" s="55">
        <f t="shared" si="5"/>
        <v>172260</v>
      </c>
    </row>
    <row r="169" spans="1:43">
      <c r="A169" s="47">
        <v>148</v>
      </c>
      <c r="B169" s="56">
        <v>4971710564914</v>
      </c>
      <c r="C169" s="57" t="s">
        <v>501</v>
      </c>
      <c r="D169" s="75" t="s">
        <v>880</v>
      </c>
      <c r="E169" s="48" t="s">
        <v>502</v>
      </c>
      <c r="F169" s="58">
        <v>0</v>
      </c>
      <c r="G169" s="50">
        <v>0</v>
      </c>
      <c r="H169" s="51">
        <v>5</v>
      </c>
      <c r="I169" s="52">
        <v>2750</v>
      </c>
      <c r="J169" s="49">
        <v>10</v>
      </c>
      <c r="K169" s="50">
        <v>5500</v>
      </c>
      <c r="L169" s="49">
        <v>0</v>
      </c>
      <c r="M169" s="50">
        <v>0</v>
      </c>
      <c r="N169" s="49">
        <v>30</v>
      </c>
      <c r="O169" s="50">
        <v>16500</v>
      </c>
      <c r="P169" s="49">
        <v>0</v>
      </c>
      <c r="Q169" s="53">
        <v>0</v>
      </c>
      <c r="R169" s="58"/>
      <c r="S169" s="59"/>
      <c r="T169" s="60"/>
      <c r="U169" s="61"/>
      <c r="V169" s="58">
        <v>30</v>
      </c>
      <c r="W169" s="59">
        <v>16500</v>
      </c>
      <c r="X169" s="49"/>
      <c r="Y169" s="50"/>
      <c r="Z169" s="49">
        <v>51</v>
      </c>
      <c r="AA169" s="50">
        <v>28050</v>
      </c>
      <c r="AB169" s="49"/>
      <c r="AC169" s="53"/>
      <c r="AD169" s="49">
        <v>42</v>
      </c>
      <c r="AE169" s="53">
        <v>23100</v>
      </c>
      <c r="AF169" s="49">
        <v>30</v>
      </c>
      <c r="AG169" s="53">
        <v>16500</v>
      </c>
      <c r="AH169" s="49">
        <v>12</v>
      </c>
      <c r="AI169" s="53">
        <v>6600</v>
      </c>
      <c r="AJ169" s="53"/>
      <c r="AK169" s="53"/>
      <c r="AL169" s="53"/>
      <c r="AM169" s="53"/>
      <c r="AN169" s="53">
        <v>50</v>
      </c>
      <c r="AO169" s="53">
        <v>27500</v>
      </c>
      <c r="AP169" s="62">
        <f t="shared" si="4"/>
        <v>260</v>
      </c>
      <c r="AQ169" s="55">
        <f t="shared" si="5"/>
        <v>143000</v>
      </c>
    </row>
    <row r="170" spans="1:43">
      <c r="A170" s="47">
        <v>165</v>
      </c>
      <c r="B170" s="56">
        <v>4971710584042</v>
      </c>
      <c r="C170" s="57" t="s">
        <v>698</v>
      </c>
      <c r="D170" s="75" t="s">
        <v>884</v>
      </c>
      <c r="E170" s="48" t="s">
        <v>699</v>
      </c>
      <c r="F170" s="58">
        <v>0</v>
      </c>
      <c r="G170" s="50">
        <v>0</v>
      </c>
      <c r="H170" s="51">
        <v>50</v>
      </c>
      <c r="I170" s="52">
        <v>35750</v>
      </c>
      <c r="J170" s="49">
        <v>0</v>
      </c>
      <c r="K170" s="50">
        <v>0</v>
      </c>
      <c r="L170" s="49">
        <v>10</v>
      </c>
      <c r="M170" s="50">
        <v>7150</v>
      </c>
      <c r="N170" s="49">
        <v>0</v>
      </c>
      <c r="O170" s="50">
        <v>0</v>
      </c>
      <c r="P170" s="49">
        <v>0</v>
      </c>
      <c r="Q170" s="53">
        <v>0</v>
      </c>
      <c r="R170" s="58">
        <v>90</v>
      </c>
      <c r="S170" s="59">
        <v>64350</v>
      </c>
      <c r="T170" s="60">
        <v>30</v>
      </c>
      <c r="U170" s="61">
        <v>10725</v>
      </c>
      <c r="V170" s="58">
        <v>26</v>
      </c>
      <c r="W170" s="59">
        <v>18590</v>
      </c>
      <c r="X170" s="49">
        <v>16</v>
      </c>
      <c r="Y170" s="50">
        <v>11440</v>
      </c>
      <c r="Z170" s="49">
        <v>26</v>
      </c>
      <c r="AA170" s="50">
        <v>18590</v>
      </c>
      <c r="AB170" s="49">
        <v>5</v>
      </c>
      <c r="AC170" s="53">
        <v>3575</v>
      </c>
      <c r="AD170" s="49">
        <v>3</v>
      </c>
      <c r="AE170" s="53">
        <v>2145</v>
      </c>
      <c r="AF170" s="49"/>
      <c r="AG170" s="53"/>
      <c r="AH170" s="49"/>
      <c r="AI170" s="53"/>
      <c r="AJ170" s="53"/>
      <c r="AK170" s="53"/>
      <c r="AL170" s="53"/>
      <c r="AM170" s="53"/>
      <c r="AN170" s="53"/>
      <c r="AO170" s="53"/>
      <c r="AP170" s="62">
        <f t="shared" si="4"/>
        <v>256</v>
      </c>
      <c r="AQ170" s="55">
        <f t="shared" si="5"/>
        <v>172315</v>
      </c>
    </row>
    <row r="171" spans="1:43">
      <c r="A171" s="47">
        <v>153</v>
      </c>
      <c r="B171" s="56">
        <v>4971710515800</v>
      </c>
      <c r="C171" s="57" t="s">
        <v>314</v>
      </c>
      <c r="D171" s="75" t="s">
        <v>884</v>
      </c>
      <c r="E171" s="48" t="s">
        <v>315</v>
      </c>
      <c r="F171" s="58">
        <v>0</v>
      </c>
      <c r="G171" s="50">
        <v>0</v>
      </c>
      <c r="H171" s="51">
        <v>0</v>
      </c>
      <c r="I171" s="52">
        <v>0</v>
      </c>
      <c r="J171" s="49">
        <v>15</v>
      </c>
      <c r="K171" s="50">
        <v>7830</v>
      </c>
      <c r="L171" s="49">
        <v>30</v>
      </c>
      <c r="M171" s="50">
        <v>15660</v>
      </c>
      <c r="N171" s="49">
        <v>0</v>
      </c>
      <c r="O171" s="50">
        <v>0</v>
      </c>
      <c r="P171" s="49">
        <v>0</v>
      </c>
      <c r="Q171" s="53">
        <v>0</v>
      </c>
      <c r="R171" s="58"/>
      <c r="S171" s="59"/>
      <c r="T171" s="60">
        <v>12</v>
      </c>
      <c r="U171" s="61">
        <v>3132</v>
      </c>
      <c r="V171" s="58">
        <v>10</v>
      </c>
      <c r="W171" s="59">
        <v>5220</v>
      </c>
      <c r="X171" s="49">
        <v>36</v>
      </c>
      <c r="Y171" s="50">
        <v>18792</v>
      </c>
      <c r="Z171" s="49"/>
      <c r="AA171" s="50"/>
      <c r="AB171" s="49">
        <v>62</v>
      </c>
      <c r="AC171" s="53">
        <v>32364</v>
      </c>
      <c r="AD171" s="49">
        <v>34</v>
      </c>
      <c r="AE171" s="53">
        <v>17748</v>
      </c>
      <c r="AF171" s="49">
        <v>50</v>
      </c>
      <c r="AG171" s="53">
        <v>26100</v>
      </c>
      <c r="AH171" s="49">
        <v>6</v>
      </c>
      <c r="AI171" s="53">
        <v>3132</v>
      </c>
      <c r="AJ171" s="53"/>
      <c r="AK171" s="53"/>
      <c r="AL171" s="53"/>
      <c r="AM171" s="53"/>
      <c r="AN171" s="53"/>
      <c r="AO171" s="53"/>
      <c r="AP171" s="62">
        <f t="shared" si="4"/>
        <v>255</v>
      </c>
      <c r="AQ171" s="55">
        <f t="shared" si="5"/>
        <v>129978</v>
      </c>
    </row>
    <row r="172" spans="1:43">
      <c r="A172" s="47">
        <v>140</v>
      </c>
      <c r="B172" s="56">
        <v>4971710522426</v>
      </c>
      <c r="C172" s="57" t="s">
        <v>384</v>
      </c>
      <c r="D172" s="75" t="s">
        <v>880</v>
      </c>
      <c r="E172" s="48" t="s">
        <v>385</v>
      </c>
      <c r="F172" s="58">
        <v>18</v>
      </c>
      <c r="G172" s="50">
        <v>5940</v>
      </c>
      <c r="H172" s="51">
        <v>0</v>
      </c>
      <c r="I172" s="52">
        <v>0</v>
      </c>
      <c r="J172" s="49">
        <v>0</v>
      </c>
      <c r="K172" s="50">
        <v>0</v>
      </c>
      <c r="L172" s="49">
        <v>0</v>
      </c>
      <c r="M172" s="50">
        <v>0</v>
      </c>
      <c r="N172" s="49">
        <v>1</v>
      </c>
      <c r="O172" s="50">
        <v>330</v>
      </c>
      <c r="P172" s="49">
        <v>0</v>
      </c>
      <c r="Q172" s="53">
        <v>0</v>
      </c>
      <c r="R172" s="58">
        <v>30</v>
      </c>
      <c r="S172" s="59">
        <v>9900</v>
      </c>
      <c r="T172" s="60">
        <v>4</v>
      </c>
      <c r="U172" s="61">
        <v>660</v>
      </c>
      <c r="V172" s="58">
        <v>9</v>
      </c>
      <c r="W172" s="59">
        <v>2970</v>
      </c>
      <c r="X172" s="49">
        <v>6</v>
      </c>
      <c r="Y172" s="50">
        <v>1980</v>
      </c>
      <c r="Z172" s="49">
        <v>30</v>
      </c>
      <c r="AA172" s="50">
        <v>9900</v>
      </c>
      <c r="AB172" s="49">
        <v>52</v>
      </c>
      <c r="AC172" s="53">
        <v>17160</v>
      </c>
      <c r="AD172" s="49">
        <v>66</v>
      </c>
      <c r="AE172" s="53">
        <v>21780</v>
      </c>
      <c r="AF172" s="49"/>
      <c r="AG172" s="53"/>
      <c r="AH172" s="49">
        <v>34</v>
      </c>
      <c r="AI172" s="53">
        <v>11220</v>
      </c>
      <c r="AJ172" s="53"/>
      <c r="AK172" s="53"/>
      <c r="AL172" s="53"/>
      <c r="AM172" s="53"/>
      <c r="AN172" s="53"/>
      <c r="AO172" s="53"/>
      <c r="AP172" s="62">
        <f t="shared" si="4"/>
        <v>250</v>
      </c>
      <c r="AQ172" s="55">
        <f t="shared" si="5"/>
        <v>81840</v>
      </c>
    </row>
    <row r="173" spans="1:43">
      <c r="A173" s="47">
        <v>164</v>
      </c>
      <c r="B173" s="56">
        <v>4971710295634</v>
      </c>
      <c r="C173" s="57" t="s">
        <v>12</v>
      </c>
      <c r="D173" s="75" t="s">
        <v>882</v>
      </c>
      <c r="E173" s="48" t="s">
        <v>13</v>
      </c>
      <c r="F173" s="58">
        <v>10</v>
      </c>
      <c r="G173" s="50">
        <v>31900</v>
      </c>
      <c r="H173" s="51">
        <v>0</v>
      </c>
      <c r="I173" s="52">
        <v>0</v>
      </c>
      <c r="J173" s="49">
        <v>0</v>
      </c>
      <c r="K173" s="50">
        <v>0</v>
      </c>
      <c r="L173" s="49">
        <v>0</v>
      </c>
      <c r="M173" s="50">
        <v>0</v>
      </c>
      <c r="N173" s="49">
        <v>0</v>
      </c>
      <c r="O173" s="50">
        <v>0</v>
      </c>
      <c r="P173" s="49">
        <v>24</v>
      </c>
      <c r="Q173" s="53">
        <v>76560</v>
      </c>
      <c r="R173" s="58">
        <v>84</v>
      </c>
      <c r="S173" s="59">
        <v>267960</v>
      </c>
      <c r="T173" s="60">
        <v>62</v>
      </c>
      <c r="U173" s="61">
        <v>102080</v>
      </c>
      <c r="V173" s="58"/>
      <c r="W173" s="59"/>
      <c r="X173" s="49"/>
      <c r="Y173" s="50"/>
      <c r="Z173" s="49">
        <v>68</v>
      </c>
      <c r="AA173" s="50">
        <v>216920</v>
      </c>
      <c r="AB173" s="49">
        <v>2</v>
      </c>
      <c r="AC173" s="53">
        <v>6380</v>
      </c>
      <c r="AD173" s="49"/>
      <c r="AE173" s="53"/>
      <c r="AF173" s="49"/>
      <c r="AG173" s="53"/>
      <c r="AH173" s="49"/>
      <c r="AI173" s="53"/>
      <c r="AJ173" s="53"/>
      <c r="AK173" s="53"/>
      <c r="AL173" s="53"/>
      <c r="AM173" s="53"/>
      <c r="AN173" s="53"/>
      <c r="AO173" s="53"/>
      <c r="AP173" s="62">
        <f t="shared" si="4"/>
        <v>250</v>
      </c>
      <c r="AQ173" s="55">
        <f t="shared" si="5"/>
        <v>701800</v>
      </c>
    </row>
    <row r="174" spans="1:43">
      <c r="A174" s="47">
        <v>132</v>
      </c>
      <c r="B174" s="56">
        <v>4971710584707</v>
      </c>
      <c r="C174" s="57" t="s">
        <v>708</v>
      </c>
      <c r="D174" s="75" t="s">
        <v>880</v>
      </c>
      <c r="E174" s="48" t="s">
        <v>709</v>
      </c>
      <c r="F174" s="58">
        <v>0</v>
      </c>
      <c r="G174" s="50">
        <v>0</v>
      </c>
      <c r="H174" s="51">
        <v>0</v>
      </c>
      <c r="I174" s="52">
        <v>0</v>
      </c>
      <c r="J174" s="49">
        <v>0</v>
      </c>
      <c r="K174" s="50">
        <v>0</v>
      </c>
      <c r="L174" s="49">
        <v>0</v>
      </c>
      <c r="M174" s="50">
        <v>0</v>
      </c>
      <c r="N174" s="49">
        <v>0</v>
      </c>
      <c r="O174" s="50">
        <v>0</v>
      </c>
      <c r="P174" s="49">
        <v>0</v>
      </c>
      <c r="Q174" s="53">
        <v>0</v>
      </c>
      <c r="R174" s="58">
        <v>30</v>
      </c>
      <c r="S174" s="59">
        <v>10710</v>
      </c>
      <c r="T174" s="60">
        <v>4</v>
      </c>
      <c r="U174" s="61">
        <v>714</v>
      </c>
      <c r="V174" s="58"/>
      <c r="W174" s="59"/>
      <c r="X174" s="49">
        <v>32</v>
      </c>
      <c r="Y174" s="50">
        <v>11424</v>
      </c>
      <c r="Z174" s="49"/>
      <c r="AA174" s="50"/>
      <c r="AB174" s="49">
        <v>6</v>
      </c>
      <c r="AC174" s="53">
        <v>2142</v>
      </c>
      <c r="AD174" s="49">
        <v>50</v>
      </c>
      <c r="AE174" s="53">
        <v>17850</v>
      </c>
      <c r="AF174" s="49">
        <v>36</v>
      </c>
      <c r="AG174" s="53">
        <v>12852</v>
      </c>
      <c r="AH174" s="49">
        <v>36</v>
      </c>
      <c r="AI174" s="53">
        <v>12852</v>
      </c>
      <c r="AJ174" s="53"/>
      <c r="AK174" s="53"/>
      <c r="AL174" s="53"/>
      <c r="AM174" s="53"/>
      <c r="AN174" s="53">
        <v>50</v>
      </c>
      <c r="AO174" s="53">
        <v>17850</v>
      </c>
      <c r="AP174" s="62">
        <f t="shared" si="4"/>
        <v>244</v>
      </c>
      <c r="AQ174" s="55">
        <f t="shared" si="5"/>
        <v>86394</v>
      </c>
    </row>
    <row r="175" spans="1:43">
      <c r="A175" s="47">
        <v>131</v>
      </c>
      <c r="B175" s="56">
        <v>4971710508864</v>
      </c>
      <c r="C175" s="57" t="s">
        <v>202</v>
      </c>
      <c r="D175" s="75" t="s">
        <v>884</v>
      </c>
      <c r="E175" s="48" t="s">
        <v>203</v>
      </c>
      <c r="F175" s="58">
        <v>0</v>
      </c>
      <c r="G175" s="50">
        <v>0</v>
      </c>
      <c r="H175" s="51">
        <v>0</v>
      </c>
      <c r="I175" s="52">
        <v>0</v>
      </c>
      <c r="J175" s="49">
        <v>0</v>
      </c>
      <c r="K175" s="50">
        <v>0</v>
      </c>
      <c r="L175" s="49">
        <v>0</v>
      </c>
      <c r="M175" s="50">
        <v>0</v>
      </c>
      <c r="N175" s="49">
        <v>0</v>
      </c>
      <c r="O175" s="50">
        <v>0</v>
      </c>
      <c r="P175" s="49">
        <v>0</v>
      </c>
      <c r="Q175" s="53">
        <v>0</v>
      </c>
      <c r="R175" s="58">
        <v>6</v>
      </c>
      <c r="S175" s="59">
        <v>5280</v>
      </c>
      <c r="T175" s="60"/>
      <c r="U175" s="61"/>
      <c r="V175" s="58"/>
      <c r="W175" s="59"/>
      <c r="X175" s="49">
        <v>30</v>
      </c>
      <c r="Y175" s="50">
        <v>26400</v>
      </c>
      <c r="Z175" s="49"/>
      <c r="AA175" s="50"/>
      <c r="AB175" s="49"/>
      <c r="AC175" s="53"/>
      <c r="AD175" s="49"/>
      <c r="AE175" s="53"/>
      <c r="AF175" s="49">
        <v>20</v>
      </c>
      <c r="AG175" s="53">
        <v>17600</v>
      </c>
      <c r="AH175" s="49">
        <v>15</v>
      </c>
      <c r="AI175" s="53">
        <v>13200</v>
      </c>
      <c r="AJ175" s="53"/>
      <c r="AK175" s="53"/>
      <c r="AL175" s="53"/>
      <c r="AM175" s="53"/>
      <c r="AN175" s="53">
        <v>171</v>
      </c>
      <c r="AO175" s="53">
        <v>150480</v>
      </c>
      <c r="AP175" s="62">
        <f t="shared" si="4"/>
        <v>242</v>
      </c>
      <c r="AQ175" s="55">
        <f t="shared" si="5"/>
        <v>212960</v>
      </c>
    </row>
    <row r="176" spans="1:43">
      <c r="A176" s="47">
        <v>168</v>
      </c>
      <c r="B176" s="56">
        <v>4971710568554</v>
      </c>
      <c r="C176" s="57" t="s">
        <v>523</v>
      </c>
      <c r="D176" s="75" t="s">
        <v>884</v>
      </c>
      <c r="E176" s="48" t="s">
        <v>524</v>
      </c>
      <c r="F176" s="58">
        <v>10</v>
      </c>
      <c r="G176" s="50">
        <v>6600</v>
      </c>
      <c r="H176" s="51">
        <v>24</v>
      </c>
      <c r="I176" s="52">
        <v>15840</v>
      </c>
      <c r="J176" s="49">
        <v>24</v>
      </c>
      <c r="K176" s="50">
        <v>15840</v>
      </c>
      <c r="L176" s="49">
        <v>2</v>
      </c>
      <c r="M176" s="50">
        <v>1320</v>
      </c>
      <c r="N176" s="49">
        <v>0</v>
      </c>
      <c r="O176" s="50">
        <v>0</v>
      </c>
      <c r="P176" s="49">
        <v>0</v>
      </c>
      <c r="Q176" s="53">
        <v>0</v>
      </c>
      <c r="R176" s="58">
        <v>60</v>
      </c>
      <c r="S176" s="59">
        <v>39600</v>
      </c>
      <c r="T176" s="60"/>
      <c r="U176" s="61"/>
      <c r="V176" s="58"/>
      <c r="W176" s="59"/>
      <c r="X176" s="49"/>
      <c r="Y176" s="50"/>
      <c r="Z176" s="49">
        <v>50</v>
      </c>
      <c r="AA176" s="50">
        <v>33000</v>
      </c>
      <c r="AB176" s="49"/>
      <c r="AC176" s="53"/>
      <c r="AD176" s="49">
        <v>5</v>
      </c>
      <c r="AE176" s="53">
        <v>3300</v>
      </c>
      <c r="AF176" s="49"/>
      <c r="AG176" s="53"/>
      <c r="AH176" s="49">
        <v>50</v>
      </c>
      <c r="AI176" s="53">
        <v>33000</v>
      </c>
      <c r="AJ176" s="53"/>
      <c r="AK176" s="53"/>
      <c r="AL176" s="53"/>
      <c r="AM176" s="53"/>
      <c r="AN176" s="53">
        <v>10</v>
      </c>
      <c r="AO176" s="53">
        <v>6600</v>
      </c>
      <c r="AP176" s="62">
        <f t="shared" si="4"/>
        <v>235</v>
      </c>
      <c r="AQ176" s="55">
        <f t="shared" si="5"/>
        <v>155100</v>
      </c>
    </row>
    <row r="177" spans="1:43">
      <c r="A177" s="47">
        <v>161</v>
      </c>
      <c r="B177" s="56">
        <v>4971710515787</v>
      </c>
      <c r="C177" s="57" t="s">
        <v>310</v>
      </c>
      <c r="D177" s="75" t="s">
        <v>884</v>
      </c>
      <c r="E177" s="48" t="s">
        <v>311</v>
      </c>
      <c r="F177" s="58">
        <v>0</v>
      </c>
      <c r="G177" s="50">
        <v>0</v>
      </c>
      <c r="H177" s="51">
        <v>0</v>
      </c>
      <c r="I177" s="52">
        <v>0</v>
      </c>
      <c r="J177" s="49">
        <v>5</v>
      </c>
      <c r="K177" s="50">
        <v>2610</v>
      </c>
      <c r="L177" s="49">
        <v>30</v>
      </c>
      <c r="M177" s="50">
        <v>15660</v>
      </c>
      <c r="N177" s="49">
        <v>0</v>
      </c>
      <c r="O177" s="50">
        <v>0</v>
      </c>
      <c r="P177" s="49">
        <v>0</v>
      </c>
      <c r="Q177" s="53">
        <v>0</v>
      </c>
      <c r="R177" s="58"/>
      <c r="S177" s="59"/>
      <c r="T177" s="60">
        <v>12</v>
      </c>
      <c r="U177" s="61">
        <v>3132</v>
      </c>
      <c r="V177" s="58"/>
      <c r="W177" s="59"/>
      <c r="X177" s="49">
        <v>36</v>
      </c>
      <c r="Y177" s="50">
        <v>18792</v>
      </c>
      <c r="Z177" s="49"/>
      <c r="AA177" s="50"/>
      <c r="AB177" s="49">
        <v>56</v>
      </c>
      <c r="AC177" s="53">
        <v>29232</v>
      </c>
      <c r="AD177" s="49">
        <v>36</v>
      </c>
      <c r="AE177" s="53">
        <v>18792</v>
      </c>
      <c r="AF177" s="49">
        <v>50</v>
      </c>
      <c r="AG177" s="53">
        <v>26100</v>
      </c>
      <c r="AH177" s="49">
        <v>6</v>
      </c>
      <c r="AI177" s="53">
        <v>3132</v>
      </c>
      <c r="AJ177" s="53"/>
      <c r="AK177" s="53"/>
      <c r="AL177" s="53"/>
      <c r="AM177" s="53"/>
      <c r="AN177" s="53"/>
      <c r="AO177" s="53"/>
      <c r="AP177" s="62">
        <f t="shared" si="4"/>
        <v>231</v>
      </c>
      <c r="AQ177" s="55">
        <f t="shared" si="5"/>
        <v>117450</v>
      </c>
    </row>
    <row r="178" spans="1:43">
      <c r="A178" s="47">
        <v>138</v>
      </c>
      <c r="B178" s="56">
        <v>4971710585285</v>
      </c>
      <c r="C178" s="57" t="s">
        <v>995</v>
      </c>
      <c r="D178" s="75" t="s">
        <v>1085</v>
      </c>
      <c r="E178" s="48" t="s">
        <v>859</v>
      </c>
      <c r="F178" s="58">
        <v>0</v>
      </c>
      <c r="G178" s="50">
        <v>0</v>
      </c>
      <c r="H178" s="51">
        <v>0</v>
      </c>
      <c r="I178" s="52">
        <v>0</v>
      </c>
      <c r="J178" s="49">
        <v>0</v>
      </c>
      <c r="K178" s="50">
        <v>0</v>
      </c>
      <c r="L178" s="49">
        <v>0</v>
      </c>
      <c r="M178" s="50">
        <v>0</v>
      </c>
      <c r="N178" s="49">
        <v>0</v>
      </c>
      <c r="O178" s="50">
        <v>0</v>
      </c>
      <c r="P178" s="49">
        <v>0</v>
      </c>
      <c r="Q178" s="53">
        <v>0</v>
      </c>
      <c r="R178" s="58"/>
      <c r="S178" s="59"/>
      <c r="T178" s="60"/>
      <c r="U178" s="61"/>
      <c r="V178" s="58"/>
      <c r="W178" s="59"/>
      <c r="X178" s="49"/>
      <c r="Y178" s="50"/>
      <c r="Z178" s="49">
        <v>230</v>
      </c>
      <c r="AA178" s="50">
        <v>75900</v>
      </c>
      <c r="AB178" s="49"/>
      <c r="AC178" s="53"/>
      <c r="AD178" s="49"/>
      <c r="AE178" s="53"/>
      <c r="AF178" s="49"/>
      <c r="AG178" s="53"/>
      <c r="AH178" s="49"/>
      <c r="AI178" s="53"/>
      <c r="AJ178" s="53"/>
      <c r="AK178" s="53"/>
      <c r="AL178" s="53"/>
      <c r="AM178" s="53"/>
      <c r="AN178" s="53"/>
      <c r="AO178" s="53"/>
      <c r="AP178" s="62">
        <f t="shared" si="4"/>
        <v>230</v>
      </c>
      <c r="AQ178" s="55">
        <f t="shared" si="5"/>
        <v>75900</v>
      </c>
    </row>
    <row r="179" spans="1:43">
      <c r="A179" s="47">
        <v>139</v>
      </c>
      <c r="B179" s="56">
        <v>4971710585292</v>
      </c>
      <c r="C179" s="57" t="s">
        <v>996</v>
      </c>
      <c r="D179" s="75" t="s">
        <v>1085</v>
      </c>
      <c r="E179" s="48" t="s">
        <v>862</v>
      </c>
      <c r="F179" s="58">
        <v>0</v>
      </c>
      <c r="G179" s="50">
        <v>0</v>
      </c>
      <c r="H179" s="51">
        <v>0</v>
      </c>
      <c r="I179" s="52">
        <v>0</v>
      </c>
      <c r="J179" s="49">
        <v>0</v>
      </c>
      <c r="K179" s="50">
        <v>0</v>
      </c>
      <c r="L179" s="49">
        <v>0</v>
      </c>
      <c r="M179" s="50">
        <v>0</v>
      </c>
      <c r="N179" s="49">
        <v>0</v>
      </c>
      <c r="O179" s="50">
        <v>0</v>
      </c>
      <c r="P179" s="49">
        <v>0</v>
      </c>
      <c r="Q179" s="53">
        <v>0</v>
      </c>
      <c r="R179" s="58"/>
      <c r="S179" s="59"/>
      <c r="T179" s="60"/>
      <c r="U179" s="61"/>
      <c r="V179" s="58"/>
      <c r="W179" s="59"/>
      <c r="X179" s="49"/>
      <c r="Y179" s="50"/>
      <c r="Z179" s="49">
        <v>230</v>
      </c>
      <c r="AA179" s="50">
        <v>63250</v>
      </c>
      <c r="AB179" s="49"/>
      <c r="AC179" s="53"/>
      <c r="AD179" s="49"/>
      <c r="AE179" s="53"/>
      <c r="AF179" s="49"/>
      <c r="AG179" s="53"/>
      <c r="AH179" s="49"/>
      <c r="AI179" s="53"/>
      <c r="AJ179" s="53"/>
      <c r="AK179" s="53"/>
      <c r="AL179" s="53"/>
      <c r="AM179" s="53"/>
      <c r="AN179" s="53"/>
      <c r="AO179" s="53"/>
      <c r="AP179" s="62">
        <f t="shared" si="4"/>
        <v>230</v>
      </c>
      <c r="AQ179" s="55">
        <f t="shared" si="5"/>
        <v>63250</v>
      </c>
    </row>
    <row r="180" spans="1:43">
      <c r="A180" s="47">
        <v>159</v>
      </c>
      <c r="B180" s="56">
        <v>4971710485721</v>
      </c>
      <c r="C180" s="57" t="s">
        <v>42</v>
      </c>
      <c r="D180" s="75" t="s">
        <v>884</v>
      </c>
      <c r="E180" s="48" t="s">
        <v>43</v>
      </c>
      <c r="F180" s="58">
        <v>0</v>
      </c>
      <c r="G180" s="50">
        <v>0</v>
      </c>
      <c r="H180" s="51">
        <v>0</v>
      </c>
      <c r="I180" s="52">
        <v>0</v>
      </c>
      <c r="J180" s="49">
        <v>20</v>
      </c>
      <c r="K180" s="50">
        <v>11000</v>
      </c>
      <c r="L180" s="49">
        <v>0</v>
      </c>
      <c r="M180" s="50">
        <v>0</v>
      </c>
      <c r="N180" s="49">
        <v>0</v>
      </c>
      <c r="O180" s="50">
        <v>0</v>
      </c>
      <c r="P180" s="49">
        <v>20</v>
      </c>
      <c r="Q180" s="53">
        <v>11000</v>
      </c>
      <c r="R180" s="58">
        <v>40</v>
      </c>
      <c r="S180" s="59">
        <v>22000</v>
      </c>
      <c r="T180" s="60"/>
      <c r="U180" s="61"/>
      <c r="V180" s="58"/>
      <c r="W180" s="59"/>
      <c r="X180" s="49">
        <v>20</v>
      </c>
      <c r="Y180" s="50">
        <v>11000</v>
      </c>
      <c r="Z180" s="49">
        <v>50</v>
      </c>
      <c r="AA180" s="50">
        <v>27500</v>
      </c>
      <c r="AB180" s="49"/>
      <c r="AC180" s="53"/>
      <c r="AD180" s="49"/>
      <c r="AE180" s="53"/>
      <c r="AF180" s="49"/>
      <c r="AG180" s="53"/>
      <c r="AH180" s="49">
        <v>30</v>
      </c>
      <c r="AI180" s="53">
        <v>16500</v>
      </c>
      <c r="AJ180" s="53"/>
      <c r="AK180" s="53"/>
      <c r="AL180" s="53"/>
      <c r="AM180" s="53"/>
      <c r="AN180" s="53">
        <v>50</v>
      </c>
      <c r="AO180" s="53">
        <v>27500</v>
      </c>
      <c r="AP180" s="62">
        <f t="shared" si="4"/>
        <v>230</v>
      </c>
      <c r="AQ180" s="55">
        <f t="shared" si="5"/>
        <v>126500</v>
      </c>
    </row>
    <row r="181" spans="1:43">
      <c r="A181" s="47">
        <v>180</v>
      </c>
      <c r="B181" s="56">
        <v>4971710578553</v>
      </c>
      <c r="C181" s="57" t="s">
        <v>626</v>
      </c>
      <c r="D181" s="75" t="s">
        <v>880</v>
      </c>
      <c r="E181" s="48" t="s">
        <v>627</v>
      </c>
      <c r="F181" s="58">
        <v>0</v>
      </c>
      <c r="G181" s="50">
        <v>0</v>
      </c>
      <c r="H181" s="51">
        <v>35</v>
      </c>
      <c r="I181" s="52">
        <v>19250</v>
      </c>
      <c r="J181" s="49">
        <v>15</v>
      </c>
      <c r="K181" s="50">
        <v>8250</v>
      </c>
      <c r="L181" s="49">
        <v>0</v>
      </c>
      <c r="M181" s="50">
        <v>0</v>
      </c>
      <c r="N181" s="49">
        <v>0</v>
      </c>
      <c r="O181" s="50">
        <v>0</v>
      </c>
      <c r="P181" s="49">
        <v>20</v>
      </c>
      <c r="Q181" s="53">
        <v>11000</v>
      </c>
      <c r="R181" s="58">
        <v>25</v>
      </c>
      <c r="S181" s="59">
        <v>13750</v>
      </c>
      <c r="T181" s="60">
        <v>4</v>
      </c>
      <c r="U181" s="61">
        <v>1100</v>
      </c>
      <c r="V181" s="58"/>
      <c r="W181" s="59"/>
      <c r="X181" s="49">
        <v>30</v>
      </c>
      <c r="Y181" s="50">
        <v>16500</v>
      </c>
      <c r="Z181" s="49">
        <v>20</v>
      </c>
      <c r="AA181" s="50">
        <v>11000</v>
      </c>
      <c r="AB181" s="49">
        <v>4</v>
      </c>
      <c r="AC181" s="53">
        <v>2200</v>
      </c>
      <c r="AD181" s="49"/>
      <c r="AE181" s="53"/>
      <c r="AF181" s="49">
        <v>2</v>
      </c>
      <c r="AG181" s="53">
        <v>1100</v>
      </c>
      <c r="AH181" s="49">
        <v>20</v>
      </c>
      <c r="AI181" s="53">
        <v>11000</v>
      </c>
      <c r="AJ181" s="53"/>
      <c r="AK181" s="53"/>
      <c r="AL181" s="53"/>
      <c r="AM181" s="53"/>
      <c r="AN181" s="53">
        <v>54</v>
      </c>
      <c r="AO181" s="53">
        <v>29700</v>
      </c>
      <c r="AP181" s="62">
        <f t="shared" si="4"/>
        <v>229</v>
      </c>
      <c r="AQ181" s="55">
        <f t="shared" si="5"/>
        <v>124850</v>
      </c>
    </row>
    <row r="182" spans="1:43">
      <c r="A182" s="47">
        <v>175</v>
      </c>
      <c r="B182" s="56">
        <v>4971710515824</v>
      </c>
      <c r="C182" s="57" t="s">
        <v>318</v>
      </c>
      <c r="D182" s="75" t="s">
        <v>884</v>
      </c>
      <c r="E182" s="48" t="s">
        <v>319</v>
      </c>
      <c r="F182" s="58">
        <v>0</v>
      </c>
      <c r="G182" s="50">
        <v>0</v>
      </c>
      <c r="H182" s="51">
        <v>0</v>
      </c>
      <c r="I182" s="52">
        <v>0</v>
      </c>
      <c r="J182" s="49">
        <v>0</v>
      </c>
      <c r="K182" s="50">
        <v>0</v>
      </c>
      <c r="L182" s="49">
        <v>40</v>
      </c>
      <c r="M182" s="50">
        <v>20880</v>
      </c>
      <c r="N182" s="49">
        <v>0</v>
      </c>
      <c r="O182" s="50">
        <v>0</v>
      </c>
      <c r="P182" s="49">
        <v>0</v>
      </c>
      <c r="Q182" s="53">
        <v>0</v>
      </c>
      <c r="R182" s="58"/>
      <c r="S182" s="59"/>
      <c r="T182" s="60">
        <v>44</v>
      </c>
      <c r="U182" s="61">
        <v>11484</v>
      </c>
      <c r="V182" s="58"/>
      <c r="W182" s="59"/>
      <c r="X182" s="49">
        <v>4</v>
      </c>
      <c r="Y182" s="50">
        <v>2088</v>
      </c>
      <c r="Z182" s="49"/>
      <c r="AA182" s="50"/>
      <c r="AB182" s="49">
        <v>54</v>
      </c>
      <c r="AC182" s="53">
        <v>28188</v>
      </c>
      <c r="AD182" s="49">
        <v>32</v>
      </c>
      <c r="AE182" s="53">
        <v>16704</v>
      </c>
      <c r="AF182" s="49">
        <v>50</v>
      </c>
      <c r="AG182" s="53">
        <v>26100</v>
      </c>
      <c r="AH182" s="49">
        <v>4</v>
      </c>
      <c r="AI182" s="53">
        <v>2088</v>
      </c>
      <c r="AJ182" s="53"/>
      <c r="AK182" s="53"/>
      <c r="AL182" s="53"/>
      <c r="AM182" s="53"/>
      <c r="AN182" s="53"/>
      <c r="AO182" s="53"/>
      <c r="AP182" s="62">
        <f t="shared" si="4"/>
        <v>228</v>
      </c>
      <c r="AQ182" s="55">
        <f t="shared" si="5"/>
        <v>107532</v>
      </c>
    </row>
    <row r="183" spans="1:43">
      <c r="A183" s="47">
        <v>178</v>
      </c>
      <c r="B183" s="56">
        <v>4971710578591</v>
      </c>
      <c r="C183" s="57" t="s">
        <v>634</v>
      </c>
      <c r="D183" s="75" t="s">
        <v>880</v>
      </c>
      <c r="E183" s="48" t="s">
        <v>635</v>
      </c>
      <c r="F183" s="58">
        <v>10</v>
      </c>
      <c r="G183" s="50">
        <v>6050</v>
      </c>
      <c r="H183" s="51">
        <v>5</v>
      </c>
      <c r="I183" s="52">
        <v>3025</v>
      </c>
      <c r="J183" s="49">
        <v>0</v>
      </c>
      <c r="K183" s="50">
        <v>0</v>
      </c>
      <c r="L183" s="49">
        <v>0</v>
      </c>
      <c r="M183" s="50">
        <v>0</v>
      </c>
      <c r="N183" s="49">
        <v>40</v>
      </c>
      <c r="O183" s="50">
        <v>24200</v>
      </c>
      <c r="P183" s="49">
        <v>0</v>
      </c>
      <c r="Q183" s="53">
        <v>0</v>
      </c>
      <c r="R183" s="58">
        <v>5</v>
      </c>
      <c r="S183" s="59">
        <v>3025</v>
      </c>
      <c r="T183" s="60">
        <v>22</v>
      </c>
      <c r="U183" s="61">
        <v>7260</v>
      </c>
      <c r="V183" s="58"/>
      <c r="W183" s="59"/>
      <c r="X183" s="49">
        <v>36</v>
      </c>
      <c r="Y183" s="50">
        <v>21780</v>
      </c>
      <c r="Z183" s="49">
        <v>32</v>
      </c>
      <c r="AA183" s="50">
        <v>19360</v>
      </c>
      <c r="AB183" s="49"/>
      <c r="AC183" s="53"/>
      <c r="AD183" s="49">
        <v>2</v>
      </c>
      <c r="AE183" s="53">
        <v>1210</v>
      </c>
      <c r="AF183" s="49">
        <v>30</v>
      </c>
      <c r="AG183" s="53">
        <v>18150</v>
      </c>
      <c r="AH183" s="49">
        <v>14</v>
      </c>
      <c r="AI183" s="53">
        <v>8470</v>
      </c>
      <c r="AJ183" s="53"/>
      <c r="AK183" s="53"/>
      <c r="AL183" s="53"/>
      <c r="AM183" s="53"/>
      <c r="AN183" s="53">
        <v>32</v>
      </c>
      <c r="AO183" s="53">
        <v>19360</v>
      </c>
      <c r="AP183" s="62">
        <f t="shared" si="4"/>
        <v>228</v>
      </c>
      <c r="AQ183" s="55">
        <f t="shared" si="5"/>
        <v>131890</v>
      </c>
    </row>
    <row r="184" spans="1:43">
      <c r="A184" s="47">
        <v>340</v>
      </c>
      <c r="B184" s="56">
        <v>4971710521504</v>
      </c>
      <c r="C184" s="57" t="s">
        <v>364</v>
      </c>
      <c r="D184" s="75" t="s">
        <v>884</v>
      </c>
      <c r="E184" s="48" t="s">
        <v>365</v>
      </c>
      <c r="F184" s="58">
        <v>0</v>
      </c>
      <c r="G184" s="50">
        <v>0</v>
      </c>
      <c r="H184" s="51">
        <v>164</v>
      </c>
      <c r="I184" s="52">
        <v>117260</v>
      </c>
      <c r="J184" s="49">
        <v>24</v>
      </c>
      <c r="K184" s="50">
        <v>17160</v>
      </c>
      <c r="L184" s="49">
        <v>0</v>
      </c>
      <c r="M184" s="50">
        <v>0</v>
      </c>
      <c r="N184" s="49">
        <v>20</v>
      </c>
      <c r="O184" s="50">
        <v>14300</v>
      </c>
      <c r="P184" s="49">
        <v>0</v>
      </c>
      <c r="Q184" s="53">
        <v>0</v>
      </c>
      <c r="R184" s="58"/>
      <c r="S184" s="59"/>
      <c r="T184" s="60">
        <v>4</v>
      </c>
      <c r="U184" s="61">
        <v>1430</v>
      </c>
      <c r="V184" s="58"/>
      <c r="W184" s="59"/>
      <c r="X184" s="49"/>
      <c r="Y184" s="50"/>
      <c r="Z184" s="49">
        <v>2</v>
      </c>
      <c r="AA184" s="50">
        <v>1430</v>
      </c>
      <c r="AB184" s="49">
        <v>4</v>
      </c>
      <c r="AC184" s="53">
        <v>2860</v>
      </c>
      <c r="AD184" s="49">
        <v>2</v>
      </c>
      <c r="AE184" s="53">
        <v>1430</v>
      </c>
      <c r="AF184" s="49"/>
      <c r="AG184" s="53"/>
      <c r="AH184" s="49">
        <v>4</v>
      </c>
      <c r="AI184" s="53">
        <v>2860</v>
      </c>
      <c r="AJ184" s="53"/>
      <c r="AK184" s="53"/>
      <c r="AL184" s="53"/>
      <c r="AM184" s="53"/>
      <c r="AN184" s="53">
        <v>4</v>
      </c>
      <c r="AO184" s="53">
        <v>2860</v>
      </c>
      <c r="AP184" s="62">
        <f t="shared" si="4"/>
        <v>228</v>
      </c>
      <c r="AQ184" s="55">
        <f t="shared" si="5"/>
        <v>161590</v>
      </c>
    </row>
    <row r="185" spans="1:43">
      <c r="A185" s="47">
        <v>177</v>
      </c>
      <c r="B185" s="56">
        <v>4971710564785</v>
      </c>
      <c r="C185" s="57" t="s">
        <v>491</v>
      </c>
      <c r="D185" s="75" t="s">
        <v>884</v>
      </c>
      <c r="E185" s="48" t="s">
        <v>492</v>
      </c>
      <c r="F185" s="58">
        <v>10</v>
      </c>
      <c r="G185" s="50">
        <v>6600</v>
      </c>
      <c r="H185" s="51">
        <v>24</v>
      </c>
      <c r="I185" s="52">
        <v>15840</v>
      </c>
      <c r="J185" s="49">
        <v>24</v>
      </c>
      <c r="K185" s="50">
        <v>15840</v>
      </c>
      <c r="L185" s="49">
        <v>0</v>
      </c>
      <c r="M185" s="50">
        <v>0</v>
      </c>
      <c r="N185" s="49">
        <v>0</v>
      </c>
      <c r="O185" s="50">
        <v>0</v>
      </c>
      <c r="P185" s="49">
        <v>0</v>
      </c>
      <c r="Q185" s="53">
        <v>0</v>
      </c>
      <c r="R185" s="58">
        <v>95</v>
      </c>
      <c r="S185" s="59">
        <v>62700</v>
      </c>
      <c r="T185" s="60">
        <v>4</v>
      </c>
      <c r="U185" s="61">
        <v>1320</v>
      </c>
      <c r="V185" s="58"/>
      <c r="W185" s="59"/>
      <c r="X185" s="49">
        <v>6</v>
      </c>
      <c r="Y185" s="50">
        <v>3960</v>
      </c>
      <c r="Z185" s="49"/>
      <c r="AA185" s="50"/>
      <c r="AB185" s="49"/>
      <c r="AC185" s="53"/>
      <c r="AD185" s="49">
        <v>30</v>
      </c>
      <c r="AE185" s="53">
        <v>19800</v>
      </c>
      <c r="AF185" s="49">
        <v>1</v>
      </c>
      <c r="AG185" s="53">
        <v>660</v>
      </c>
      <c r="AH185" s="49"/>
      <c r="AI185" s="53"/>
      <c r="AJ185" s="53"/>
      <c r="AK185" s="53"/>
      <c r="AL185" s="53"/>
      <c r="AM185" s="53"/>
      <c r="AN185" s="53">
        <v>31</v>
      </c>
      <c r="AO185" s="53">
        <v>20460</v>
      </c>
      <c r="AP185" s="62">
        <f t="shared" si="4"/>
        <v>225</v>
      </c>
      <c r="AQ185" s="55">
        <f t="shared" si="5"/>
        <v>147180</v>
      </c>
    </row>
    <row r="186" spans="1:43">
      <c r="A186" s="47">
        <v>142</v>
      </c>
      <c r="B186" s="56">
        <v>4971710598520</v>
      </c>
      <c r="C186" s="57" t="s">
        <v>822</v>
      </c>
      <c r="D186" s="75" t="s">
        <v>884</v>
      </c>
      <c r="E186" s="48" t="s">
        <v>830</v>
      </c>
      <c r="F186" s="58">
        <v>0</v>
      </c>
      <c r="G186" s="50">
        <v>0</v>
      </c>
      <c r="H186" s="51">
        <v>0</v>
      </c>
      <c r="I186" s="52">
        <v>0</v>
      </c>
      <c r="J186" s="49">
        <v>0</v>
      </c>
      <c r="K186" s="50">
        <v>0</v>
      </c>
      <c r="L186" s="49">
        <v>0</v>
      </c>
      <c r="M186" s="50">
        <v>0</v>
      </c>
      <c r="N186" s="49">
        <v>0</v>
      </c>
      <c r="O186" s="50">
        <v>0</v>
      </c>
      <c r="P186" s="49">
        <v>0</v>
      </c>
      <c r="Q186" s="53">
        <v>0</v>
      </c>
      <c r="R186" s="58"/>
      <c r="S186" s="59"/>
      <c r="T186" s="60"/>
      <c r="U186" s="61"/>
      <c r="V186" s="58"/>
      <c r="W186" s="59"/>
      <c r="X186" s="49"/>
      <c r="Y186" s="50"/>
      <c r="Z186" s="49"/>
      <c r="AA186" s="50"/>
      <c r="AB186" s="49">
        <v>59</v>
      </c>
      <c r="AC186" s="53">
        <v>38940</v>
      </c>
      <c r="AD186" s="49">
        <v>2</v>
      </c>
      <c r="AE186" s="53">
        <v>1320</v>
      </c>
      <c r="AF186" s="49">
        <v>2</v>
      </c>
      <c r="AG186" s="53">
        <v>1320</v>
      </c>
      <c r="AH186" s="49">
        <v>46</v>
      </c>
      <c r="AI186" s="53">
        <v>30360</v>
      </c>
      <c r="AJ186" s="53"/>
      <c r="AK186" s="53"/>
      <c r="AL186" s="53"/>
      <c r="AM186" s="53"/>
      <c r="AN186" s="53">
        <v>114</v>
      </c>
      <c r="AO186" s="53">
        <v>75240</v>
      </c>
      <c r="AP186" s="63">
        <f t="shared" si="4"/>
        <v>223</v>
      </c>
      <c r="AQ186" s="55">
        <f t="shared" si="5"/>
        <v>147180</v>
      </c>
    </row>
    <row r="187" spans="1:43">
      <c r="A187" s="47">
        <v>144</v>
      </c>
      <c r="B187" s="56">
        <v>4971710484236</v>
      </c>
      <c r="C187" s="57" t="s">
        <v>32</v>
      </c>
      <c r="D187" s="75" t="s">
        <v>884</v>
      </c>
      <c r="E187" s="48" t="s">
        <v>33</v>
      </c>
      <c r="F187" s="58">
        <v>0</v>
      </c>
      <c r="G187" s="50">
        <v>0</v>
      </c>
      <c r="H187" s="51">
        <v>0</v>
      </c>
      <c r="I187" s="52">
        <v>0</v>
      </c>
      <c r="J187" s="49">
        <v>0</v>
      </c>
      <c r="K187" s="50">
        <v>0</v>
      </c>
      <c r="L187" s="49">
        <v>0</v>
      </c>
      <c r="M187" s="50">
        <v>0</v>
      </c>
      <c r="N187" s="49">
        <v>0</v>
      </c>
      <c r="O187" s="50">
        <v>0</v>
      </c>
      <c r="P187" s="49">
        <v>0</v>
      </c>
      <c r="Q187" s="53">
        <v>0</v>
      </c>
      <c r="R187" s="58">
        <v>60</v>
      </c>
      <c r="S187" s="59">
        <v>26400</v>
      </c>
      <c r="T187" s="60"/>
      <c r="U187" s="61"/>
      <c r="V187" s="58">
        <v>10</v>
      </c>
      <c r="W187" s="59">
        <v>4400</v>
      </c>
      <c r="X187" s="49">
        <v>30</v>
      </c>
      <c r="Y187" s="50">
        <v>13200</v>
      </c>
      <c r="Z187" s="49">
        <v>30</v>
      </c>
      <c r="AA187" s="50">
        <v>13200</v>
      </c>
      <c r="AB187" s="49">
        <v>40</v>
      </c>
      <c r="AC187" s="53">
        <v>17600</v>
      </c>
      <c r="AD187" s="49"/>
      <c r="AE187" s="53"/>
      <c r="AF187" s="49"/>
      <c r="AG187" s="53"/>
      <c r="AH187" s="49">
        <v>50</v>
      </c>
      <c r="AI187" s="53">
        <v>22000</v>
      </c>
      <c r="AJ187" s="53"/>
      <c r="AK187" s="53"/>
      <c r="AL187" s="53"/>
      <c r="AM187" s="53"/>
      <c r="AN187" s="53"/>
      <c r="AO187" s="53"/>
      <c r="AP187" s="62">
        <f t="shared" si="4"/>
        <v>220</v>
      </c>
      <c r="AQ187" s="55">
        <f t="shared" si="5"/>
        <v>96800</v>
      </c>
    </row>
    <row r="188" spans="1:43">
      <c r="A188" s="47">
        <v>201</v>
      </c>
      <c r="B188" s="56">
        <v>4971710578560</v>
      </c>
      <c r="C188" s="57" t="s">
        <v>628</v>
      </c>
      <c r="D188" s="75" t="s">
        <v>880</v>
      </c>
      <c r="E188" s="48" t="s">
        <v>629</v>
      </c>
      <c r="F188" s="58">
        <v>0</v>
      </c>
      <c r="G188" s="50">
        <v>0</v>
      </c>
      <c r="H188" s="51">
        <v>30</v>
      </c>
      <c r="I188" s="52">
        <v>16500</v>
      </c>
      <c r="J188" s="49">
        <v>40</v>
      </c>
      <c r="K188" s="50">
        <v>22000</v>
      </c>
      <c r="L188" s="49">
        <v>0</v>
      </c>
      <c r="M188" s="50">
        <v>0</v>
      </c>
      <c r="N188" s="49">
        <v>0</v>
      </c>
      <c r="O188" s="50">
        <v>0</v>
      </c>
      <c r="P188" s="49">
        <v>5</v>
      </c>
      <c r="Q188" s="53">
        <v>2750</v>
      </c>
      <c r="R188" s="58"/>
      <c r="S188" s="59"/>
      <c r="T188" s="60"/>
      <c r="U188" s="61"/>
      <c r="V188" s="58"/>
      <c r="W188" s="59"/>
      <c r="X188" s="49">
        <v>35</v>
      </c>
      <c r="Y188" s="50">
        <v>19250</v>
      </c>
      <c r="Z188" s="49">
        <v>32</v>
      </c>
      <c r="AA188" s="50">
        <v>17600</v>
      </c>
      <c r="AB188" s="49"/>
      <c r="AC188" s="53"/>
      <c r="AD188" s="49">
        <v>2</v>
      </c>
      <c r="AE188" s="53">
        <v>1100</v>
      </c>
      <c r="AF188" s="49"/>
      <c r="AG188" s="53"/>
      <c r="AH188" s="49">
        <v>22</v>
      </c>
      <c r="AI188" s="53">
        <v>12100</v>
      </c>
      <c r="AJ188" s="53"/>
      <c r="AK188" s="53"/>
      <c r="AL188" s="53"/>
      <c r="AM188" s="53"/>
      <c r="AN188" s="53">
        <v>50</v>
      </c>
      <c r="AO188" s="53">
        <v>27500</v>
      </c>
      <c r="AP188" s="62">
        <f t="shared" si="4"/>
        <v>216</v>
      </c>
      <c r="AQ188" s="55">
        <f t="shared" si="5"/>
        <v>118800</v>
      </c>
    </row>
    <row r="189" spans="1:43">
      <c r="A189" s="47">
        <v>149</v>
      </c>
      <c r="B189" s="56">
        <v>4971710595482</v>
      </c>
      <c r="C189" s="57" t="s">
        <v>785</v>
      </c>
      <c r="D189" s="75" t="s">
        <v>884</v>
      </c>
      <c r="E189" s="48" t="s">
        <v>998</v>
      </c>
      <c r="F189" s="58">
        <v>0</v>
      </c>
      <c r="G189" s="50">
        <v>0</v>
      </c>
      <c r="H189" s="51">
        <v>0</v>
      </c>
      <c r="I189" s="52">
        <v>0</v>
      </c>
      <c r="J189" s="49">
        <v>0</v>
      </c>
      <c r="K189" s="50">
        <v>0</v>
      </c>
      <c r="L189" s="49">
        <v>0</v>
      </c>
      <c r="M189" s="50">
        <v>0</v>
      </c>
      <c r="N189" s="49">
        <v>0</v>
      </c>
      <c r="O189" s="50">
        <v>0</v>
      </c>
      <c r="P189" s="49">
        <v>0</v>
      </c>
      <c r="Q189" s="53">
        <v>0</v>
      </c>
      <c r="R189" s="58"/>
      <c r="S189" s="59"/>
      <c r="T189" s="60"/>
      <c r="U189" s="61"/>
      <c r="V189" s="58"/>
      <c r="W189" s="59"/>
      <c r="X189" s="49">
        <v>200</v>
      </c>
      <c r="Y189" s="50">
        <v>165000</v>
      </c>
      <c r="Z189" s="49"/>
      <c r="AA189" s="50"/>
      <c r="AB189" s="49"/>
      <c r="AC189" s="53"/>
      <c r="AD189" s="49"/>
      <c r="AE189" s="53"/>
      <c r="AF189" s="49"/>
      <c r="AG189" s="53"/>
      <c r="AH189" s="49"/>
      <c r="AI189" s="53"/>
      <c r="AJ189" s="53"/>
      <c r="AK189" s="53"/>
      <c r="AL189" s="53"/>
      <c r="AM189" s="53"/>
      <c r="AN189" s="53">
        <v>11</v>
      </c>
      <c r="AO189" s="53">
        <v>9075</v>
      </c>
      <c r="AP189" s="62">
        <f t="shared" si="4"/>
        <v>211</v>
      </c>
      <c r="AQ189" s="55">
        <f t="shared" si="5"/>
        <v>174075</v>
      </c>
    </row>
    <row r="190" spans="1:43">
      <c r="A190" s="47">
        <v>160</v>
      </c>
      <c r="B190" s="56">
        <v>4971710489156</v>
      </c>
      <c r="C190" s="57" t="s">
        <v>84</v>
      </c>
      <c r="D190" s="75" t="s">
        <v>884</v>
      </c>
      <c r="E190" s="48" t="s">
        <v>85</v>
      </c>
      <c r="F190" s="58">
        <v>0</v>
      </c>
      <c r="G190" s="50">
        <v>0</v>
      </c>
      <c r="H190" s="51">
        <v>0</v>
      </c>
      <c r="I190" s="52">
        <v>0</v>
      </c>
      <c r="J190" s="49">
        <v>0</v>
      </c>
      <c r="K190" s="50">
        <v>0</v>
      </c>
      <c r="L190" s="49">
        <v>0</v>
      </c>
      <c r="M190" s="50">
        <v>0</v>
      </c>
      <c r="N190" s="49">
        <v>0</v>
      </c>
      <c r="O190" s="50">
        <v>0</v>
      </c>
      <c r="P190" s="49">
        <v>20</v>
      </c>
      <c r="Q190" s="53">
        <v>11000</v>
      </c>
      <c r="R190" s="58">
        <v>70</v>
      </c>
      <c r="S190" s="59">
        <v>38500</v>
      </c>
      <c r="T190" s="60"/>
      <c r="U190" s="61"/>
      <c r="V190" s="58"/>
      <c r="W190" s="59"/>
      <c r="X190" s="49">
        <v>20</v>
      </c>
      <c r="Y190" s="50">
        <v>11000</v>
      </c>
      <c r="Z190" s="49">
        <v>30</v>
      </c>
      <c r="AA190" s="50">
        <v>16500</v>
      </c>
      <c r="AB190" s="49"/>
      <c r="AC190" s="53"/>
      <c r="AD190" s="49">
        <v>20</v>
      </c>
      <c r="AE190" s="53">
        <v>11000</v>
      </c>
      <c r="AF190" s="49">
        <v>20</v>
      </c>
      <c r="AG190" s="53">
        <v>11000</v>
      </c>
      <c r="AH190" s="49">
        <v>30</v>
      </c>
      <c r="AI190" s="53">
        <v>16500</v>
      </c>
      <c r="AJ190" s="53"/>
      <c r="AK190" s="53"/>
      <c r="AL190" s="53"/>
      <c r="AM190" s="53"/>
      <c r="AN190" s="53"/>
      <c r="AO190" s="53"/>
      <c r="AP190" s="62">
        <f t="shared" si="4"/>
        <v>210</v>
      </c>
      <c r="AQ190" s="55">
        <f t="shared" si="5"/>
        <v>115500</v>
      </c>
    </row>
    <row r="191" spans="1:43">
      <c r="A191" s="47">
        <v>190</v>
      </c>
      <c r="B191" s="56">
        <v>4971710580464</v>
      </c>
      <c r="C191" s="57" t="s">
        <v>680</v>
      </c>
      <c r="D191" s="75" t="s">
        <v>880</v>
      </c>
      <c r="E191" s="48" t="s">
        <v>681</v>
      </c>
      <c r="F191" s="58">
        <v>0</v>
      </c>
      <c r="G191" s="50">
        <v>0</v>
      </c>
      <c r="H191" s="51">
        <v>0</v>
      </c>
      <c r="I191" s="52">
        <v>0</v>
      </c>
      <c r="J191" s="49">
        <v>0</v>
      </c>
      <c r="K191" s="50">
        <v>0</v>
      </c>
      <c r="L191" s="49">
        <v>0</v>
      </c>
      <c r="M191" s="50">
        <v>0</v>
      </c>
      <c r="N191" s="49">
        <v>30</v>
      </c>
      <c r="O191" s="50">
        <v>19800</v>
      </c>
      <c r="P191" s="49">
        <v>0</v>
      </c>
      <c r="Q191" s="53">
        <v>0</v>
      </c>
      <c r="R191" s="58"/>
      <c r="S191" s="59"/>
      <c r="T191" s="60">
        <v>64</v>
      </c>
      <c r="U191" s="61">
        <v>22440</v>
      </c>
      <c r="V191" s="58"/>
      <c r="W191" s="59"/>
      <c r="X191" s="49">
        <v>6</v>
      </c>
      <c r="Y191" s="50">
        <v>3960</v>
      </c>
      <c r="Z191" s="49">
        <v>30</v>
      </c>
      <c r="AA191" s="50">
        <v>19800</v>
      </c>
      <c r="AB191" s="49"/>
      <c r="AC191" s="53"/>
      <c r="AD191" s="49">
        <v>8</v>
      </c>
      <c r="AE191" s="53">
        <v>5280</v>
      </c>
      <c r="AF191" s="49">
        <v>22</v>
      </c>
      <c r="AG191" s="53">
        <v>14520</v>
      </c>
      <c r="AH191" s="49">
        <v>20</v>
      </c>
      <c r="AI191" s="53">
        <v>13200</v>
      </c>
      <c r="AJ191" s="53"/>
      <c r="AK191" s="53"/>
      <c r="AL191" s="53"/>
      <c r="AM191" s="53"/>
      <c r="AN191" s="53">
        <v>30</v>
      </c>
      <c r="AO191" s="53">
        <v>19800</v>
      </c>
      <c r="AP191" s="62">
        <f t="shared" si="4"/>
        <v>210</v>
      </c>
      <c r="AQ191" s="55">
        <f t="shared" si="5"/>
        <v>118800</v>
      </c>
    </row>
    <row r="192" spans="1:43">
      <c r="A192" s="47">
        <v>192</v>
      </c>
      <c r="B192" s="56">
        <v>4971710514162</v>
      </c>
      <c r="C192" s="57" t="s">
        <v>298</v>
      </c>
      <c r="D192" s="75" t="s">
        <v>880</v>
      </c>
      <c r="E192" s="48" t="s">
        <v>299</v>
      </c>
      <c r="F192" s="58">
        <v>0</v>
      </c>
      <c r="G192" s="50">
        <v>0</v>
      </c>
      <c r="H192" s="51">
        <v>0</v>
      </c>
      <c r="I192" s="52">
        <v>0</v>
      </c>
      <c r="J192" s="49">
        <v>0</v>
      </c>
      <c r="K192" s="50">
        <v>0</v>
      </c>
      <c r="L192" s="49">
        <v>0</v>
      </c>
      <c r="M192" s="50">
        <v>0</v>
      </c>
      <c r="N192" s="49">
        <v>0</v>
      </c>
      <c r="O192" s="50">
        <v>0</v>
      </c>
      <c r="P192" s="49">
        <v>60</v>
      </c>
      <c r="Q192" s="53">
        <v>29700</v>
      </c>
      <c r="R192" s="58">
        <v>120</v>
      </c>
      <c r="S192" s="59">
        <v>59400</v>
      </c>
      <c r="T192" s="60"/>
      <c r="U192" s="61"/>
      <c r="V192" s="58"/>
      <c r="W192" s="59"/>
      <c r="X192" s="49">
        <v>6</v>
      </c>
      <c r="Y192" s="50">
        <v>2970</v>
      </c>
      <c r="Z192" s="49"/>
      <c r="AA192" s="50"/>
      <c r="AB192" s="49"/>
      <c r="AC192" s="53"/>
      <c r="AD192" s="49"/>
      <c r="AE192" s="53"/>
      <c r="AF192" s="49"/>
      <c r="AG192" s="53"/>
      <c r="AH192" s="49"/>
      <c r="AI192" s="53"/>
      <c r="AJ192" s="53"/>
      <c r="AK192" s="53"/>
      <c r="AL192" s="53"/>
      <c r="AM192" s="53"/>
      <c r="AN192" s="53">
        <v>24</v>
      </c>
      <c r="AO192" s="53">
        <v>11880</v>
      </c>
      <c r="AP192" s="62">
        <f t="shared" si="4"/>
        <v>210</v>
      </c>
      <c r="AQ192" s="55">
        <f t="shared" si="5"/>
        <v>103950</v>
      </c>
    </row>
    <row r="193" spans="1:43">
      <c r="A193" s="47">
        <v>158</v>
      </c>
      <c r="B193" s="56">
        <v>4971710507607</v>
      </c>
      <c r="C193" s="57" t="s">
        <v>182</v>
      </c>
      <c r="D193" s="75" t="s">
        <v>884</v>
      </c>
      <c r="E193" s="48" t="s">
        <v>183</v>
      </c>
      <c r="F193" s="58">
        <v>0</v>
      </c>
      <c r="G193" s="50">
        <v>0</v>
      </c>
      <c r="H193" s="51">
        <v>0</v>
      </c>
      <c r="I193" s="52">
        <v>0</v>
      </c>
      <c r="J193" s="49">
        <v>0</v>
      </c>
      <c r="K193" s="50">
        <v>0</v>
      </c>
      <c r="L193" s="49">
        <v>0</v>
      </c>
      <c r="M193" s="50">
        <v>0</v>
      </c>
      <c r="N193" s="49">
        <v>0</v>
      </c>
      <c r="O193" s="50">
        <v>0</v>
      </c>
      <c r="P193" s="49">
        <v>5</v>
      </c>
      <c r="Q193" s="53">
        <v>3300</v>
      </c>
      <c r="R193" s="58"/>
      <c r="S193" s="59"/>
      <c r="T193" s="60">
        <v>16</v>
      </c>
      <c r="U193" s="61">
        <v>5280</v>
      </c>
      <c r="V193" s="58"/>
      <c r="W193" s="59"/>
      <c r="X193" s="49">
        <v>18</v>
      </c>
      <c r="Y193" s="50">
        <v>11880</v>
      </c>
      <c r="Z193" s="49"/>
      <c r="AA193" s="50"/>
      <c r="AB193" s="49"/>
      <c r="AC193" s="53"/>
      <c r="AD193" s="49">
        <v>12</v>
      </c>
      <c r="AE193" s="53">
        <v>7920</v>
      </c>
      <c r="AF193" s="49">
        <v>10</v>
      </c>
      <c r="AG193" s="53">
        <v>6600</v>
      </c>
      <c r="AH193" s="49">
        <v>130</v>
      </c>
      <c r="AI193" s="53">
        <v>85800</v>
      </c>
      <c r="AJ193" s="53"/>
      <c r="AK193" s="53"/>
      <c r="AL193" s="53"/>
      <c r="AM193" s="53"/>
      <c r="AN193" s="53">
        <v>14</v>
      </c>
      <c r="AO193" s="53">
        <v>9240</v>
      </c>
      <c r="AP193" s="62">
        <f t="shared" si="4"/>
        <v>205</v>
      </c>
      <c r="AQ193" s="55">
        <f t="shared" si="5"/>
        <v>130020</v>
      </c>
    </row>
    <row r="194" spans="1:43">
      <c r="A194" s="47">
        <v>216</v>
      </c>
      <c r="B194" s="56">
        <v>4971710579307</v>
      </c>
      <c r="C194" s="57" t="s">
        <v>650</v>
      </c>
      <c r="D194" s="75" t="s">
        <v>884</v>
      </c>
      <c r="E194" s="48" t="s">
        <v>651</v>
      </c>
      <c r="F194" s="58">
        <v>0</v>
      </c>
      <c r="G194" s="50">
        <v>0</v>
      </c>
      <c r="H194" s="51">
        <v>0</v>
      </c>
      <c r="I194" s="52">
        <v>0</v>
      </c>
      <c r="J194" s="49">
        <v>24</v>
      </c>
      <c r="K194" s="50">
        <v>18480</v>
      </c>
      <c r="L194" s="49">
        <v>0</v>
      </c>
      <c r="M194" s="50">
        <v>0</v>
      </c>
      <c r="N194" s="49">
        <v>0</v>
      </c>
      <c r="O194" s="50">
        <v>0</v>
      </c>
      <c r="P194" s="49">
        <v>0</v>
      </c>
      <c r="Q194" s="53">
        <v>0</v>
      </c>
      <c r="R194" s="58">
        <v>14</v>
      </c>
      <c r="S194" s="59">
        <v>10780</v>
      </c>
      <c r="T194" s="60">
        <v>104</v>
      </c>
      <c r="U194" s="61">
        <v>40040</v>
      </c>
      <c r="V194" s="58">
        <v>6</v>
      </c>
      <c r="W194" s="59">
        <v>4620</v>
      </c>
      <c r="X194" s="49"/>
      <c r="Y194" s="50"/>
      <c r="Z194" s="49">
        <v>50</v>
      </c>
      <c r="AA194" s="50">
        <v>38500</v>
      </c>
      <c r="AB194" s="49"/>
      <c r="AC194" s="53"/>
      <c r="AD194" s="49"/>
      <c r="AE194" s="53"/>
      <c r="AF194" s="49"/>
      <c r="AG194" s="53"/>
      <c r="AH194" s="49"/>
      <c r="AI194" s="53"/>
      <c r="AJ194" s="53"/>
      <c r="AK194" s="53"/>
      <c r="AL194" s="53"/>
      <c r="AM194" s="53"/>
      <c r="AN194" s="53"/>
      <c r="AO194" s="53"/>
      <c r="AP194" s="62">
        <f t="shared" si="4"/>
        <v>198</v>
      </c>
      <c r="AQ194" s="55">
        <f t="shared" si="5"/>
        <v>112420</v>
      </c>
    </row>
    <row r="195" spans="1:43">
      <c r="A195" s="47">
        <v>212</v>
      </c>
      <c r="B195" s="56">
        <v>4971710584066</v>
      </c>
      <c r="C195" s="57" t="s">
        <v>702</v>
      </c>
      <c r="D195" s="75" t="s">
        <v>884</v>
      </c>
      <c r="E195" s="48" t="s">
        <v>703</v>
      </c>
      <c r="F195" s="58">
        <v>0</v>
      </c>
      <c r="G195" s="50">
        <v>0</v>
      </c>
      <c r="H195" s="51">
        <v>50</v>
      </c>
      <c r="I195" s="52">
        <v>35750</v>
      </c>
      <c r="J195" s="49">
        <v>0</v>
      </c>
      <c r="K195" s="50">
        <v>0</v>
      </c>
      <c r="L195" s="49">
        <v>10</v>
      </c>
      <c r="M195" s="50">
        <v>7150</v>
      </c>
      <c r="N195" s="49">
        <v>0</v>
      </c>
      <c r="O195" s="50">
        <v>0</v>
      </c>
      <c r="P195" s="49">
        <v>0</v>
      </c>
      <c r="Q195" s="53">
        <v>0</v>
      </c>
      <c r="R195" s="58">
        <v>80</v>
      </c>
      <c r="S195" s="59">
        <v>57200</v>
      </c>
      <c r="T195" s="60">
        <v>12</v>
      </c>
      <c r="U195" s="61">
        <v>4290</v>
      </c>
      <c r="V195" s="58">
        <v>20</v>
      </c>
      <c r="W195" s="59">
        <v>14300</v>
      </c>
      <c r="X195" s="49"/>
      <c r="Y195" s="50"/>
      <c r="Z195" s="49">
        <v>2</v>
      </c>
      <c r="AA195" s="50">
        <v>1430</v>
      </c>
      <c r="AB195" s="49"/>
      <c r="AC195" s="53"/>
      <c r="AD195" s="49"/>
      <c r="AE195" s="53"/>
      <c r="AF195" s="49"/>
      <c r="AG195" s="53"/>
      <c r="AH195" s="49">
        <v>3</v>
      </c>
      <c r="AI195" s="53">
        <v>2145</v>
      </c>
      <c r="AJ195" s="53"/>
      <c r="AK195" s="53"/>
      <c r="AL195" s="53"/>
      <c r="AM195" s="53"/>
      <c r="AN195" s="53">
        <v>16</v>
      </c>
      <c r="AO195" s="53">
        <v>11440</v>
      </c>
      <c r="AP195" s="62">
        <f t="shared" ref="AP195:AP258" si="6">F195+H195+J195+L195+N195+P195+R195+T195+V195+X195+Z195+AB195+AD195+AF195+AH195+AJ195+AL195+AN195</f>
        <v>193</v>
      </c>
      <c r="AQ195" s="55">
        <f t="shared" ref="AQ195:AQ258" si="7">G195+I195+K195+M195+O195+Q195+S195+U195+W195+Y195+AA195+AC195+AE195+AG195+AI195+AK195+AM195+AO195</f>
        <v>133705</v>
      </c>
    </row>
    <row r="196" spans="1:43">
      <c r="A196" s="47">
        <v>189</v>
      </c>
      <c r="B196" s="56">
        <v>4971710485745</v>
      </c>
      <c r="C196" s="57" t="s">
        <v>44</v>
      </c>
      <c r="D196" s="75" t="s">
        <v>884</v>
      </c>
      <c r="E196" s="48" t="s">
        <v>45</v>
      </c>
      <c r="F196" s="58">
        <v>0</v>
      </c>
      <c r="G196" s="50">
        <v>0</v>
      </c>
      <c r="H196" s="51">
        <v>0</v>
      </c>
      <c r="I196" s="52">
        <v>0</v>
      </c>
      <c r="J196" s="49">
        <v>10</v>
      </c>
      <c r="K196" s="50">
        <v>5500</v>
      </c>
      <c r="L196" s="49">
        <v>20</v>
      </c>
      <c r="M196" s="50">
        <v>11000</v>
      </c>
      <c r="N196" s="49">
        <v>0</v>
      </c>
      <c r="O196" s="50">
        <v>0</v>
      </c>
      <c r="P196" s="49">
        <v>10</v>
      </c>
      <c r="Q196" s="53">
        <v>5500</v>
      </c>
      <c r="R196" s="58">
        <v>10</v>
      </c>
      <c r="S196" s="59">
        <v>5500</v>
      </c>
      <c r="T196" s="60"/>
      <c r="U196" s="61"/>
      <c r="V196" s="58">
        <v>10</v>
      </c>
      <c r="W196" s="59">
        <v>5500</v>
      </c>
      <c r="X196" s="49">
        <v>20</v>
      </c>
      <c r="Y196" s="50">
        <v>11000</v>
      </c>
      <c r="Z196" s="49">
        <v>60</v>
      </c>
      <c r="AA196" s="50">
        <v>33000</v>
      </c>
      <c r="AB196" s="49"/>
      <c r="AC196" s="53"/>
      <c r="AD196" s="49"/>
      <c r="AE196" s="53"/>
      <c r="AF196" s="49"/>
      <c r="AG196" s="53"/>
      <c r="AH196" s="49"/>
      <c r="AI196" s="53"/>
      <c r="AJ196" s="53"/>
      <c r="AK196" s="53"/>
      <c r="AL196" s="53"/>
      <c r="AM196" s="53"/>
      <c r="AN196" s="53">
        <v>50</v>
      </c>
      <c r="AO196" s="53">
        <v>27500</v>
      </c>
      <c r="AP196" s="62">
        <f t="shared" si="6"/>
        <v>190</v>
      </c>
      <c r="AQ196" s="55">
        <f t="shared" si="7"/>
        <v>104500</v>
      </c>
    </row>
    <row r="197" spans="1:43">
      <c r="A197" s="47">
        <v>204</v>
      </c>
      <c r="B197" s="56">
        <v>4971710564891</v>
      </c>
      <c r="C197" s="57" t="s">
        <v>497</v>
      </c>
      <c r="D197" s="75" t="s">
        <v>880</v>
      </c>
      <c r="E197" s="48" t="s">
        <v>498</v>
      </c>
      <c r="F197" s="58">
        <v>0</v>
      </c>
      <c r="G197" s="50">
        <v>0</v>
      </c>
      <c r="H197" s="51">
        <v>0</v>
      </c>
      <c r="I197" s="52">
        <v>0</v>
      </c>
      <c r="J197" s="49">
        <v>20</v>
      </c>
      <c r="K197" s="50">
        <v>11000</v>
      </c>
      <c r="L197" s="49">
        <v>0</v>
      </c>
      <c r="M197" s="50">
        <v>0</v>
      </c>
      <c r="N197" s="49">
        <v>30</v>
      </c>
      <c r="O197" s="50">
        <v>16500</v>
      </c>
      <c r="P197" s="49">
        <v>0</v>
      </c>
      <c r="Q197" s="53">
        <v>0</v>
      </c>
      <c r="R197" s="58">
        <v>6</v>
      </c>
      <c r="S197" s="59">
        <v>3300</v>
      </c>
      <c r="T197" s="60"/>
      <c r="U197" s="61"/>
      <c r="V197" s="58"/>
      <c r="W197" s="59"/>
      <c r="X197" s="49">
        <v>34</v>
      </c>
      <c r="Y197" s="50">
        <v>18700</v>
      </c>
      <c r="Z197" s="49">
        <v>30</v>
      </c>
      <c r="AA197" s="50">
        <v>16500</v>
      </c>
      <c r="AB197" s="49">
        <v>8</v>
      </c>
      <c r="AC197" s="53">
        <v>4400</v>
      </c>
      <c r="AD197" s="49">
        <v>2</v>
      </c>
      <c r="AE197" s="53">
        <v>1100</v>
      </c>
      <c r="AF197" s="49"/>
      <c r="AG197" s="53"/>
      <c r="AH197" s="49">
        <v>60</v>
      </c>
      <c r="AI197" s="53">
        <v>33000</v>
      </c>
      <c r="AJ197" s="53"/>
      <c r="AK197" s="53"/>
      <c r="AL197" s="53"/>
      <c r="AM197" s="53"/>
      <c r="AN197" s="53"/>
      <c r="AO197" s="53"/>
      <c r="AP197" s="62">
        <f t="shared" si="6"/>
        <v>190</v>
      </c>
      <c r="AQ197" s="55">
        <f t="shared" si="7"/>
        <v>104500</v>
      </c>
    </row>
    <row r="198" spans="1:43">
      <c r="A198" s="47">
        <v>214</v>
      </c>
      <c r="B198" s="56">
        <v>4971710514131</v>
      </c>
      <c r="C198" s="57" t="s">
        <v>294</v>
      </c>
      <c r="D198" s="75" t="s">
        <v>880</v>
      </c>
      <c r="E198" s="48" t="s">
        <v>295</v>
      </c>
      <c r="F198" s="58">
        <v>0</v>
      </c>
      <c r="G198" s="50">
        <v>0</v>
      </c>
      <c r="H198" s="51">
        <v>0</v>
      </c>
      <c r="I198" s="52">
        <v>0</v>
      </c>
      <c r="J198" s="49">
        <v>0</v>
      </c>
      <c r="K198" s="50">
        <v>0</v>
      </c>
      <c r="L198" s="49">
        <v>0</v>
      </c>
      <c r="M198" s="50">
        <v>0</v>
      </c>
      <c r="N198" s="49">
        <v>0</v>
      </c>
      <c r="O198" s="50">
        <v>0</v>
      </c>
      <c r="P198" s="49">
        <v>60</v>
      </c>
      <c r="Q198" s="53">
        <v>29700</v>
      </c>
      <c r="R198" s="58">
        <v>120</v>
      </c>
      <c r="S198" s="59">
        <v>59400</v>
      </c>
      <c r="T198" s="60"/>
      <c r="U198" s="61"/>
      <c r="V198" s="58"/>
      <c r="W198" s="59"/>
      <c r="X198" s="49">
        <v>6</v>
      </c>
      <c r="Y198" s="50">
        <v>2970</v>
      </c>
      <c r="Z198" s="49"/>
      <c r="AA198" s="50"/>
      <c r="AB198" s="49"/>
      <c r="AC198" s="53"/>
      <c r="AD198" s="49"/>
      <c r="AE198" s="53"/>
      <c r="AF198" s="49"/>
      <c r="AG198" s="53"/>
      <c r="AH198" s="49"/>
      <c r="AI198" s="53"/>
      <c r="AJ198" s="53"/>
      <c r="AK198" s="53"/>
      <c r="AL198" s="53"/>
      <c r="AM198" s="53"/>
      <c r="AN198" s="53"/>
      <c r="AO198" s="53"/>
      <c r="AP198" s="62">
        <f t="shared" si="6"/>
        <v>186</v>
      </c>
      <c r="AQ198" s="55">
        <f t="shared" si="7"/>
        <v>92070</v>
      </c>
    </row>
    <row r="199" spans="1:43">
      <c r="A199" s="47">
        <v>185</v>
      </c>
      <c r="B199" s="56">
        <v>4971710496451</v>
      </c>
      <c r="C199" s="57" t="s">
        <v>168</v>
      </c>
      <c r="D199" s="75" t="s">
        <v>884</v>
      </c>
      <c r="E199" s="48" t="s">
        <v>169</v>
      </c>
      <c r="F199" s="58">
        <v>0</v>
      </c>
      <c r="G199" s="50">
        <v>0</v>
      </c>
      <c r="H199" s="51">
        <v>0</v>
      </c>
      <c r="I199" s="52">
        <v>0</v>
      </c>
      <c r="J199" s="49">
        <v>0</v>
      </c>
      <c r="K199" s="50">
        <v>0</v>
      </c>
      <c r="L199" s="49">
        <v>10</v>
      </c>
      <c r="M199" s="50">
        <v>8250</v>
      </c>
      <c r="N199" s="49">
        <v>20</v>
      </c>
      <c r="O199" s="50">
        <v>16500</v>
      </c>
      <c r="P199" s="49">
        <v>0</v>
      </c>
      <c r="Q199" s="53">
        <v>0</v>
      </c>
      <c r="R199" s="58">
        <v>50</v>
      </c>
      <c r="S199" s="59">
        <v>41250</v>
      </c>
      <c r="T199" s="60">
        <v>4</v>
      </c>
      <c r="U199" s="61">
        <v>1650</v>
      </c>
      <c r="V199" s="58"/>
      <c r="W199" s="59"/>
      <c r="X199" s="49">
        <v>10</v>
      </c>
      <c r="Y199" s="50">
        <v>8250</v>
      </c>
      <c r="Z199" s="49">
        <v>15</v>
      </c>
      <c r="AA199" s="50">
        <v>12375</v>
      </c>
      <c r="AB199" s="49">
        <v>30</v>
      </c>
      <c r="AC199" s="53">
        <v>24750</v>
      </c>
      <c r="AD199" s="49">
        <v>24</v>
      </c>
      <c r="AE199" s="53">
        <v>19800</v>
      </c>
      <c r="AF199" s="49">
        <v>20</v>
      </c>
      <c r="AG199" s="53">
        <v>16500</v>
      </c>
      <c r="AH199" s="49">
        <v>1</v>
      </c>
      <c r="AI199" s="53">
        <v>825</v>
      </c>
      <c r="AJ199" s="53"/>
      <c r="AK199" s="53"/>
      <c r="AL199" s="53"/>
      <c r="AM199" s="53"/>
      <c r="AN199" s="53"/>
      <c r="AO199" s="53"/>
      <c r="AP199" s="62">
        <f t="shared" si="6"/>
        <v>184</v>
      </c>
      <c r="AQ199" s="55">
        <f t="shared" si="7"/>
        <v>150150</v>
      </c>
    </row>
    <row r="200" spans="1:43">
      <c r="A200" s="47">
        <v>224</v>
      </c>
      <c r="B200" s="56">
        <v>4971710521498</v>
      </c>
      <c r="C200" s="57" t="s">
        <v>362</v>
      </c>
      <c r="D200" s="75" t="s">
        <v>884</v>
      </c>
      <c r="E200" s="48" t="s">
        <v>363</v>
      </c>
      <c r="F200" s="58">
        <v>0</v>
      </c>
      <c r="G200" s="50">
        <v>0</v>
      </c>
      <c r="H200" s="51">
        <v>60</v>
      </c>
      <c r="I200" s="52">
        <v>42900</v>
      </c>
      <c r="J200" s="49">
        <v>0</v>
      </c>
      <c r="K200" s="50">
        <v>0</v>
      </c>
      <c r="L200" s="49">
        <v>0</v>
      </c>
      <c r="M200" s="50">
        <v>0</v>
      </c>
      <c r="N200" s="49">
        <v>20</v>
      </c>
      <c r="O200" s="50">
        <v>14300</v>
      </c>
      <c r="P200" s="49">
        <v>0</v>
      </c>
      <c r="Q200" s="53">
        <v>0</v>
      </c>
      <c r="R200" s="58"/>
      <c r="S200" s="59"/>
      <c r="T200" s="60">
        <v>4</v>
      </c>
      <c r="U200" s="61">
        <v>1430</v>
      </c>
      <c r="V200" s="58"/>
      <c r="W200" s="59"/>
      <c r="X200" s="49">
        <v>4</v>
      </c>
      <c r="Y200" s="50">
        <v>2860</v>
      </c>
      <c r="Z200" s="49">
        <v>2</v>
      </c>
      <c r="AA200" s="50">
        <v>1430</v>
      </c>
      <c r="AB200" s="49">
        <v>30</v>
      </c>
      <c r="AC200" s="53">
        <v>21450</v>
      </c>
      <c r="AD200" s="49">
        <v>22</v>
      </c>
      <c r="AE200" s="53">
        <v>15730</v>
      </c>
      <c r="AF200" s="49">
        <v>20</v>
      </c>
      <c r="AG200" s="53">
        <v>14300</v>
      </c>
      <c r="AH200" s="49">
        <v>2</v>
      </c>
      <c r="AI200" s="53">
        <v>1430</v>
      </c>
      <c r="AJ200" s="53"/>
      <c r="AK200" s="53"/>
      <c r="AL200" s="53"/>
      <c r="AM200" s="53"/>
      <c r="AN200" s="53">
        <v>20</v>
      </c>
      <c r="AO200" s="53">
        <v>14300</v>
      </c>
      <c r="AP200" s="62">
        <f t="shared" si="6"/>
        <v>184</v>
      </c>
      <c r="AQ200" s="55">
        <f t="shared" si="7"/>
        <v>130130</v>
      </c>
    </row>
    <row r="201" spans="1:43">
      <c r="A201" s="47">
        <v>215</v>
      </c>
      <c r="B201" s="56">
        <v>4971710513844</v>
      </c>
      <c r="C201" s="57" t="s">
        <v>288</v>
      </c>
      <c r="D201" s="75" t="s">
        <v>880</v>
      </c>
      <c r="E201" s="48" t="s">
        <v>289</v>
      </c>
      <c r="F201" s="58">
        <v>0</v>
      </c>
      <c r="G201" s="50">
        <v>0</v>
      </c>
      <c r="H201" s="51">
        <v>30</v>
      </c>
      <c r="I201" s="52">
        <v>19800</v>
      </c>
      <c r="J201" s="49">
        <v>0</v>
      </c>
      <c r="K201" s="50">
        <v>0</v>
      </c>
      <c r="L201" s="49">
        <v>0</v>
      </c>
      <c r="M201" s="50">
        <v>0</v>
      </c>
      <c r="N201" s="49">
        <v>0</v>
      </c>
      <c r="O201" s="50">
        <v>0</v>
      </c>
      <c r="P201" s="49">
        <v>30</v>
      </c>
      <c r="Q201" s="53">
        <v>19800</v>
      </c>
      <c r="R201" s="58">
        <v>30</v>
      </c>
      <c r="S201" s="59">
        <v>19800</v>
      </c>
      <c r="T201" s="60">
        <v>33</v>
      </c>
      <c r="U201" s="61">
        <v>21780</v>
      </c>
      <c r="V201" s="58"/>
      <c r="W201" s="59"/>
      <c r="X201" s="49"/>
      <c r="Y201" s="50"/>
      <c r="Z201" s="49"/>
      <c r="AA201" s="50"/>
      <c r="AB201" s="49"/>
      <c r="AC201" s="53"/>
      <c r="AD201" s="49">
        <v>30</v>
      </c>
      <c r="AE201" s="53">
        <v>19800</v>
      </c>
      <c r="AF201" s="49">
        <v>30</v>
      </c>
      <c r="AG201" s="53">
        <v>19800</v>
      </c>
      <c r="AH201" s="49"/>
      <c r="AI201" s="53"/>
      <c r="AJ201" s="53"/>
      <c r="AK201" s="53"/>
      <c r="AL201" s="53"/>
      <c r="AM201" s="53"/>
      <c r="AN201" s="53"/>
      <c r="AO201" s="53"/>
      <c r="AP201" s="62">
        <f t="shared" si="6"/>
        <v>183</v>
      </c>
      <c r="AQ201" s="55">
        <f t="shared" si="7"/>
        <v>120780</v>
      </c>
    </row>
    <row r="202" spans="1:43">
      <c r="A202" s="47">
        <v>229</v>
      </c>
      <c r="B202" s="56">
        <v>4971710494877</v>
      </c>
      <c r="C202" s="57" t="s">
        <v>128</v>
      </c>
      <c r="D202" s="75" t="s">
        <v>884</v>
      </c>
      <c r="E202" s="48" t="s">
        <v>129</v>
      </c>
      <c r="F202" s="58">
        <v>0</v>
      </c>
      <c r="G202" s="50">
        <v>0</v>
      </c>
      <c r="H202" s="51">
        <v>0</v>
      </c>
      <c r="I202" s="52">
        <v>0</v>
      </c>
      <c r="J202" s="49">
        <v>5</v>
      </c>
      <c r="K202" s="50">
        <v>3025</v>
      </c>
      <c r="L202" s="49">
        <v>50</v>
      </c>
      <c r="M202" s="50">
        <v>30250</v>
      </c>
      <c r="N202" s="49">
        <v>0</v>
      </c>
      <c r="O202" s="50">
        <v>0</v>
      </c>
      <c r="P202" s="49">
        <v>0</v>
      </c>
      <c r="Q202" s="53">
        <v>0</v>
      </c>
      <c r="R202" s="58">
        <v>20</v>
      </c>
      <c r="S202" s="59">
        <v>12100</v>
      </c>
      <c r="T202" s="60">
        <v>60</v>
      </c>
      <c r="U202" s="61">
        <v>18150</v>
      </c>
      <c r="V202" s="58"/>
      <c r="W202" s="59"/>
      <c r="X202" s="49">
        <v>26</v>
      </c>
      <c r="Y202" s="50">
        <v>15730</v>
      </c>
      <c r="Z202" s="49">
        <v>20</v>
      </c>
      <c r="AA202" s="50">
        <v>12100</v>
      </c>
      <c r="AB202" s="49"/>
      <c r="AC202" s="53"/>
      <c r="AD202" s="49"/>
      <c r="AE202" s="53"/>
      <c r="AF202" s="49"/>
      <c r="AG202" s="53"/>
      <c r="AH202" s="49"/>
      <c r="AI202" s="53"/>
      <c r="AJ202" s="53"/>
      <c r="AK202" s="53"/>
      <c r="AL202" s="53"/>
      <c r="AM202" s="53"/>
      <c r="AN202" s="53"/>
      <c r="AO202" s="53"/>
      <c r="AP202" s="62">
        <f t="shared" si="6"/>
        <v>181</v>
      </c>
      <c r="AQ202" s="55">
        <f t="shared" si="7"/>
        <v>91355</v>
      </c>
    </row>
    <row r="203" spans="1:43">
      <c r="A203" s="47">
        <v>265</v>
      </c>
      <c r="B203" s="56">
        <v>4971710494860</v>
      </c>
      <c r="C203" s="57" t="s">
        <v>126</v>
      </c>
      <c r="D203" s="75" t="s">
        <v>884</v>
      </c>
      <c r="E203" s="48" t="s">
        <v>127</v>
      </c>
      <c r="F203" s="58">
        <v>0</v>
      </c>
      <c r="G203" s="50">
        <v>0</v>
      </c>
      <c r="H203" s="51">
        <v>0</v>
      </c>
      <c r="I203" s="52">
        <v>0</v>
      </c>
      <c r="J203" s="49">
        <v>0</v>
      </c>
      <c r="K203" s="50">
        <v>0</v>
      </c>
      <c r="L203" s="49">
        <v>70</v>
      </c>
      <c r="M203" s="50">
        <v>42350</v>
      </c>
      <c r="N203" s="49">
        <v>25</v>
      </c>
      <c r="O203" s="50">
        <v>15125</v>
      </c>
      <c r="P203" s="49">
        <v>0</v>
      </c>
      <c r="Q203" s="53">
        <v>0</v>
      </c>
      <c r="R203" s="58">
        <v>50</v>
      </c>
      <c r="S203" s="59">
        <v>30250</v>
      </c>
      <c r="T203" s="60">
        <v>36</v>
      </c>
      <c r="U203" s="61">
        <v>10890</v>
      </c>
      <c r="V203" s="58"/>
      <c r="W203" s="59"/>
      <c r="X203" s="49"/>
      <c r="Y203" s="50"/>
      <c r="Z203" s="49"/>
      <c r="AA203" s="50"/>
      <c r="AB203" s="49"/>
      <c r="AC203" s="53"/>
      <c r="AD203" s="49"/>
      <c r="AE203" s="53"/>
      <c r="AF203" s="49"/>
      <c r="AG203" s="53"/>
      <c r="AH203" s="49"/>
      <c r="AI203" s="53"/>
      <c r="AJ203" s="53"/>
      <c r="AK203" s="53"/>
      <c r="AL203" s="53"/>
      <c r="AM203" s="53"/>
      <c r="AN203" s="53"/>
      <c r="AO203" s="53"/>
      <c r="AP203" s="62">
        <f t="shared" si="6"/>
        <v>181</v>
      </c>
      <c r="AQ203" s="55">
        <f t="shared" si="7"/>
        <v>98615</v>
      </c>
    </row>
    <row r="204" spans="1:43">
      <c r="A204" s="47">
        <v>198</v>
      </c>
      <c r="B204" s="56">
        <v>4971710512243</v>
      </c>
      <c r="C204" s="57" t="s">
        <v>244</v>
      </c>
      <c r="D204" s="75" t="s">
        <v>884</v>
      </c>
      <c r="E204" s="48" t="s">
        <v>245</v>
      </c>
      <c r="F204" s="58">
        <v>10</v>
      </c>
      <c r="G204" s="50">
        <v>4400</v>
      </c>
      <c r="H204" s="51">
        <v>0</v>
      </c>
      <c r="I204" s="52">
        <v>0</v>
      </c>
      <c r="J204" s="49">
        <v>0</v>
      </c>
      <c r="K204" s="50">
        <v>0</v>
      </c>
      <c r="L204" s="49">
        <v>20</v>
      </c>
      <c r="M204" s="50">
        <v>8800</v>
      </c>
      <c r="N204" s="49">
        <v>0</v>
      </c>
      <c r="O204" s="50">
        <v>0</v>
      </c>
      <c r="P204" s="49">
        <v>0</v>
      </c>
      <c r="Q204" s="53">
        <v>0</v>
      </c>
      <c r="R204" s="58">
        <v>40</v>
      </c>
      <c r="S204" s="59">
        <v>17600</v>
      </c>
      <c r="T204" s="60">
        <v>8</v>
      </c>
      <c r="U204" s="61">
        <v>1760</v>
      </c>
      <c r="V204" s="58"/>
      <c r="W204" s="59"/>
      <c r="X204" s="49">
        <v>36</v>
      </c>
      <c r="Y204" s="50">
        <v>15840</v>
      </c>
      <c r="Z204" s="49">
        <v>6</v>
      </c>
      <c r="AA204" s="50">
        <v>2640</v>
      </c>
      <c r="AB204" s="49"/>
      <c r="AC204" s="53"/>
      <c r="AD204" s="49">
        <v>30</v>
      </c>
      <c r="AE204" s="53">
        <v>13200</v>
      </c>
      <c r="AF204" s="49">
        <v>30</v>
      </c>
      <c r="AG204" s="53">
        <v>13200</v>
      </c>
      <c r="AH204" s="49"/>
      <c r="AI204" s="53"/>
      <c r="AJ204" s="53"/>
      <c r="AK204" s="53"/>
      <c r="AL204" s="53"/>
      <c r="AM204" s="53"/>
      <c r="AN204" s="53"/>
      <c r="AO204" s="53"/>
      <c r="AP204" s="62">
        <f t="shared" si="6"/>
        <v>180</v>
      </c>
      <c r="AQ204" s="55">
        <f t="shared" si="7"/>
        <v>77440</v>
      </c>
    </row>
    <row r="205" spans="1:43">
      <c r="A205" s="47">
        <v>202</v>
      </c>
      <c r="B205" s="56">
        <v>4971710485714</v>
      </c>
      <c r="C205" s="57" t="s">
        <v>40</v>
      </c>
      <c r="D205" s="75" t="s">
        <v>884</v>
      </c>
      <c r="E205" s="48" t="s">
        <v>41</v>
      </c>
      <c r="F205" s="58">
        <v>0</v>
      </c>
      <c r="G205" s="50">
        <v>0</v>
      </c>
      <c r="H205" s="51">
        <v>0</v>
      </c>
      <c r="I205" s="52">
        <v>0</v>
      </c>
      <c r="J205" s="49">
        <v>20</v>
      </c>
      <c r="K205" s="50">
        <v>11000</v>
      </c>
      <c r="L205" s="49">
        <v>20</v>
      </c>
      <c r="M205" s="50">
        <v>11000</v>
      </c>
      <c r="N205" s="49">
        <v>0</v>
      </c>
      <c r="O205" s="50">
        <v>0</v>
      </c>
      <c r="P205" s="49">
        <v>0</v>
      </c>
      <c r="Q205" s="53">
        <v>0</v>
      </c>
      <c r="R205" s="58">
        <v>30</v>
      </c>
      <c r="S205" s="59">
        <v>16500</v>
      </c>
      <c r="T205" s="60"/>
      <c r="U205" s="61"/>
      <c r="V205" s="58"/>
      <c r="W205" s="59"/>
      <c r="X205" s="49"/>
      <c r="Y205" s="50"/>
      <c r="Z205" s="49">
        <v>60</v>
      </c>
      <c r="AA205" s="50">
        <v>33000</v>
      </c>
      <c r="AB205" s="49"/>
      <c r="AC205" s="53"/>
      <c r="AD205" s="49"/>
      <c r="AE205" s="53"/>
      <c r="AF205" s="49"/>
      <c r="AG205" s="53"/>
      <c r="AH205" s="49"/>
      <c r="AI205" s="53"/>
      <c r="AJ205" s="53"/>
      <c r="AK205" s="53"/>
      <c r="AL205" s="53"/>
      <c r="AM205" s="53"/>
      <c r="AN205" s="53">
        <v>50</v>
      </c>
      <c r="AO205" s="53">
        <v>27500</v>
      </c>
      <c r="AP205" s="62">
        <f t="shared" si="6"/>
        <v>180</v>
      </c>
      <c r="AQ205" s="55">
        <f t="shared" si="7"/>
        <v>99000</v>
      </c>
    </row>
    <row r="206" spans="1:43">
      <c r="A206" s="47">
        <v>222</v>
      </c>
      <c r="B206" s="56">
        <v>4971710579802</v>
      </c>
      <c r="C206" s="57" t="s">
        <v>656</v>
      </c>
      <c r="D206" s="75" t="s">
        <v>884</v>
      </c>
      <c r="E206" s="48" t="s">
        <v>657</v>
      </c>
      <c r="F206" s="58">
        <v>10</v>
      </c>
      <c r="G206" s="50">
        <v>6600</v>
      </c>
      <c r="H206" s="51">
        <v>30</v>
      </c>
      <c r="I206" s="52">
        <v>19800</v>
      </c>
      <c r="J206" s="49">
        <v>0</v>
      </c>
      <c r="K206" s="50">
        <v>0</v>
      </c>
      <c r="L206" s="49">
        <v>0</v>
      </c>
      <c r="M206" s="50">
        <v>0</v>
      </c>
      <c r="N206" s="49">
        <v>0</v>
      </c>
      <c r="O206" s="50">
        <v>0</v>
      </c>
      <c r="P206" s="49">
        <v>30</v>
      </c>
      <c r="Q206" s="53">
        <v>19800</v>
      </c>
      <c r="R206" s="58">
        <v>30</v>
      </c>
      <c r="S206" s="59">
        <v>19800</v>
      </c>
      <c r="T206" s="60"/>
      <c r="U206" s="61"/>
      <c r="V206" s="58"/>
      <c r="W206" s="59"/>
      <c r="X206" s="49">
        <v>30</v>
      </c>
      <c r="Y206" s="50">
        <v>19800</v>
      </c>
      <c r="Z206" s="49"/>
      <c r="AA206" s="50"/>
      <c r="AB206" s="49"/>
      <c r="AC206" s="53"/>
      <c r="AD206" s="49"/>
      <c r="AE206" s="53"/>
      <c r="AF206" s="49">
        <v>10</v>
      </c>
      <c r="AG206" s="53">
        <v>6600</v>
      </c>
      <c r="AH206" s="49">
        <v>30</v>
      </c>
      <c r="AI206" s="53">
        <v>19800</v>
      </c>
      <c r="AJ206" s="53"/>
      <c r="AK206" s="53"/>
      <c r="AL206" s="53"/>
      <c r="AM206" s="53"/>
      <c r="AN206" s="53">
        <v>10</v>
      </c>
      <c r="AO206" s="53">
        <v>6600</v>
      </c>
      <c r="AP206" s="62">
        <f t="shared" si="6"/>
        <v>180</v>
      </c>
      <c r="AQ206" s="55">
        <f t="shared" si="7"/>
        <v>118800</v>
      </c>
    </row>
    <row r="207" spans="1:43">
      <c r="A207" s="47">
        <v>167</v>
      </c>
      <c r="B207" s="56">
        <v>4971710584691</v>
      </c>
      <c r="C207" s="57" t="s">
        <v>706</v>
      </c>
      <c r="D207" s="75" t="s">
        <v>880</v>
      </c>
      <c r="E207" s="48" t="s">
        <v>707</v>
      </c>
      <c r="F207" s="58">
        <v>0</v>
      </c>
      <c r="G207" s="50">
        <v>0</v>
      </c>
      <c r="H207" s="51">
        <v>0</v>
      </c>
      <c r="I207" s="52">
        <v>0</v>
      </c>
      <c r="J207" s="49">
        <v>0</v>
      </c>
      <c r="K207" s="50">
        <v>0</v>
      </c>
      <c r="L207" s="49">
        <v>0</v>
      </c>
      <c r="M207" s="50">
        <v>0</v>
      </c>
      <c r="N207" s="49">
        <v>0</v>
      </c>
      <c r="O207" s="50">
        <v>0</v>
      </c>
      <c r="P207" s="49">
        <v>0</v>
      </c>
      <c r="Q207" s="53">
        <v>0</v>
      </c>
      <c r="R207" s="58">
        <v>30</v>
      </c>
      <c r="S207" s="59">
        <v>10710</v>
      </c>
      <c r="T207" s="60"/>
      <c r="U207" s="61"/>
      <c r="V207" s="58">
        <v>2</v>
      </c>
      <c r="W207" s="59">
        <v>714</v>
      </c>
      <c r="X207" s="49"/>
      <c r="Y207" s="50"/>
      <c r="Z207" s="49">
        <v>30</v>
      </c>
      <c r="AA207" s="50">
        <v>10710</v>
      </c>
      <c r="AB207" s="49">
        <v>6</v>
      </c>
      <c r="AC207" s="53">
        <v>2142</v>
      </c>
      <c r="AD207" s="49"/>
      <c r="AE207" s="53"/>
      <c r="AF207" s="49">
        <v>4</v>
      </c>
      <c r="AG207" s="53">
        <v>1428</v>
      </c>
      <c r="AH207" s="49">
        <v>52</v>
      </c>
      <c r="AI207" s="53">
        <v>18564</v>
      </c>
      <c r="AJ207" s="53"/>
      <c r="AK207" s="53"/>
      <c r="AL207" s="53"/>
      <c r="AM207" s="53"/>
      <c r="AN207" s="53">
        <v>54</v>
      </c>
      <c r="AO207" s="53">
        <v>19278</v>
      </c>
      <c r="AP207" s="62">
        <f t="shared" si="6"/>
        <v>178</v>
      </c>
      <c r="AQ207" s="55">
        <f t="shared" si="7"/>
        <v>63546</v>
      </c>
    </row>
    <row r="208" spans="1:43">
      <c r="A208" s="47">
        <v>169</v>
      </c>
      <c r="B208" s="56">
        <v>4971710599671</v>
      </c>
      <c r="C208" s="57" t="s">
        <v>955</v>
      </c>
      <c r="D208" s="75" t="s">
        <v>884</v>
      </c>
      <c r="E208" s="48" t="s">
        <v>956</v>
      </c>
      <c r="F208" s="58"/>
      <c r="G208" s="50"/>
      <c r="H208" s="51"/>
      <c r="I208" s="52"/>
      <c r="J208" s="49"/>
      <c r="K208" s="50"/>
      <c r="L208" s="49"/>
      <c r="M208" s="50"/>
      <c r="N208" s="49"/>
      <c r="O208" s="50"/>
      <c r="P208" s="49"/>
      <c r="Q208" s="53"/>
      <c r="R208" s="58"/>
      <c r="S208" s="59"/>
      <c r="T208" s="60"/>
      <c r="U208" s="61"/>
      <c r="V208" s="58"/>
      <c r="W208" s="59"/>
      <c r="X208" s="49"/>
      <c r="Y208" s="50"/>
      <c r="Z208" s="49"/>
      <c r="AA208" s="50"/>
      <c r="AB208" s="49"/>
      <c r="AC208" s="53"/>
      <c r="AD208" s="49"/>
      <c r="AE208" s="53"/>
      <c r="AF208" s="49"/>
      <c r="AG208" s="53"/>
      <c r="AH208" s="49">
        <v>30</v>
      </c>
      <c r="AI208" s="53">
        <v>24750</v>
      </c>
      <c r="AJ208" s="53"/>
      <c r="AK208" s="53"/>
      <c r="AL208" s="53"/>
      <c r="AM208" s="53"/>
      <c r="AN208" s="53">
        <v>142</v>
      </c>
      <c r="AO208" s="53">
        <v>117150</v>
      </c>
      <c r="AP208" s="63">
        <f t="shared" si="6"/>
        <v>172</v>
      </c>
      <c r="AQ208" s="55">
        <f t="shared" si="7"/>
        <v>141900</v>
      </c>
    </row>
    <row r="209" spans="1:43">
      <c r="A209" s="47">
        <v>226</v>
      </c>
      <c r="B209" s="56">
        <v>4971710521528</v>
      </c>
      <c r="C209" s="57" t="s">
        <v>368</v>
      </c>
      <c r="D209" s="75" t="s">
        <v>884</v>
      </c>
      <c r="E209" s="48" t="s">
        <v>369</v>
      </c>
      <c r="F209" s="58">
        <v>0</v>
      </c>
      <c r="G209" s="50">
        <v>0</v>
      </c>
      <c r="H209" s="51">
        <v>24</v>
      </c>
      <c r="I209" s="52">
        <v>17160</v>
      </c>
      <c r="J209" s="49">
        <v>24</v>
      </c>
      <c r="K209" s="50">
        <v>17160</v>
      </c>
      <c r="L209" s="49">
        <v>2</v>
      </c>
      <c r="M209" s="50">
        <v>1430</v>
      </c>
      <c r="N209" s="49">
        <v>20</v>
      </c>
      <c r="O209" s="50">
        <v>14300</v>
      </c>
      <c r="P209" s="49">
        <v>0</v>
      </c>
      <c r="Q209" s="53">
        <v>0</v>
      </c>
      <c r="R209" s="58"/>
      <c r="S209" s="59"/>
      <c r="T209" s="60">
        <v>8</v>
      </c>
      <c r="U209" s="61">
        <v>2860</v>
      </c>
      <c r="V209" s="58">
        <v>4</v>
      </c>
      <c r="W209" s="59">
        <v>2860</v>
      </c>
      <c r="X209" s="49">
        <v>24</v>
      </c>
      <c r="Y209" s="50">
        <v>17160</v>
      </c>
      <c r="Z209" s="49"/>
      <c r="AA209" s="50"/>
      <c r="AB209" s="49">
        <v>8</v>
      </c>
      <c r="AC209" s="53">
        <v>5720</v>
      </c>
      <c r="AD209" s="49"/>
      <c r="AE209" s="53"/>
      <c r="AF209" s="49">
        <v>30</v>
      </c>
      <c r="AG209" s="53">
        <v>21450</v>
      </c>
      <c r="AH209" s="49">
        <v>4</v>
      </c>
      <c r="AI209" s="53">
        <v>2860</v>
      </c>
      <c r="AJ209" s="53"/>
      <c r="AK209" s="53"/>
      <c r="AL209" s="53"/>
      <c r="AM209" s="53"/>
      <c r="AN209" s="53">
        <v>24</v>
      </c>
      <c r="AO209" s="53">
        <v>17160</v>
      </c>
      <c r="AP209" s="62">
        <f t="shared" si="6"/>
        <v>172</v>
      </c>
      <c r="AQ209" s="55">
        <f t="shared" si="7"/>
        <v>120120</v>
      </c>
    </row>
    <row r="210" spans="1:43">
      <c r="A210" s="47">
        <v>171</v>
      </c>
      <c r="B210" s="56">
        <v>4971710599633</v>
      </c>
      <c r="C210" s="57" t="s">
        <v>947</v>
      </c>
      <c r="D210" s="75" t="s">
        <v>884</v>
      </c>
      <c r="E210" s="48" t="s">
        <v>948</v>
      </c>
      <c r="F210" s="58"/>
      <c r="G210" s="50"/>
      <c r="H210" s="51"/>
      <c r="I210" s="52"/>
      <c r="J210" s="49"/>
      <c r="K210" s="50"/>
      <c r="L210" s="49"/>
      <c r="M210" s="50"/>
      <c r="N210" s="49"/>
      <c r="O210" s="50"/>
      <c r="P210" s="49"/>
      <c r="Q210" s="53"/>
      <c r="R210" s="58"/>
      <c r="S210" s="59"/>
      <c r="T210" s="60"/>
      <c r="U210" s="61"/>
      <c r="V210" s="58"/>
      <c r="W210" s="59"/>
      <c r="X210" s="49"/>
      <c r="Y210" s="50"/>
      <c r="Z210" s="49"/>
      <c r="AA210" s="50"/>
      <c r="AB210" s="49"/>
      <c r="AC210" s="53"/>
      <c r="AD210" s="49"/>
      <c r="AE210" s="53"/>
      <c r="AF210" s="49"/>
      <c r="AG210" s="53"/>
      <c r="AH210" s="49">
        <v>45</v>
      </c>
      <c r="AI210" s="53">
        <v>37125</v>
      </c>
      <c r="AJ210" s="53"/>
      <c r="AK210" s="53"/>
      <c r="AL210" s="53"/>
      <c r="AM210" s="53"/>
      <c r="AN210" s="53">
        <v>126</v>
      </c>
      <c r="AO210" s="53">
        <v>103950</v>
      </c>
      <c r="AP210" s="63">
        <f t="shared" si="6"/>
        <v>171</v>
      </c>
      <c r="AQ210" s="55">
        <f t="shared" si="7"/>
        <v>141075</v>
      </c>
    </row>
    <row r="211" spans="1:43">
      <c r="A211" s="47">
        <v>172</v>
      </c>
      <c r="B211" s="56">
        <v>4971710496475</v>
      </c>
      <c r="C211" s="57" t="s">
        <v>172</v>
      </c>
      <c r="D211" s="75" t="s">
        <v>884</v>
      </c>
      <c r="E211" s="48" t="s">
        <v>173</v>
      </c>
      <c r="F211" s="58">
        <v>0</v>
      </c>
      <c r="G211" s="50">
        <v>0</v>
      </c>
      <c r="H211" s="51">
        <v>0</v>
      </c>
      <c r="I211" s="52">
        <v>0</v>
      </c>
      <c r="J211" s="49">
        <v>0</v>
      </c>
      <c r="K211" s="50">
        <v>0</v>
      </c>
      <c r="L211" s="49">
        <v>0</v>
      </c>
      <c r="M211" s="50">
        <v>0</v>
      </c>
      <c r="N211" s="49">
        <v>0</v>
      </c>
      <c r="O211" s="50">
        <v>0</v>
      </c>
      <c r="P211" s="49">
        <v>0</v>
      </c>
      <c r="Q211" s="53">
        <v>0</v>
      </c>
      <c r="R211" s="58">
        <v>30</v>
      </c>
      <c r="S211" s="59">
        <v>24750</v>
      </c>
      <c r="T211" s="60"/>
      <c r="U211" s="61"/>
      <c r="V211" s="58"/>
      <c r="W211" s="59"/>
      <c r="X211" s="49"/>
      <c r="Y211" s="50"/>
      <c r="Z211" s="49"/>
      <c r="AA211" s="50"/>
      <c r="AB211" s="49"/>
      <c r="AC211" s="53"/>
      <c r="AD211" s="49">
        <v>5</v>
      </c>
      <c r="AE211" s="53">
        <v>4125</v>
      </c>
      <c r="AF211" s="49">
        <v>10</v>
      </c>
      <c r="AG211" s="53">
        <v>8250</v>
      </c>
      <c r="AH211" s="49">
        <v>25</v>
      </c>
      <c r="AI211" s="53">
        <v>20625</v>
      </c>
      <c r="AJ211" s="53"/>
      <c r="AK211" s="53"/>
      <c r="AL211" s="53"/>
      <c r="AM211" s="53"/>
      <c r="AN211" s="53">
        <v>100</v>
      </c>
      <c r="AO211" s="53">
        <v>82500</v>
      </c>
      <c r="AP211" s="62">
        <f t="shared" si="6"/>
        <v>170</v>
      </c>
      <c r="AQ211" s="55">
        <f t="shared" si="7"/>
        <v>140250</v>
      </c>
    </row>
    <row r="212" spans="1:43">
      <c r="A212" s="47">
        <v>174</v>
      </c>
      <c r="B212" s="56">
        <v>4971710584714</v>
      </c>
      <c r="C212" s="57" t="s">
        <v>710</v>
      </c>
      <c r="D212" s="75" t="s">
        <v>880</v>
      </c>
      <c r="E212" s="48" t="s">
        <v>711</v>
      </c>
      <c r="F212" s="58">
        <v>0</v>
      </c>
      <c r="G212" s="50">
        <v>0</v>
      </c>
      <c r="H212" s="51">
        <v>0</v>
      </c>
      <c r="I212" s="52">
        <v>0</v>
      </c>
      <c r="J212" s="49">
        <v>0</v>
      </c>
      <c r="K212" s="50">
        <v>0</v>
      </c>
      <c r="L212" s="49">
        <v>0</v>
      </c>
      <c r="M212" s="50">
        <v>0</v>
      </c>
      <c r="N212" s="49">
        <v>0</v>
      </c>
      <c r="O212" s="50">
        <v>0</v>
      </c>
      <c r="P212" s="49">
        <v>0</v>
      </c>
      <c r="Q212" s="53">
        <v>0</v>
      </c>
      <c r="R212" s="58">
        <v>30</v>
      </c>
      <c r="S212" s="59">
        <v>10710</v>
      </c>
      <c r="T212" s="60">
        <v>4</v>
      </c>
      <c r="U212" s="61">
        <v>714</v>
      </c>
      <c r="V212" s="58"/>
      <c r="W212" s="59"/>
      <c r="X212" s="49"/>
      <c r="Y212" s="50"/>
      <c r="Z212" s="49">
        <v>52</v>
      </c>
      <c r="AA212" s="50">
        <v>18564</v>
      </c>
      <c r="AB212" s="49"/>
      <c r="AC212" s="53"/>
      <c r="AD212" s="49">
        <v>2</v>
      </c>
      <c r="AE212" s="53">
        <v>714</v>
      </c>
      <c r="AF212" s="49">
        <v>2</v>
      </c>
      <c r="AG212" s="53">
        <v>714</v>
      </c>
      <c r="AH212" s="49">
        <v>30</v>
      </c>
      <c r="AI212" s="53">
        <v>10710</v>
      </c>
      <c r="AJ212" s="53"/>
      <c r="AK212" s="53"/>
      <c r="AL212" s="53"/>
      <c r="AM212" s="53"/>
      <c r="AN212" s="53">
        <v>50</v>
      </c>
      <c r="AO212" s="53">
        <v>17850</v>
      </c>
      <c r="AP212" s="62">
        <f t="shared" si="6"/>
        <v>170</v>
      </c>
      <c r="AQ212" s="55">
        <f t="shared" si="7"/>
        <v>59976</v>
      </c>
    </row>
    <row r="213" spans="1:43">
      <c r="A213" s="47">
        <v>218</v>
      </c>
      <c r="B213" s="56">
        <v>4971710513820</v>
      </c>
      <c r="C213" s="57" t="s">
        <v>284</v>
      </c>
      <c r="D213" s="75" t="s">
        <v>880</v>
      </c>
      <c r="E213" s="48" t="s">
        <v>285</v>
      </c>
      <c r="F213" s="58">
        <v>0</v>
      </c>
      <c r="G213" s="50">
        <v>0</v>
      </c>
      <c r="H213" s="51">
        <v>0</v>
      </c>
      <c r="I213" s="52">
        <v>0</v>
      </c>
      <c r="J213" s="49">
        <v>0</v>
      </c>
      <c r="K213" s="50">
        <v>0</v>
      </c>
      <c r="L213" s="49">
        <v>50</v>
      </c>
      <c r="M213" s="50">
        <v>33000</v>
      </c>
      <c r="N213" s="49">
        <v>0</v>
      </c>
      <c r="O213" s="50">
        <v>0</v>
      </c>
      <c r="P213" s="49">
        <v>0</v>
      </c>
      <c r="Q213" s="53">
        <v>0</v>
      </c>
      <c r="R213" s="58">
        <v>60</v>
      </c>
      <c r="S213" s="59">
        <v>39600</v>
      </c>
      <c r="T213" s="60"/>
      <c r="U213" s="61"/>
      <c r="V213" s="58"/>
      <c r="W213" s="59"/>
      <c r="X213" s="49"/>
      <c r="Y213" s="50"/>
      <c r="Z213" s="49"/>
      <c r="AA213" s="50"/>
      <c r="AB213" s="49"/>
      <c r="AC213" s="53"/>
      <c r="AD213" s="49">
        <v>30</v>
      </c>
      <c r="AE213" s="53">
        <v>19800</v>
      </c>
      <c r="AF213" s="49">
        <v>30</v>
      </c>
      <c r="AG213" s="53">
        <v>19800</v>
      </c>
      <c r="AH213" s="49"/>
      <c r="AI213" s="53"/>
      <c r="AJ213" s="53"/>
      <c r="AK213" s="53"/>
      <c r="AL213" s="53"/>
      <c r="AM213" s="53"/>
      <c r="AN213" s="53"/>
      <c r="AO213" s="53"/>
      <c r="AP213" s="62">
        <f t="shared" si="6"/>
        <v>170</v>
      </c>
      <c r="AQ213" s="55">
        <f t="shared" si="7"/>
        <v>112200</v>
      </c>
    </row>
    <row r="214" spans="1:43">
      <c r="A214" s="47">
        <v>225</v>
      </c>
      <c r="B214" s="56">
        <v>4971710578454</v>
      </c>
      <c r="C214" s="57" t="s">
        <v>624</v>
      </c>
      <c r="D214" s="75" t="s">
        <v>884</v>
      </c>
      <c r="E214" s="48" t="s">
        <v>625</v>
      </c>
      <c r="F214" s="58">
        <v>10</v>
      </c>
      <c r="G214" s="50">
        <v>6600</v>
      </c>
      <c r="H214" s="51">
        <v>30</v>
      </c>
      <c r="I214" s="52">
        <v>19800</v>
      </c>
      <c r="J214" s="49">
        <v>0</v>
      </c>
      <c r="K214" s="50">
        <v>0</v>
      </c>
      <c r="L214" s="49">
        <v>0</v>
      </c>
      <c r="M214" s="50">
        <v>0</v>
      </c>
      <c r="N214" s="49">
        <v>0</v>
      </c>
      <c r="O214" s="50">
        <v>0</v>
      </c>
      <c r="P214" s="49">
        <v>30</v>
      </c>
      <c r="Q214" s="53">
        <v>19800</v>
      </c>
      <c r="R214" s="58">
        <v>30</v>
      </c>
      <c r="S214" s="59">
        <v>19800</v>
      </c>
      <c r="T214" s="60"/>
      <c r="U214" s="61"/>
      <c r="V214" s="58"/>
      <c r="W214" s="59"/>
      <c r="X214" s="49">
        <v>30</v>
      </c>
      <c r="Y214" s="50">
        <v>19800</v>
      </c>
      <c r="Z214" s="49"/>
      <c r="AA214" s="50"/>
      <c r="AB214" s="49"/>
      <c r="AC214" s="53"/>
      <c r="AD214" s="49"/>
      <c r="AE214" s="53"/>
      <c r="AF214" s="49">
        <v>10</v>
      </c>
      <c r="AG214" s="53">
        <v>6600</v>
      </c>
      <c r="AH214" s="49"/>
      <c r="AI214" s="53"/>
      <c r="AJ214" s="53"/>
      <c r="AK214" s="53"/>
      <c r="AL214" s="53"/>
      <c r="AM214" s="53"/>
      <c r="AN214" s="53">
        <v>30</v>
      </c>
      <c r="AO214" s="53">
        <v>19800</v>
      </c>
      <c r="AP214" s="62">
        <f t="shared" si="6"/>
        <v>170</v>
      </c>
      <c r="AQ214" s="55">
        <f t="shared" si="7"/>
        <v>112200</v>
      </c>
    </row>
    <row r="215" spans="1:43">
      <c r="A215" s="47">
        <v>248</v>
      </c>
      <c r="B215" s="56">
        <v>4971710519266</v>
      </c>
      <c r="C215" s="57" t="s">
        <v>348</v>
      </c>
      <c r="D215" s="75" t="s">
        <v>880</v>
      </c>
      <c r="E215" s="48" t="s">
        <v>349</v>
      </c>
      <c r="F215" s="58">
        <v>0</v>
      </c>
      <c r="G215" s="50">
        <v>0</v>
      </c>
      <c r="H215" s="51">
        <v>30</v>
      </c>
      <c r="I215" s="52">
        <v>21450</v>
      </c>
      <c r="J215" s="49">
        <v>30</v>
      </c>
      <c r="K215" s="50">
        <v>21450</v>
      </c>
      <c r="L215" s="49">
        <v>0</v>
      </c>
      <c r="M215" s="50">
        <v>0</v>
      </c>
      <c r="N215" s="49">
        <v>30</v>
      </c>
      <c r="O215" s="50">
        <v>21450</v>
      </c>
      <c r="P215" s="49">
        <v>0</v>
      </c>
      <c r="Q215" s="53">
        <v>0</v>
      </c>
      <c r="R215" s="58"/>
      <c r="S215" s="59"/>
      <c r="T215" s="60"/>
      <c r="U215" s="61"/>
      <c r="V215" s="58"/>
      <c r="W215" s="59"/>
      <c r="X215" s="49"/>
      <c r="Y215" s="50"/>
      <c r="Z215" s="49">
        <v>50</v>
      </c>
      <c r="AA215" s="50">
        <v>35750</v>
      </c>
      <c r="AB215" s="49"/>
      <c r="AC215" s="53"/>
      <c r="AD215" s="49"/>
      <c r="AE215" s="53"/>
      <c r="AF215" s="49"/>
      <c r="AG215" s="53"/>
      <c r="AH215" s="49"/>
      <c r="AI215" s="53"/>
      <c r="AJ215" s="53"/>
      <c r="AK215" s="53"/>
      <c r="AL215" s="53"/>
      <c r="AM215" s="53"/>
      <c r="AN215" s="53">
        <v>30</v>
      </c>
      <c r="AO215" s="53">
        <v>21450</v>
      </c>
      <c r="AP215" s="62">
        <f t="shared" si="6"/>
        <v>170</v>
      </c>
      <c r="AQ215" s="55">
        <f t="shared" si="7"/>
        <v>121550</v>
      </c>
    </row>
    <row r="216" spans="1:43">
      <c r="A216" s="47">
        <v>259</v>
      </c>
      <c r="B216" s="56">
        <v>4971710288629</v>
      </c>
      <c r="C216" s="57" t="s">
        <v>770</v>
      </c>
      <c r="D216" s="75" t="s">
        <v>882</v>
      </c>
      <c r="E216" s="48" t="s">
        <v>771</v>
      </c>
      <c r="F216" s="58">
        <v>0</v>
      </c>
      <c r="G216" s="50">
        <v>0</v>
      </c>
      <c r="H216" s="51">
        <v>0</v>
      </c>
      <c r="I216" s="52">
        <v>0</v>
      </c>
      <c r="J216" s="49">
        <v>0</v>
      </c>
      <c r="K216" s="50">
        <v>0</v>
      </c>
      <c r="L216" s="49">
        <v>30</v>
      </c>
      <c r="M216" s="50">
        <v>140250</v>
      </c>
      <c r="N216" s="49">
        <v>30</v>
      </c>
      <c r="O216" s="50">
        <v>140250</v>
      </c>
      <c r="P216" s="49">
        <v>0</v>
      </c>
      <c r="Q216" s="53">
        <v>0</v>
      </c>
      <c r="R216" s="58">
        <v>30</v>
      </c>
      <c r="S216" s="59">
        <v>140250</v>
      </c>
      <c r="T216" s="60">
        <v>80</v>
      </c>
      <c r="U216" s="61">
        <v>187000</v>
      </c>
      <c r="V216" s="58"/>
      <c r="W216" s="59"/>
      <c r="X216" s="49"/>
      <c r="Y216" s="50"/>
      <c r="Z216" s="49"/>
      <c r="AA216" s="50"/>
      <c r="AB216" s="49"/>
      <c r="AC216" s="53"/>
      <c r="AD216" s="49"/>
      <c r="AE216" s="53"/>
      <c r="AF216" s="49"/>
      <c r="AG216" s="53"/>
      <c r="AH216" s="49"/>
      <c r="AI216" s="53"/>
      <c r="AJ216" s="53"/>
      <c r="AK216" s="53"/>
      <c r="AL216" s="53"/>
      <c r="AM216" s="53"/>
      <c r="AN216" s="53"/>
      <c r="AO216" s="53"/>
      <c r="AP216" s="62">
        <f t="shared" si="6"/>
        <v>170</v>
      </c>
      <c r="AQ216" s="55">
        <f t="shared" si="7"/>
        <v>607750</v>
      </c>
    </row>
    <row r="217" spans="1:43">
      <c r="A217" s="47">
        <v>176</v>
      </c>
      <c r="B217" s="56">
        <v>4971710508840</v>
      </c>
      <c r="C217" s="57" t="s">
        <v>790</v>
      </c>
      <c r="D217" s="75" t="s">
        <v>884</v>
      </c>
      <c r="E217" s="48" t="s">
        <v>1011</v>
      </c>
      <c r="F217" s="58">
        <v>0</v>
      </c>
      <c r="G217" s="50">
        <v>0</v>
      </c>
      <c r="H217" s="51">
        <v>0</v>
      </c>
      <c r="I217" s="52">
        <v>0</v>
      </c>
      <c r="J217" s="49">
        <v>0</v>
      </c>
      <c r="K217" s="50">
        <v>0</v>
      </c>
      <c r="L217" s="49">
        <v>0</v>
      </c>
      <c r="M217" s="50">
        <v>0</v>
      </c>
      <c r="N217" s="49">
        <v>0</v>
      </c>
      <c r="O217" s="50">
        <v>0</v>
      </c>
      <c r="P217" s="49">
        <v>0</v>
      </c>
      <c r="Q217" s="53">
        <v>0</v>
      </c>
      <c r="R217" s="58"/>
      <c r="S217" s="59"/>
      <c r="T217" s="60"/>
      <c r="U217" s="61"/>
      <c r="V217" s="58"/>
      <c r="W217" s="59"/>
      <c r="X217" s="49">
        <v>25</v>
      </c>
      <c r="Y217" s="50">
        <v>22000</v>
      </c>
      <c r="Z217" s="49"/>
      <c r="AA217" s="50"/>
      <c r="AB217" s="49"/>
      <c r="AC217" s="53"/>
      <c r="AD217" s="49">
        <v>15</v>
      </c>
      <c r="AE217" s="53">
        <v>13200</v>
      </c>
      <c r="AF217" s="49">
        <v>20</v>
      </c>
      <c r="AG217" s="53">
        <v>17600</v>
      </c>
      <c r="AH217" s="49">
        <v>15</v>
      </c>
      <c r="AI217" s="53">
        <v>13200</v>
      </c>
      <c r="AJ217" s="53"/>
      <c r="AK217" s="53"/>
      <c r="AL217" s="53"/>
      <c r="AM217" s="53"/>
      <c r="AN217" s="53">
        <v>90</v>
      </c>
      <c r="AO217" s="53">
        <v>79200</v>
      </c>
      <c r="AP217" s="62">
        <f t="shared" si="6"/>
        <v>165</v>
      </c>
      <c r="AQ217" s="55">
        <f t="shared" si="7"/>
        <v>145200</v>
      </c>
    </row>
    <row r="218" spans="1:43">
      <c r="A218" s="47">
        <v>230</v>
      </c>
      <c r="B218" s="56">
        <v>4971710571783</v>
      </c>
      <c r="C218" s="57" t="s">
        <v>553</v>
      </c>
      <c r="D218" s="75" t="s">
        <v>884</v>
      </c>
      <c r="E218" s="48" t="s">
        <v>554</v>
      </c>
      <c r="F218" s="58">
        <v>0</v>
      </c>
      <c r="G218" s="50">
        <v>0</v>
      </c>
      <c r="H218" s="51">
        <v>0</v>
      </c>
      <c r="I218" s="52">
        <v>0</v>
      </c>
      <c r="J218" s="49">
        <v>10</v>
      </c>
      <c r="K218" s="50">
        <v>6600</v>
      </c>
      <c r="L218" s="49">
        <v>50</v>
      </c>
      <c r="M218" s="50">
        <v>33000</v>
      </c>
      <c r="N218" s="49">
        <v>0</v>
      </c>
      <c r="O218" s="50">
        <v>0</v>
      </c>
      <c r="P218" s="49">
        <v>0</v>
      </c>
      <c r="Q218" s="53">
        <v>0</v>
      </c>
      <c r="R218" s="58">
        <v>15</v>
      </c>
      <c r="S218" s="59">
        <v>9900</v>
      </c>
      <c r="T218" s="60">
        <v>16</v>
      </c>
      <c r="U218" s="61">
        <v>5280</v>
      </c>
      <c r="V218" s="58"/>
      <c r="W218" s="59"/>
      <c r="X218" s="49">
        <v>16</v>
      </c>
      <c r="Y218" s="50">
        <v>10560</v>
      </c>
      <c r="Z218" s="49">
        <v>30</v>
      </c>
      <c r="AA218" s="50">
        <v>19800</v>
      </c>
      <c r="AB218" s="49"/>
      <c r="AC218" s="53"/>
      <c r="AD218" s="49">
        <v>2</v>
      </c>
      <c r="AE218" s="53">
        <v>1320</v>
      </c>
      <c r="AF218" s="49"/>
      <c r="AG218" s="53"/>
      <c r="AH218" s="49">
        <v>2</v>
      </c>
      <c r="AI218" s="53">
        <v>1320</v>
      </c>
      <c r="AJ218" s="53"/>
      <c r="AK218" s="53"/>
      <c r="AL218" s="53"/>
      <c r="AM218" s="53"/>
      <c r="AN218" s="53">
        <v>22</v>
      </c>
      <c r="AO218" s="53">
        <v>14520</v>
      </c>
      <c r="AP218" s="62">
        <f t="shared" si="6"/>
        <v>163</v>
      </c>
      <c r="AQ218" s="55">
        <f t="shared" si="7"/>
        <v>102300</v>
      </c>
    </row>
    <row r="219" spans="1:43">
      <c r="A219" s="47">
        <v>238</v>
      </c>
      <c r="B219" s="56">
        <v>4971710521511</v>
      </c>
      <c r="C219" s="57" t="s">
        <v>366</v>
      </c>
      <c r="D219" s="75" t="s">
        <v>884</v>
      </c>
      <c r="E219" s="48" t="s">
        <v>367</v>
      </c>
      <c r="F219" s="58">
        <v>0</v>
      </c>
      <c r="G219" s="50">
        <v>0</v>
      </c>
      <c r="H219" s="51">
        <v>24</v>
      </c>
      <c r="I219" s="52">
        <v>17160</v>
      </c>
      <c r="J219" s="49">
        <v>24</v>
      </c>
      <c r="K219" s="50">
        <v>17160</v>
      </c>
      <c r="L219" s="49">
        <v>2</v>
      </c>
      <c r="M219" s="50">
        <v>1430</v>
      </c>
      <c r="N219" s="49">
        <v>20</v>
      </c>
      <c r="O219" s="50">
        <v>14300</v>
      </c>
      <c r="P219" s="49">
        <v>2</v>
      </c>
      <c r="Q219" s="53">
        <v>1430</v>
      </c>
      <c r="R219" s="58"/>
      <c r="S219" s="59"/>
      <c r="T219" s="60">
        <v>4</v>
      </c>
      <c r="U219" s="61">
        <v>1430</v>
      </c>
      <c r="V219" s="58"/>
      <c r="W219" s="59"/>
      <c r="X219" s="49">
        <v>20</v>
      </c>
      <c r="Y219" s="50">
        <v>14300</v>
      </c>
      <c r="Z219" s="49">
        <v>2</v>
      </c>
      <c r="AA219" s="50">
        <v>1430</v>
      </c>
      <c r="AB219" s="49">
        <v>4</v>
      </c>
      <c r="AC219" s="53">
        <v>2860</v>
      </c>
      <c r="AD219" s="49">
        <v>2</v>
      </c>
      <c r="AE219" s="53">
        <v>1430</v>
      </c>
      <c r="AF219" s="49">
        <v>20</v>
      </c>
      <c r="AG219" s="53">
        <v>14300</v>
      </c>
      <c r="AH219" s="49">
        <v>4</v>
      </c>
      <c r="AI219" s="53">
        <v>2860</v>
      </c>
      <c r="AJ219" s="53"/>
      <c r="AK219" s="53"/>
      <c r="AL219" s="53"/>
      <c r="AM219" s="53"/>
      <c r="AN219" s="53">
        <v>34</v>
      </c>
      <c r="AO219" s="53">
        <v>24310</v>
      </c>
      <c r="AP219" s="62">
        <f t="shared" si="6"/>
        <v>162</v>
      </c>
      <c r="AQ219" s="55">
        <f t="shared" si="7"/>
        <v>114400</v>
      </c>
    </row>
    <row r="220" spans="1:43">
      <c r="A220" s="47">
        <v>211</v>
      </c>
      <c r="B220" s="56">
        <v>4971710578584</v>
      </c>
      <c r="C220" s="57" t="s">
        <v>632</v>
      </c>
      <c r="D220" s="75" t="s">
        <v>880</v>
      </c>
      <c r="E220" s="48" t="s">
        <v>633</v>
      </c>
      <c r="F220" s="58">
        <v>10</v>
      </c>
      <c r="G220" s="50">
        <v>6050</v>
      </c>
      <c r="H220" s="51">
        <v>5</v>
      </c>
      <c r="I220" s="52">
        <v>3025</v>
      </c>
      <c r="J220" s="49">
        <v>0</v>
      </c>
      <c r="K220" s="50">
        <v>0</v>
      </c>
      <c r="L220" s="49">
        <v>0</v>
      </c>
      <c r="M220" s="50">
        <v>0</v>
      </c>
      <c r="N220" s="49">
        <v>10</v>
      </c>
      <c r="O220" s="50">
        <v>6050</v>
      </c>
      <c r="P220" s="49">
        <v>0</v>
      </c>
      <c r="Q220" s="53">
        <v>0</v>
      </c>
      <c r="R220" s="58">
        <v>60</v>
      </c>
      <c r="S220" s="59">
        <v>36300</v>
      </c>
      <c r="T220" s="60">
        <v>4</v>
      </c>
      <c r="U220" s="61">
        <v>1210</v>
      </c>
      <c r="V220" s="58"/>
      <c r="W220" s="59"/>
      <c r="X220" s="49">
        <v>8</v>
      </c>
      <c r="Y220" s="50">
        <v>4840</v>
      </c>
      <c r="Z220" s="49"/>
      <c r="AA220" s="50"/>
      <c r="AB220" s="49">
        <v>4</v>
      </c>
      <c r="AC220" s="53">
        <v>2420</v>
      </c>
      <c r="AD220" s="49"/>
      <c r="AE220" s="53"/>
      <c r="AF220" s="49">
        <v>10</v>
      </c>
      <c r="AG220" s="53">
        <v>6050</v>
      </c>
      <c r="AH220" s="49">
        <v>44</v>
      </c>
      <c r="AI220" s="53">
        <v>26620</v>
      </c>
      <c r="AJ220" s="53"/>
      <c r="AK220" s="53"/>
      <c r="AL220" s="53"/>
      <c r="AM220" s="53"/>
      <c r="AN220" s="53">
        <v>2</v>
      </c>
      <c r="AO220" s="53">
        <v>1210</v>
      </c>
      <c r="AP220" s="62">
        <f t="shared" si="6"/>
        <v>157</v>
      </c>
      <c r="AQ220" s="55">
        <f t="shared" si="7"/>
        <v>93775</v>
      </c>
    </row>
    <row r="221" spans="1:43">
      <c r="A221" s="47">
        <v>181</v>
      </c>
      <c r="B221" s="56">
        <v>4971710599640</v>
      </c>
      <c r="C221" s="57" t="s">
        <v>949</v>
      </c>
      <c r="D221" s="75" t="s">
        <v>884</v>
      </c>
      <c r="E221" s="48" t="s">
        <v>950</v>
      </c>
      <c r="F221" s="58"/>
      <c r="G221" s="50"/>
      <c r="H221" s="51"/>
      <c r="I221" s="52"/>
      <c r="J221" s="49"/>
      <c r="K221" s="50"/>
      <c r="L221" s="49"/>
      <c r="M221" s="50"/>
      <c r="N221" s="49"/>
      <c r="O221" s="50"/>
      <c r="P221" s="49"/>
      <c r="Q221" s="53"/>
      <c r="R221" s="58"/>
      <c r="S221" s="59"/>
      <c r="T221" s="60"/>
      <c r="U221" s="61"/>
      <c r="V221" s="58"/>
      <c r="W221" s="59"/>
      <c r="X221" s="49"/>
      <c r="Y221" s="50"/>
      <c r="Z221" s="49"/>
      <c r="AA221" s="50"/>
      <c r="AB221" s="49"/>
      <c r="AC221" s="53"/>
      <c r="AD221" s="49"/>
      <c r="AE221" s="53"/>
      <c r="AF221" s="49"/>
      <c r="AG221" s="53"/>
      <c r="AH221" s="49">
        <v>30</v>
      </c>
      <c r="AI221" s="53">
        <v>24750</v>
      </c>
      <c r="AJ221" s="53"/>
      <c r="AK221" s="53"/>
      <c r="AL221" s="53"/>
      <c r="AM221" s="53"/>
      <c r="AN221" s="53">
        <v>126</v>
      </c>
      <c r="AO221" s="53">
        <v>103950</v>
      </c>
      <c r="AP221" s="63">
        <f t="shared" si="6"/>
        <v>156</v>
      </c>
      <c r="AQ221" s="55">
        <f t="shared" si="7"/>
        <v>128700</v>
      </c>
    </row>
    <row r="222" spans="1:43">
      <c r="A222" s="47">
        <v>182</v>
      </c>
      <c r="B222" s="56">
        <v>4971710508918</v>
      </c>
      <c r="C222" s="57" t="s">
        <v>204</v>
      </c>
      <c r="D222" s="75" t="s">
        <v>884</v>
      </c>
      <c r="E222" s="48" t="s">
        <v>205</v>
      </c>
      <c r="F222" s="58">
        <v>0</v>
      </c>
      <c r="G222" s="50">
        <v>0</v>
      </c>
      <c r="H222" s="51">
        <v>0</v>
      </c>
      <c r="I222" s="52">
        <v>0</v>
      </c>
      <c r="J222" s="49">
        <v>0</v>
      </c>
      <c r="K222" s="50">
        <v>0</v>
      </c>
      <c r="L222" s="49">
        <v>0</v>
      </c>
      <c r="M222" s="50">
        <v>0</v>
      </c>
      <c r="N222" s="49">
        <v>0</v>
      </c>
      <c r="O222" s="50">
        <v>0</v>
      </c>
      <c r="P222" s="49">
        <v>0</v>
      </c>
      <c r="Q222" s="53">
        <v>0</v>
      </c>
      <c r="R222" s="58">
        <v>6</v>
      </c>
      <c r="S222" s="59">
        <v>1980</v>
      </c>
      <c r="T222" s="60"/>
      <c r="U222" s="61"/>
      <c r="V222" s="58"/>
      <c r="W222" s="59"/>
      <c r="X222" s="49">
        <v>20</v>
      </c>
      <c r="Y222" s="50">
        <v>6600</v>
      </c>
      <c r="Z222" s="49"/>
      <c r="AA222" s="50"/>
      <c r="AB222" s="49"/>
      <c r="AC222" s="53"/>
      <c r="AD222" s="49">
        <v>10</v>
      </c>
      <c r="AE222" s="53">
        <v>3300</v>
      </c>
      <c r="AF222" s="49">
        <v>20</v>
      </c>
      <c r="AG222" s="53">
        <v>6600</v>
      </c>
      <c r="AH222" s="49"/>
      <c r="AI222" s="53"/>
      <c r="AJ222" s="53"/>
      <c r="AK222" s="53"/>
      <c r="AL222" s="53"/>
      <c r="AM222" s="53"/>
      <c r="AN222" s="53">
        <v>100</v>
      </c>
      <c r="AO222" s="53">
        <v>33000</v>
      </c>
      <c r="AP222" s="62">
        <f t="shared" si="6"/>
        <v>156</v>
      </c>
      <c r="AQ222" s="55">
        <f t="shared" si="7"/>
        <v>51480</v>
      </c>
    </row>
    <row r="223" spans="1:43">
      <c r="A223" s="47">
        <v>184</v>
      </c>
      <c r="B223" s="56">
        <v>4971710598551</v>
      </c>
      <c r="C223" s="57" t="s">
        <v>819</v>
      </c>
      <c r="D223" s="75" t="s">
        <v>884</v>
      </c>
      <c r="E223" s="48" t="s">
        <v>1008</v>
      </c>
      <c r="F223" s="58">
        <v>0</v>
      </c>
      <c r="G223" s="50">
        <v>0</v>
      </c>
      <c r="H223" s="51">
        <v>0</v>
      </c>
      <c r="I223" s="52">
        <v>0</v>
      </c>
      <c r="J223" s="49">
        <v>0</v>
      </c>
      <c r="K223" s="50">
        <v>0</v>
      </c>
      <c r="L223" s="49">
        <v>0</v>
      </c>
      <c r="M223" s="50">
        <v>0</v>
      </c>
      <c r="N223" s="49">
        <v>0</v>
      </c>
      <c r="O223" s="50">
        <v>0</v>
      </c>
      <c r="P223" s="49">
        <v>0</v>
      </c>
      <c r="Q223" s="53">
        <v>0</v>
      </c>
      <c r="R223" s="58"/>
      <c r="S223" s="59"/>
      <c r="T223" s="60"/>
      <c r="U223" s="61"/>
      <c r="V223" s="58"/>
      <c r="W223" s="59"/>
      <c r="X223" s="49"/>
      <c r="Y223" s="50"/>
      <c r="Z223" s="49"/>
      <c r="AA223" s="50"/>
      <c r="AB223" s="49">
        <v>60</v>
      </c>
      <c r="AC223" s="53">
        <v>39600</v>
      </c>
      <c r="AD223" s="49">
        <v>2</v>
      </c>
      <c r="AE223" s="53">
        <v>1320</v>
      </c>
      <c r="AF223" s="49">
        <v>2</v>
      </c>
      <c r="AG223" s="53">
        <v>1320</v>
      </c>
      <c r="AH223" s="49">
        <v>36</v>
      </c>
      <c r="AI223" s="53">
        <v>23760</v>
      </c>
      <c r="AJ223" s="53"/>
      <c r="AK223" s="53"/>
      <c r="AL223" s="53"/>
      <c r="AM223" s="53"/>
      <c r="AN223" s="53">
        <v>52</v>
      </c>
      <c r="AO223" s="53">
        <v>34320</v>
      </c>
      <c r="AP223" s="63">
        <f t="shared" si="6"/>
        <v>152</v>
      </c>
      <c r="AQ223" s="55">
        <f t="shared" si="7"/>
        <v>100320</v>
      </c>
    </row>
    <row r="224" spans="1:43">
      <c r="A224" s="47">
        <v>220</v>
      </c>
      <c r="B224" s="56">
        <v>4971710512250</v>
      </c>
      <c r="C224" s="57" t="s">
        <v>246</v>
      </c>
      <c r="D224" s="75" t="s">
        <v>884</v>
      </c>
      <c r="E224" s="48" t="s">
        <v>247</v>
      </c>
      <c r="F224" s="58">
        <v>10</v>
      </c>
      <c r="G224" s="50">
        <v>4400</v>
      </c>
      <c r="H224" s="51">
        <v>0</v>
      </c>
      <c r="I224" s="52">
        <v>0</v>
      </c>
      <c r="J224" s="49">
        <v>5</v>
      </c>
      <c r="K224" s="50">
        <v>2200</v>
      </c>
      <c r="L224" s="49">
        <v>20</v>
      </c>
      <c r="M224" s="50">
        <v>8800</v>
      </c>
      <c r="N224" s="49">
        <v>0</v>
      </c>
      <c r="O224" s="50">
        <v>0</v>
      </c>
      <c r="P224" s="49">
        <v>0</v>
      </c>
      <c r="Q224" s="53">
        <v>0</v>
      </c>
      <c r="R224" s="58"/>
      <c r="S224" s="59"/>
      <c r="T224" s="60">
        <v>4</v>
      </c>
      <c r="U224" s="61">
        <v>880</v>
      </c>
      <c r="V224" s="58">
        <v>12</v>
      </c>
      <c r="W224" s="59">
        <v>5280</v>
      </c>
      <c r="X224" s="49">
        <v>6</v>
      </c>
      <c r="Y224" s="50">
        <v>2640</v>
      </c>
      <c r="Z224" s="49">
        <v>34</v>
      </c>
      <c r="AA224" s="50">
        <v>14960</v>
      </c>
      <c r="AB224" s="49"/>
      <c r="AC224" s="53"/>
      <c r="AD224" s="49"/>
      <c r="AE224" s="53"/>
      <c r="AF224" s="49"/>
      <c r="AG224" s="53"/>
      <c r="AH224" s="49">
        <v>30</v>
      </c>
      <c r="AI224" s="53">
        <v>13200</v>
      </c>
      <c r="AJ224" s="53"/>
      <c r="AK224" s="53"/>
      <c r="AL224" s="53"/>
      <c r="AM224" s="53"/>
      <c r="AN224" s="53">
        <v>30</v>
      </c>
      <c r="AO224" s="53">
        <v>13200</v>
      </c>
      <c r="AP224" s="62">
        <f t="shared" si="6"/>
        <v>151</v>
      </c>
      <c r="AQ224" s="55">
        <f t="shared" si="7"/>
        <v>65560</v>
      </c>
    </row>
    <row r="225" spans="1:43">
      <c r="A225" s="47">
        <v>186</v>
      </c>
      <c r="B225" s="56">
        <v>4971710599657</v>
      </c>
      <c r="C225" s="57" t="s">
        <v>951</v>
      </c>
      <c r="D225" s="75" t="s">
        <v>884</v>
      </c>
      <c r="E225" s="48" t="s">
        <v>952</v>
      </c>
      <c r="F225" s="58"/>
      <c r="G225" s="50"/>
      <c r="H225" s="51"/>
      <c r="I225" s="52"/>
      <c r="J225" s="49"/>
      <c r="K225" s="50"/>
      <c r="L225" s="49"/>
      <c r="M225" s="50"/>
      <c r="N225" s="49"/>
      <c r="O225" s="50"/>
      <c r="P225" s="49"/>
      <c r="Q225" s="53"/>
      <c r="R225" s="58"/>
      <c r="S225" s="59"/>
      <c r="T225" s="60"/>
      <c r="U225" s="61"/>
      <c r="V225" s="58"/>
      <c r="W225" s="59"/>
      <c r="X225" s="49"/>
      <c r="Y225" s="50"/>
      <c r="Z225" s="49"/>
      <c r="AA225" s="50"/>
      <c r="AB225" s="49"/>
      <c r="AC225" s="53"/>
      <c r="AD225" s="49"/>
      <c r="AE225" s="53"/>
      <c r="AF225" s="49"/>
      <c r="AG225" s="53"/>
      <c r="AH225" s="49">
        <v>30</v>
      </c>
      <c r="AI225" s="53">
        <v>24750</v>
      </c>
      <c r="AJ225" s="53"/>
      <c r="AK225" s="53"/>
      <c r="AL225" s="53"/>
      <c r="AM225" s="53"/>
      <c r="AN225" s="53">
        <v>120</v>
      </c>
      <c r="AO225" s="53">
        <v>99000</v>
      </c>
      <c r="AP225" s="63">
        <f t="shared" si="6"/>
        <v>150</v>
      </c>
      <c r="AQ225" s="55">
        <f t="shared" si="7"/>
        <v>123750</v>
      </c>
    </row>
    <row r="226" spans="1:43">
      <c r="A226" s="47">
        <v>187</v>
      </c>
      <c r="B226" s="56">
        <v>4971710599664</v>
      </c>
      <c r="C226" s="57" t="s">
        <v>953</v>
      </c>
      <c r="D226" s="75" t="s">
        <v>884</v>
      </c>
      <c r="E226" s="48" t="s">
        <v>954</v>
      </c>
      <c r="F226" s="58"/>
      <c r="G226" s="50"/>
      <c r="H226" s="51"/>
      <c r="I226" s="52"/>
      <c r="J226" s="49"/>
      <c r="K226" s="50"/>
      <c r="L226" s="49"/>
      <c r="M226" s="50"/>
      <c r="N226" s="49"/>
      <c r="O226" s="50"/>
      <c r="P226" s="49"/>
      <c r="Q226" s="53"/>
      <c r="R226" s="58"/>
      <c r="S226" s="59"/>
      <c r="T226" s="60"/>
      <c r="U226" s="61"/>
      <c r="V226" s="58"/>
      <c r="W226" s="59"/>
      <c r="X226" s="49"/>
      <c r="Y226" s="50"/>
      <c r="Z226" s="49"/>
      <c r="AA226" s="50"/>
      <c r="AB226" s="49"/>
      <c r="AC226" s="53"/>
      <c r="AD226" s="49"/>
      <c r="AE226" s="53"/>
      <c r="AF226" s="49"/>
      <c r="AG226" s="53"/>
      <c r="AH226" s="49">
        <v>30</v>
      </c>
      <c r="AI226" s="53">
        <v>24750</v>
      </c>
      <c r="AJ226" s="53"/>
      <c r="AK226" s="53"/>
      <c r="AL226" s="53"/>
      <c r="AM226" s="53"/>
      <c r="AN226" s="53">
        <v>120</v>
      </c>
      <c r="AO226" s="53">
        <v>99000</v>
      </c>
      <c r="AP226" s="63">
        <f t="shared" si="6"/>
        <v>150</v>
      </c>
      <c r="AQ226" s="55">
        <f t="shared" si="7"/>
        <v>123750</v>
      </c>
    </row>
    <row r="227" spans="1:43">
      <c r="A227" s="47">
        <v>188</v>
      </c>
      <c r="B227" s="56">
        <v>4971710599688</v>
      </c>
      <c r="C227" s="57" t="s">
        <v>957</v>
      </c>
      <c r="D227" s="75" t="s">
        <v>884</v>
      </c>
      <c r="E227" s="48" t="s">
        <v>958</v>
      </c>
      <c r="F227" s="58"/>
      <c r="G227" s="50"/>
      <c r="H227" s="51"/>
      <c r="I227" s="52"/>
      <c r="J227" s="49"/>
      <c r="K227" s="50"/>
      <c r="L227" s="49"/>
      <c r="M227" s="50"/>
      <c r="N227" s="49"/>
      <c r="O227" s="50"/>
      <c r="P227" s="49"/>
      <c r="Q227" s="53"/>
      <c r="R227" s="58"/>
      <c r="S227" s="59"/>
      <c r="T227" s="60"/>
      <c r="U227" s="61"/>
      <c r="V227" s="58"/>
      <c r="W227" s="59"/>
      <c r="X227" s="49"/>
      <c r="Y227" s="50"/>
      <c r="Z227" s="49"/>
      <c r="AA227" s="50"/>
      <c r="AB227" s="49"/>
      <c r="AC227" s="53"/>
      <c r="AD227" s="49"/>
      <c r="AE227" s="53"/>
      <c r="AF227" s="49"/>
      <c r="AG227" s="53"/>
      <c r="AH227" s="49">
        <v>30</v>
      </c>
      <c r="AI227" s="53">
        <v>24750</v>
      </c>
      <c r="AJ227" s="53"/>
      <c r="AK227" s="53"/>
      <c r="AL227" s="53"/>
      <c r="AM227" s="53"/>
      <c r="AN227" s="53">
        <v>120</v>
      </c>
      <c r="AO227" s="53">
        <v>99000</v>
      </c>
      <c r="AP227" s="63">
        <f t="shared" si="6"/>
        <v>150</v>
      </c>
      <c r="AQ227" s="55">
        <f t="shared" si="7"/>
        <v>123750</v>
      </c>
    </row>
    <row r="228" spans="1:43">
      <c r="A228" s="47">
        <v>191</v>
      </c>
      <c r="B228" s="56">
        <v>4971710598544</v>
      </c>
      <c r="C228" s="57" t="s">
        <v>820</v>
      </c>
      <c r="D228" s="75" t="s">
        <v>884</v>
      </c>
      <c r="E228" s="48" t="s">
        <v>1002</v>
      </c>
      <c r="F228" s="58">
        <v>0</v>
      </c>
      <c r="G228" s="50">
        <v>0</v>
      </c>
      <c r="H228" s="51">
        <v>0</v>
      </c>
      <c r="I228" s="52">
        <v>0</v>
      </c>
      <c r="J228" s="49">
        <v>0</v>
      </c>
      <c r="K228" s="50">
        <v>0</v>
      </c>
      <c r="L228" s="49">
        <v>0</v>
      </c>
      <c r="M228" s="50">
        <v>0</v>
      </c>
      <c r="N228" s="49">
        <v>0</v>
      </c>
      <c r="O228" s="50">
        <v>0</v>
      </c>
      <c r="P228" s="49">
        <v>0</v>
      </c>
      <c r="Q228" s="53">
        <v>0</v>
      </c>
      <c r="R228" s="58"/>
      <c r="S228" s="59"/>
      <c r="T228" s="60"/>
      <c r="U228" s="61"/>
      <c r="V228" s="58"/>
      <c r="W228" s="59"/>
      <c r="X228" s="49"/>
      <c r="Y228" s="50"/>
      <c r="Z228" s="49"/>
      <c r="AA228" s="50"/>
      <c r="AB228" s="49">
        <v>70</v>
      </c>
      <c r="AC228" s="53">
        <v>46200</v>
      </c>
      <c r="AD228" s="49">
        <v>2</v>
      </c>
      <c r="AE228" s="53">
        <v>1320</v>
      </c>
      <c r="AF228" s="49">
        <v>12</v>
      </c>
      <c r="AG228" s="53">
        <v>7920</v>
      </c>
      <c r="AH228" s="49">
        <v>42</v>
      </c>
      <c r="AI228" s="53">
        <v>27720</v>
      </c>
      <c r="AJ228" s="53"/>
      <c r="AK228" s="53"/>
      <c r="AL228" s="53"/>
      <c r="AM228" s="53"/>
      <c r="AN228" s="53">
        <v>24</v>
      </c>
      <c r="AO228" s="53">
        <v>15840</v>
      </c>
      <c r="AP228" s="63">
        <f t="shared" si="6"/>
        <v>150</v>
      </c>
      <c r="AQ228" s="55">
        <f t="shared" si="7"/>
        <v>99000</v>
      </c>
    </row>
    <row r="229" spans="1:43">
      <c r="A229" s="47">
        <v>193</v>
      </c>
      <c r="B229" s="56">
        <v>4971710513394</v>
      </c>
      <c r="C229" s="57" t="s">
        <v>252</v>
      </c>
      <c r="D229" s="75" t="s">
        <v>880</v>
      </c>
      <c r="E229" s="48" t="s">
        <v>253</v>
      </c>
      <c r="F229" s="58">
        <v>0</v>
      </c>
      <c r="G229" s="50">
        <v>0</v>
      </c>
      <c r="H229" s="51">
        <v>0</v>
      </c>
      <c r="I229" s="52">
        <v>0</v>
      </c>
      <c r="J229" s="49">
        <v>0</v>
      </c>
      <c r="K229" s="50">
        <v>0</v>
      </c>
      <c r="L229" s="49">
        <v>0</v>
      </c>
      <c r="M229" s="50">
        <v>0</v>
      </c>
      <c r="N229" s="49">
        <v>0</v>
      </c>
      <c r="O229" s="50">
        <v>0</v>
      </c>
      <c r="P229" s="49">
        <v>0</v>
      </c>
      <c r="Q229" s="53">
        <v>0</v>
      </c>
      <c r="R229" s="58">
        <v>150</v>
      </c>
      <c r="S229" s="59">
        <v>90750</v>
      </c>
      <c r="T229" s="60"/>
      <c r="U229" s="61"/>
      <c r="V229" s="58"/>
      <c r="W229" s="59"/>
      <c r="X229" s="49"/>
      <c r="Y229" s="50"/>
      <c r="Z229" s="49"/>
      <c r="AA229" s="50"/>
      <c r="AB229" s="49"/>
      <c r="AC229" s="53"/>
      <c r="AD229" s="49"/>
      <c r="AE229" s="53"/>
      <c r="AF229" s="49"/>
      <c r="AG229" s="53"/>
      <c r="AH229" s="49"/>
      <c r="AI229" s="53"/>
      <c r="AJ229" s="53"/>
      <c r="AK229" s="53"/>
      <c r="AL229" s="53"/>
      <c r="AM229" s="53"/>
      <c r="AN229" s="53"/>
      <c r="AO229" s="53"/>
      <c r="AP229" s="62">
        <f t="shared" si="6"/>
        <v>150</v>
      </c>
      <c r="AQ229" s="55">
        <f t="shared" si="7"/>
        <v>90750</v>
      </c>
    </row>
    <row r="230" spans="1:43">
      <c r="A230" s="47">
        <v>194</v>
      </c>
      <c r="B230" s="56">
        <v>4971710513585</v>
      </c>
      <c r="C230" s="57" t="s">
        <v>254</v>
      </c>
      <c r="D230" s="75" t="s">
        <v>880</v>
      </c>
      <c r="E230" s="48" t="s">
        <v>255</v>
      </c>
      <c r="F230" s="58">
        <v>0</v>
      </c>
      <c r="G230" s="50">
        <v>0</v>
      </c>
      <c r="H230" s="51">
        <v>0</v>
      </c>
      <c r="I230" s="52">
        <v>0</v>
      </c>
      <c r="J230" s="49">
        <v>0</v>
      </c>
      <c r="K230" s="50">
        <v>0</v>
      </c>
      <c r="L230" s="49">
        <v>0</v>
      </c>
      <c r="M230" s="50">
        <v>0</v>
      </c>
      <c r="N230" s="49">
        <v>0</v>
      </c>
      <c r="O230" s="50">
        <v>0</v>
      </c>
      <c r="P230" s="49">
        <v>0</v>
      </c>
      <c r="Q230" s="53">
        <v>0</v>
      </c>
      <c r="R230" s="58">
        <v>150</v>
      </c>
      <c r="S230" s="59">
        <v>90750</v>
      </c>
      <c r="T230" s="60"/>
      <c r="U230" s="61"/>
      <c r="V230" s="58"/>
      <c r="W230" s="59"/>
      <c r="X230" s="49"/>
      <c r="Y230" s="50"/>
      <c r="Z230" s="49"/>
      <c r="AA230" s="50"/>
      <c r="AB230" s="49"/>
      <c r="AC230" s="53"/>
      <c r="AD230" s="49"/>
      <c r="AE230" s="53"/>
      <c r="AF230" s="49"/>
      <c r="AG230" s="53"/>
      <c r="AH230" s="49"/>
      <c r="AI230" s="53"/>
      <c r="AJ230" s="53"/>
      <c r="AK230" s="53"/>
      <c r="AL230" s="53"/>
      <c r="AM230" s="53"/>
      <c r="AN230" s="53"/>
      <c r="AO230" s="53"/>
      <c r="AP230" s="62">
        <f t="shared" si="6"/>
        <v>150</v>
      </c>
      <c r="AQ230" s="55">
        <f t="shared" si="7"/>
        <v>90750</v>
      </c>
    </row>
    <row r="231" spans="1:43">
      <c r="A231" s="47">
        <v>195</v>
      </c>
      <c r="B231" s="56">
        <v>4971710513592</v>
      </c>
      <c r="C231" s="57" t="s">
        <v>256</v>
      </c>
      <c r="D231" s="75" t="s">
        <v>880</v>
      </c>
      <c r="E231" s="48" t="s">
        <v>257</v>
      </c>
      <c r="F231" s="58">
        <v>0</v>
      </c>
      <c r="G231" s="50">
        <v>0</v>
      </c>
      <c r="H231" s="51">
        <v>0</v>
      </c>
      <c r="I231" s="52">
        <v>0</v>
      </c>
      <c r="J231" s="49">
        <v>0</v>
      </c>
      <c r="K231" s="50">
        <v>0</v>
      </c>
      <c r="L231" s="49">
        <v>0</v>
      </c>
      <c r="M231" s="50">
        <v>0</v>
      </c>
      <c r="N231" s="49">
        <v>0</v>
      </c>
      <c r="O231" s="50">
        <v>0</v>
      </c>
      <c r="P231" s="49">
        <v>0</v>
      </c>
      <c r="Q231" s="53">
        <v>0</v>
      </c>
      <c r="R231" s="58">
        <v>150</v>
      </c>
      <c r="S231" s="59">
        <v>90750</v>
      </c>
      <c r="T231" s="60"/>
      <c r="U231" s="61"/>
      <c r="V231" s="58"/>
      <c r="W231" s="59"/>
      <c r="X231" s="49"/>
      <c r="Y231" s="50"/>
      <c r="Z231" s="49"/>
      <c r="AA231" s="50"/>
      <c r="AB231" s="49"/>
      <c r="AC231" s="53"/>
      <c r="AD231" s="49"/>
      <c r="AE231" s="53"/>
      <c r="AF231" s="49"/>
      <c r="AG231" s="53"/>
      <c r="AH231" s="49"/>
      <c r="AI231" s="53"/>
      <c r="AJ231" s="53"/>
      <c r="AK231" s="53"/>
      <c r="AL231" s="53"/>
      <c r="AM231" s="53"/>
      <c r="AN231" s="53"/>
      <c r="AO231" s="53"/>
      <c r="AP231" s="62">
        <f t="shared" si="6"/>
        <v>150</v>
      </c>
      <c r="AQ231" s="55">
        <f t="shared" si="7"/>
        <v>90750</v>
      </c>
    </row>
    <row r="232" spans="1:43">
      <c r="A232" s="47">
        <v>210</v>
      </c>
      <c r="B232" s="56">
        <v>4971710511765</v>
      </c>
      <c r="C232" s="57" t="s">
        <v>214</v>
      </c>
      <c r="D232" s="75" t="s">
        <v>884</v>
      </c>
      <c r="E232" s="48" t="s">
        <v>215</v>
      </c>
      <c r="F232" s="58">
        <v>0</v>
      </c>
      <c r="G232" s="50">
        <v>0</v>
      </c>
      <c r="H232" s="51">
        <v>0</v>
      </c>
      <c r="I232" s="52">
        <v>0</v>
      </c>
      <c r="J232" s="49">
        <v>0</v>
      </c>
      <c r="K232" s="50">
        <v>0</v>
      </c>
      <c r="L232" s="49">
        <v>20</v>
      </c>
      <c r="M232" s="50">
        <v>11000</v>
      </c>
      <c r="N232" s="49">
        <v>0</v>
      </c>
      <c r="O232" s="50">
        <v>0</v>
      </c>
      <c r="P232" s="49">
        <v>0</v>
      </c>
      <c r="Q232" s="53">
        <v>0</v>
      </c>
      <c r="R232" s="58">
        <v>20</v>
      </c>
      <c r="S232" s="59">
        <v>11000</v>
      </c>
      <c r="T232" s="60"/>
      <c r="U232" s="61"/>
      <c r="V232" s="58"/>
      <c r="W232" s="59"/>
      <c r="X232" s="49">
        <v>30</v>
      </c>
      <c r="Y232" s="50">
        <v>16500</v>
      </c>
      <c r="Z232" s="49">
        <v>30</v>
      </c>
      <c r="AA232" s="50">
        <v>16500</v>
      </c>
      <c r="AB232" s="49"/>
      <c r="AC232" s="53"/>
      <c r="AD232" s="49"/>
      <c r="AE232" s="53"/>
      <c r="AF232" s="49"/>
      <c r="AG232" s="53"/>
      <c r="AH232" s="49"/>
      <c r="AI232" s="53"/>
      <c r="AJ232" s="53"/>
      <c r="AK232" s="53"/>
      <c r="AL232" s="53"/>
      <c r="AM232" s="53"/>
      <c r="AN232" s="53">
        <v>50</v>
      </c>
      <c r="AO232" s="53">
        <v>27500</v>
      </c>
      <c r="AP232" s="62">
        <f t="shared" si="6"/>
        <v>150</v>
      </c>
      <c r="AQ232" s="55">
        <f t="shared" si="7"/>
        <v>82500</v>
      </c>
    </row>
    <row r="233" spans="1:43">
      <c r="A233" s="47">
        <v>196</v>
      </c>
      <c r="B233" s="56">
        <v>4971710598568</v>
      </c>
      <c r="C233" s="57" t="s">
        <v>818</v>
      </c>
      <c r="D233" s="75" t="s">
        <v>884</v>
      </c>
      <c r="E233" s="48" t="s">
        <v>1010</v>
      </c>
      <c r="F233" s="58">
        <v>0</v>
      </c>
      <c r="G233" s="50">
        <v>0</v>
      </c>
      <c r="H233" s="51">
        <v>0</v>
      </c>
      <c r="I233" s="52">
        <v>0</v>
      </c>
      <c r="J233" s="49">
        <v>0</v>
      </c>
      <c r="K233" s="50">
        <v>0</v>
      </c>
      <c r="L233" s="49">
        <v>0</v>
      </c>
      <c r="M233" s="50">
        <v>0</v>
      </c>
      <c r="N233" s="49">
        <v>0</v>
      </c>
      <c r="O233" s="50">
        <v>0</v>
      </c>
      <c r="P233" s="49">
        <v>0</v>
      </c>
      <c r="Q233" s="53">
        <v>0</v>
      </c>
      <c r="R233" s="58"/>
      <c r="S233" s="59"/>
      <c r="T233" s="60"/>
      <c r="U233" s="61"/>
      <c r="V233" s="58"/>
      <c r="W233" s="59"/>
      <c r="X233" s="49"/>
      <c r="Y233" s="50"/>
      <c r="Z233" s="49"/>
      <c r="AA233" s="50"/>
      <c r="AB233" s="49">
        <v>54</v>
      </c>
      <c r="AC233" s="53">
        <v>29700</v>
      </c>
      <c r="AD233" s="49">
        <v>6</v>
      </c>
      <c r="AE233" s="53">
        <v>3300</v>
      </c>
      <c r="AF233" s="49">
        <v>2</v>
      </c>
      <c r="AG233" s="53">
        <v>1100</v>
      </c>
      <c r="AH233" s="49">
        <v>71</v>
      </c>
      <c r="AI233" s="53">
        <v>39050</v>
      </c>
      <c r="AJ233" s="53"/>
      <c r="AK233" s="53"/>
      <c r="AL233" s="53"/>
      <c r="AM233" s="53"/>
      <c r="AN233" s="53">
        <v>14</v>
      </c>
      <c r="AO233" s="53">
        <v>7700</v>
      </c>
      <c r="AP233" s="63">
        <f t="shared" si="6"/>
        <v>147</v>
      </c>
      <c r="AQ233" s="55">
        <f t="shared" si="7"/>
        <v>80850</v>
      </c>
    </row>
    <row r="234" spans="1:43">
      <c r="A234" s="47">
        <v>197</v>
      </c>
      <c r="B234" s="56">
        <v>4971710249651</v>
      </c>
      <c r="C234" s="57" t="s">
        <v>913</v>
      </c>
      <c r="D234" s="75" t="s">
        <v>1076</v>
      </c>
      <c r="E234" s="48" t="s">
        <v>1075</v>
      </c>
      <c r="F234" s="58"/>
      <c r="G234" s="50"/>
      <c r="H234" s="51"/>
      <c r="I234" s="52"/>
      <c r="J234" s="49"/>
      <c r="K234" s="50"/>
      <c r="L234" s="49"/>
      <c r="M234" s="50"/>
      <c r="N234" s="49"/>
      <c r="O234" s="50"/>
      <c r="P234" s="49"/>
      <c r="Q234" s="53"/>
      <c r="R234" s="58"/>
      <c r="S234" s="59"/>
      <c r="T234" s="60"/>
      <c r="U234" s="61"/>
      <c r="V234" s="58"/>
      <c r="W234" s="59"/>
      <c r="X234" s="49"/>
      <c r="Y234" s="50"/>
      <c r="Z234" s="49"/>
      <c r="AA234" s="50"/>
      <c r="AB234" s="49"/>
      <c r="AC234" s="53"/>
      <c r="AD234" s="49"/>
      <c r="AE234" s="53"/>
      <c r="AF234" s="49"/>
      <c r="AG234" s="53"/>
      <c r="AH234" s="49">
        <v>76</v>
      </c>
      <c r="AI234" s="53">
        <v>62700</v>
      </c>
      <c r="AJ234" s="53"/>
      <c r="AK234" s="53"/>
      <c r="AL234" s="53"/>
      <c r="AM234" s="53"/>
      <c r="AN234" s="53">
        <v>70</v>
      </c>
      <c r="AO234" s="53">
        <v>57750</v>
      </c>
      <c r="AP234" s="63">
        <f t="shared" si="6"/>
        <v>146</v>
      </c>
      <c r="AQ234" s="55">
        <f t="shared" si="7"/>
        <v>120450</v>
      </c>
    </row>
    <row r="235" spans="1:43">
      <c r="A235" s="47">
        <v>199</v>
      </c>
      <c r="B235" s="56">
        <v>4971710598582</v>
      </c>
      <c r="C235" s="57" t="s">
        <v>815</v>
      </c>
      <c r="D235" s="75" t="s">
        <v>884</v>
      </c>
      <c r="E235" s="48" t="s">
        <v>1007</v>
      </c>
      <c r="F235" s="58">
        <v>0</v>
      </c>
      <c r="G235" s="50">
        <v>0</v>
      </c>
      <c r="H235" s="51">
        <v>0</v>
      </c>
      <c r="I235" s="52">
        <v>0</v>
      </c>
      <c r="J235" s="49">
        <v>0</v>
      </c>
      <c r="K235" s="50">
        <v>0</v>
      </c>
      <c r="L235" s="49">
        <v>0</v>
      </c>
      <c r="M235" s="50">
        <v>0</v>
      </c>
      <c r="N235" s="49">
        <v>0</v>
      </c>
      <c r="O235" s="50">
        <v>0</v>
      </c>
      <c r="P235" s="49">
        <v>0</v>
      </c>
      <c r="Q235" s="53">
        <v>0</v>
      </c>
      <c r="R235" s="58"/>
      <c r="S235" s="59"/>
      <c r="T235" s="60"/>
      <c r="U235" s="61"/>
      <c r="V235" s="58"/>
      <c r="W235" s="59"/>
      <c r="X235" s="49"/>
      <c r="Y235" s="50"/>
      <c r="Z235" s="49"/>
      <c r="AA235" s="50"/>
      <c r="AB235" s="49">
        <v>59</v>
      </c>
      <c r="AC235" s="53">
        <v>32450</v>
      </c>
      <c r="AD235" s="49">
        <v>7</v>
      </c>
      <c r="AE235" s="53">
        <v>3850</v>
      </c>
      <c r="AF235" s="49">
        <v>2</v>
      </c>
      <c r="AG235" s="53">
        <v>1100</v>
      </c>
      <c r="AH235" s="49">
        <v>65</v>
      </c>
      <c r="AI235" s="53">
        <v>35750</v>
      </c>
      <c r="AJ235" s="53"/>
      <c r="AK235" s="53"/>
      <c r="AL235" s="53"/>
      <c r="AM235" s="53"/>
      <c r="AN235" s="53">
        <v>12</v>
      </c>
      <c r="AO235" s="53">
        <v>6600</v>
      </c>
      <c r="AP235" s="63">
        <f t="shared" si="6"/>
        <v>145</v>
      </c>
      <c r="AQ235" s="55">
        <f t="shared" si="7"/>
        <v>79750</v>
      </c>
    </row>
    <row r="236" spans="1:43">
      <c r="A236" s="47">
        <v>200</v>
      </c>
      <c r="B236" s="56">
        <v>4971710589597</v>
      </c>
      <c r="C236" s="57" t="s">
        <v>724</v>
      </c>
      <c r="D236" s="75" t="s">
        <v>884</v>
      </c>
      <c r="E236" s="48" t="s">
        <v>725</v>
      </c>
      <c r="F236" s="58">
        <v>0</v>
      </c>
      <c r="G236" s="50">
        <v>0</v>
      </c>
      <c r="H236" s="51">
        <v>0</v>
      </c>
      <c r="I236" s="52">
        <v>0</v>
      </c>
      <c r="J236" s="49">
        <v>0</v>
      </c>
      <c r="K236" s="50">
        <v>0</v>
      </c>
      <c r="L236" s="49">
        <v>0</v>
      </c>
      <c r="M236" s="50">
        <v>0</v>
      </c>
      <c r="N236" s="49">
        <v>0</v>
      </c>
      <c r="O236" s="50">
        <v>0</v>
      </c>
      <c r="P236" s="49">
        <v>0</v>
      </c>
      <c r="Q236" s="53">
        <v>0</v>
      </c>
      <c r="R236" s="58">
        <v>10</v>
      </c>
      <c r="S236" s="59">
        <v>6050</v>
      </c>
      <c r="T236" s="60">
        <v>4</v>
      </c>
      <c r="U236" s="61">
        <v>1210</v>
      </c>
      <c r="V236" s="58"/>
      <c r="W236" s="59"/>
      <c r="X236" s="49">
        <v>36</v>
      </c>
      <c r="Y236" s="50">
        <v>21780</v>
      </c>
      <c r="Z236" s="49"/>
      <c r="AA236" s="50"/>
      <c r="AB236" s="49">
        <v>12</v>
      </c>
      <c r="AC236" s="53">
        <v>7260</v>
      </c>
      <c r="AD236" s="49"/>
      <c r="AE236" s="53"/>
      <c r="AF236" s="49"/>
      <c r="AG236" s="53"/>
      <c r="AH236" s="49">
        <v>83</v>
      </c>
      <c r="AI236" s="53">
        <v>50215</v>
      </c>
      <c r="AJ236" s="53"/>
      <c r="AK236" s="53"/>
      <c r="AL236" s="53"/>
      <c r="AM236" s="53"/>
      <c r="AN236" s="53"/>
      <c r="AO236" s="53"/>
      <c r="AP236" s="62">
        <f t="shared" si="6"/>
        <v>145</v>
      </c>
      <c r="AQ236" s="55">
        <f t="shared" si="7"/>
        <v>86515</v>
      </c>
    </row>
    <row r="237" spans="1:43">
      <c r="A237" s="47">
        <v>228</v>
      </c>
      <c r="B237" s="56">
        <v>4971710515794</v>
      </c>
      <c r="C237" s="57" t="s">
        <v>312</v>
      </c>
      <c r="D237" s="75" t="s">
        <v>884</v>
      </c>
      <c r="E237" s="48" t="s">
        <v>313</v>
      </c>
      <c r="F237" s="58">
        <v>0</v>
      </c>
      <c r="G237" s="50">
        <v>0</v>
      </c>
      <c r="H237" s="51">
        <v>5</v>
      </c>
      <c r="I237" s="52">
        <v>2610</v>
      </c>
      <c r="J237" s="49">
        <v>5</v>
      </c>
      <c r="K237" s="50">
        <v>2610</v>
      </c>
      <c r="L237" s="49">
        <v>35</v>
      </c>
      <c r="M237" s="50">
        <v>18270</v>
      </c>
      <c r="N237" s="49">
        <v>0</v>
      </c>
      <c r="O237" s="50">
        <v>0</v>
      </c>
      <c r="P237" s="49">
        <v>0</v>
      </c>
      <c r="Q237" s="53">
        <v>0</v>
      </c>
      <c r="R237" s="58"/>
      <c r="S237" s="59"/>
      <c r="T237" s="60">
        <v>4</v>
      </c>
      <c r="U237" s="61">
        <v>1044</v>
      </c>
      <c r="V237" s="58">
        <v>4</v>
      </c>
      <c r="W237" s="59">
        <v>2088</v>
      </c>
      <c r="X237" s="49">
        <v>4</v>
      </c>
      <c r="Y237" s="50">
        <v>2088</v>
      </c>
      <c r="Z237" s="49"/>
      <c r="AA237" s="50"/>
      <c r="AB237" s="49"/>
      <c r="AC237" s="53"/>
      <c r="AD237" s="49">
        <v>32</v>
      </c>
      <c r="AE237" s="53">
        <v>16704</v>
      </c>
      <c r="AF237" s="49">
        <v>50</v>
      </c>
      <c r="AG237" s="53">
        <v>26100</v>
      </c>
      <c r="AH237" s="49">
        <v>4</v>
      </c>
      <c r="AI237" s="53">
        <v>2088</v>
      </c>
      <c r="AJ237" s="53"/>
      <c r="AK237" s="53"/>
      <c r="AL237" s="53"/>
      <c r="AM237" s="53"/>
      <c r="AN237" s="53"/>
      <c r="AO237" s="53"/>
      <c r="AP237" s="62">
        <f t="shared" si="6"/>
        <v>143</v>
      </c>
      <c r="AQ237" s="55">
        <f t="shared" si="7"/>
        <v>73602</v>
      </c>
    </row>
    <row r="238" spans="1:43">
      <c r="A238" s="47">
        <v>242</v>
      </c>
      <c r="B238" s="56">
        <v>4971710579918</v>
      </c>
      <c r="C238" s="57" t="s">
        <v>668</v>
      </c>
      <c r="D238" s="75" t="s">
        <v>884</v>
      </c>
      <c r="E238" s="48" t="s">
        <v>669</v>
      </c>
      <c r="F238" s="58">
        <v>0</v>
      </c>
      <c r="G238" s="50">
        <v>0</v>
      </c>
      <c r="H238" s="51">
        <v>0</v>
      </c>
      <c r="I238" s="52">
        <v>0</v>
      </c>
      <c r="J238" s="49">
        <v>0</v>
      </c>
      <c r="K238" s="50">
        <v>0</v>
      </c>
      <c r="L238" s="49">
        <v>50</v>
      </c>
      <c r="M238" s="50">
        <v>41250</v>
      </c>
      <c r="N238" s="49">
        <v>2</v>
      </c>
      <c r="O238" s="50">
        <v>1650</v>
      </c>
      <c r="P238" s="49">
        <v>0</v>
      </c>
      <c r="Q238" s="53">
        <v>0</v>
      </c>
      <c r="R238" s="58">
        <v>42</v>
      </c>
      <c r="S238" s="59">
        <v>34650</v>
      </c>
      <c r="T238" s="60">
        <v>12</v>
      </c>
      <c r="U238" s="61">
        <v>4950</v>
      </c>
      <c r="V238" s="58">
        <v>2</v>
      </c>
      <c r="W238" s="59">
        <v>1650</v>
      </c>
      <c r="X238" s="49"/>
      <c r="Y238" s="50"/>
      <c r="Z238" s="49">
        <v>2</v>
      </c>
      <c r="AA238" s="50">
        <v>1650</v>
      </c>
      <c r="AB238" s="49">
        <v>4</v>
      </c>
      <c r="AC238" s="53">
        <v>3300</v>
      </c>
      <c r="AD238" s="49">
        <v>15</v>
      </c>
      <c r="AE238" s="53">
        <v>12375</v>
      </c>
      <c r="AF238" s="49"/>
      <c r="AG238" s="53"/>
      <c r="AH238" s="49"/>
      <c r="AI238" s="53"/>
      <c r="AJ238" s="53"/>
      <c r="AK238" s="53"/>
      <c r="AL238" s="53"/>
      <c r="AM238" s="53"/>
      <c r="AN238" s="53">
        <v>14</v>
      </c>
      <c r="AO238" s="53">
        <v>11550</v>
      </c>
      <c r="AP238" s="62">
        <f t="shared" si="6"/>
        <v>143</v>
      </c>
      <c r="AQ238" s="55">
        <f t="shared" si="7"/>
        <v>113025</v>
      </c>
    </row>
    <row r="239" spans="1:43">
      <c r="A239" s="47">
        <v>258</v>
      </c>
      <c r="B239" s="56">
        <v>4971710565089</v>
      </c>
      <c r="C239" s="57" t="s">
        <v>507</v>
      </c>
      <c r="D239" s="75" t="s">
        <v>880</v>
      </c>
      <c r="E239" s="48" t="s">
        <v>508</v>
      </c>
      <c r="F239" s="58">
        <v>0</v>
      </c>
      <c r="G239" s="50">
        <v>0</v>
      </c>
      <c r="H239" s="51">
        <v>30</v>
      </c>
      <c r="I239" s="52">
        <v>19800</v>
      </c>
      <c r="J239" s="49">
        <v>10</v>
      </c>
      <c r="K239" s="50">
        <v>6600</v>
      </c>
      <c r="L239" s="49">
        <v>0</v>
      </c>
      <c r="M239" s="50">
        <v>0</v>
      </c>
      <c r="N239" s="49">
        <v>32</v>
      </c>
      <c r="O239" s="50">
        <v>21120</v>
      </c>
      <c r="P239" s="49">
        <v>0</v>
      </c>
      <c r="Q239" s="53">
        <v>0</v>
      </c>
      <c r="R239" s="58">
        <v>12</v>
      </c>
      <c r="S239" s="59">
        <v>7920</v>
      </c>
      <c r="T239" s="60"/>
      <c r="U239" s="61"/>
      <c r="V239" s="58"/>
      <c r="W239" s="59"/>
      <c r="X239" s="49"/>
      <c r="Y239" s="50"/>
      <c r="Z239" s="49">
        <v>28</v>
      </c>
      <c r="AA239" s="50">
        <v>18480</v>
      </c>
      <c r="AB239" s="49"/>
      <c r="AC239" s="53"/>
      <c r="AD239" s="49"/>
      <c r="AE239" s="53"/>
      <c r="AF239" s="49"/>
      <c r="AG239" s="53"/>
      <c r="AH239" s="49"/>
      <c r="AI239" s="53"/>
      <c r="AJ239" s="53"/>
      <c r="AK239" s="53"/>
      <c r="AL239" s="53"/>
      <c r="AM239" s="53"/>
      <c r="AN239" s="53">
        <v>30</v>
      </c>
      <c r="AO239" s="53">
        <v>19800</v>
      </c>
      <c r="AP239" s="62">
        <f t="shared" si="6"/>
        <v>142</v>
      </c>
      <c r="AQ239" s="55">
        <f t="shared" si="7"/>
        <v>93720</v>
      </c>
    </row>
    <row r="240" spans="1:43">
      <c r="A240" s="47">
        <v>221</v>
      </c>
      <c r="B240" s="56">
        <v>4971710541199</v>
      </c>
      <c r="C240" s="57" t="s">
        <v>430</v>
      </c>
      <c r="D240" s="75" t="s">
        <v>884</v>
      </c>
      <c r="E240" s="48" t="s">
        <v>431</v>
      </c>
      <c r="F240" s="58">
        <v>10</v>
      </c>
      <c r="G240" s="50">
        <v>6600</v>
      </c>
      <c r="H240" s="51">
        <v>0</v>
      </c>
      <c r="I240" s="52">
        <v>0</v>
      </c>
      <c r="J240" s="49">
        <v>0</v>
      </c>
      <c r="K240" s="50">
        <v>0</v>
      </c>
      <c r="L240" s="49">
        <v>20</v>
      </c>
      <c r="M240" s="50">
        <v>13200</v>
      </c>
      <c r="N240" s="49">
        <v>2</v>
      </c>
      <c r="O240" s="50">
        <v>1320</v>
      </c>
      <c r="P240" s="49">
        <v>0</v>
      </c>
      <c r="Q240" s="53">
        <v>0</v>
      </c>
      <c r="R240" s="58"/>
      <c r="S240" s="59"/>
      <c r="T240" s="60">
        <v>20</v>
      </c>
      <c r="U240" s="61">
        <v>6600</v>
      </c>
      <c r="V240" s="58"/>
      <c r="W240" s="59"/>
      <c r="X240" s="49">
        <v>20</v>
      </c>
      <c r="Y240" s="50">
        <v>13200</v>
      </c>
      <c r="Z240" s="49"/>
      <c r="AA240" s="50"/>
      <c r="AB240" s="49">
        <v>4</v>
      </c>
      <c r="AC240" s="53">
        <v>2640</v>
      </c>
      <c r="AD240" s="49">
        <v>20</v>
      </c>
      <c r="AE240" s="53">
        <v>13200</v>
      </c>
      <c r="AF240" s="49">
        <v>30</v>
      </c>
      <c r="AG240" s="53">
        <v>19800</v>
      </c>
      <c r="AH240" s="49"/>
      <c r="AI240" s="53"/>
      <c r="AJ240" s="53"/>
      <c r="AK240" s="53"/>
      <c r="AL240" s="53"/>
      <c r="AM240" s="53"/>
      <c r="AN240" s="53">
        <v>15</v>
      </c>
      <c r="AO240" s="53">
        <v>9900</v>
      </c>
      <c r="AP240" s="62">
        <f t="shared" si="6"/>
        <v>141</v>
      </c>
      <c r="AQ240" s="55">
        <f t="shared" si="7"/>
        <v>86460</v>
      </c>
    </row>
    <row r="241" spans="1:43">
      <c r="A241" s="47">
        <v>236</v>
      </c>
      <c r="B241" s="56">
        <v>4971710507614</v>
      </c>
      <c r="C241" s="57" t="s">
        <v>184</v>
      </c>
      <c r="D241" s="75" t="s">
        <v>884</v>
      </c>
      <c r="E241" s="48" t="s">
        <v>185</v>
      </c>
      <c r="F241" s="58">
        <v>0</v>
      </c>
      <c r="G241" s="50">
        <v>0</v>
      </c>
      <c r="H241" s="51">
        <v>24</v>
      </c>
      <c r="I241" s="52">
        <v>15840</v>
      </c>
      <c r="J241" s="49">
        <v>24</v>
      </c>
      <c r="K241" s="50">
        <v>15840</v>
      </c>
      <c r="L241" s="49">
        <v>0</v>
      </c>
      <c r="M241" s="50">
        <v>0</v>
      </c>
      <c r="N241" s="49">
        <v>0</v>
      </c>
      <c r="O241" s="50">
        <v>0</v>
      </c>
      <c r="P241" s="49">
        <v>0</v>
      </c>
      <c r="Q241" s="53">
        <v>0</v>
      </c>
      <c r="R241" s="58"/>
      <c r="S241" s="59"/>
      <c r="T241" s="60">
        <v>8</v>
      </c>
      <c r="U241" s="61">
        <v>2640</v>
      </c>
      <c r="V241" s="58">
        <v>6</v>
      </c>
      <c r="W241" s="59">
        <v>3960</v>
      </c>
      <c r="X241" s="49">
        <v>6</v>
      </c>
      <c r="Y241" s="50">
        <v>3960</v>
      </c>
      <c r="Z241" s="49"/>
      <c r="AA241" s="50"/>
      <c r="AB241" s="49"/>
      <c r="AC241" s="53"/>
      <c r="AD241" s="49">
        <v>21</v>
      </c>
      <c r="AE241" s="53">
        <v>13860</v>
      </c>
      <c r="AF241" s="49">
        <v>12</v>
      </c>
      <c r="AG241" s="53">
        <v>7920</v>
      </c>
      <c r="AH241" s="49">
        <v>20</v>
      </c>
      <c r="AI241" s="53">
        <v>13200</v>
      </c>
      <c r="AJ241" s="53"/>
      <c r="AK241" s="53"/>
      <c r="AL241" s="53"/>
      <c r="AM241" s="53"/>
      <c r="AN241" s="53">
        <v>20</v>
      </c>
      <c r="AO241" s="53">
        <v>13200</v>
      </c>
      <c r="AP241" s="62">
        <f t="shared" si="6"/>
        <v>141</v>
      </c>
      <c r="AQ241" s="55">
        <f t="shared" si="7"/>
        <v>90420</v>
      </c>
    </row>
    <row r="242" spans="1:43">
      <c r="A242" s="47">
        <v>203</v>
      </c>
      <c r="B242" s="56">
        <v>4971710598599</v>
      </c>
      <c r="C242" s="57" t="s">
        <v>813</v>
      </c>
      <c r="D242" s="75" t="s">
        <v>884</v>
      </c>
      <c r="E242" s="48" t="s">
        <v>1005</v>
      </c>
      <c r="F242" s="58">
        <v>0</v>
      </c>
      <c r="G242" s="50">
        <v>0</v>
      </c>
      <c r="H242" s="51">
        <v>0</v>
      </c>
      <c r="I242" s="52">
        <v>0</v>
      </c>
      <c r="J242" s="49">
        <v>0</v>
      </c>
      <c r="K242" s="50">
        <v>0</v>
      </c>
      <c r="L242" s="49">
        <v>0</v>
      </c>
      <c r="M242" s="50">
        <v>0</v>
      </c>
      <c r="N242" s="49">
        <v>0</v>
      </c>
      <c r="O242" s="50">
        <v>0</v>
      </c>
      <c r="P242" s="49">
        <v>0</v>
      </c>
      <c r="Q242" s="53">
        <v>0</v>
      </c>
      <c r="R242" s="58"/>
      <c r="S242" s="59"/>
      <c r="T242" s="60"/>
      <c r="U242" s="61"/>
      <c r="V242" s="58"/>
      <c r="W242" s="59"/>
      <c r="X242" s="49"/>
      <c r="Y242" s="50"/>
      <c r="Z242" s="49"/>
      <c r="AA242" s="50"/>
      <c r="AB242" s="49">
        <v>68</v>
      </c>
      <c r="AC242" s="53">
        <v>37400</v>
      </c>
      <c r="AD242" s="49">
        <v>2</v>
      </c>
      <c r="AE242" s="53">
        <v>1100</v>
      </c>
      <c r="AF242" s="49">
        <v>2</v>
      </c>
      <c r="AG242" s="53">
        <v>1100</v>
      </c>
      <c r="AH242" s="49">
        <v>52</v>
      </c>
      <c r="AI242" s="53">
        <v>28600</v>
      </c>
      <c r="AJ242" s="53"/>
      <c r="AK242" s="53"/>
      <c r="AL242" s="53"/>
      <c r="AM242" s="53"/>
      <c r="AN242" s="53">
        <v>16</v>
      </c>
      <c r="AO242" s="53">
        <v>8800</v>
      </c>
      <c r="AP242" s="63">
        <f t="shared" si="6"/>
        <v>140</v>
      </c>
      <c r="AQ242" s="55">
        <f t="shared" si="7"/>
        <v>77000</v>
      </c>
    </row>
    <row r="243" spans="1:43">
      <c r="A243" s="47">
        <v>227</v>
      </c>
      <c r="B243" s="56">
        <v>4971710512236</v>
      </c>
      <c r="C243" s="57" t="s">
        <v>242</v>
      </c>
      <c r="D243" s="75" t="s">
        <v>884</v>
      </c>
      <c r="E243" s="48" t="s">
        <v>243</v>
      </c>
      <c r="F243" s="58">
        <v>0</v>
      </c>
      <c r="G243" s="50">
        <v>0</v>
      </c>
      <c r="H243" s="51">
        <v>0</v>
      </c>
      <c r="I243" s="52">
        <v>0</v>
      </c>
      <c r="J243" s="49">
        <v>5</v>
      </c>
      <c r="K243" s="50">
        <v>2200</v>
      </c>
      <c r="L243" s="49">
        <v>30</v>
      </c>
      <c r="M243" s="50">
        <v>13200</v>
      </c>
      <c r="N243" s="49">
        <v>0</v>
      </c>
      <c r="O243" s="50">
        <v>0</v>
      </c>
      <c r="P243" s="49">
        <v>0</v>
      </c>
      <c r="Q243" s="53">
        <v>0</v>
      </c>
      <c r="R243" s="58"/>
      <c r="S243" s="59"/>
      <c r="T243" s="60">
        <v>12</v>
      </c>
      <c r="U243" s="61">
        <v>2640</v>
      </c>
      <c r="V243" s="58"/>
      <c r="W243" s="59"/>
      <c r="X243" s="49">
        <v>36</v>
      </c>
      <c r="Y243" s="50">
        <v>15840</v>
      </c>
      <c r="Z243" s="49">
        <v>6</v>
      </c>
      <c r="AA243" s="50">
        <v>2640</v>
      </c>
      <c r="AB243" s="49"/>
      <c r="AC243" s="53"/>
      <c r="AD243" s="49">
        <v>30</v>
      </c>
      <c r="AE243" s="53">
        <v>13200</v>
      </c>
      <c r="AF243" s="49">
        <v>20</v>
      </c>
      <c r="AG243" s="53">
        <v>8800</v>
      </c>
      <c r="AH243" s="49"/>
      <c r="AI243" s="53"/>
      <c r="AJ243" s="53"/>
      <c r="AK243" s="53"/>
      <c r="AL243" s="53"/>
      <c r="AM243" s="53"/>
      <c r="AN243" s="53"/>
      <c r="AO243" s="53"/>
      <c r="AP243" s="62">
        <f t="shared" si="6"/>
        <v>139</v>
      </c>
      <c r="AQ243" s="55">
        <f t="shared" si="7"/>
        <v>58520</v>
      </c>
    </row>
    <row r="244" spans="1:43">
      <c r="A244" s="47">
        <v>207</v>
      </c>
      <c r="B244" s="56">
        <v>4971710584097</v>
      </c>
      <c r="C244" s="57" t="s">
        <v>923</v>
      </c>
      <c r="D244" s="75" t="s">
        <v>1076</v>
      </c>
      <c r="E244" s="48" t="s">
        <v>939</v>
      </c>
      <c r="F244" s="58"/>
      <c r="G244" s="50"/>
      <c r="H244" s="51"/>
      <c r="I244" s="52"/>
      <c r="J244" s="49"/>
      <c r="K244" s="50"/>
      <c r="L244" s="49"/>
      <c r="M244" s="50"/>
      <c r="N244" s="49"/>
      <c r="O244" s="50"/>
      <c r="P244" s="49"/>
      <c r="Q244" s="53"/>
      <c r="R244" s="58"/>
      <c r="S244" s="59"/>
      <c r="T244" s="60"/>
      <c r="U244" s="61"/>
      <c r="V244" s="58"/>
      <c r="W244" s="59"/>
      <c r="X244" s="49"/>
      <c r="Y244" s="50"/>
      <c r="Z244" s="49"/>
      <c r="AA244" s="50"/>
      <c r="AB244" s="49"/>
      <c r="AC244" s="53"/>
      <c r="AD244" s="49"/>
      <c r="AE244" s="53"/>
      <c r="AF244" s="49"/>
      <c r="AG244" s="53"/>
      <c r="AH244" s="49">
        <v>36</v>
      </c>
      <c r="AI244" s="53">
        <v>31680</v>
      </c>
      <c r="AJ244" s="53"/>
      <c r="AK244" s="53"/>
      <c r="AL244" s="53"/>
      <c r="AM244" s="53"/>
      <c r="AN244" s="53">
        <v>101</v>
      </c>
      <c r="AO244" s="53">
        <v>88880</v>
      </c>
      <c r="AP244" s="63">
        <f t="shared" si="6"/>
        <v>137</v>
      </c>
      <c r="AQ244" s="55">
        <f t="shared" si="7"/>
        <v>120560</v>
      </c>
    </row>
    <row r="245" spans="1:43">
      <c r="A245" s="47">
        <v>209</v>
      </c>
      <c r="B245" s="56">
        <v>4971710589580</v>
      </c>
      <c r="C245" s="57" t="s">
        <v>722</v>
      </c>
      <c r="D245" s="75" t="s">
        <v>884</v>
      </c>
      <c r="E245" s="48" t="s">
        <v>723</v>
      </c>
      <c r="F245" s="58">
        <v>0</v>
      </c>
      <c r="G245" s="50">
        <v>0</v>
      </c>
      <c r="H245" s="51">
        <v>0</v>
      </c>
      <c r="I245" s="52">
        <v>0</v>
      </c>
      <c r="J245" s="49">
        <v>0</v>
      </c>
      <c r="K245" s="50">
        <v>0</v>
      </c>
      <c r="L245" s="49">
        <v>0</v>
      </c>
      <c r="M245" s="50">
        <v>0</v>
      </c>
      <c r="N245" s="49">
        <v>0</v>
      </c>
      <c r="O245" s="50">
        <v>0</v>
      </c>
      <c r="P245" s="49">
        <v>0</v>
      </c>
      <c r="Q245" s="53">
        <v>0</v>
      </c>
      <c r="R245" s="58">
        <v>10</v>
      </c>
      <c r="S245" s="59">
        <v>6050</v>
      </c>
      <c r="T245" s="60">
        <v>4</v>
      </c>
      <c r="U245" s="61">
        <v>1210</v>
      </c>
      <c r="V245" s="58"/>
      <c r="W245" s="59"/>
      <c r="X245" s="49">
        <v>42</v>
      </c>
      <c r="Y245" s="50">
        <v>25410</v>
      </c>
      <c r="Z245" s="49"/>
      <c r="AA245" s="50"/>
      <c r="AB245" s="49">
        <v>6</v>
      </c>
      <c r="AC245" s="53">
        <v>3630</v>
      </c>
      <c r="AD245" s="49"/>
      <c r="AE245" s="53"/>
      <c r="AF245" s="49"/>
      <c r="AG245" s="53"/>
      <c r="AH245" s="49">
        <v>75</v>
      </c>
      <c r="AI245" s="53">
        <v>45375</v>
      </c>
      <c r="AJ245" s="53"/>
      <c r="AK245" s="53"/>
      <c r="AL245" s="53"/>
      <c r="AM245" s="53"/>
      <c r="AN245" s="53"/>
      <c r="AO245" s="53"/>
      <c r="AP245" s="62">
        <f t="shared" si="6"/>
        <v>137</v>
      </c>
      <c r="AQ245" s="55">
        <f t="shared" si="7"/>
        <v>81675</v>
      </c>
    </row>
    <row r="246" spans="1:43">
      <c r="A246" s="47">
        <v>208</v>
      </c>
      <c r="B246" s="56">
        <v>4971710584684</v>
      </c>
      <c r="C246" s="57" t="s">
        <v>787</v>
      </c>
      <c r="D246" s="75" t="s">
        <v>880</v>
      </c>
      <c r="E246" s="48" t="s">
        <v>1000</v>
      </c>
      <c r="F246" s="58">
        <v>0</v>
      </c>
      <c r="G246" s="50">
        <v>0</v>
      </c>
      <c r="H246" s="51">
        <v>0</v>
      </c>
      <c r="I246" s="52">
        <v>0</v>
      </c>
      <c r="J246" s="49">
        <v>0</v>
      </c>
      <c r="K246" s="50">
        <v>0</v>
      </c>
      <c r="L246" s="49">
        <v>0</v>
      </c>
      <c r="M246" s="50">
        <v>0</v>
      </c>
      <c r="N246" s="49">
        <v>0</v>
      </c>
      <c r="O246" s="50">
        <v>0</v>
      </c>
      <c r="P246" s="49">
        <v>0</v>
      </c>
      <c r="Q246" s="53">
        <v>0</v>
      </c>
      <c r="R246" s="58"/>
      <c r="S246" s="59"/>
      <c r="T246" s="60"/>
      <c r="U246" s="61"/>
      <c r="V246" s="58"/>
      <c r="W246" s="59"/>
      <c r="X246" s="49">
        <v>36</v>
      </c>
      <c r="Y246" s="50">
        <v>19800</v>
      </c>
      <c r="Z246" s="49"/>
      <c r="AA246" s="50"/>
      <c r="AB246" s="49"/>
      <c r="AC246" s="53"/>
      <c r="AD246" s="49">
        <v>30</v>
      </c>
      <c r="AE246" s="53">
        <v>16500</v>
      </c>
      <c r="AF246" s="49">
        <v>30</v>
      </c>
      <c r="AG246" s="53">
        <v>16500</v>
      </c>
      <c r="AH246" s="49"/>
      <c r="AI246" s="53"/>
      <c r="AJ246" s="53"/>
      <c r="AK246" s="53"/>
      <c r="AL246" s="53"/>
      <c r="AM246" s="53"/>
      <c r="AN246" s="53">
        <v>40</v>
      </c>
      <c r="AO246" s="53">
        <v>22000</v>
      </c>
      <c r="AP246" s="62">
        <f t="shared" si="6"/>
        <v>136</v>
      </c>
      <c r="AQ246" s="55">
        <f t="shared" si="7"/>
        <v>74800</v>
      </c>
    </row>
    <row r="247" spans="1:43">
      <c r="A247" s="47">
        <v>219</v>
      </c>
      <c r="B247" s="56">
        <v>4971710496437</v>
      </c>
      <c r="C247" s="57" t="s">
        <v>166</v>
      </c>
      <c r="D247" s="75" t="s">
        <v>884</v>
      </c>
      <c r="E247" s="48" t="s">
        <v>167</v>
      </c>
      <c r="F247" s="58">
        <v>0</v>
      </c>
      <c r="G247" s="50">
        <v>0</v>
      </c>
      <c r="H247" s="51">
        <v>0</v>
      </c>
      <c r="I247" s="52">
        <v>0</v>
      </c>
      <c r="J247" s="49">
        <v>0</v>
      </c>
      <c r="K247" s="50">
        <v>0</v>
      </c>
      <c r="L247" s="49">
        <v>10</v>
      </c>
      <c r="M247" s="50">
        <v>8250</v>
      </c>
      <c r="N247" s="49">
        <v>0</v>
      </c>
      <c r="O247" s="50">
        <v>0</v>
      </c>
      <c r="P247" s="49">
        <v>10</v>
      </c>
      <c r="Q247" s="53">
        <v>8250</v>
      </c>
      <c r="R247" s="58">
        <v>10</v>
      </c>
      <c r="S247" s="59">
        <v>8250</v>
      </c>
      <c r="T247" s="60"/>
      <c r="U247" s="61"/>
      <c r="V247" s="58"/>
      <c r="W247" s="59"/>
      <c r="X247" s="49">
        <v>10</v>
      </c>
      <c r="Y247" s="50">
        <v>8250</v>
      </c>
      <c r="Z247" s="49"/>
      <c r="AA247" s="50"/>
      <c r="AB247" s="49">
        <v>30</v>
      </c>
      <c r="AC247" s="53">
        <v>24750</v>
      </c>
      <c r="AD247" s="49">
        <v>3</v>
      </c>
      <c r="AE247" s="53">
        <v>2475</v>
      </c>
      <c r="AF247" s="49">
        <v>10</v>
      </c>
      <c r="AG247" s="53">
        <v>8250</v>
      </c>
      <c r="AH247" s="49">
        <v>23</v>
      </c>
      <c r="AI247" s="53">
        <v>18975</v>
      </c>
      <c r="AJ247" s="53"/>
      <c r="AK247" s="53"/>
      <c r="AL247" s="53"/>
      <c r="AM247" s="53"/>
      <c r="AN247" s="53">
        <v>30</v>
      </c>
      <c r="AO247" s="53">
        <v>24750</v>
      </c>
      <c r="AP247" s="62">
        <f t="shared" si="6"/>
        <v>136</v>
      </c>
      <c r="AQ247" s="55">
        <f t="shared" si="7"/>
        <v>112200</v>
      </c>
    </row>
    <row r="248" spans="1:43">
      <c r="A248" s="47">
        <v>257</v>
      </c>
      <c r="B248" s="56">
        <v>4971710579888</v>
      </c>
      <c r="C248" s="57" t="s">
        <v>662</v>
      </c>
      <c r="D248" s="75" t="s">
        <v>884</v>
      </c>
      <c r="E248" s="48" t="s">
        <v>663</v>
      </c>
      <c r="F248" s="58">
        <v>0</v>
      </c>
      <c r="G248" s="50">
        <v>0</v>
      </c>
      <c r="H248" s="51">
        <v>0</v>
      </c>
      <c r="I248" s="52">
        <v>0</v>
      </c>
      <c r="J248" s="49">
        <v>0</v>
      </c>
      <c r="K248" s="50">
        <v>0</v>
      </c>
      <c r="L248" s="49">
        <v>50</v>
      </c>
      <c r="M248" s="50">
        <v>41250</v>
      </c>
      <c r="N248" s="49">
        <v>2</v>
      </c>
      <c r="O248" s="50">
        <v>1650</v>
      </c>
      <c r="P248" s="49">
        <v>0</v>
      </c>
      <c r="Q248" s="53">
        <v>0</v>
      </c>
      <c r="R248" s="58">
        <v>42</v>
      </c>
      <c r="S248" s="59">
        <v>34650</v>
      </c>
      <c r="T248" s="60">
        <v>12</v>
      </c>
      <c r="U248" s="61">
        <v>4950</v>
      </c>
      <c r="V248" s="58">
        <v>2</v>
      </c>
      <c r="W248" s="59">
        <v>1650</v>
      </c>
      <c r="X248" s="49"/>
      <c r="Y248" s="50"/>
      <c r="Z248" s="49">
        <v>2</v>
      </c>
      <c r="AA248" s="50">
        <v>1650</v>
      </c>
      <c r="AB248" s="49"/>
      <c r="AC248" s="53"/>
      <c r="AD248" s="49"/>
      <c r="AE248" s="53"/>
      <c r="AF248" s="49"/>
      <c r="AG248" s="53"/>
      <c r="AH248" s="49">
        <v>4</v>
      </c>
      <c r="AI248" s="53">
        <v>3300</v>
      </c>
      <c r="AJ248" s="53"/>
      <c r="AK248" s="53"/>
      <c r="AL248" s="53"/>
      <c r="AM248" s="53"/>
      <c r="AN248" s="53">
        <v>15</v>
      </c>
      <c r="AO248" s="53">
        <v>12375</v>
      </c>
      <c r="AP248" s="62">
        <f t="shared" si="6"/>
        <v>129</v>
      </c>
      <c r="AQ248" s="55">
        <f t="shared" si="7"/>
        <v>101475</v>
      </c>
    </row>
    <row r="249" spans="1:43">
      <c r="A249" s="47">
        <v>241</v>
      </c>
      <c r="B249" s="56">
        <v>4971710579796</v>
      </c>
      <c r="C249" s="57" t="s">
        <v>654</v>
      </c>
      <c r="D249" s="75" t="s">
        <v>884</v>
      </c>
      <c r="E249" s="48" t="s">
        <v>655</v>
      </c>
      <c r="F249" s="58">
        <v>10</v>
      </c>
      <c r="G249" s="50">
        <v>6600</v>
      </c>
      <c r="H249" s="51">
        <v>30</v>
      </c>
      <c r="I249" s="52">
        <v>19800</v>
      </c>
      <c r="J249" s="49">
        <v>0</v>
      </c>
      <c r="K249" s="50">
        <v>0</v>
      </c>
      <c r="L249" s="49">
        <v>0</v>
      </c>
      <c r="M249" s="50">
        <v>0</v>
      </c>
      <c r="N249" s="49">
        <v>0</v>
      </c>
      <c r="O249" s="50">
        <v>0</v>
      </c>
      <c r="P249" s="49">
        <v>0</v>
      </c>
      <c r="Q249" s="53">
        <v>0</v>
      </c>
      <c r="R249" s="58">
        <v>65</v>
      </c>
      <c r="S249" s="59">
        <v>42900</v>
      </c>
      <c r="T249" s="60"/>
      <c r="U249" s="61"/>
      <c r="V249" s="58"/>
      <c r="W249" s="59"/>
      <c r="X249" s="49"/>
      <c r="Y249" s="50"/>
      <c r="Z249" s="49"/>
      <c r="AA249" s="50"/>
      <c r="AB249" s="49"/>
      <c r="AC249" s="53"/>
      <c r="AD249" s="49"/>
      <c r="AE249" s="53"/>
      <c r="AF249" s="49"/>
      <c r="AG249" s="53"/>
      <c r="AH249" s="49"/>
      <c r="AI249" s="53"/>
      <c r="AJ249" s="53"/>
      <c r="AK249" s="53"/>
      <c r="AL249" s="53"/>
      <c r="AM249" s="53"/>
      <c r="AN249" s="53">
        <v>20</v>
      </c>
      <c r="AO249" s="53">
        <v>13200</v>
      </c>
      <c r="AP249" s="62">
        <f t="shared" si="6"/>
        <v>125</v>
      </c>
      <c r="AQ249" s="55">
        <f t="shared" si="7"/>
        <v>82500</v>
      </c>
    </row>
    <row r="250" spans="1:43">
      <c r="A250" s="47">
        <v>262</v>
      </c>
      <c r="B250" s="56">
        <v>4971710579871</v>
      </c>
      <c r="C250" s="57" t="s">
        <v>660</v>
      </c>
      <c r="D250" s="75" t="s">
        <v>884</v>
      </c>
      <c r="E250" s="48" t="s">
        <v>661</v>
      </c>
      <c r="F250" s="58">
        <v>0</v>
      </c>
      <c r="G250" s="50">
        <v>0</v>
      </c>
      <c r="H250" s="51">
        <v>0</v>
      </c>
      <c r="I250" s="52">
        <v>0</v>
      </c>
      <c r="J250" s="49">
        <v>0</v>
      </c>
      <c r="K250" s="50">
        <v>0</v>
      </c>
      <c r="L250" s="49">
        <v>50</v>
      </c>
      <c r="M250" s="50">
        <v>41250</v>
      </c>
      <c r="N250" s="49">
        <v>0</v>
      </c>
      <c r="O250" s="50">
        <v>0</v>
      </c>
      <c r="P250" s="49">
        <v>0</v>
      </c>
      <c r="Q250" s="53">
        <v>0</v>
      </c>
      <c r="R250" s="58">
        <v>42</v>
      </c>
      <c r="S250" s="59">
        <v>34650</v>
      </c>
      <c r="T250" s="60">
        <v>12</v>
      </c>
      <c r="U250" s="61">
        <v>4950</v>
      </c>
      <c r="V250" s="58">
        <v>2</v>
      </c>
      <c r="W250" s="59">
        <v>1650</v>
      </c>
      <c r="X250" s="49"/>
      <c r="Y250" s="50"/>
      <c r="Z250" s="49">
        <v>2</v>
      </c>
      <c r="AA250" s="50">
        <v>1650</v>
      </c>
      <c r="AB250" s="49"/>
      <c r="AC250" s="53"/>
      <c r="AD250" s="49">
        <v>15</v>
      </c>
      <c r="AE250" s="53">
        <v>12375</v>
      </c>
      <c r="AF250" s="49"/>
      <c r="AG250" s="53"/>
      <c r="AH250" s="49"/>
      <c r="AI250" s="53"/>
      <c r="AJ250" s="53"/>
      <c r="AK250" s="53"/>
      <c r="AL250" s="53"/>
      <c r="AM250" s="53"/>
      <c r="AN250" s="53">
        <v>2</v>
      </c>
      <c r="AO250" s="53">
        <v>1650</v>
      </c>
      <c r="AP250" s="62">
        <f t="shared" si="6"/>
        <v>125</v>
      </c>
      <c r="AQ250" s="55">
        <f t="shared" si="7"/>
        <v>98175</v>
      </c>
    </row>
    <row r="251" spans="1:43">
      <c r="A251" s="47">
        <v>232</v>
      </c>
      <c r="B251" s="56">
        <v>4971710512267</v>
      </c>
      <c r="C251" s="57" t="s">
        <v>248</v>
      </c>
      <c r="D251" s="75" t="s">
        <v>884</v>
      </c>
      <c r="E251" s="48" t="s">
        <v>249</v>
      </c>
      <c r="F251" s="58">
        <v>0</v>
      </c>
      <c r="G251" s="50">
        <v>0</v>
      </c>
      <c r="H251" s="51">
        <v>0</v>
      </c>
      <c r="I251" s="52">
        <v>0</v>
      </c>
      <c r="J251" s="49">
        <v>0</v>
      </c>
      <c r="K251" s="50">
        <v>0</v>
      </c>
      <c r="L251" s="49">
        <v>30</v>
      </c>
      <c r="M251" s="50">
        <v>13200</v>
      </c>
      <c r="N251" s="49">
        <v>0</v>
      </c>
      <c r="O251" s="50">
        <v>0</v>
      </c>
      <c r="P251" s="49">
        <v>0</v>
      </c>
      <c r="Q251" s="53">
        <v>0</v>
      </c>
      <c r="R251" s="58"/>
      <c r="S251" s="59"/>
      <c r="T251" s="60">
        <v>8</v>
      </c>
      <c r="U251" s="61">
        <v>1760</v>
      </c>
      <c r="V251" s="58"/>
      <c r="W251" s="59"/>
      <c r="X251" s="49">
        <v>26</v>
      </c>
      <c r="Y251" s="50">
        <v>11440</v>
      </c>
      <c r="Z251" s="49"/>
      <c r="AA251" s="50"/>
      <c r="AB251" s="49"/>
      <c r="AC251" s="53"/>
      <c r="AD251" s="49">
        <v>30</v>
      </c>
      <c r="AE251" s="53">
        <v>13200</v>
      </c>
      <c r="AF251" s="49">
        <v>30</v>
      </c>
      <c r="AG251" s="53">
        <v>13200</v>
      </c>
      <c r="AH251" s="49"/>
      <c r="AI251" s="53"/>
      <c r="AJ251" s="53"/>
      <c r="AK251" s="53"/>
      <c r="AL251" s="53"/>
      <c r="AM251" s="53"/>
      <c r="AN251" s="53"/>
      <c r="AO251" s="53"/>
      <c r="AP251" s="62">
        <f t="shared" si="6"/>
        <v>124</v>
      </c>
      <c r="AQ251" s="55">
        <f t="shared" si="7"/>
        <v>52800</v>
      </c>
    </row>
    <row r="252" spans="1:43">
      <c r="A252" s="47">
        <v>217</v>
      </c>
      <c r="B252" s="56">
        <v>4971710589573</v>
      </c>
      <c r="C252" s="57" t="s">
        <v>720</v>
      </c>
      <c r="D252" s="75" t="s">
        <v>884</v>
      </c>
      <c r="E252" s="48" t="s">
        <v>721</v>
      </c>
      <c r="F252" s="58">
        <v>0</v>
      </c>
      <c r="G252" s="50">
        <v>0</v>
      </c>
      <c r="H252" s="51">
        <v>0</v>
      </c>
      <c r="I252" s="52">
        <v>0</v>
      </c>
      <c r="J252" s="49">
        <v>0</v>
      </c>
      <c r="K252" s="50">
        <v>0</v>
      </c>
      <c r="L252" s="49">
        <v>0</v>
      </c>
      <c r="M252" s="50">
        <v>0</v>
      </c>
      <c r="N252" s="49">
        <v>0</v>
      </c>
      <c r="O252" s="50">
        <v>0</v>
      </c>
      <c r="P252" s="49">
        <v>0</v>
      </c>
      <c r="Q252" s="53">
        <v>0</v>
      </c>
      <c r="R252" s="58">
        <v>10</v>
      </c>
      <c r="S252" s="59">
        <v>6050</v>
      </c>
      <c r="T252" s="60">
        <v>4</v>
      </c>
      <c r="U252" s="61">
        <v>1210</v>
      </c>
      <c r="V252" s="58"/>
      <c r="W252" s="59"/>
      <c r="X252" s="49">
        <v>32</v>
      </c>
      <c r="Y252" s="50">
        <v>19360</v>
      </c>
      <c r="Z252" s="49"/>
      <c r="AA252" s="50"/>
      <c r="AB252" s="49">
        <v>2</v>
      </c>
      <c r="AC252" s="53">
        <v>1210</v>
      </c>
      <c r="AD252" s="49"/>
      <c r="AE252" s="53"/>
      <c r="AF252" s="49"/>
      <c r="AG252" s="53"/>
      <c r="AH252" s="49">
        <v>75</v>
      </c>
      <c r="AI252" s="53">
        <v>45375</v>
      </c>
      <c r="AJ252" s="53"/>
      <c r="AK252" s="53"/>
      <c r="AL252" s="53"/>
      <c r="AM252" s="53"/>
      <c r="AN252" s="53"/>
      <c r="AO252" s="53"/>
      <c r="AP252" s="62">
        <f t="shared" si="6"/>
        <v>123</v>
      </c>
      <c r="AQ252" s="55">
        <f t="shared" si="7"/>
        <v>73205</v>
      </c>
    </row>
    <row r="253" spans="1:43">
      <c r="A253" s="47">
        <v>223</v>
      </c>
      <c r="B253" s="56">
        <v>4971710541151</v>
      </c>
      <c r="C253" s="57" t="s">
        <v>422</v>
      </c>
      <c r="D253" s="75" t="s">
        <v>884</v>
      </c>
      <c r="E253" s="48" t="s">
        <v>423</v>
      </c>
      <c r="F253" s="58">
        <v>10</v>
      </c>
      <c r="G253" s="50">
        <v>6600</v>
      </c>
      <c r="H253" s="51">
        <v>0</v>
      </c>
      <c r="I253" s="52">
        <v>0</v>
      </c>
      <c r="J253" s="49">
        <v>0</v>
      </c>
      <c r="K253" s="50">
        <v>0</v>
      </c>
      <c r="L253" s="49">
        <v>0</v>
      </c>
      <c r="M253" s="50">
        <v>0</v>
      </c>
      <c r="N253" s="49">
        <v>0</v>
      </c>
      <c r="O253" s="50">
        <v>0</v>
      </c>
      <c r="P253" s="49">
        <v>0</v>
      </c>
      <c r="Q253" s="53">
        <v>0</v>
      </c>
      <c r="R253" s="58">
        <v>50</v>
      </c>
      <c r="S253" s="59">
        <v>33000</v>
      </c>
      <c r="T253" s="60">
        <v>8</v>
      </c>
      <c r="U253" s="61">
        <v>2640</v>
      </c>
      <c r="V253" s="58"/>
      <c r="W253" s="59"/>
      <c r="X253" s="49"/>
      <c r="Y253" s="50"/>
      <c r="Z253" s="49"/>
      <c r="AA253" s="50"/>
      <c r="AB253" s="49"/>
      <c r="AC253" s="53"/>
      <c r="AD253" s="49">
        <v>20</v>
      </c>
      <c r="AE253" s="53">
        <v>13200</v>
      </c>
      <c r="AF253" s="49">
        <v>30</v>
      </c>
      <c r="AG253" s="53">
        <v>19800</v>
      </c>
      <c r="AH253" s="49"/>
      <c r="AI253" s="53"/>
      <c r="AJ253" s="53"/>
      <c r="AK253" s="53"/>
      <c r="AL253" s="53"/>
      <c r="AM253" s="53"/>
      <c r="AN253" s="53"/>
      <c r="AO253" s="53"/>
      <c r="AP253" s="62">
        <f t="shared" si="6"/>
        <v>118</v>
      </c>
      <c r="AQ253" s="55">
        <f t="shared" si="7"/>
        <v>75240</v>
      </c>
    </row>
    <row r="254" spans="1:43">
      <c r="A254" s="47">
        <v>239</v>
      </c>
      <c r="B254" s="56">
        <v>4971710496468</v>
      </c>
      <c r="C254" s="57" t="s">
        <v>170</v>
      </c>
      <c r="D254" s="75" t="s">
        <v>884</v>
      </c>
      <c r="E254" s="48" t="s">
        <v>171</v>
      </c>
      <c r="F254" s="58">
        <v>0</v>
      </c>
      <c r="G254" s="50">
        <v>0</v>
      </c>
      <c r="H254" s="51">
        <v>0</v>
      </c>
      <c r="I254" s="52">
        <v>0</v>
      </c>
      <c r="J254" s="49">
        <v>0</v>
      </c>
      <c r="K254" s="50">
        <v>0</v>
      </c>
      <c r="L254" s="49">
        <v>10</v>
      </c>
      <c r="M254" s="50">
        <v>8250</v>
      </c>
      <c r="N254" s="49">
        <v>20</v>
      </c>
      <c r="O254" s="50">
        <v>16500</v>
      </c>
      <c r="P254" s="49">
        <v>0</v>
      </c>
      <c r="Q254" s="53">
        <v>0</v>
      </c>
      <c r="R254" s="58">
        <v>40</v>
      </c>
      <c r="S254" s="59">
        <v>33000</v>
      </c>
      <c r="T254" s="60"/>
      <c r="U254" s="61"/>
      <c r="V254" s="58"/>
      <c r="W254" s="59"/>
      <c r="X254" s="49"/>
      <c r="Y254" s="50"/>
      <c r="Z254" s="49"/>
      <c r="AA254" s="50"/>
      <c r="AB254" s="49"/>
      <c r="AC254" s="53"/>
      <c r="AD254" s="49">
        <v>7</v>
      </c>
      <c r="AE254" s="53">
        <v>5775</v>
      </c>
      <c r="AF254" s="49">
        <v>20</v>
      </c>
      <c r="AG254" s="53">
        <v>16500</v>
      </c>
      <c r="AH254" s="49">
        <v>20</v>
      </c>
      <c r="AI254" s="53">
        <v>16500</v>
      </c>
      <c r="AJ254" s="53"/>
      <c r="AK254" s="53"/>
      <c r="AL254" s="53"/>
      <c r="AM254" s="53"/>
      <c r="AN254" s="53"/>
      <c r="AO254" s="53"/>
      <c r="AP254" s="62">
        <f t="shared" si="6"/>
        <v>117</v>
      </c>
      <c r="AQ254" s="55">
        <f t="shared" si="7"/>
        <v>96525</v>
      </c>
    </row>
    <row r="255" spans="1:43">
      <c r="A255" s="47">
        <v>278</v>
      </c>
      <c r="B255" s="56">
        <v>4971710579901</v>
      </c>
      <c r="C255" s="57" t="s">
        <v>666</v>
      </c>
      <c r="D255" s="75" t="s">
        <v>884</v>
      </c>
      <c r="E255" s="48" t="s">
        <v>667</v>
      </c>
      <c r="F255" s="58">
        <v>0</v>
      </c>
      <c r="G255" s="50">
        <v>0</v>
      </c>
      <c r="H255" s="51">
        <v>0</v>
      </c>
      <c r="I255" s="52">
        <v>0</v>
      </c>
      <c r="J255" s="49">
        <v>0</v>
      </c>
      <c r="K255" s="50">
        <v>0</v>
      </c>
      <c r="L255" s="49">
        <v>50</v>
      </c>
      <c r="M255" s="50">
        <v>41250</v>
      </c>
      <c r="N255" s="49">
        <v>3</v>
      </c>
      <c r="O255" s="50">
        <v>2475</v>
      </c>
      <c r="P255" s="49">
        <v>0</v>
      </c>
      <c r="Q255" s="53">
        <v>0</v>
      </c>
      <c r="R255" s="58">
        <v>42</v>
      </c>
      <c r="S255" s="59">
        <v>34650</v>
      </c>
      <c r="T255" s="60">
        <v>12</v>
      </c>
      <c r="U255" s="61">
        <v>4950</v>
      </c>
      <c r="V255" s="58">
        <v>2</v>
      </c>
      <c r="W255" s="59">
        <v>1650</v>
      </c>
      <c r="X255" s="49"/>
      <c r="Y255" s="50"/>
      <c r="Z255" s="49">
        <v>2</v>
      </c>
      <c r="AA255" s="50">
        <v>1650</v>
      </c>
      <c r="AB255" s="49"/>
      <c r="AC255" s="53"/>
      <c r="AD255" s="49"/>
      <c r="AE255" s="53"/>
      <c r="AF255" s="49"/>
      <c r="AG255" s="53"/>
      <c r="AH255" s="49">
        <v>4</v>
      </c>
      <c r="AI255" s="53">
        <v>3300</v>
      </c>
      <c r="AJ255" s="53"/>
      <c r="AK255" s="53"/>
      <c r="AL255" s="53"/>
      <c r="AM255" s="53"/>
      <c r="AN255" s="53"/>
      <c r="AO255" s="53"/>
      <c r="AP255" s="62">
        <f t="shared" si="6"/>
        <v>115</v>
      </c>
      <c r="AQ255" s="55">
        <f t="shared" si="7"/>
        <v>89925</v>
      </c>
    </row>
    <row r="256" spans="1:43">
      <c r="A256" s="47">
        <v>282</v>
      </c>
      <c r="B256" s="56">
        <v>4971710579895</v>
      </c>
      <c r="C256" s="57" t="s">
        <v>664</v>
      </c>
      <c r="D256" s="75" t="s">
        <v>884</v>
      </c>
      <c r="E256" s="48" t="s">
        <v>665</v>
      </c>
      <c r="F256" s="58">
        <v>0</v>
      </c>
      <c r="G256" s="50">
        <v>0</v>
      </c>
      <c r="H256" s="51">
        <v>0</v>
      </c>
      <c r="I256" s="52">
        <v>0</v>
      </c>
      <c r="J256" s="49">
        <v>0</v>
      </c>
      <c r="K256" s="50">
        <v>0</v>
      </c>
      <c r="L256" s="49">
        <v>50</v>
      </c>
      <c r="M256" s="50">
        <v>41250</v>
      </c>
      <c r="N256" s="49">
        <v>2</v>
      </c>
      <c r="O256" s="50">
        <v>1650</v>
      </c>
      <c r="P256" s="49">
        <v>0</v>
      </c>
      <c r="Q256" s="53">
        <v>0</v>
      </c>
      <c r="R256" s="58">
        <v>42</v>
      </c>
      <c r="S256" s="59">
        <v>34650</v>
      </c>
      <c r="T256" s="60">
        <v>16</v>
      </c>
      <c r="U256" s="61">
        <v>6600</v>
      </c>
      <c r="V256" s="58">
        <v>2</v>
      </c>
      <c r="W256" s="59">
        <v>1650</v>
      </c>
      <c r="X256" s="49"/>
      <c r="Y256" s="50"/>
      <c r="Z256" s="49">
        <v>2</v>
      </c>
      <c r="AA256" s="50">
        <v>1650</v>
      </c>
      <c r="AB256" s="49"/>
      <c r="AC256" s="53"/>
      <c r="AD256" s="49"/>
      <c r="AE256" s="53"/>
      <c r="AF256" s="49"/>
      <c r="AG256" s="53"/>
      <c r="AH256" s="49"/>
      <c r="AI256" s="53"/>
      <c r="AJ256" s="53"/>
      <c r="AK256" s="53"/>
      <c r="AL256" s="53"/>
      <c r="AM256" s="53"/>
      <c r="AN256" s="53"/>
      <c r="AO256" s="53"/>
      <c r="AP256" s="62">
        <f t="shared" si="6"/>
        <v>114</v>
      </c>
      <c r="AQ256" s="55">
        <f t="shared" si="7"/>
        <v>87450</v>
      </c>
    </row>
    <row r="257" spans="1:43">
      <c r="A257" s="47">
        <v>280</v>
      </c>
      <c r="B257" s="56">
        <v>4971710579925</v>
      </c>
      <c r="C257" s="57" t="s">
        <v>670</v>
      </c>
      <c r="D257" s="75" t="s">
        <v>884</v>
      </c>
      <c r="E257" s="48" t="s">
        <v>671</v>
      </c>
      <c r="F257" s="58">
        <v>0</v>
      </c>
      <c r="G257" s="50">
        <v>0</v>
      </c>
      <c r="H257" s="51">
        <v>0</v>
      </c>
      <c r="I257" s="52">
        <v>0</v>
      </c>
      <c r="J257" s="49">
        <v>0</v>
      </c>
      <c r="K257" s="50">
        <v>0</v>
      </c>
      <c r="L257" s="49">
        <v>50</v>
      </c>
      <c r="M257" s="50">
        <v>41250</v>
      </c>
      <c r="N257" s="49">
        <v>2</v>
      </c>
      <c r="O257" s="50">
        <v>1650</v>
      </c>
      <c r="P257" s="49">
        <v>0</v>
      </c>
      <c r="Q257" s="53">
        <v>0</v>
      </c>
      <c r="R257" s="58">
        <v>42</v>
      </c>
      <c r="S257" s="59">
        <v>34650</v>
      </c>
      <c r="T257" s="60">
        <v>12</v>
      </c>
      <c r="U257" s="61">
        <v>4950</v>
      </c>
      <c r="V257" s="58">
        <v>2</v>
      </c>
      <c r="W257" s="59">
        <v>1650</v>
      </c>
      <c r="X257" s="49"/>
      <c r="Y257" s="50"/>
      <c r="Z257" s="49">
        <v>2</v>
      </c>
      <c r="AA257" s="50">
        <v>1650</v>
      </c>
      <c r="AB257" s="49"/>
      <c r="AC257" s="53"/>
      <c r="AD257" s="49"/>
      <c r="AE257" s="53"/>
      <c r="AF257" s="49"/>
      <c r="AG257" s="53"/>
      <c r="AH257" s="49"/>
      <c r="AI257" s="53"/>
      <c r="AJ257" s="53"/>
      <c r="AK257" s="53"/>
      <c r="AL257" s="53"/>
      <c r="AM257" s="53"/>
      <c r="AN257" s="53">
        <v>2</v>
      </c>
      <c r="AO257" s="53">
        <v>1650</v>
      </c>
      <c r="AP257" s="62">
        <f t="shared" si="6"/>
        <v>112</v>
      </c>
      <c r="AQ257" s="55">
        <f t="shared" si="7"/>
        <v>87450</v>
      </c>
    </row>
    <row r="258" spans="1:43">
      <c r="A258" s="47">
        <v>281</v>
      </c>
      <c r="B258" s="56">
        <v>4971710519440</v>
      </c>
      <c r="C258" s="57" t="s">
        <v>354</v>
      </c>
      <c r="D258" s="75" t="s">
        <v>884</v>
      </c>
      <c r="E258" s="48" t="s">
        <v>355</v>
      </c>
      <c r="F258" s="58">
        <v>10</v>
      </c>
      <c r="G258" s="50">
        <v>5500</v>
      </c>
      <c r="H258" s="51">
        <v>24</v>
      </c>
      <c r="I258" s="52">
        <v>13200</v>
      </c>
      <c r="J258" s="49">
        <v>24</v>
      </c>
      <c r="K258" s="50">
        <v>13200</v>
      </c>
      <c r="L258" s="49">
        <v>0</v>
      </c>
      <c r="M258" s="50">
        <v>0</v>
      </c>
      <c r="N258" s="49">
        <v>0</v>
      </c>
      <c r="O258" s="50">
        <v>0</v>
      </c>
      <c r="P258" s="49">
        <v>0</v>
      </c>
      <c r="Q258" s="53">
        <v>0</v>
      </c>
      <c r="R258" s="58"/>
      <c r="S258" s="59"/>
      <c r="T258" s="60"/>
      <c r="U258" s="61"/>
      <c r="V258" s="58"/>
      <c r="W258" s="59"/>
      <c r="X258" s="49"/>
      <c r="Y258" s="50"/>
      <c r="Z258" s="49">
        <v>50</v>
      </c>
      <c r="AA258" s="50">
        <v>27500</v>
      </c>
      <c r="AB258" s="49"/>
      <c r="AC258" s="53"/>
      <c r="AD258" s="49">
        <v>4</v>
      </c>
      <c r="AE258" s="53">
        <v>2200</v>
      </c>
      <c r="AF258" s="49"/>
      <c r="AG258" s="53"/>
      <c r="AH258" s="49"/>
      <c r="AI258" s="53"/>
      <c r="AJ258" s="53"/>
      <c r="AK258" s="53"/>
      <c r="AL258" s="53"/>
      <c r="AM258" s="53"/>
      <c r="AN258" s="53"/>
      <c r="AO258" s="53"/>
      <c r="AP258" s="62">
        <f t="shared" si="6"/>
        <v>112</v>
      </c>
      <c r="AQ258" s="55">
        <f t="shared" si="7"/>
        <v>61600</v>
      </c>
    </row>
    <row r="259" spans="1:43">
      <c r="A259" s="47">
        <v>272</v>
      </c>
      <c r="B259" s="56">
        <v>4971710513837</v>
      </c>
      <c r="C259" s="57" t="s">
        <v>286</v>
      </c>
      <c r="D259" s="75" t="s">
        <v>880</v>
      </c>
      <c r="E259" s="48" t="s">
        <v>287</v>
      </c>
      <c r="F259" s="58">
        <v>0</v>
      </c>
      <c r="G259" s="50">
        <v>0</v>
      </c>
      <c r="H259" s="51">
        <v>0</v>
      </c>
      <c r="I259" s="52">
        <v>0</v>
      </c>
      <c r="J259" s="49">
        <v>0</v>
      </c>
      <c r="K259" s="50">
        <v>0</v>
      </c>
      <c r="L259" s="49">
        <v>50</v>
      </c>
      <c r="M259" s="50">
        <v>33000</v>
      </c>
      <c r="N259" s="49">
        <v>0</v>
      </c>
      <c r="O259" s="50">
        <v>0</v>
      </c>
      <c r="P259" s="49">
        <v>0</v>
      </c>
      <c r="Q259" s="53">
        <v>0</v>
      </c>
      <c r="R259" s="58"/>
      <c r="S259" s="59"/>
      <c r="T259" s="60"/>
      <c r="U259" s="61"/>
      <c r="V259" s="58"/>
      <c r="W259" s="59"/>
      <c r="X259" s="49"/>
      <c r="Y259" s="50"/>
      <c r="Z259" s="49"/>
      <c r="AA259" s="50"/>
      <c r="AB259" s="49"/>
      <c r="AC259" s="53"/>
      <c r="AD259" s="49">
        <v>30</v>
      </c>
      <c r="AE259" s="53">
        <v>19800</v>
      </c>
      <c r="AF259" s="49">
        <v>30</v>
      </c>
      <c r="AG259" s="53">
        <v>19800</v>
      </c>
      <c r="AH259" s="49"/>
      <c r="AI259" s="53"/>
      <c r="AJ259" s="53"/>
      <c r="AK259" s="53"/>
      <c r="AL259" s="53"/>
      <c r="AM259" s="53"/>
      <c r="AN259" s="53"/>
      <c r="AO259" s="53"/>
      <c r="AP259" s="62">
        <f t="shared" ref="AP259:AP322" si="8">F259+H259+J259+L259+N259+P259+R259+T259+V259+X259+Z259+AB259+AD259+AF259+AH259+AJ259+AL259+AN259</f>
        <v>110</v>
      </c>
      <c r="AQ259" s="55">
        <f t="shared" ref="AQ259:AQ322" si="9">G259+I259+K259+M259+O259+Q259+S259+U259+W259+Y259+AA259+AC259+AE259+AG259+AI259+AK259+AM259+AO259</f>
        <v>72600</v>
      </c>
    </row>
    <row r="260" spans="1:43">
      <c r="A260" s="47">
        <v>273</v>
      </c>
      <c r="B260" s="56">
        <v>4971710513851</v>
      </c>
      <c r="C260" s="57" t="s">
        <v>290</v>
      </c>
      <c r="D260" s="75" t="s">
        <v>880</v>
      </c>
      <c r="E260" s="48" t="s">
        <v>291</v>
      </c>
      <c r="F260" s="58">
        <v>0</v>
      </c>
      <c r="G260" s="50">
        <v>0</v>
      </c>
      <c r="H260" s="51">
        <v>0</v>
      </c>
      <c r="I260" s="52">
        <v>0</v>
      </c>
      <c r="J260" s="49">
        <v>0</v>
      </c>
      <c r="K260" s="50">
        <v>0</v>
      </c>
      <c r="L260" s="49">
        <v>50</v>
      </c>
      <c r="M260" s="50">
        <v>33000</v>
      </c>
      <c r="N260" s="49">
        <v>0</v>
      </c>
      <c r="O260" s="50">
        <v>0</v>
      </c>
      <c r="P260" s="49">
        <v>0</v>
      </c>
      <c r="Q260" s="53">
        <v>0</v>
      </c>
      <c r="R260" s="58"/>
      <c r="S260" s="59"/>
      <c r="T260" s="60"/>
      <c r="U260" s="61"/>
      <c r="V260" s="58"/>
      <c r="W260" s="59"/>
      <c r="X260" s="49"/>
      <c r="Y260" s="50"/>
      <c r="Z260" s="49"/>
      <c r="AA260" s="50"/>
      <c r="AB260" s="49"/>
      <c r="AC260" s="53"/>
      <c r="AD260" s="49">
        <v>30</v>
      </c>
      <c r="AE260" s="53">
        <v>19800</v>
      </c>
      <c r="AF260" s="49">
        <v>30</v>
      </c>
      <c r="AG260" s="53">
        <v>19800</v>
      </c>
      <c r="AH260" s="49"/>
      <c r="AI260" s="53"/>
      <c r="AJ260" s="53"/>
      <c r="AK260" s="53"/>
      <c r="AL260" s="53"/>
      <c r="AM260" s="53"/>
      <c r="AN260" s="53"/>
      <c r="AO260" s="53"/>
      <c r="AP260" s="62">
        <f t="shared" si="8"/>
        <v>110</v>
      </c>
      <c r="AQ260" s="55">
        <f t="shared" si="9"/>
        <v>72600</v>
      </c>
    </row>
    <row r="261" spans="1:43">
      <c r="A261" s="47">
        <v>311</v>
      </c>
      <c r="B261" s="56">
        <v>4971710580747</v>
      </c>
      <c r="C261" s="57" t="s">
        <v>686</v>
      </c>
      <c r="D261" s="75" t="s">
        <v>884</v>
      </c>
      <c r="E261" s="48" t="s">
        <v>687</v>
      </c>
      <c r="F261" s="58">
        <v>0</v>
      </c>
      <c r="G261" s="50">
        <v>0</v>
      </c>
      <c r="H261" s="51">
        <v>0</v>
      </c>
      <c r="I261" s="52">
        <v>0</v>
      </c>
      <c r="J261" s="49">
        <v>0</v>
      </c>
      <c r="K261" s="50">
        <v>0</v>
      </c>
      <c r="L261" s="49">
        <v>30</v>
      </c>
      <c r="M261" s="50">
        <v>19800</v>
      </c>
      <c r="N261" s="49">
        <v>50</v>
      </c>
      <c r="O261" s="50">
        <v>33000</v>
      </c>
      <c r="P261" s="49">
        <v>0</v>
      </c>
      <c r="Q261" s="53">
        <v>0</v>
      </c>
      <c r="R261" s="58"/>
      <c r="S261" s="59"/>
      <c r="T261" s="60"/>
      <c r="U261" s="61"/>
      <c r="V261" s="58"/>
      <c r="W261" s="59"/>
      <c r="X261" s="49"/>
      <c r="Y261" s="50"/>
      <c r="Z261" s="49">
        <v>30</v>
      </c>
      <c r="AA261" s="50">
        <v>19800</v>
      </c>
      <c r="AB261" s="49"/>
      <c r="AC261" s="53"/>
      <c r="AD261" s="49"/>
      <c r="AE261" s="53"/>
      <c r="AF261" s="49"/>
      <c r="AG261" s="53"/>
      <c r="AH261" s="49"/>
      <c r="AI261" s="53"/>
      <c r="AJ261" s="53"/>
      <c r="AK261" s="53"/>
      <c r="AL261" s="53"/>
      <c r="AM261" s="53"/>
      <c r="AN261" s="53"/>
      <c r="AO261" s="53"/>
      <c r="AP261" s="62">
        <f t="shared" si="8"/>
        <v>110</v>
      </c>
      <c r="AQ261" s="55">
        <f t="shared" si="9"/>
        <v>72600</v>
      </c>
    </row>
    <row r="262" spans="1:43">
      <c r="A262" s="47">
        <v>250</v>
      </c>
      <c r="B262" s="56">
        <v>4971710507652</v>
      </c>
      <c r="C262" s="57" t="s">
        <v>186</v>
      </c>
      <c r="D262" s="75" t="s">
        <v>884</v>
      </c>
      <c r="E262" s="48" t="s">
        <v>187</v>
      </c>
      <c r="F262" s="58">
        <v>0</v>
      </c>
      <c r="G262" s="50">
        <v>0</v>
      </c>
      <c r="H262" s="51">
        <v>0</v>
      </c>
      <c r="I262" s="52">
        <v>0</v>
      </c>
      <c r="J262" s="49">
        <v>15</v>
      </c>
      <c r="K262" s="50">
        <v>12375</v>
      </c>
      <c r="L262" s="49">
        <v>10</v>
      </c>
      <c r="M262" s="50">
        <v>8250</v>
      </c>
      <c r="N262" s="49">
        <v>0</v>
      </c>
      <c r="O262" s="50">
        <v>0</v>
      </c>
      <c r="P262" s="49">
        <v>0</v>
      </c>
      <c r="Q262" s="53">
        <v>0</v>
      </c>
      <c r="R262" s="58">
        <v>30</v>
      </c>
      <c r="S262" s="59">
        <v>24750</v>
      </c>
      <c r="T262" s="60">
        <v>4</v>
      </c>
      <c r="U262" s="61">
        <v>1650</v>
      </c>
      <c r="V262" s="58"/>
      <c r="W262" s="59"/>
      <c r="X262" s="49"/>
      <c r="Y262" s="50"/>
      <c r="Z262" s="49">
        <v>4</v>
      </c>
      <c r="AA262" s="50">
        <v>3300</v>
      </c>
      <c r="AB262" s="49"/>
      <c r="AC262" s="53"/>
      <c r="AD262" s="49">
        <v>24</v>
      </c>
      <c r="AE262" s="53">
        <v>19800</v>
      </c>
      <c r="AF262" s="49">
        <v>20</v>
      </c>
      <c r="AG262" s="53">
        <v>16500</v>
      </c>
      <c r="AH262" s="49"/>
      <c r="AI262" s="53"/>
      <c r="AJ262" s="53"/>
      <c r="AK262" s="53"/>
      <c r="AL262" s="53"/>
      <c r="AM262" s="53"/>
      <c r="AN262" s="53"/>
      <c r="AO262" s="53"/>
      <c r="AP262" s="62">
        <f t="shared" si="8"/>
        <v>107</v>
      </c>
      <c r="AQ262" s="55">
        <f t="shared" si="9"/>
        <v>86625</v>
      </c>
    </row>
    <row r="263" spans="1:43">
      <c r="A263" s="47">
        <v>254</v>
      </c>
      <c r="B263" s="56">
        <v>4971710565119</v>
      </c>
      <c r="C263" s="57" t="s">
        <v>513</v>
      </c>
      <c r="D263" s="75" t="s">
        <v>880</v>
      </c>
      <c r="E263" s="48" t="s">
        <v>514</v>
      </c>
      <c r="F263" s="58">
        <v>0</v>
      </c>
      <c r="G263" s="50">
        <v>0</v>
      </c>
      <c r="H263" s="51">
        <v>0</v>
      </c>
      <c r="I263" s="52">
        <v>0</v>
      </c>
      <c r="J263" s="49">
        <v>10</v>
      </c>
      <c r="K263" s="50">
        <v>6600</v>
      </c>
      <c r="L263" s="49">
        <v>0</v>
      </c>
      <c r="M263" s="50">
        <v>0</v>
      </c>
      <c r="N263" s="49">
        <v>20</v>
      </c>
      <c r="O263" s="50">
        <v>13200</v>
      </c>
      <c r="P263" s="49">
        <v>0</v>
      </c>
      <c r="Q263" s="53">
        <v>0</v>
      </c>
      <c r="R263" s="58">
        <v>20</v>
      </c>
      <c r="S263" s="59">
        <v>13200</v>
      </c>
      <c r="T263" s="60">
        <v>4</v>
      </c>
      <c r="U263" s="61">
        <v>1320</v>
      </c>
      <c r="V263" s="58"/>
      <c r="W263" s="59"/>
      <c r="X263" s="49"/>
      <c r="Y263" s="50"/>
      <c r="Z263" s="49">
        <v>50</v>
      </c>
      <c r="AA263" s="50">
        <v>33000</v>
      </c>
      <c r="AB263" s="49"/>
      <c r="AC263" s="53"/>
      <c r="AD263" s="49"/>
      <c r="AE263" s="53"/>
      <c r="AF263" s="49"/>
      <c r="AG263" s="53"/>
      <c r="AH263" s="49"/>
      <c r="AI263" s="53"/>
      <c r="AJ263" s="53"/>
      <c r="AK263" s="53"/>
      <c r="AL263" s="53"/>
      <c r="AM263" s="53"/>
      <c r="AN263" s="53"/>
      <c r="AO263" s="53"/>
      <c r="AP263" s="62">
        <f t="shared" si="8"/>
        <v>104</v>
      </c>
      <c r="AQ263" s="55">
        <f t="shared" si="9"/>
        <v>67320</v>
      </c>
    </row>
    <row r="264" spans="1:43">
      <c r="A264" s="47">
        <v>244</v>
      </c>
      <c r="B264" s="56">
        <v>4971710516739</v>
      </c>
      <c r="C264" s="57" t="s">
        <v>322</v>
      </c>
      <c r="D264" s="75" t="s">
        <v>880</v>
      </c>
      <c r="E264" s="48" t="s">
        <v>323</v>
      </c>
      <c r="F264" s="58">
        <v>0</v>
      </c>
      <c r="G264" s="50">
        <v>0</v>
      </c>
      <c r="H264" s="51">
        <v>0</v>
      </c>
      <c r="I264" s="52">
        <v>0</v>
      </c>
      <c r="J264" s="49">
        <v>0</v>
      </c>
      <c r="K264" s="50">
        <v>0</v>
      </c>
      <c r="L264" s="49">
        <v>0</v>
      </c>
      <c r="M264" s="50">
        <v>0</v>
      </c>
      <c r="N264" s="49">
        <v>20</v>
      </c>
      <c r="O264" s="50">
        <v>15400</v>
      </c>
      <c r="P264" s="49">
        <v>0</v>
      </c>
      <c r="Q264" s="53">
        <v>0</v>
      </c>
      <c r="R264" s="58"/>
      <c r="S264" s="59"/>
      <c r="T264" s="60"/>
      <c r="U264" s="61"/>
      <c r="V264" s="58"/>
      <c r="W264" s="59"/>
      <c r="X264" s="49">
        <v>6</v>
      </c>
      <c r="Y264" s="50">
        <v>4620</v>
      </c>
      <c r="Z264" s="49">
        <v>30</v>
      </c>
      <c r="AA264" s="50">
        <v>23100</v>
      </c>
      <c r="AB264" s="49"/>
      <c r="AC264" s="53"/>
      <c r="AD264" s="49"/>
      <c r="AE264" s="53"/>
      <c r="AF264" s="49"/>
      <c r="AG264" s="53"/>
      <c r="AH264" s="49"/>
      <c r="AI264" s="53"/>
      <c r="AJ264" s="53"/>
      <c r="AK264" s="53"/>
      <c r="AL264" s="53"/>
      <c r="AM264" s="53"/>
      <c r="AN264" s="53">
        <v>45</v>
      </c>
      <c r="AO264" s="53">
        <v>34650</v>
      </c>
      <c r="AP264" s="62">
        <f t="shared" si="8"/>
        <v>101</v>
      </c>
      <c r="AQ264" s="55">
        <f t="shared" si="9"/>
        <v>77770</v>
      </c>
    </row>
    <row r="265" spans="1:43">
      <c r="A265" s="47">
        <v>234</v>
      </c>
      <c r="B265" s="56">
        <v>4971710576016</v>
      </c>
      <c r="C265" s="57" t="s">
        <v>606</v>
      </c>
      <c r="D265" s="75" t="s">
        <v>884</v>
      </c>
      <c r="E265" s="48" t="s">
        <v>607</v>
      </c>
      <c r="F265" s="58">
        <v>0</v>
      </c>
      <c r="G265" s="50">
        <v>0</v>
      </c>
      <c r="H265" s="51">
        <v>0</v>
      </c>
      <c r="I265" s="52">
        <v>0</v>
      </c>
      <c r="J265" s="49">
        <v>10</v>
      </c>
      <c r="K265" s="50">
        <v>6600</v>
      </c>
      <c r="L265" s="49">
        <v>0</v>
      </c>
      <c r="M265" s="50">
        <v>0</v>
      </c>
      <c r="N265" s="49">
        <v>0</v>
      </c>
      <c r="O265" s="50">
        <v>0</v>
      </c>
      <c r="P265" s="49">
        <v>0</v>
      </c>
      <c r="Q265" s="53">
        <v>0</v>
      </c>
      <c r="R265" s="58">
        <v>90</v>
      </c>
      <c r="S265" s="59">
        <v>59400</v>
      </c>
      <c r="T265" s="60"/>
      <c r="U265" s="61"/>
      <c r="V265" s="58"/>
      <c r="W265" s="59"/>
      <c r="X265" s="49"/>
      <c r="Y265" s="50"/>
      <c r="Z265" s="49"/>
      <c r="AA265" s="50"/>
      <c r="AB265" s="49"/>
      <c r="AC265" s="53"/>
      <c r="AD265" s="49"/>
      <c r="AE265" s="53"/>
      <c r="AF265" s="49"/>
      <c r="AG265" s="53"/>
      <c r="AH265" s="49"/>
      <c r="AI265" s="53"/>
      <c r="AJ265" s="53"/>
      <c r="AK265" s="53"/>
      <c r="AL265" s="53"/>
      <c r="AM265" s="53"/>
      <c r="AN265" s="53"/>
      <c r="AO265" s="53"/>
      <c r="AP265" s="62">
        <f t="shared" si="8"/>
        <v>100</v>
      </c>
      <c r="AQ265" s="55">
        <f t="shared" si="9"/>
        <v>66000</v>
      </c>
    </row>
    <row r="266" spans="1:43">
      <c r="A266" s="47">
        <v>247</v>
      </c>
      <c r="B266" s="56">
        <v>4971710513660</v>
      </c>
      <c r="C266" s="57" t="s">
        <v>268</v>
      </c>
      <c r="D266" s="75" t="s">
        <v>880</v>
      </c>
      <c r="E266" s="48" t="s">
        <v>269</v>
      </c>
      <c r="F266" s="58">
        <v>0</v>
      </c>
      <c r="G266" s="50">
        <v>0</v>
      </c>
      <c r="H266" s="51">
        <v>0</v>
      </c>
      <c r="I266" s="52">
        <v>0</v>
      </c>
      <c r="J266" s="49">
        <v>0</v>
      </c>
      <c r="K266" s="50">
        <v>0</v>
      </c>
      <c r="L266" s="49">
        <v>0</v>
      </c>
      <c r="M266" s="50">
        <v>0</v>
      </c>
      <c r="N266" s="49">
        <v>20</v>
      </c>
      <c r="O266" s="50">
        <v>9340</v>
      </c>
      <c r="P266" s="49">
        <v>0</v>
      </c>
      <c r="Q266" s="53">
        <v>0</v>
      </c>
      <c r="R266" s="58"/>
      <c r="S266" s="59"/>
      <c r="T266" s="60"/>
      <c r="U266" s="61"/>
      <c r="V266" s="58">
        <v>30</v>
      </c>
      <c r="W266" s="59">
        <v>14010</v>
      </c>
      <c r="X266" s="49"/>
      <c r="Y266" s="50"/>
      <c r="Z266" s="49"/>
      <c r="AA266" s="50"/>
      <c r="AB266" s="49"/>
      <c r="AC266" s="53"/>
      <c r="AD266" s="49"/>
      <c r="AE266" s="53"/>
      <c r="AF266" s="49">
        <v>20</v>
      </c>
      <c r="AG266" s="53">
        <v>9340</v>
      </c>
      <c r="AH266" s="49"/>
      <c r="AI266" s="53"/>
      <c r="AJ266" s="53"/>
      <c r="AK266" s="53"/>
      <c r="AL266" s="53"/>
      <c r="AM266" s="53"/>
      <c r="AN266" s="53">
        <v>30</v>
      </c>
      <c r="AO266" s="53">
        <v>14010</v>
      </c>
      <c r="AP266" s="62">
        <f t="shared" si="8"/>
        <v>100</v>
      </c>
      <c r="AQ266" s="55">
        <f t="shared" si="9"/>
        <v>46700</v>
      </c>
    </row>
    <row r="267" spans="1:43">
      <c r="A267" s="47">
        <v>249</v>
      </c>
      <c r="B267" s="56">
        <v>4971710513653</v>
      </c>
      <c r="C267" s="57" t="s">
        <v>266</v>
      </c>
      <c r="D267" s="75" t="s">
        <v>880</v>
      </c>
      <c r="E267" s="48" t="s">
        <v>267</v>
      </c>
      <c r="F267" s="58">
        <v>0</v>
      </c>
      <c r="G267" s="50">
        <v>0</v>
      </c>
      <c r="H267" s="51">
        <v>0</v>
      </c>
      <c r="I267" s="52">
        <v>0</v>
      </c>
      <c r="J267" s="49">
        <v>0</v>
      </c>
      <c r="K267" s="50">
        <v>0</v>
      </c>
      <c r="L267" s="49">
        <v>0</v>
      </c>
      <c r="M267" s="50">
        <v>0</v>
      </c>
      <c r="N267" s="49">
        <v>20</v>
      </c>
      <c r="O267" s="50">
        <v>9340</v>
      </c>
      <c r="P267" s="49">
        <v>0</v>
      </c>
      <c r="Q267" s="53">
        <v>0</v>
      </c>
      <c r="R267" s="58"/>
      <c r="S267" s="59"/>
      <c r="T267" s="60"/>
      <c r="U267" s="61"/>
      <c r="V267" s="58"/>
      <c r="W267" s="59"/>
      <c r="X267" s="49"/>
      <c r="Y267" s="50"/>
      <c r="Z267" s="49"/>
      <c r="AA267" s="50"/>
      <c r="AB267" s="49"/>
      <c r="AC267" s="53"/>
      <c r="AD267" s="49">
        <v>50</v>
      </c>
      <c r="AE267" s="53">
        <v>23350</v>
      </c>
      <c r="AF267" s="49">
        <v>30</v>
      </c>
      <c r="AG267" s="53">
        <v>14010</v>
      </c>
      <c r="AH267" s="49"/>
      <c r="AI267" s="53"/>
      <c r="AJ267" s="53"/>
      <c r="AK267" s="53"/>
      <c r="AL267" s="53"/>
      <c r="AM267" s="53"/>
      <c r="AN267" s="53"/>
      <c r="AO267" s="53"/>
      <c r="AP267" s="62">
        <f t="shared" si="8"/>
        <v>100</v>
      </c>
      <c r="AQ267" s="55">
        <f t="shared" si="9"/>
        <v>46700</v>
      </c>
    </row>
    <row r="268" spans="1:43">
      <c r="A268" s="47">
        <v>428</v>
      </c>
      <c r="B268" s="56">
        <v>4971710513738</v>
      </c>
      <c r="C268" s="57" t="s">
        <v>282</v>
      </c>
      <c r="D268" s="75" t="s">
        <v>879</v>
      </c>
      <c r="E268" s="48" t="s">
        <v>283</v>
      </c>
      <c r="F268" s="58"/>
      <c r="G268" s="50">
        <v>0</v>
      </c>
      <c r="H268" s="51">
        <v>0</v>
      </c>
      <c r="I268" s="52">
        <v>0</v>
      </c>
      <c r="J268" s="49"/>
      <c r="K268" s="50"/>
      <c r="L268" s="49">
        <v>50</v>
      </c>
      <c r="M268" s="50">
        <v>27500</v>
      </c>
      <c r="N268" s="49">
        <v>50</v>
      </c>
      <c r="O268" s="50">
        <v>27500</v>
      </c>
      <c r="P268" s="49">
        <v>0</v>
      </c>
      <c r="Q268" s="53"/>
      <c r="R268" s="58"/>
      <c r="S268" s="59"/>
      <c r="T268" s="60"/>
      <c r="U268" s="61"/>
      <c r="V268" s="58"/>
      <c r="W268" s="59"/>
      <c r="X268" s="49"/>
      <c r="Y268" s="50"/>
      <c r="Z268" s="49"/>
      <c r="AA268" s="50"/>
      <c r="AB268" s="49"/>
      <c r="AC268" s="53"/>
      <c r="AD268" s="49"/>
      <c r="AE268" s="53"/>
      <c r="AF268" s="49"/>
      <c r="AG268" s="53"/>
      <c r="AH268" s="49"/>
      <c r="AI268" s="53"/>
      <c r="AJ268" s="53"/>
      <c r="AK268" s="53"/>
      <c r="AL268" s="53"/>
      <c r="AM268" s="53"/>
      <c r="AN268" s="53"/>
      <c r="AO268" s="53"/>
      <c r="AP268" s="63">
        <f t="shared" si="8"/>
        <v>100</v>
      </c>
      <c r="AQ268" s="55">
        <f t="shared" si="9"/>
        <v>55000</v>
      </c>
    </row>
    <row r="269" spans="1:43">
      <c r="A269" s="47">
        <v>344</v>
      </c>
      <c r="B269" s="56">
        <v>4971710513707</v>
      </c>
      <c r="C269" s="57" t="s">
        <v>276</v>
      </c>
      <c r="D269" s="75" t="s">
        <v>880</v>
      </c>
      <c r="E269" s="48" t="s">
        <v>277</v>
      </c>
      <c r="F269" s="58">
        <v>0</v>
      </c>
      <c r="G269" s="50">
        <v>0</v>
      </c>
      <c r="H269" s="51">
        <v>0</v>
      </c>
      <c r="I269" s="52">
        <v>0</v>
      </c>
      <c r="J269" s="49">
        <v>0</v>
      </c>
      <c r="K269" s="50">
        <v>0</v>
      </c>
      <c r="L269" s="49">
        <v>50</v>
      </c>
      <c r="M269" s="50">
        <v>27500</v>
      </c>
      <c r="N269" s="49">
        <v>30</v>
      </c>
      <c r="O269" s="50">
        <v>16500</v>
      </c>
      <c r="P269" s="49">
        <v>0</v>
      </c>
      <c r="Q269" s="53">
        <v>0</v>
      </c>
      <c r="R269" s="58"/>
      <c r="S269" s="59"/>
      <c r="T269" s="60"/>
      <c r="U269" s="61"/>
      <c r="V269" s="58"/>
      <c r="W269" s="59"/>
      <c r="X269" s="49">
        <v>6</v>
      </c>
      <c r="Y269" s="50">
        <v>3300</v>
      </c>
      <c r="Z269" s="49"/>
      <c r="AA269" s="50"/>
      <c r="AB269" s="49"/>
      <c r="AC269" s="53"/>
      <c r="AD269" s="49"/>
      <c r="AE269" s="53"/>
      <c r="AF269" s="49"/>
      <c r="AG269" s="53"/>
      <c r="AH269" s="49">
        <v>10</v>
      </c>
      <c r="AI269" s="53">
        <v>5500</v>
      </c>
      <c r="AJ269" s="53"/>
      <c r="AK269" s="53"/>
      <c r="AL269" s="53"/>
      <c r="AM269" s="53"/>
      <c r="AN269" s="53"/>
      <c r="AO269" s="53"/>
      <c r="AP269" s="62">
        <f t="shared" si="8"/>
        <v>96</v>
      </c>
      <c r="AQ269" s="55">
        <f t="shared" si="9"/>
        <v>52800</v>
      </c>
    </row>
    <row r="270" spans="1:43">
      <c r="A270" s="47">
        <v>429</v>
      </c>
      <c r="B270" s="56">
        <v>4971710524819</v>
      </c>
      <c r="C270" s="57" t="s">
        <v>402</v>
      </c>
      <c r="D270" s="75" t="s">
        <v>879</v>
      </c>
      <c r="E270" s="48" t="s">
        <v>403</v>
      </c>
      <c r="F270" s="58"/>
      <c r="G270" s="50">
        <v>0</v>
      </c>
      <c r="H270" s="51">
        <v>30</v>
      </c>
      <c r="I270" s="52">
        <v>19800</v>
      </c>
      <c r="J270" s="49">
        <v>10</v>
      </c>
      <c r="K270" s="50">
        <v>6600</v>
      </c>
      <c r="L270" s="49"/>
      <c r="M270" s="50"/>
      <c r="N270" s="49">
        <v>52</v>
      </c>
      <c r="O270" s="50">
        <v>34320</v>
      </c>
      <c r="P270" s="49">
        <v>0</v>
      </c>
      <c r="Q270" s="53">
        <v>0</v>
      </c>
      <c r="R270" s="58"/>
      <c r="S270" s="59"/>
      <c r="T270" s="60"/>
      <c r="U270" s="61"/>
      <c r="V270" s="58"/>
      <c r="W270" s="59"/>
      <c r="X270" s="49"/>
      <c r="Y270" s="50"/>
      <c r="Z270" s="49"/>
      <c r="AA270" s="50"/>
      <c r="AB270" s="49"/>
      <c r="AC270" s="53"/>
      <c r="AD270" s="49"/>
      <c r="AE270" s="53"/>
      <c r="AF270" s="49"/>
      <c r="AG270" s="53"/>
      <c r="AH270" s="49"/>
      <c r="AI270" s="53"/>
      <c r="AJ270" s="53"/>
      <c r="AK270" s="53"/>
      <c r="AL270" s="53"/>
      <c r="AM270" s="53"/>
      <c r="AN270" s="53"/>
      <c r="AO270" s="53"/>
      <c r="AP270" s="62">
        <f t="shared" si="8"/>
        <v>92</v>
      </c>
      <c r="AQ270" s="55">
        <f t="shared" si="9"/>
        <v>60720</v>
      </c>
    </row>
    <row r="271" spans="1:43">
      <c r="A271" s="47">
        <v>231</v>
      </c>
      <c r="B271" s="56">
        <v>4971710508857</v>
      </c>
      <c r="C271" s="57" t="s">
        <v>791</v>
      </c>
      <c r="D271" s="75" t="s">
        <v>884</v>
      </c>
      <c r="E271" s="48" t="s">
        <v>1011</v>
      </c>
      <c r="F271" s="58">
        <v>0</v>
      </c>
      <c r="G271" s="50">
        <v>0</v>
      </c>
      <c r="H271" s="51">
        <v>0</v>
      </c>
      <c r="I271" s="52">
        <v>0</v>
      </c>
      <c r="J271" s="49">
        <v>0</v>
      </c>
      <c r="K271" s="50">
        <v>0</v>
      </c>
      <c r="L271" s="49">
        <v>0</v>
      </c>
      <c r="M271" s="50">
        <v>0</v>
      </c>
      <c r="N271" s="49">
        <v>0</v>
      </c>
      <c r="O271" s="50">
        <v>0</v>
      </c>
      <c r="P271" s="49">
        <v>0</v>
      </c>
      <c r="Q271" s="53">
        <v>0</v>
      </c>
      <c r="R271" s="58"/>
      <c r="S271" s="59"/>
      <c r="T271" s="60"/>
      <c r="U271" s="61"/>
      <c r="V271" s="58"/>
      <c r="W271" s="59"/>
      <c r="X271" s="49">
        <v>10</v>
      </c>
      <c r="Y271" s="50">
        <v>8800</v>
      </c>
      <c r="Z271" s="49"/>
      <c r="AA271" s="50"/>
      <c r="AB271" s="49"/>
      <c r="AC271" s="53"/>
      <c r="AD271" s="49">
        <v>15</v>
      </c>
      <c r="AE271" s="53">
        <v>13200</v>
      </c>
      <c r="AF271" s="49">
        <v>20</v>
      </c>
      <c r="AG271" s="53">
        <v>17600</v>
      </c>
      <c r="AH271" s="49"/>
      <c r="AI271" s="53"/>
      <c r="AJ271" s="53"/>
      <c r="AK271" s="53"/>
      <c r="AL271" s="53"/>
      <c r="AM271" s="53"/>
      <c r="AN271" s="53">
        <v>45</v>
      </c>
      <c r="AO271" s="53">
        <v>39600</v>
      </c>
      <c r="AP271" s="62">
        <f t="shared" si="8"/>
        <v>90</v>
      </c>
      <c r="AQ271" s="55">
        <f t="shared" si="9"/>
        <v>79200</v>
      </c>
    </row>
    <row r="272" spans="1:43">
      <c r="A272" s="47">
        <v>235</v>
      </c>
      <c r="B272" s="56">
        <v>4971710591545</v>
      </c>
      <c r="C272" s="57" t="s">
        <v>805</v>
      </c>
      <c r="D272" s="75" t="s">
        <v>880</v>
      </c>
      <c r="E272" s="48" t="s">
        <v>1001</v>
      </c>
      <c r="F272" s="58">
        <v>0</v>
      </c>
      <c r="G272" s="50">
        <v>0</v>
      </c>
      <c r="H272" s="51">
        <v>0</v>
      </c>
      <c r="I272" s="52">
        <v>0</v>
      </c>
      <c r="J272" s="49">
        <v>0</v>
      </c>
      <c r="K272" s="50">
        <v>0</v>
      </c>
      <c r="L272" s="49">
        <v>0</v>
      </c>
      <c r="M272" s="50">
        <v>0</v>
      </c>
      <c r="N272" s="49">
        <v>0</v>
      </c>
      <c r="O272" s="50">
        <v>0</v>
      </c>
      <c r="P272" s="49">
        <v>0</v>
      </c>
      <c r="Q272" s="53">
        <v>0</v>
      </c>
      <c r="R272" s="58"/>
      <c r="S272" s="59"/>
      <c r="T272" s="60"/>
      <c r="U272" s="61"/>
      <c r="V272" s="58"/>
      <c r="W272" s="59"/>
      <c r="X272" s="49"/>
      <c r="Y272" s="50"/>
      <c r="Z272" s="49">
        <v>90</v>
      </c>
      <c r="AA272" s="50">
        <v>59400</v>
      </c>
      <c r="AB272" s="49"/>
      <c r="AC272" s="53"/>
      <c r="AD272" s="49"/>
      <c r="AE272" s="53"/>
      <c r="AF272" s="49"/>
      <c r="AG272" s="53"/>
      <c r="AH272" s="49"/>
      <c r="AI272" s="53"/>
      <c r="AJ272" s="53"/>
      <c r="AK272" s="53"/>
      <c r="AL272" s="53"/>
      <c r="AM272" s="53"/>
      <c r="AN272" s="53"/>
      <c r="AO272" s="53"/>
      <c r="AP272" s="62">
        <f t="shared" si="8"/>
        <v>90</v>
      </c>
      <c r="AQ272" s="55">
        <f t="shared" si="9"/>
        <v>59400</v>
      </c>
    </row>
    <row r="273" spans="1:43">
      <c r="A273" s="47">
        <v>286</v>
      </c>
      <c r="B273" s="56">
        <v>4971710579819</v>
      </c>
      <c r="C273" s="57" t="s">
        <v>658</v>
      </c>
      <c r="D273" s="75" t="s">
        <v>884</v>
      </c>
      <c r="E273" s="48" t="s">
        <v>659</v>
      </c>
      <c r="F273" s="58">
        <v>10</v>
      </c>
      <c r="G273" s="50">
        <v>6600</v>
      </c>
      <c r="H273" s="51">
        <v>30</v>
      </c>
      <c r="I273" s="52">
        <v>19800</v>
      </c>
      <c r="J273" s="49">
        <v>0</v>
      </c>
      <c r="K273" s="50">
        <v>0</v>
      </c>
      <c r="L273" s="49">
        <v>0</v>
      </c>
      <c r="M273" s="50">
        <v>0</v>
      </c>
      <c r="N273" s="49">
        <v>0</v>
      </c>
      <c r="O273" s="50">
        <v>0</v>
      </c>
      <c r="P273" s="49">
        <v>0</v>
      </c>
      <c r="Q273" s="53">
        <v>0</v>
      </c>
      <c r="R273" s="58">
        <v>50</v>
      </c>
      <c r="S273" s="59">
        <v>33000</v>
      </c>
      <c r="T273" s="60"/>
      <c r="U273" s="61"/>
      <c r="V273" s="58"/>
      <c r="W273" s="59"/>
      <c r="X273" s="49"/>
      <c r="Y273" s="50"/>
      <c r="Z273" s="49"/>
      <c r="AA273" s="50"/>
      <c r="AB273" s="49"/>
      <c r="AC273" s="53"/>
      <c r="AD273" s="49"/>
      <c r="AE273" s="53"/>
      <c r="AF273" s="49"/>
      <c r="AG273" s="53"/>
      <c r="AH273" s="49"/>
      <c r="AI273" s="53"/>
      <c r="AJ273" s="53"/>
      <c r="AK273" s="53"/>
      <c r="AL273" s="53"/>
      <c r="AM273" s="53"/>
      <c r="AN273" s="53"/>
      <c r="AO273" s="53"/>
      <c r="AP273" s="62">
        <f t="shared" si="8"/>
        <v>90</v>
      </c>
      <c r="AQ273" s="55">
        <f t="shared" si="9"/>
        <v>59400</v>
      </c>
    </row>
    <row r="274" spans="1:43">
      <c r="A274" s="47">
        <v>308</v>
      </c>
      <c r="B274" s="56">
        <v>4971710514155</v>
      </c>
      <c r="C274" s="57" t="s">
        <v>296</v>
      </c>
      <c r="D274" s="75" t="s">
        <v>880</v>
      </c>
      <c r="E274" s="48" t="s">
        <v>297</v>
      </c>
      <c r="F274" s="58">
        <v>0</v>
      </c>
      <c r="G274" s="50">
        <v>0</v>
      </c>
      <c r="H274" s="51">
        <v>0</v>
      </c>
      <c r="I274" s="52">
        <v>0</v>
      </c>
      <c r="J274" s="49">
        <v>0</v>
      </c>
      <c r="K274" s="50">
        <v>0</v>
      </c>
      <c r="L274" s="49">
        <v>0</v>
      </c>
      <c r="M274" s="50">
        <v>0</v>
      </c>
      <c r="N274" s="49">
        <v>0</v>
      </c>
      <c r="O274" s="50">
        <v>0</v>
      </c>
      <c r="P274" s="49">
        <v>60</v>
      </c>
      <c r="Q274" s="53">
        <v>29700</v>
      </c>
      <c r="R274" s="58"/>
      <c r="S274" s="59"/>
      <c r="T274" s="60"/>
      <c r="U274" s="61"/>
      <c r="V274" s="58"/>
      <c r="W274" s="59"/>
      <c r="X274" s="49">
        <v>6</v>
      </c>
      <c r="Y274" s="50">
        <v>2970</v>
      </c>
      <c r="Z274" s="49"/>
      <c r="AA274" s="50"/>
      <c r="AB274" s="49"/>
      <c r="AC274" s="53"/>
      <c r="AD274" s="49"/>
      <c r="AE274" s="53"/>
      <c r="AF274" s="49"/>
      <c r="AG274" s="53"/>
      <c r="AH274" s="49"/>
      <c r="AI274" s="53"/>
      <c r="AJ274" s="53"/>
      <c r="AK274" s="53"/>
      <c r="AL274" s="53"/>
      <c r="AM274" s="53"/>
      <c r="AN274" s="53">
        <v>24</v>
      </c>
      <c r="AO274" s="53">
        <v>11880</v>
      </c>
      <c r="AP274" s="62">
        <f t="shared" si="8"/>
        <v>90</v>
      </c>
      <c r="AQ274" s="55">
        <f t="shared" si="9"/>
        <v>44550</v>
      </c>
    </row>
    <row r="275" spans="1:43">
      <c r="A275" s="47">
        <v>312</v>
      </c>
      <c r="B275" s="56">
        <v>4971710519273</v>
      </c>
      <c r="C275" s="57" t="s">
        <v>350</v>
      </c>
      <c r="D275" s="75" t="s">
        <v>880</v>
      </c>
      <c r="E275" s="48" t="s">
        <v>351</v>
      </c>
      <c r="F275" s="58">
        <v>0</v>
      </c>
      <c r="G275" s="50">
        <v>0</v>
      </c>
      <c r="H275" s="51">
        <v>30</v>
      </c>
      <c r="I275" s="52">
        <v>21450</v>
      </c>
      <c r="J275" s="49">
        <v>0</v>
      </c>
      <c r="K275" s="50">
        <v>0</v>
      </c>
      <c r="L275" s="49">
        <v>0</v>
      </c>
      <c r="M275" s="50">
        <v>0</v>
      </c>
      <c r="N275" s="49">
        <v>30</v>
      </c>
      <c r="O275" s="50">
        <v>21450</v>
      </c>
      <c r="P275" s="49">
        <v>0</v>
      </c>
      <c r="Q275" s="53">
        <v>0</v>
      </c>
      <c r="R275" s="58"/>
      <c r="S275" s="59"/>
      <c r="T275" s="60"/>
      <c r="U275" s="61"/>
      <c r="V275" s="58"/>
      <c r="W275" s="59"/>
      <c r="X275" s="49"/>
      <c r="Y275" s="50"/>
      <c r="Z275" s="49">
        <v>30</v>
      </c>
      <c r="AA275" s="50">
        <v>21450</v>
      </c>
      <c r="AB275" s="49"/>
      <c r="AC275" s="53"/>
      <c r="AD275" s="49"/>
      <c r="AE275" s="53"/>
      <c r="AF275" s="49"/>
      <c r="AG275" s="53"/>
      <c r="AH275" s="49"/>
      <c r="AI275" s="53"/>
      <c r="AJ275" s="53"/>
      <c r="AK275" s="53"/>
      <c r="AL275" s="53"/>
      <c r="AM275" s="53"/>
      <c r="AN275" s="53"/>
      <c r="AO275" s="53"/>
      <c r="AP275" s="62">
        <f t="shared" si="8"/>
        <v>90</v>
      </c>
      <c r="AQ275" s="55">
        <f t="shared" si="9"/>
        <v>64350</v>
      </c>
    </row>
    <row r="276" spans="1:43">
      <c r="A276" s="47">
        <v>237</v>
      </c>
      <c r="B276" s="56">
        <v>4971710517842</v>
      </c>
      <c r="C276" s="57" t="s">
        <v>336</v>
      </c>
      <c r="D276" s="75" t="s">
        <v>884</v>
      </c>
      <c r="E276" s="48" t="s">
        <v>337</v>
      </c>
      <c r="F276" s="58">
        <v>0</v>
      </c>
      <c r="G276" s="50">
        <v>0</v>
      </c>
      <c r="H276" s="51">
        <v>0</v>
      </c>
      <c r="I276" s="52">
        <v>0</v>
      </c>
      <c r="J276" s="49">
        <v>0</v>
      </c>
      <c r="K276" s="50">
        <v>0</v>
      </c>
      <c r="L276" s="49">
        <v>0</v>
      </c>
      <c r="M276" s="50">
        <v>0</v>
      </c>
      <c r="N276" s="49">
        <v>0</v>
      </c>
      <c r="O276" s="50">
        <v>0</v>
      </c>
      <c r="P276" s="49">
        <v>0</v>
      </c>
      <c r="Q276" s="53">
        <v>0</v>
      </c>
      <c r="R276" s="58"/>
      <c r="S276" s="59"/>
      <c r="T276" s="60"/>
      <c r="U276" s="61"/>
      <c r="V276" s="58"/>
      <c r="W276" s="59"/>
      <c r="X276" s="49">
        <v>15</v>
      </c>
      <c r="Y276" s="50">
        <v>9900</v>
      </c>
      <c r="Z276" s="49"/>
      <c r="AA276" s="50"/>
      <c r="AB276" s="49">
        <v>74</v>
      </c>
      <c r="AC276" s="53">
        <v>48840</v>
      </c>
      <c r="AD276" s="49"/>
      <c r="AE276" s="53"/>
      <c r="AF276" s="49"/>
      <c r="AG276" s="53"/>
      <c r="AH276" s="49"/>
      <c r="AI276" s="53"/>
      <c r="AJ276" s="53"/>
      <c r="AK276" s="53"/>
      <c r="AL276" s="53"/>
      <c r="AM276" s="53"/>
      <c r="AN276" s="53"/>
      <c r="AO276" s="53"/>
      <c r="AP276" s="62">
        <f t="shared" si="8"/>
        <v>89</v>
      </c>
      <c r="AQ276" s="55">
        <f t="shared" si="9"/>
        <v>58740</v>
      </c>
    </row>
    <row r="277" spans="1:43">
      <c r="A277" s="47">
        <v>243</v>
      </c>
      <c r="B277" s="56">
        <v>4971710494921</v>
      </c>
      <c r="C277" s="57" t="s">
        <v>134</v>
      </c>
      <c r="D277" s="75" t="s">
        <v>884</v>
      </c>
      <c r="E277" s="48" t="s">
        <v>135</v>
      </c>
      <c r="F277" s="58">
        <v>0</v>
      </c>
      <c r="G277" s="50">
        <v>0</v>
      </c>
      <c r="H277" s="51">
        <v>0</v>
      </c>
      <c r="I277" s="52">
        <v>0</v>
      </c>
      <c r="J277" s="49">
        <v>0</v>
      </c>
      <c r="K277" s="50">
        <v>0</v>
      </c>
      <c r="L277" s="49">
        <v>0</v>
      </c>
      <c r="M277" s="50">
        <v>0</v>
      </c>
      <c r="N277" s="49">
        <v>0</v>
      </c>
      <c r="O277" s="50">
        <v>0</v>
      </c>
      <c r="P277" s="49">
        <v>0</v>
      </c>
      <c r="Q277" s="53">
        <v>0</v>
      </c>
      <c r="R277" s="58"/>
      <c r="S277" s="59"/>
      <c r="T277" s="60">
        <v>8</v>
      </c>
      <c r="U277" s="61">
        <v>2640</v>
      </c>
      <c r="V277" s="58"/>
      <c r="W277" s="59"/>
      <c r="X277" s="49">
        <v>4</v>
      </c>
      <c r="Y277" s="50">
        <v>2640</v>
      </c>
      <c r="Z277" s="49">
        <v>20</v>
      </c>
      <c r="AA277" s="50">
        <v>13200</v>
      </c>
      <c r="AB277" s="49">
        <v>56</v>
      </c>
      <c r="AC277" s="53">
        <v>36960</v>
      </c>
      <c r="AD277" s="49"/>
      <c r="AE277" s="53"/>
      <c r="AF277" s="49"/>
      <c r="AG277" s="53"/>
      <c r="AH277" s="49"/>
      <c r="AI277" s="53"/>
      <c r="AJ277" s="53"/>
      <c r="AK277" s="53"/>
      <c r="AL277" s="53"/>
      <c r="AM277" s="53"/>
      <c r="AN277" s="53"/>
      <c r="AO277" s="53"/>
      <c r="AP277" s="62">
        <f t="shared" si="8"/>
        <v>88</v>
      </c>
      <c r="AQ277" s="55">
        <f t="shared" si="9"/>
        <v>55440</v>
      </c>
    </row>
    <row r="278" spans="1:43">
      <c r="A278" s="47">
        <v>267</v>
      </c>
      <c r="B278" s="56">
        <v>4971710516746</v>
      </c>
      <c r="C278" s="57" t="s">
        <v>324</v>
      </c>
      <c r="D278" s="75" t="s">
        <v>880</v>
      </c>
      <c r="E278" s="48" t="s">
        <v>325</v>
      </c>
      <c r="F278" s="58">
        <v>0</v>
      </c>
      <c r="G278" s="50">
        <v>0</v>
      </c>
      <c r="H278" s="51">
        <v>0</v>
      </c>
      <c r="I278" s="52">
        <v>0</v>
      </c>
      <c r="J278" s="49">
        <v>0</v>
      </c>
      <c r="K278" s="50">
        <v>0</v>
      </c>
      <c r="L278" s="49">
        <v>0</v>
      </c>
      <c r="M278" s="50">
        <v>0</v>
      </c>
      <c r="N278" s="49">
        <v>20</v>
      </c>
      <c r="O278" s="50">
        <v>15400</v>
      </c>
      <c r="P278" s="49">
        <v>0</v>
      </c>
      <c r="Q278" s="53">
        <v>0</v>
      </c>
      <c r="R278" s="58"/>
      <c r="S278" s="59"/>
      <c r="T278" s="60"/>
      <c r="U278" s="61"/>
      <c r="V278" s="58"/>
      <c r="W278" s="59"/>
      <c r="X278" s="49">
        <v>6</v>
      </c>
      <c r="Y278" s="50">
        <v>4620</v>
      </c>
      <c r="Z278" s="49"/>
      <c r="AA278" s="50"/>
      <c r="AB278" s="49"/>
      <c r="AC278" s="53"/>
      <c r="AD278" s="49"/>
      <c r="AE278" s="53"/>
      <c r="AF278" s="49">
        <v>15</v>
      </c>
      <c r="AG278" s="53">
        <v>11550</v>
      </c>
      <c r="AH278" s="49"/>
      <c r="AI278" s="53"/>
      <c r="AJ278" s="53"/>
      <c r="AK278" s="53"/>
      <c r="AL278" s="53"/>
      <c r="AM278" s="53"/>
      <c r="AN278" s="53">
        <v>45</v>
      </c>
      <c r="AO278" s="53">
        <v>34650</v>
      </c>
      <c r="AP278" s="62">
        <f t="shared" si="8"/>
        <v>86</v>
      </c>
      <c r="AQ278" s="55">
        <f t="shared" si="9"/>
        <v>66220</v>
      </c>
    </row>
    <row r="279" spans="1:43">
      <c r="A279" s="47">
        <v>268</v>
      </c>
      <c r="B279" s="56">
        <v>4971710516753</v>
      </c>
      <c r="C279" s="57" t="s">
        <v>326</v>
      </c>
      <c r="D279" s="75" t="s">
        <v>880</v>
      </c>
      <c r="E279" s="48" t="s">
        <v>323</v>
      </c>
      <c r="F279" s="58">
        <v>0</v>
      </c>
      <c r="G279" s="50">
        <v>0</v>
      </c>
      <c r="H279" s="51">
        <v>0</v>
      </c>
      <c r="I279" s="52">
        <v>0</v>
      </c>
      <c r="J279" s="49">
        <v>0</v>
      </c>
      <c r="K279" s="50">
        <v>0</v>
      </c>
      <c r="L279" s="49">
        <v>0</v>
      </c>
      <c r="M279" s="50">
        <v>0</v>
      </c>
      <c r="N279" s="49">
        <v>20</v>
      </c>
      <c r="O279" s="50">
        <v>12100</v>
      </c>
      <c r="P279" s="49">
        <v>0</v>
      </c>
      <c r="Q279" s="53">
        <v>0</v>
      </c>
      <c r="R279" s="58"/>
      <c r="S279" s="59"/>
      <c r="T279" s="60"/>
      <c r="U279" s="61"/>
      <c r="V279" s="58"/>
      <c r="W279" s="59"/>
      <c r="X279" s="49">
        <v>6</v>
      </c>
      <c r="Y279" s="50">
        <v>3630</v>
      </c>
      <c r="Z279" s="49">
        <v>30</v>
      </c>
      <c r="AA279" s="50">
        <v>18150</v>
      </c>
      <c r="AB279" s="49"/>
      <c r="AC279" s="53"/>
      <c r="AD279" s="49"/>
      <c r="AE279" s="53"/>
      <c r="AF279" s="49"/>
      <c r="AG279" s="53"/>
      <c r="AH279" s="49"/>
      <c r="AI279" s="53"/>
      <c r="AJ279" s="53"/>
      <c r="AK279" s="53"/>
      <c r="AL279" s="53"/>
      <c r="AM279" s="53"/>
      <c r="AN279" s="53">
        <v>30</v>
      </c>
      <c r="AO279" s="53">
        <v>18150</v>
      </c>
      <c r="AP279" s="62">
        <f t="shared" si="8"/>
        <v>86</v>
      </c>
      <c r="AQ279" s="55">
        <f t="shared" si="9"/>
        <v>52030</v>
      </c>
    </row>
    <row r="280" spans="1:43">
      <c r="A280" s="47">
        <v>269</v>
      </c>
      <c r="B280" s="56">
        <v>4971710516852</v>
      </c>
      <c r="C280" s="57" t="s">
        <v>330</v>
      </c>
      <c r="D280" s="75" t="s">
        <v>880</v>
      </c>
      <c r="E280" s="48" t="s">
        <v>331</v>
      </c>
      <c r="F280" s="58">
        <v>0</v>
      </c>
      <c r="G280" s="50">
        <v>0</v>
      </c>
      <c r="H280" s="51">
        <v>0</v>
      </c>
      <c r="I280" s="52">
        <v>0</v>
      </c>
      <c r="J280" s="49">
        <v>0</v>
      </c>
      <c r="K280" s="50">
        <v>0</v>
      </c>
      <c r="L280" s="49">
        <v>0</v>
      </c>
      <c r="M280" s="50">
        <v>0</v>
      </c>
      <c r="N280" s="49">
        <v>20</v>
      </c>
      <c r="O280" s="50">
        <v>17600</v>
      </c>
      <c r="P280" s="49">
        <v>0</v>
      </c>
      <c r="Q280" s="53">
        <v>0</v>
      </c>
      <c r="R280" s="58"/>
      <c r="S280" s="59"/>
      <c r="T280" s="60"/>
      <c r="U280" s="61"/>
      <c r="V280" s="58"/>
      <c r="W280" s="59"/>
      <c r="X280" s="49">
        <v>6</v>
      </c>
      <c r="Y280" s="50">
        <v>5280</v>
      </c>
      <c r="Z280" s="49">
        <v>30</v>
      </c>
      <c r="AA280" s="50">
        <v>26400</v>
      </c>
      <c r="AB280" s="49"/>
      <c r="AC280" s="53"/>
      <c r="AD280" s="49"/>
      <c r="AE280" s="53"/>
      <c r="AF280" s="49"/>
      <c r="AG280" s="53"/>
      <c r="AH280" s="49"/>
      <c r="AI280" s="53"/>
      <c r="AJ280" s="53"/>
      <c r="AK280" s="53"/>
      <c r="AL280" s="53"/>
      <c r="AM280" s="53"/>
      <c r="AN280" s="53">
        <v>30</v>
      </c>
      <c r="AO280" s="53">
        <v>26400</v>
      </c>
      <c r="AP280" s="62">
        <f t="shared" si="8"/>
        <v>86</v>
      </c>
      <c r="AQ280" s="55">
        <f t="shared" si="9"/>
        <v>75680</v>
      </c>
    </row>
    <row r="281" spans="1:43">
      <c r="A281" s="47">
        <v>240</v>
      </c>
      <c r="B281" s="56">
        <v>4971710586565</v>
      </c>
      <c r="C281" s="57" t="s">
        <v>812</v>
      </c>
      <c r="D281" s="75" t="s">
        <v>880</v>
      </c>
      <c r="E281" s="48" t="s">
        <v>1012</v>
      </c>
      <c r="F281" s="58">
        <v>0</v>
      </c>
      <c r="G281" s="50">
        <v>0</v>
      </c>
      <c r="H281" s="51">
        <v>0</v>
      </c>
      <c r="I281" s="52">
        <v>0</v>
      </c>
      <c r="J281" s="49">
        <v>0</v>
      </c>
      <c r="K281" s="50">
        <v>0</v>
      </c>
      <c r="L281" s="49">
        <v>0</v>
      </c>
      <c r="M281" s="50">
        <v>0</v>
      </c>
      <c r="N281" s="49">
        <v>0</v>
      </c>
      <c r="O281" s="50">
        <v>0</v>
      </c>
      <c r="P281" s="49">
        <v>0</v>
      </c>
      <c r="Q281" s="53">
        <v>0</v>
      </c>
      <c r="R281" s="58"/>
      <c r="S281" s="59"/>
      <c r="T281" s="60"/>
      <c r="U281" s="61"/>
      <c r="V281" s="58"/>
      <c r="W281" s="59"/>
      <c r="X281" s="49"/>
      <c r="Y281" s="50"/>
      <c r="Z281" s="49"/>
      <c r="AA281" s="50"/>
      <c r="AB281" s="49">
        <v>54</v>
      </c>
      <c r="AC281" s="53">
        <v>35640</v>
      </c>
      <c r="AD281" s="49"/>
      <c r="AE281" s="53"/>
      <c r="AF281" s="49">
        <v>4</v>
      </c>
      <c r="AG281" s="53">
        <v>2640</v>
      </c>
      <c r="AH281" s="49">
        <v>6</v>
      </c>
      <c r="AI281" s="53">
        <v>3960</v>
      </c>
      <c r="AJ281" s="53"/>
      <c r="AK281" s="53"/>
      <c r="AL281" s="53"/>
      <c r="AM281" s="53"/>
      <c r="AN281" s="53">
        <v>21</v>
      </c>
      <c r="AO281" s="53">
        <v>13860</v>
      </c>
      <c r="AP281" s="63">
        <f t="shared" si="8"/>
        <v>85</v>
      </c>
      <c r="AQ281" s="55">
        <f t="shared" si="9"/>
        <v>56100</v>
      </c>
    </row>
    <row r="282" spans="1:43">
      <c r="A282" s="47">
        <v>283</v>
      </c>
      <c r="B282" s="56">
        <v>4971710519464</v>
      </c>
      <c r="C282" s="57" t="s">
        <v>358</v>
      </c>
      <c r="D282" s="75" t="s">
        <v>884</v>
      </c>
      <c r="E282" s="48" t="s">
        <v>359</v>
      </c>
      <c r="F282" s="58">
        <v>0</v>
      </c>
      <c r="G282" s="50">
        <v>0</v>
      </c>
      <c r="H282" s="51">
        <v>0</v>
      </c>
      <c r="I282" s="52">
        <v>0</v>
      </c>
      <c r="J282" s="49">
        <v>0</v>
      </c>
      <c r="K282" s="50">
        <v>0</v>
      </c>
      <c r="L282" s="49">
        <v>30</v>
      </c>
      <c r="M282" s="50">
        <v>16500</v>
      </c>
      <c r="N282" s="49">
        <v>0</v>
      </c>
      <c r="O282" s="50">
        <v>0</v>
      </c>
      <c r="P282" s="49">
        <v>0</v>
      </c>
      <c r="Q282" s="53">
        <v>0</v>
      </c>
      <c r="R282" s="58"/>
      <c r="S282" s="59"/>
      <c r="T282" s="60">
        <v>4</v>
      </c>
      <c r="U282" s="61">
        <v>1100</v>
      </c>
      <c r="V282" s="58"/>
      <c r="W282" s="59"/>
      <c r="X282" s="49">
        <v>30</v>
      </c>
      <c r="Y282" s="50">
        <v>16500</v>
      </c>
      <c r="Z282" s="49">
        <v>20</v>
      </c>
      <c r="AA282" s="50">
        <v>11000</v>
      </c>
      <c r="AB282" s="49"/>
      <c r="AC282" s="53"/>
      <c r="AD282" s="49"/>
      <c r="AE282" s="53"/>
      <c r="AF282" s="49"/>
      <c r="AG282" s="53"/>
      <c r="AH282" s="49"/>
      <c r="AI282" s="53"/>
      <c r="AJ282" s="53"/>
      <c r="AK282" s="53"/>
      <c r="AL282" s="53"/>
      <c r="AM282" s="53"/>
      <c r="AN282" s="53"/>
      <c r="AO282" s="53"/>
      <c r="AP282" s="62">
        <f t="shared" si="8"/>
        <v>84</v>
      </c>
      <c r="AQ282" s="55">
        <f t="shared" si="9"/>
        <v>45100</v>
      </c>
    </row>
    <row r="283" spans="1:43">
      <c r="A283" s="47">
        <v>245</v>
      </c>
      <c r="B283" s="56">
        <v>4971710611816</v>
      </c>
      <c r="C283" s="57" t="s">
        <v>959</v>
      </c>
      <c r="D283" s="75" t="s">
        <v>884</v>
      </c>
      <c r="E283" s="48" t="s">
        <v>960</v>
      </c>
      <c r="F283" s="58"/>
      <c r="G283" s="50"/>
      <c r="H283" s="51"/>
      <c r="I283" s="52"/>
      <c r="J283" s="49"/>
      <c r="K283" s="50"/>
      <c r="L283" s="49"/>
      <c r="M283" s="50"/>
      <c r="N283" s="49"/>
      <c r="O283" s="50"/>
      <c r="P283" s="49"/>
      <c r="Q283" s="53"/>
      <c r="R283" s="58"/>
      <c r="S283" s="59"/>
      <c r="T283" s="60"/>
      <c r="U283" s="61"/>
      <c r="V283" s="58"/>
      <c r="W283" s="59"/>
      <c r="X283" s="49"/>
      <c r="Y283" s="50"/>
      <c r="Z283" s="49"/>
      <c r="AA283" s="50"/>
      <c r="AB283" s="49"/>
      <c r="AC283" s="53"/>
      <c r="AD283" s="49"/>
      <c r="AE283" s="53"/>
      <c r="AF283" s="49"/>
      <c r="AG283" s="53"/>
      <c r="AH283" s="49">
        <v>20</v>
      </c>
      <c r="AI283" s="53">
        <v>15400</v>
      </c>
      <c r="AJ283" s="53"/>
      <c r="AK283" s="53"/>
      <c r="AL283" s="53"/>
      <c r="AM283" s="53"/>
      <c r="AN283" s="53">
        <v>60</v>
      </c>
      <c r="AO283" s="53">
        <v>46200</v>
      </c>
      <c r="AP283" s="63">
        <f t="shared" si="8"/>
        <v>80</v>
      </c>
      <c r="AQ283" s="55">
        <f t="shared" si="9"/>
        <v>61600</v>
      </c>
    </row>
    <row r="284" spans="1:43">
      <c r="A284" s="47">
        <v>246</v>
      </c>
      <c r="B284" s="56">
        <v>4971710611823</v>
      </c>
      <c r="C284" s="57" t="s">
        <v>961</v>
      </c>
      <c r="D284" s="75" t="s">
        <v>884</v>
      </c>
      <c r="E284" s="48" t="s">
        <v>962</v>
      </c>
      <c r="F284" s="58"/>
      <c r="G284" s="50"/>
      <c r="H284" s="51"/>
      <c r="I284" s="52"/>
      <c r="J284" s="49"/>
      <c r="K284" s="50"/>
      <c r="L284" s="49"/>
      <c r="M284" s="50"/>
      <c r="N284" s="49"/>
      <c r="O284" s="50"/>
      <c r="P284" s="49"/>
      <c r="Q284" s="53"/>
      <c r="R284" s="58"/>
      <c r="S284" s="59"/>
      <c r="T284" s="60"/>
      <c r="U284" s="61"/>
      <c r="V284" s="58"/>
      <c r="W284" s="59"/>
      <c r="X284" s="49"/>
      <c r="Y284" s="50"/>
      <c r="Z284" s="49"/>
      <c r="AA284" s="50"/>
      <c r="AB284" s="49"/>
      <c r="AC284" s="53"/>
      <c r="AD284" s="49"/>
      <c r="AE284" s="53"/>
      <c r="AF284" s="49"/>
      <c r="AG284" s="53"/>
      <c r="AH284" s="49">
        <v>20</v>
      </c>
      <c r="AI284" s="53">
        <v>15400</v>
      </c>
      <c r="AJ284" s="53"/>
      <c r="AK284" s="53"/>
      <c r="AL284" s="53"/>
      <c r="AM284" s="53"/>
      <c r="AN284" s="53">
        <v>60</v>
      </c>
      <c r="AO284" s="53">
        <v>46200</v>
      </c>
      <c r="AP284" s="63">
        <f t="shared" si="8"/>
        <v>80</v>
      </c>
      <c r="AQ284" s="55">
        <f t="shared" si="9"/>
        <v>61600</v>
      </c>
    </row>
    <row r="285" spans="1:43">
      <c r="A285" s="47">
        <v>260</v>
      </c>
      <c r="B285" s="56">
        <v>4971710509038</v>
      </c>
      <c r="C285" s="57" t="s">
        <v>206</v>
      </c>
      <c r="D285" s="75" t="s">
        <v>884</v>
      </c>
      <c r="E285" s="48" t="s">
        <v>207</v>
      </c>
      <c r="F285" s="58">
        <v>0</v>
      </c>
      <c r="G285" s="50">
        <v>0</v>
      </c>
      <c r="H285" s="51">
        <v>0</v>
      </c>
      <c r="I285" s="52">
        <v>0</v>
      </c>
      <c r="J285" s="49">
        <v>0</v>
      </c>
      <c r="K285" s="50">
        <v>0</v>
      </c>
      <c r="L285" s="49">
        <v>0</v>
      </c>
      <c r="M285" s="50">
        <v>0</v>
      </c>
      <c r="N285" s="49">
        <v>0</v>
      </c>
      <c r="O285" s="50">
        <v>0</v>
      </c>
      <c r="P285" s="49">
        <v>0</v>
      </c>
      <c r="Q285" s="53">
        <v>0</v>
      </c>
      <c r="R285" s="58">
        <v>30</v>
      </c>
      <c r="S285" s="59">
        <v>16500</v>
      </c>
      <c r="T285" s="60">
        <v>20</v>
      </c>
      <c r="U285" s="61">
        <v>5500</v>
      </c>
      <c r="V285" s="58">
        <v>30</v>
      </c>
      <c r="W285" s="59">
        <v>16500</v>
      </c>
      <c r="X285" s="49"/>
      <c r="Y285" s="50"/>
      <c r="Z285" s="49"/>
      <c r="AA285" s="50"/>
      <c r="AB285" s="49"/>
      <c r="AC285" s="53"/>
      <c r="AD285" s="49"/>
      <c r="AE285" s="53"/>
      <c r="AF285" s="49"/>
      <c r="AG285" s="53"/>
      <c r="AH285" s="49"/>
      <c r="AI285" s="53"/>
      <c r="AJ285" s="53"/>
      <c r="AK285" s="53"/>
      <c r="AL285" s="53"/>
      <c r="AM285" s="53"/>
      <c r="AN285" s="53"/>
      <c r="AO285" s="53"/>
      <c r="AP285" s="62">
        <f t="shared" si="8"/>
        <v>80</v>
      </c>
      <c r="AQ285" s="55">
        <f t="shared" si="9"/>
        <v>38500</v>
      </c>
    </row>
    <row r="286" spans="1:43">
      <c r="A286" s="47">
        <v>430</v>
      </c>
      <c r="B286" s="56">
        <v>4971710519129</v>
      </c>
      <c r="C286" s="57" t="s">
        <v>338</v>
      </c>
      <c r="D286" s="75" t="s">
        <v>884</v>
      </c>
      <c r="E286" s="48" t="s">
        <v>339</v>
      </c>
      <c r="F286" s="58"/>
      <c r="G286" s="50">
        <v>0</v>
      </c>
      <c r="H286" s="51"/>
      <c r="I286" s="52"/>
      <c r="J286" s="49"/>
      <c r="K286" s="50"/>
      <c r="L286" s="49">
        <v>60</v>
      </c>
      <c r="M286" s="50">
        <v>33000</v>
      </c>
      <c r="N286" s="49">
        <v>20</v>
      </c>
      <c r="O286" s="50">
        <v>11000</v>
      </c>
      <c r="P286" s="49">
        <v>0</v>
      </c>
      <c r="Q286" s="53"/>
      <c r="R286" s="58"/>
      <c r="S286" s="59"/>
      <c r="T286" s="60"/>
      <c r="U286" s="61"/>
      <c r="V286" s="58"/>
      <c r="W286" s="59"/>
      <c r="X286" s="49"/>
      <c r="Y286" s="50"/>
      <c r="Z286" s="49"/>
      <c r="AA286" s="50"/>
      <c r="AB286" s="49"/>
      <c r="AC286" s="53"/>
      <c r="AD286" s="49"/>
      <c r="AE286" s="53"/>
      <c r="AF286" s="49"/>
      <c r="AG286" s="53"/>
      <c r="AH286" s="49"/>
      <c r="AI286" s="53"/>
      <c r="AJ286" s="53"/>
      <c r="AK286" s="53"/>
      <c r="AL286" s="53"/>
      <c r="AM286" s="53"/>
      <c r="AN286" s="53"/>
      <c r="AO286" s="53"/>
      <c r="AP286" s="62">
        <f t="shared" si="8"/>
        <v>80</v>
      </c>
      <c r="AQ286" s="55">
        <f t="shared" si="9"/>
        <v>44000</v>
      </c>
    </row>
    <row r="287" spans="1:43">
      <c r="A287" s="47">
        <v>431</v>
      </c>
      <c r="B287" s="56">
        <v>4971710519242</v>
      </c>
      <c r="C287" s="57" t="s">
        <v>344</v>
      </c>
      <c r="D287" s="75" t="s">
        <v>879</v>
      </c>
      <c r="E287" s="48" t="s">
        <v>345</v>
      </c>
      <c r="F287" s="58"/>
      <c r="G287" s="50">
        <v>0</v>
      </c>
      <c r="H287" s="51"/>
      <c r="I287" s="52"/>
      <c r="J287" s="49"/>
      <c r="K287" s="50"/>
      <c r="L287" s="49">
        <v>50</v>
      </c>
      <c r="M287" s="50">
        <v>35750</v>
      </c>
      <c r="N287" s="49">
        <v>30</v>
      </c>
      <c r="O287" s="50">
        <v>21450</v>
      </c>
      <c r="P287" s="49">
        <v>0</v>
      </c>
      <c r="Q287" s="53"/>
      <c r="R287" s="58"/>
      <c r="S287" s="59"/>
      <c r="T287" s="60"/>
      <c r="U287" s="61"/>
      <c r="V287" s="58"/>
      <c r="W287" s="59"/>
      <c r="X287" s="49"/>
      <c r="Y287" s="50"/>
      <c r="Z287" s="49"/>
      <c r="AA287" s="50"/>
      <c r="AB287" s="49"/>
      <c r="AC287" s="53"/>
      <c r="AD287" s="49"/>
      <c r="AE287" s="53"/>
      <c r="AF287" s="49"/>
      <c r="AG287" s="53"/>
      <c r="AH287" s="49"/>
      <c r="AI287" s="53"/>
      <c r="AJ287" s="53"/>
      <c r="AK287" s="53"/>
      <c r="AL287" s="53"/>
      <c r="AM287" s="53"/>
      <c r="AN287" s="53"/>
      <c r="AO287" s="53"/>
      <c r="AP287" s="62">
        <f t="shared" si="8"/>
        <v>80</v>
      </c>
      <c r="AQ287" s="55">
        <f t="shared" si="9"/>
        <v>57200</v>
      </c>
    </row>
    <row r="288" spans="1:43">
      <c r="A288" s="47">
        <v>432</v>
      </c>
      <c r="B288" s="56">
        <v>4971710519259</v>
      </c>
      <c r="C288" s="57" t="s">
        <v>346</v>
      </c>
      <c r="D288" s="75" t="s">
        <v>879</v>
      </c>
      <c r="E288" s="48" t="s">
        <v>347</v>
      </c>
      <c r="F288" s="58"/>
      <c r="G288" s="50">
        <v>0</v>
      </c>
      <c r="H288" s="51"/>
      <c r="I288" s="52"/>
      <c r="J288" s="49"/>
      <c r="K288" s="50"/>
      <c r="L288" s="49">
        <v>50</v>
      </c>
      <c r="M288" s="50">
        <v>35750</v>
      </c>
      <c r="N288" s="49">
        <v>30</v>
      </c>
      <c r="O288" s="50">
        <v>21450</v>
      </c>
      <c r="P288" s="49">
        <v>0</v>
      </c>
      <c r="Q288" s="53"/>
      <c r="R288" s="58"/>
      <c r="S288" s="59"/>
      <c r="T288" s="60"/>
      <c r="U288" s="61"/>
      <c r="V288" s="58"/>
      <c r="W288" s="59"/>
      <c r="X288" s="49"/>
      <c r="Y288" s="50"/>
      <c r="Z288" s="49"/>
      <c r="AA288" s="50"/>
      <c r="AB288" s="49"/>
      <c r="AC288" s="53"/>
      <c r="AD288" s="49"/>
      <c r="AE288" s="53"/>
      <c r="AF288" s="49"/>
      <c r="AG288" s="53"/>
      <c r="AH288" s="49"/>
      <c r="AI288" s="53"/>
      <c r="AJ288" s="53"/>
      <c r="AK288" s="53"/>
      <c r="AL288" s="53"/>
      <c r="AM288" s="53"/>
      <c r="AN288" s="53"/>
      <c r="AO288" s="53"/>
      <c r="AP288" s="62">
        <f t="shared" si="8"/>
        <v>80</v>
      </c>
      <c r="AQ288" s="55">
        <f t="shared" si="9"/>
        <v>57200</v>
      </c>
    </row>
    <row r="289" spans="1:43">
      <c r="A289" s="47">
        <v>263</v>
      </c>
      <c r="B289" s="56">
        <v>4971710541168</v>
      </c>
      <c r="C289" s="57" t="s">
        <v>424</v>
      </c>
      <c r="D289" s="75" t="s">
        <v>884</v>
      </c>
      <c r="E289" s="48" t="s">
        <v>425</v>
      </c>
      <c r="F289" s="58">
        <v>10</v>
      </c>
      <c r="G289" s="50">
        <v>6600</v>
      </c>
      <c r="H289" s="51">
        <v>0</v>
      </c>
      <c r="I289" s="52">
        <v>0</v>
      </c>
      <c r="J289" s="49">
        <v>0</v>
      </c>
      <c r="K289" s="50">
        <v>0</v>
      </c>
      <c r="L289" s="49">
        <v>0</v>
      </c>
      <c r="M289" s="50">
        <v>0</v>
      </c>
      <c r="N289" s="49">
        <v>0</v>
      </c>
      <c r="O289" s="50">
        <v>0</v>
      </c>
      <c r="P289" s="49">
        <v>0</v>
      </c>
      <c r="Q289" s="53">
        <v>0</v>
      </c>
      <c r="R289" s="58">
        <v>20</v>
      </c>
      <c r="S289" s="59">
        <v>13200</v>
      </c>
      <c r="T289" s="60"/>
      <c r="U289" s="61"/>
      <c r="V289" s="58"/>
      <c r="W289" s="59"/>
      <c r="X289" s="49"/>
      <c r="Y289" s="50"/>
      <c r="Z289" s="49">
        <v>15</v>
      </c>
      <c r="AA289" s="50">
        <v>9900</v>
      </c>
      <c r="AB289" s="49">
        <v>4</v>
      </c>
      <c r="AC289" s="53">
        <v>2640</v>
      </c>
      <c r="AD289" s="49"/>
      <c r="AE289" s="53"/>
      <c r="AF289" s="49">
        <v>30</v>
      </c>
      <c r="AG289" s="53">
        <v>19800</v>
      </c>
      <c r="AH289" s="49"/>
      <c r="AI289" s="53"/>
      <c r="AJ289" s="53"/>
      <c r="AK289" s="53"/>
      <c r="AL289" s="53"/>
      <c r="AM289" s="53"/>
      <c r="AN289" s="53"/>
      <c r="AO289" s="53"/>
      <c r="AP289" s="62">
        <f t="shared" si="8"/>
        <v>79</v>
      </c>
      <c r="AQ289" s="55">
        <f t="shared" si="9"/>
        <v>52140</v>
      </c>
    </row>
    <row r="290" spans="1:43">
      <c r="A290" s="47">
        <v>251</v>
      </c>
      <c r="B290" s="56">
        <v>4971710619751</v>
      </c>
      <c r="C290" s="57" t="s">
        <v>1070</v>
      </c>
      <c r="D290" s="75" t="s">
        <v>884</v>
      </c>
      <c r="E290" s="48" t="s">
        <v>1071</v>
      </c>
      <c r="F290" s="58"/>
      <c r="G290" s="50"/>
      <c r="H290" s="51"/>
      <c r="I290" s="52"/>
      <c r="J290" s="49"/>
      <c r="K290" s="50"/>
      <c r="L290" s="49"/>
      <c r="M290" s="50"/>
      <c r="N290" s="49"/>
      <c r="O290" s="50"/>
      <c r="P290" s="49"/>
      <c r="Q290" s="53"/>
      <c r="R290" s="58"/>
      <c r="S290" s="59"/>
      <c r="T290" s="60"/>
      <c r="U290" s="61"/>
      <c r="V290" s="58"/>
      <c r="W290" s="59"/>
      <c r="X290" s="49"/>
      <c r="Y290" s="50"/>
      <c r="Z290" s="49"/>
      <c r="AA290" s="50"/>
      <c r="AB290" s="49"/>
      <c r="AC290" s="53"/>
      <c r="AD290" s="49"/>
      <c r="AE290" s="53"/>
      <c r="AF290" s="49"/>
      <c r="AG290" s="53"/>
      <c r="AH290" s="49"/>
      <c r="AI290" s="53"/>
      <c r="AJ290" s="53"/>
      <c r="AK290" s="53"/>
      <c r="AL290" s="53"/>
      <c r="AM290" s="53"/>
      <c r="AN290" s="53">
        <v>78</v>
      </c>
      <c r="AO290" s="53">
        <v>68640</v>
      </c>
      <c r="AP290" s="63">
        <f t="shared" si="8"/>
        <v>78</v>
      </c>
      <c r="AQ290" s="55">
        <f t="shared" si="9"/>
        <v>68640</v>
      </c>
    </row>
    <row r="291" spans="1:43">
      <c r="A291" s="47">
        <v>252</v>
      </c>
      <c r="B291" s="56">
        <v>4971710597035</v>
      </c>
      <c r="C291" s="57" t="s">
        <v>826</v>
      </c>
      <c r="D291" s="75" t="s">
        <v>880</v>
      </c>
      <c r="E291" s="48" t="s">
        <v>1015</v>
      </c>
      <c r="F291" s="58">
        <v>0</v>
      </c>
      <c r="G291" s="50">
        <v>0</v>
      </c>
      <c r="H291" s="51">
        <v>0</v>
      </c>
      <c r="I291" s="52">
        <v>0</v>
      </c>
      <c r="J291" s="49">
        <v>0</v>
      </c>
      <c r="K291" s="50">
        <v>0</v>
      </c>
      <c r="L291" s="49">
        <v>0</v>
      </c>
      <c r="M291" s="50">
        <v>0</v>
      </c>
      <c r="N291" s="49">
        <v>0</v>
      </c>
      <c r="O291" s="50">
        <v>0</v>
      </c>
      <c r="P291" s="49">
        <v>0</v>
      </c>
      <c r="Q291" s="53">
        <v>0</v>
      </c>
      <c r="R291" s="58"/>
      <c r="S291" s="59"/>
      <c r="T291" s="60"/>
      <c r="U291" s="61"/>
      <c r="V291" s="58"/>
      <c r="W291" s="59"/>
      <c r="X291" s="49"/>
      <c r="Y291" s="50"/>
      <c r="Z291" s="49"/>
      <c r="AA291" s="50"/>
      <c r="AB291" s="49">
        <v>36</v>
      </c>
      <c r="AC291" s="53">
        <v>31680</v>
      </c>
      <c r="AD291" s="49"/>
      <c r="AE291" s="53"/>
      <c r="AF291" s="49"/>
      <c r="AG291" s="53"/>
      <c r="AH291" s="49">
        <v>30</v>
      </c>
      <c r="AI291" s="53">
        <v>26400</v>
      </c>
      <c r="AJ291" s="53"/>
      <c r="AK291" s="53"/>
      <c r="AL291" s="53"/>
      <c r="AM291" s="53"/>
      <c r="AN291" s="53">
        <v>10</v>
      </c>
      <c r="AO291" s="53">
        <v>8800</v>
      </c>
      <c r="AP291" s="63">
        <f t="shared" si="8"/>
        <v>76</v>
      </c>
      <c r="AQ291" s="55">
        <f t="shared" si="9"/>
        <v>66880</v>
      </c>
    </row>
    <row r="292" spans="1:43">
      <c r="A292" s="47">
        <v>276</v>
      </c>
      <c r="B292" s="56">
        <v>4971710516845</v>
      </c>
      <c r="C292" s="57" t="s">
        <v>328</v>
      </c>
      <c r="D292" s="75" t="s">
        <v>880</v>
      </c>
      <c r="E292" s="48" t="s">
        <v>329</v>
      </c>
      <c r="F292" s="58">
        <v>0</v>
      </c>
      <c r="G292" s="50">
        <v>0</v>
      </c>
      <c r="H292" s="51">
        <v>0</v>
      </c>
      <c r="I292" s="52">
        <v>0</v>
      </c>
      <c r="J292" s="49">
        <v>0</v>
      </c>
      <c r="K292" s="50">
        <v>0</v>
      </c>
      <c r="L292" s="49">
        <v>0</v>
      </c>
      <c r="M292" s="50">
        <v>0</v>
      </c>
      <c r="N292" s="49">
        <v>20</v>
      </c>
      <c r="O292" s="50">
        <v>17600</v>
      </c>
      <c r="P292" s="49">
        <v>0</v>
      </c>
      <c r="Q292" s="53">
        <v>0</v>
      </c>
      <c r="R292" s="58"/>
      <c r="S292" s="59"/>
      <c r="T292" s="60"/>
      <c r="U292" s="61"/>
      <c r="V292" s="58"/>
      <c r="W292" s="59"/>
      <c r="X292" s="49">
        <v>6</v>
      </c>
      <c r="Y292" s="50">
        <v>5280</v>
      </c>
      <c r="Z292" s="49">
        <v>20</v>
      </c>
      <c r="AA292" s="50">
        <v>17600</v>
      </c>
      <c r="AB292" s="49"/>
      <c r="AC292" s="53"/>
      <c r="AD292" s="49"/>
      <c r="AE292" s="53"/>
      <c r="AF292" s="49"/>
      <c r="AG292" s="53"/>
      <c r="AH292" s="49"/>
      <c r="AI292" s="53"/>
      <c r="AJ292" s="53"/>
      <c r="AK292" s="53"/>
      <c r="AL292" s="53"/>
      <c r="AM292" s="53"/>
      <c r="AN292" s="53">
        <v>30</v>
      </c>
      <c r="AO292" s="53">
        <v>26400</v>
      </c>
      <c r="AP292" s="62">
        <f t="shared" si="8"/>
        <v>76</v>
      </c>
      <c r="AQ292" s="55">
        <f t="shared" si="9"/>
        <v>66880</v>
      </c>
    </row>
    <row r="293" spans="1:43">
      <c r="A293" s="47">
        <v>253</v>
      </c>
      <c r="B293" s="56">
        <v>4971710571905</v>
      </c>
      <c r="C293" s="57" t="s">
        <v>1004</v>
      </c>
      <c r="D293" s="75" t="s">
        <v>1085</v>
      </c>
      <c r="E293" s="48" t="s">
        <v>858</v>
      </c>
      <c r="F293" s="58">
        <v>0</v>
      </c>
      <c r="G293" s="50">
        <v>0</v>
      </c>
      <c r="H293" s="51">
        <v>0</v>
      </c>
      <c r="I293" s="52">
        <v>0</v>
      </c>
      <c r="J293" s="49">
        <v>0</v>
      </c>
      <c r="K293" s="50">
        <v>0</v>
      </c>
      <c r="L293" s="49">
        <v>0</v>
      </c>
      <c r="M293" s="50">
        <v>0</v>
      </c>
      <c r="N293" s="49">
        <v>0</v>
      </c>
      <c r="O293" s="50">
        <v>0</v>
      </c>
      <c r="P293" s="49">
        <v>0</v>
      </c>
      <c r="Q293" s="53">
        <v>0</v>
      </c>
      <c r="R293" s="58"/>
      <c r="S293" s="59"/>
      <c r="T293" s="60"/>
      <c r="U293" s="61"/>
      <c r="V293" s="58"/>
      <c r="W293" s="59"/>
      <c r="X293" s="49"/>
      <c r="Y293" s="50"/>
      <c r="Z293" s="49">
        <v>75</v>
      </c>
      <c r="AA293" s="50">
        <v>22275</v>
      </c>
      <c r="AB293" s="49"/>
      <c r="AC293" s="53"/>
      <c r="AD293" s="49"/>
      <c r="AE293" s="53"/>
      <c r="AF293" s="49"/>
      <c r="AG293" s="53"/>
      <c r="AH293" s="49"/>
      <c r="AI293" s="53"/>
      <c r="AJ293" s="53"/>
      <c r="AK293" s="53"/>
      <c r="AL293" s="53"/>
      <c r="AM293" s="53"/>
      <c r="AN293" s="53"/>
      <c r="AO293" s="53"/>
      <c r="AP293" s="63">
        <f t="shared" si="8"/>
        <v>75</v>
      </c>
      <c r="AQ293" s="55">
        <f t="shared" si="9"/>
        <v>22275</v>
      </c>
    </row>
    <row r="294" spans="1:43">
      <c r="A294" s="47">
        <v>338</v>
      </c>
      <c r="B294" s="56">
        <v>4971710571820</v>
      </c>
      <c r="C294" s="57" t="s">
        <v>561</v>
      </c>
      <c r="D294" s="75" t="s">
        <v>884</v>
      </c>
      <c r="E294" s="48" t="s">
        <v>562</v>
      </c>
      <c r="F294" s="58">
        <v>0</v>
      </c>
      <c r="G294" s="50">
        <v>0</v>
      </c>
      <c r="H294" s="51">
        <v>24</v>
      </c>
      <c r="I294" s="52">
        <v>15840</v>
      </c>
      <c r="J294" s="49">
        <v>24</v>
      </c>
      <c r="K294" s="50">
        <v>15840</v>
      </c>
      <c r="L294" s="49">
        <v>0</v>
      </c>
      <c r="M294" s="50">
        <v>0</v>
      </c>
      <c r="N294" s="49">
        <v>0</v>
      </c>
      <c r="O294" s="50">
        <v>0</v>
      </c>
      <c r="P294" s="49">
        <v>0</v>
      </c>
      <c r="Q294" s="53">
        <v>0</v>
      </c>
      <c r="R294" s="58">
        <v>5</v>
      </c>
      <c r="S294" s="59">
        <v>3300</v>
      </c>
      <c r="T294" s="60">
        <v>16</v>
      </c>
      <c r="U294" s="61">
        <v>5280</v>
      </c>
      <c r="V294" s="58"/>
      <c r="W294" s="59"/>
      <c r="X294" s="49">
        <v>6</v>
      </c>
      <c r="Y294" s="50">
        <v>3960</v>
      </c>
      <c r="Z294" s="49"/>
      <c r="AA294" s="50"/>
      <c r="AB294" s="49"/>
      <c r="AC294" s="53"/>
      <c r="AD294" s="49"/>
      <c r="AE294" s="53"/>
      <c r="AF294" s="49"/>
      <c r="AG294" s="53"/>
      <c r="AH294" s="49"/>
      <c r="AI294" s="53"/>
      <c r="AJ294" s="53"/>
      <c r="AK294" s="53"/>
      <c r="AL294" s="53"/>
      <c r="AM294" s="53"/>
      <c r="AN294" s="53"/>
      <c r="AO294" s="53"/>
      <c r="AP294" s="62">
        <f t="shared" si="8"/>
        <v>75</v>
      </c>
      <c r="AQ294" s="55">
        <f t="shared" si="9"/>
        <v>44220</v>
      </c>
    </row>
    <row r="295" spans="1:43">
      <c r="A295" s="47">
        <v>255</v>
      </c>
      <c r="B295" s="56">
        <v>4971710619812</v>
      </c>
      <c r="C295" s="57" t="s">
        <v>1066</v>
      </c>
      <c r="D295" s="75" t="s">
        <v>884</v>
      </c>
      <c r="E295" s="48" t="s">
        <v>1068</v>
      </c>
      <c r="F295" s="58"/>
      <c r="G295" s="50"/>
      <c r="H295" s="51"/>
      <c r="I295" s="52"/>
      <c r="J295" s="49"/>
      <c r="K295" s="50"/>
      <c r="L295" s="49"/>
      <c r="M295" s="50"/>
      <c r="N295" s="49"/>
      <c r="O295" s="50"/>
      <c r="P295" s="49"/>
      <c r="Q295" s="53"/>
      <c r="R295" s="58"/>
      <c r="S295" s="59"/>
      <c r="T295" s="60"/>
      <c r="U295" s="61"/>
      <c r="V295" s="58"/>
      <c r="W295" s="59"/>
      <c r="X295" s="49"/>
      <c r="Y295" s="50"/>
      <c r="Z295" s="49"/>
      <c r="AA295" s="50"/>
      <c r="AB295" s="49"/>
      <c r="AC295" s="53"/>
      <c r="AD295" s="49"/>
      <c r="AE295" s="53"/>
      <c r="AF295" s="49"/>
      <c r="AG295" s="53"/>
      <c r="AH295" s="49"/>
      <c r="AI295" s="53"/>
      <c r="AJ295" s="53"/>
      <c r="AK295" s="53"/>
      <c r="AL295" s="53"/>
      <c r="AM295" s="53"/>
      <c r="AN295" s="53">
        <v>71</v>
      </c>
      <c r="AO295" s="53">
        <v>50765</v>
      </c>
      <c r="AP295" s="63">
        <f t="shared" si="8"/>
        <v>71</v>
      </c>
      <c r="AQ295" s="55">
        <f t="shared" si="9"/>
        <v>50765</v>
      </c>
    </row>
    <row r="296" spans="1:43">
      <c r="A296" s="47">
        <v>256</v>
      </c>
      <c r="B296" s="56">
        <v>4971710619829</v>
      </c>
      <c r="C296" s="57" t="s">
        <v>1067</v>
      </c>
      <c r="D296" s="75" t="s">
        <v>884</v>
      </c>
      <c r="E296" s="48" t="s">
        <v>1069</v>
      </c>
      <c r="F296" s="58"/>
      <c r="G296" s="50"/>
      <c r="H296" s="51"/>
      <c r="I296" s="52"/>
      <c r="J296" s="49"/>
      <c r="K296" s="50"/>
      <c r="L296" s="49"/>
      <c r="M296" s="50"/>
      <c r="N296" s="49"/>
      <c r="O296" s="50"/>
      <c r="P296" s="49"/>
      <c r="Q296" s="53"/>
      <c r="R296" s="58"/>
      <c r="S296" s="59"/>
      <c r="T296" s="60"/>
      <c r="U296" s="61"/>
      <c r="V296" s="58"/>
      <c r="W296" s="59"/>
      <c r="X296" s="49"/>
      <c r="Y296" s="50"/>
      <c r="Z296" s="49"/>
      <c r="AA296" s="50"/>
      <c r="AB296" s="49"/>
      <c r="AC296" s="53"/>
      <c r="AD296" s="49"/>
      <c r="AE296" s="53"/>
      <c r="AF296" s="49"/>
      <c r="AG296" s="53"/>
      <c r="AH296" s="49"/>
      <c r="AI296" s="53"/>
      <c r="AJ296" s="53"/>
      <c r="AK296" s="53"/>
      <c r="AL296" s="53"/>
      <c r="AM296" s="53"/>
      <c r="AN296" s="53">
        <v>71</v>
      </c>
      <c r="AO296" s="53">
        <v>50765</v>
      </c>
      <c r="AP296" s="63">
        <f t="shared" si="8"/>
        <v>71</v>
      </c>
      <c r="AQ296" s="55">
        <f t="shared" si="9"/>
        <v>50765</v>
      </c>
    </row>
    <row r="297" spans="1:43">
      <c r="A297" s="47">
        <v>271</v>
      </c>
      <c r="B297" s="56">
        <v>4971710489170</v>
      </c>
      <c r="C297" s="57" t="s">
        <v>86</v>
      </c>
      <c r="D297" s="75" t="s">
        <v>884</v>
      </c>
      <c r="E297" s="48" t="s">
        <v>87</v>
      </c>
      <c r="F297" s="58">
        <v>0</v>
      </c>
      <c r="G297" s="50">
        <v>0</v>
      </c>
      <c r="H297" s="51">
        <v>0</v>
      </c>
      <c r="I297" s="52">
        <v>0</v>
      </c>
      <c r="J297" s="49">
        <v>0</v>
      </c>
      <c r="K297" s="50">
        <v>0</v>
      </c>
      <c r="L297" s="49">
        <v>0</v>
      </c>
      <c r="M297" s="50">
        <v>0</v>
      </c>
      <c r="N297" s="49">
        <v>0</v>
      </c>
      <c r="O297" s="50">
        <v>0</v>
      </c>
      <c r="P297" s="49">
        <v>10</v>
      </c>
      <c r="Q297" s="53">
        <v>5500</v>
      </c>
      <c r="R297" s="58">
        <v>30</v>
      </c>
      <c r="S297" s="59">
        <v>16500</v>
      </c>
      <c r="T297" s="60"/>
      <c r="U297" s="61"/>
      <c r="V297" s="58"/>
      <c r="W297" s="59"/>
      <c r="X297" s="49"/>
      <c r="Y297" s="50"/>
      <c r="Z297" s="49"/>
      <c r="AA297" s="50"/>
      <c r="AB297" s="49"/>
      <c r="AC297" s="53"/>
      <c r="AD297" s="49"/>
      <c r="AE297" s="53"/>
      <c r="AF297" s="49"/>
      <c r="AG297" s="53"/>
      <c r="AH297" s="49">
        <v>30</v>
      </c>
      <c r="AI297" s="53">
        <v>16500</v>
      </c>
      <c r="AJ297" s="53"/>
      <c r="AK297" s="53"/>
      <c r="AL297" s="53"/>
      <c r="AM297" s="53"/>
      <c r="AN297" s="53"/>
      <c r="AO297" s="53"/>
      <c r="AP297" s="62">
        <f t="shared" si="8"/>
        <v>70</v>
      </c>
      <c r="AQ297" s="55">
        <f t="shared" si="9"/>
        <v>38500</v>
      </c>
    </row>
    <row r="298" spans="1:43">
      <c r="A298" s="47">
        <v>313</v>
      </c>
      <c r="B298" s="56">
        <v>4971710288605</v>
      </c>
      <c r="C298" s="57" t="s">
        <v>7</v>
      </c>
      <c r="D298" s="75" t="s">
        <v>882</v>
      </c>
      <c r="E298" s="48" t="s">
        <v>8</v>
      </c>
      <c r="F298" s="58">
        <v>0</v>
      </c>
      <c r="G298" s="50">
        <v>0</v>
      </c>
      <c r="H298" s="51">
        <v>0</v>
      </c>
      <c r="I298" s="52">
        <v>0</v>
      </c>
      <c r="J298" s="49">
        <v>10</v>
      </c>
      <c r="K298" s="50">
        <v>27500</v>
      </c>
      <c r="L298" s="49">
        <v>10</v>
      </c>
      <c r="M298" s="50">
        <v>27500</v>
      </c>
      <c r="N298" s="49">
        <v>0</v>
      </c>
      <c r="O298" s="50">
        <v>0</v>
      </c>
      <c r="P298" s="49">
        <v>0</v>
      </c>
      <c r="Q298" s="53">
        <v>0</v>
      </c>
      <c r="R298" s="58"/>
      <c r="S298" s="59"/>
      <c r="T298" s="60">
        <v>40</v>
      </c>
      <c r="U298" s="61">
        <v>55000</v>
      </c>
      <c r="V298" s="58"/>
      <c r="W298" s="59"/>
      <c r="X298" s="49"/>
      <c r="Y298" s="50"/>
      <c r="Z298" s="49">
        <v>10</v>
      </c>
      <c r="AA298" s="50">
        <v>27500</v>
      </c>
      <c r="AB298" s="49"/>
      <c r="AC298" s="53"/>
      <c r="AD298" s="49"/>
      <c r="AE298" s="53"/>
      <c r="AF298" s="49"/>
      <c r="AG298" s="53"/>
      <c r="AH298" s="49"/>
      <c r="AI298" s="53"/>
      <c r="AJ298" s="53"/>
      <c r="AK298" s="53"/>
      <c r="AL298" s="53"/>
      <c r="AM298" s="53"/>
      <c r="AN298" s="53"/>
      <c r="AO298" s="53"/>
      <c r="AP298" s="62">
        <f t="shared" si="8"/>
        <v>70</v>
      </c>
      <c r="AQ298" s="55">
        <f t="shared" si="9"/>
        <v>137500</v>
      </c>
    </row>
    <row r="299" spans="1:43">
      <c r="A299" s="47">
        <v>433</v>
      </c>
      <c r="B299" s="56">
        <v>4971710521535</v>
      </c>
      <c r="C299" s="57" t="s">
        <v>370</v>
      </c>
      <c r="D299" s="75" t="s">
        <v>884</v>
      </c>
      <c r="E299" s="48" t="s">
        <v>371</v>
      </c>
      <c r="F299" s="58"/>
      <c r="G299" s="50">
        <v>0</v>
      </c>
      <c r="H299" s="51">
        <v>24</v>
      </c>
      <c r="I299" s="52">
        <v>17160</v>
      </c>
      <c r="J299" s="49">
        <v>24</v>
      </c>
      <c r="K299" s="50">
        <v>17160</v>
      </c>
      <c r="L299" s="49">
        <v>2</v>
      </c>
      <c r="M299" s="50">
        <v>1430</v>
      </c>
      <c r="N299" s="49">
        <v>20</v>
      </c>
      <c r="O299" s="50">
        <v>14300</v>
      </c>
      <c r="P299" s="49">
        <v>0</v>
      </c>
      <c r="Q299" s="53"/>
      <c r="R299" s="58"/>
      <c r="S299" s="59"/>
      <c r="T299" s="60"/>
      <c r="U299" s="61"/>
      <c r="V299" s="58"/>
      <c r="W299" s="59"/>
      <c r="X299" s="49"/>
      <c r="Y299" s="50"/>
      <c r="Z299" s="49"/>
      <c r="AA299" s="50"/>
      <c r="AB299" s="49"/>
      <c r="AC299" s="53"/>
      <c r="AD299" s="49"/>
      <c r="AE299" s="53"/>
      <c r="AF299" s="49"/>
      <c r="AG299" s="53"/>
      <c r="AH299" s="49"/>
      <c r="AI299" s="53"/>
      <c r="AJ299" s="53"/>
      <c r="AK299" s="53"/>
      <c r="AL299" s="53"/>
      <c r="AM299" s="53"/>
      <c r="AN299" s="53"/>
      <c r="AO299" s="53"/>
      <c r="AP299" s="62">
        <f t="shared" si="8"/>
        <v>70</v>
      </c>
      <c r="AQ299" s="55">
        <f t="shared" si="9"/>
        <v>50050</v>
      </c>
    </row>
    <row r="300" spans="1:43">
      <c r="A300" s="47">
        <v>261</v>
      </c>
      <c r="B300" s="56">
        <v>4971710597042</v>
      </c>
      <c r="C300" s="57" t="s">
        <v>825</v>
      </c>
      <c r="D300" s="75" t="s">
        <v>880</v>
      </c>
      <c r="E300" s="48" t="s">
        <v>1018</v>
      </c>
      <c r="F300" s="58">
        <v>0</v>
      </c>
      <c r="G300" s="50">
        <v>0</v>
      </c>
      <c r="H300" s="51">
        <v>0</v>
      </c>
      <c r="I300" s="52">
        <v>0</v>
      </c>
      <c r="J300" s="49">
        <v>0</v>
      </c>
      <c r="K300" s="50">
        <v>0</v>
      </c>
      <c r="L300" s="49">
        <v>0</v>
      </c>
      <c r="M300" s="50">
        <v>0</v>
      </c>
      <c r="N300" s="49">
        <v>0</v>
      </c>
      <c r="O300" s="50">
        <v>0</v>
      </c>
      <c r="P300" s="49">
        <v>0</v>
      </c>
      <c r="Q300" s="53">
        <v>0</v>
      </c>
      <c r="R300" s="58"/>
      <c r="S300" s="59"/>
      <c r="T300" s="60"/>
      <c r="U300" s="61"/>
      <c r="V300" s="58"/>
      <c r="W300" s="59"/>
      <c r="X300" s="49"/>
      <c r="Y300" s="50"/>
      <c r="Z300" s="49"/>
      <c r="AA300" s="50"/>
      <c r="AB300" s="49">
        <v>24</v>
      </c>
      <c r="AC300" s="53">
        <v>21120</v>
      </c>
      <c r="AD300" s="49"/>
      <c r="AE300" s="53"/>
      <c r="AF300" s="49"/>
      <c r="AG300" s="53"/>
      <c r="AH300" s="49">
        <v>30</v>
      </c>
      <c r="AI300" s="53">
        <v>26400</v>
      </c>
      <c r="AJ300" s="53"/>
      <c r="AK300" s="53"/>
      <c r="AL300" s="53"/>
      <c r="AM300" s="53"/>
      <c r="AN300" s="53">
        <v>15</v>
      </c>
      <c r="AO300" s="53">
        <v>13200</v>
      </c>
      <c r="AP300" s="63">
        <f t="shared" si="8"/>
        <v>69</v>
      </c>
      <c r="AQ300" s="55">
        <f t="shared" si="9"/>
        <v>60720</v>
      </c>
    </row>
    <row r="301" spans="1:43">
      <c r="A301" s="47">
        <v>264</v>
      </c>
      <c r="B301" s="56">
        <v>4971710585063</v>
      </c>
      <c r="C301" s="57" t="s">
        <v>809</v>
      </c>
      <c r="D301" s="75" t="s">
        <v>896</v>
      </c>
      <c r="E301" s="48" t="s">
        <v>1006</v>
      </c>
      <c r="F301" s="58">
        <v>0</v>
      </c>
      <c r="G301" s="50">
        <v>0</v>
      </c>
      <c r="H301" s="51">
        <v>0</v>
      </c>
      <c r="I301" s="52">
        <v>0</v>
      </c>
      <c r="J301" s="49">
        <v>0</v>
      </c>
      <c r="K301" s="50">
        <v>0</v>
      </c>
      <c r="L301" s="49">
        <v>0</v>
      </c>
      <c r="M301" s="50">
        <v>0</v>
      </c>
      <c r="N301" s="49">
        <v>0</v>
      </c>
      <c r="O301" s="50">
        <v>0</v>
      </c>
      <c r="P301" s="49">
        <v>0</v>
      </c>
      <c r="Q301" s="53">
        <v>0</v>
      </c>
      <c r="R301" s="58"/>
      <c r="S301" s="59"/>
      <c r="T301" s="60"/>
      <c r="U301" s="61"/>
      <c r="V301" s="58"/>
      <c r="W301" s="59"/>
      <c r="X301" s="49"/>
      <c r="Y301" s="50"/>
      <c r="Z301" s="49">
        <v>69</v>
      </c>
      <c r="AA301" s="50">
        <v>45540</v>
      </c>
      <c r="AB301" s="49"/>
      <c r="AC301" s="53"/>
      <c r="AD301" s="49"/>
      <c r="AE301" s="53"/>
      <c r="AF301" s="49"/>
      <c r="AG301" s="53"/>
      <c r="AH301" s="49"/>
      <c r="AI301" s="53"/>
      <c r="AJ301" s="53"/>
      <c r="AK301" s="53"/>
      <c r="AL301" s="53"/>
      <c r="AM301" s="53"/>
      <c r="AN301" s="53"/>
      <c r="AO301" s="53"/>
      <c r="AP301" s="62">
        <f t="shared" si="8"/>
        <v>69</v>
      </c>
      <c r="AQ301" s="55">
        <f t="shared" si="9"/>
        <v>45540</v>
      </c>
    </row>
    <row r="302" spans="1:43">
      <c r="A302" s="47">
        <v>270</v>
      </c>
      <c r="B302" s="56">
        <v>4971710513578</v>
      </c>
      <c r="C302" s="57" t="s">
        <v>831</v>
      </c>
      <c r="D302" s="75" t="s">
        <v>880</v>
      </c>
      <c r="E302" s="48" t="s">
        <v>1009</v>
      </c>
      <c r="F302" s="58">
        <v>0</v>
      </c>
      <c r="G302" s="50">
        <v>0</v>
      </c>
      <c r="H302" s="51">
        <v>0</v>
      </c>
      <c r="I302" s="52">
        <v>0</v>
      </c>
      <c r="J302" s="49">
        <v>0</v>
      </c>
      <c r="K302" s="50">
        <v>0</v>
      </c>
      <c r="L302" s="49">
        <v>0</v>
      </c>
      <c r="M302" s="50">
        <v>0</v>
      </c>
      <c r="N302" s="49">
        <v>0</v>
      </c>
      <c r="O302" s="50">
        <v>0</v>
      </c>
      <c r="P302" s="49">
        <v>0</v>
      </c>
      <c r="Q302" s="53">
        <v>0</v>
      </c>
      <c r="R302" s="58"/>
      <c r="S302" s="59"/>
      <c r="T302" s="60"/>
      <c r="U302" s="61"/>
      <c r="V302" s="58"/>
      <c r="W302" s="59"/>
      <c r="X302" s="49"/>
      <c r="Y302" s="50"/>
      <c r="Z302" s="49"/>
      <c r="AA302" s="50"/>
      <c r="AB302" s="49"/>
      <c r="AC302" s="53"/>
      <c r="AD302" s="49">
        <v>64</v>
      </c>
      <c r="AE302" s="53">
        <v>38720</v>
      </c>
      <c r="AF302" s="49"/>
      <c r="AG302" s="53"/>
      <c r="AH302" s="49"/>
      <c r="AI302" s="53"/>
      <c r="AJ302" s="53"/>
      <c r="AK302" s="53"/>
      <c r="AL302" s="53"/>
      <c r="AM302" s="53"/>
      <c r="AN302" s="53"/>
      <c r="AO302" s="53"/>
      <c r="AP302" s="63">
        <f t="shared" si="8"/>
        <v>64</v>
      </c>
      <c r="AQ302" s="55">
        <f t="shared" si="9"/>
        <v>38720</v>
      </c>
    </row>
    <row r="303" spans="1:43">
      <c r="A303" s="47">
        <v>289</v>
      </c>
      <c r="B303" s="56">
        <v>4971710506730</v>
      </c>
      <c r="C303" s="57" t="s">
        <v>779</v>
      </c>
      <c r="D303" s="75" t="s">
        <v>884</v>
      </c>
      <c r="E303" s="48" t="s">
        <v>780</v>
      </c>
      <c r="F303" s="58">
        <v>0</v>
      </c>
      <c r="G303" s="50">
        <v>0</v>
      </c>
      <c r="H303" s="51">
        <v>0</v>
      </c>
      <c r="I303" s="52">
        <v>0</v>
      </c>
      <c r="J303" s="49">
        <v>0</v>
      </c>
      <c r="K303" s="50">
        <v>0</v>
      </c>
      <c r="L303" s="49">
        <v>10</v>
      </c>
      <c r="M303" s="50">
        <v>8250</v>
      </c>
      <c r="N303" s="49">
        <v>0</v>
      </c>
      <c r="O303" s="50">
        <v>0</v>
      </c>
      <c r="P303" s="49">
        <v>0</v>
      </c>
      <c r="Q303" s="53">
        <v>0</v>
      </c>
      <c r="R303" s="58"/>
      <c r="S303" s="59"/>
      <c r="T303" s="60">
        <v>24</v>
      </c>
      <c r="U303" s="61">
        <v>9900</v>
      </c>
      <c r="V303" s="58"/>
      <c r="W303" s="59"/>
      <c r="X303" s="49">
        <v>10</v>
      </c>
      <c r="Y303" s="50">
        <v>8250</v>
      </c>
      <c r="Z303" s="49"/>
      <c r="AA303" s="50"/>
      <c r="AB303" s="49"/>
      <c r="AC303" s="53"/>
      <c r="AD303" s="49">
        <v>7</v>
      </c>
      <c r="AE303" s="53">
        <v>5775</v>
      </c>
      <c r="AF303" s="49">
        <v>10</v>
      </c>
      <c r="AG303" s="53">
        <v>8250</v>
      </c>
      <c r="AH303" s="49">
        <v>3</v>
      </c>
      <c r="AI303" s="53">
        <v>2475</v>
      </c>
      <c r="AJ303" s="53"/>
      <c r="AK303" s="53"/>
      <c r="AL303" s="53"/>
      <c r="AM303" s="53"/>
      <c r="AN303" s="53"/>
      <c r="AO303" s="53"/>
      <c r="AP303" s="62">
        <f t="shared" si="8"/>
        <v>64</v>
      </c>
      <c r="AQ303" s="55">
        <f t="shared" si="9"/>
        <v>42900</v>
      </c>
    </row>
    <row r="304" spans="1:43">
      <c r="A304" s="47">
        <v>284</v>
      </c>
      <c r="B304" s="56">
        <v>4971710522396</v>
      </c>
      <c r="C304" s="57" t="s">
        <v>378</v>
      </c>
      <c r="D304" s="75" t="s">
        <v>880</v>
      </c>
      <c r="E304" s="48" t="s">
        <v>379</v>
      </c>
      <c r="F304" s="58">
        <v>0</v>
      </c>
      <c r="G304" s="50">
        <v>0</v>
      </c>
      <c r="H304" s="51">
        <v>0</v>
      </c>
      <c r="I304" s="52">
        <v>0</v>
      </c>
      <c r="J304" s="49">
        <v>10</v>
      </c>
      <c r="K304" s="50">
        <v>4950</v>
      </c>
      <c r="L304" s="49">
        <v>0</v>
      </c>
      <c r="M304" s="50">
        <v>0</v>
      </c>
      <c r="N304" s="49">
        <v>0</v>
      </c>
      <c r="O304" s="50">
        <v>0</v>
      </c>
      <c r="P304" s="49">
        <v>0</v>
      </c>
      <c r="Q304" s="53">
        <v>0</v>
      </c>
      <c r="R304" s="58">
        <v>10</v>
      </c>
      <c r="S304" s="59">
        <v>4950</v>
      </c>
      <c r="T304" s="60"/>
      <c r="U304" s="61"/>
      <c r="V304" s="58">
        <v>20</v>
      </c>
      <c r="W304" s="59">
        <v>9900</v>
      </c>
      <c r="X304" s="49">
        <v>21</v>
      </c>
      <c r="Y304" s="50">
        <v>10395</v>
      </c>
      <c r="Z304" s="49"/>
      <c r="AA304" s="50"/>
      <c r="AB304" s="49"/>
      <c r="AC304" s="53"/>
      <c r="AD304" s="49"/>
      <c r="AE304" s="53"/>
      <c r="AF304" s="49"/>
      <c r="AG304" s="53"/>
      <c r="AH304" s="49"/>
      <c r="AI304" s="53"/>
      <c r="AJ304" s="53"/>
      <c r="AK304" s="53"/>
      <c r="AL304" s="53"/>
      <c r="AM304" s="53"/>
      <c r="AN304" s="53"/>
      <c r="AO304" s="53"/>
      <c r="AP304" s="62">
        <f t="shared" si="8"/>
        <v>61</v>
      </c>
      <c r="AQ304" s="55">
        <f t="shared" si="9"/>
        <v>30195</v>
      </c>
    </row>
    <row r="305" spans="1:43">
      <c r="A305" s="47">
        <v>274</v>
      </c>
      <c r="B305" s="56">
        <v>4971710591521</v>
      </c>
      <c r="C305" s="57" t="s">
        <v>803</v>
      </c>
      <c r="D305" s="75" t="s">
        <v>880</v>
      </c>
      <c r="E305" s="48" t="s">
        <v>1001</v>
      </c>
      <c r="F305" s="58">
        <v>0</v>
      </c>
      <c r="G305" s="50">
        <v>0</v>
      </c>
      <c r="H305" s="51">
        <v>0</v>
      </c>
      <c r="I305" s="52">
        <v>0</v>
      </c>
      <c r="J305" s="49">
        <v>0</v>
      </c>
      <c r="K305" s="50">
        <v>0</v>
      </c>
      <c r="L305" s="49">
        <v>0</v>
      </c>
      <c r="M305" s="50">
        <v>0</v>
      </c>
      <c r="N305" s="49">
        <v>0</v>
      </c>
      <c r="O305" s="50">
        <v>0</v>
      </c>
      <c r="P305" s="49">
        <v>0</v>
      </c>
      <c r="Q305" s="53">
        <v>0</v>
      </c>
      <c r="R305" s="58"/>
      <c r="S305" s="59"/>
      <c r="T305" s="60"/>
      <c r="U305" s="61"/>
      <c r="V305" s="58"/>
      <c r="W305" s="59"/>
      <c r="X305" s="49"/>
      <c r="Y305" s="50"/>
      <c r="Z305" s="49">
        <v>60</v>
      </c>
      <c r="AA305" s="50">
        <v>39600</v>
      </c>
      <c r="AB305" s="49"/>
      <c r="AC305" s="53"/>
      <c r="AD305" s="49"/>
      <c r="AE305" s="53"/>
      <c r="AF305" s="49"/>
      <c r="AG305" s="53"/>
      <c r="AH305" s="49"/>
      <c r="AI305" s="53"/>
      <c r="AJ305" s="53"/>
      <c r="AK305" s="53"/>
      <c r="AL305" s="53"/>
      <c r="AM305" s="53"/>
      <c r="AN305" s="53"/>
      <c r="AO305" s="53"/>
      <c r="AP305" s="62">
        <f t="shared" si="8"/>
        <v>60</v>
      </c>
      <c r="AQ305" s="55">
        <f t="shared" si="9"/>
        <v>39600</v>
      </c>
    </row>
    <row r="306" spans="1:43">
      <c r="A306" s="47">
        <v>275</v>
      </c>
      <c r="B306" s="56">
        <v>4971710591538</v>
      </c>
      <c r="C306" s="57" t="s">
        <v>804</v>
      </c>
      <c r="D306" s="75" t="s">
        <v>880</v>
      </c>
      <c r="E306" s="48" t="s">
        <v>1001</v>
      </c>
      <c r="F306" s="58">
        <v>0</v>
      </c>
      <c r="G306" s="50">
        <v>0</v>
      </c>
      <c r="H306" s="51">
        <v>0</v>
      </c>
      <c r="I306" s="52">
        <v>0</v>
      </c>
      <c r="J306" s="49">
        <v>0</v>
      </c>
      <c r="K306" s="50">
        <v>0</v>
      </c>
      <c r="L306" s="49">
        <v>0</v>
      </c>
      <c r="M306" s="50">
        <v>0</v>
      </c>
      <c r="N306" s="49">
        <v>0</v>
      </c>
      <c r="O306" s="50">
        <v>0</v>
      </c>
      <c r="P306" s="49">
        <v>0</v>
      </c>
      <c r="Q306" s="53">
        <v>0</v>
      </c>
      <c r="R306" s="58"/>
      <c r="S306" s="59"/>
      <c r="T306" s="60"/>
      <c r="U306" s="61"/>
      <c r="V306" s="58"/>
      <c r="W306" s="59"/>
      <c r="X306" s="49"/>
      <c r="Y306" s="50"/>
      <c r="Z306" s="49">
        <v>60</v>
      </c>
      <c r="AA306" s="50">
        <v>39600</v>
      </c>
      <c r="AB306" s="49"/>
      <c r="AC306" s="53"/>
      <c r="AD306" s="49"/>
      <c r="AE306" s="53"/>
      <c r="AF306" s="49"/>
      <c r="AG306" s="53"/>
      <c r="AH306" s="49"/>
      <c r="AI306" s="53"/>
      <c r="AJ306" s="53"/>
      <c r="AK306" s="53"/>
      <c r="AL306" s="53"/>
      <c r="AM306" s="53"/>
      <c r="AN306" s="53"/>
      <c r="AO306" s="53"/>
      <c r="AP306" s="62">
        <f t="shared" si="8"/>
        <v>60</v>
      </c>
      <c r="AQ306" s="55">
        <f t="shared" si="9"/>
        <v>39600</v>
      </c>
    </row>
    <row r="307" spans="1:43">
      <c r="A307" s="47">
        <v>294</v>
      </c>
      <c r="B307" s="56">
        <v>4971710513646</v>
      </c>
      <c r="C307" s="57" t="s">
        <v>264</v>
      </c>
      <c r="D307" s="75" t="s">
        <v>880</v>
      </c>
      <c r="E307" s="48" t="s">
        <v>265</v>
      </c>
      <c r="F307" s="58">
        <v>0</v>
      </c>
      <c r="G307" s="50">
        <v>0</v>
      </c>
      <c r="H307" s="51">
        <v>0</v>
      </c>
      <c r="I307" s="52">
        <v>0</v>
      </c>
      <c r="J307" s="49">
        <v>0</v>
      </c>
      <c r="K307" s="50">
        <v>0</v>
      </c>
      <c r="L307" s="49">
        <v>0</v>
      </c>
      <c r="M307" s="50">
        <v>0</v>
      </c>
      <c r="N307" s="49">
        <v>20</v>
      </c>
      <c r="O307" s="50">
        <v>9340</v>
      </c>
      <c r="P307" s="49">
        <v>0</v>
      </c>
      <c r="Q307" s="53">
        <v>0</v>
      </c>
      <c r="R307" s="58"/>
      <c r="S307" s="59"/>
      <c r="T307" s="60"/>
      <c r="U307" s="61"/>
      <c r="V307" s="58"/>
      <c r="W307" s="59"/>
      <c r="X307" s="49"/>
      <c r="Y307" s="50"/>
      <c r="Z307" s="49">
        <v>20</v>
      </c>
      <c r="AA307" s="50">
        <v>9340</v>
      </c>
      <c r="AB307" s="49"/>
      <c r="AC307" s="53"/>
      <c r="AD307" s="49"/>
      <c r="AE307" s="53"/>
      <c r="AF307" s="49"/>
      <c r="AG307" s="53"/>
      <c r="AH307" s="49">
        <v>20</v>
      </c>
      <c r="AI307" s="53">
        <v>9340</v>
      </c>
      <c r="AJ307" s="53"/>
      <c r="AK307" s="53"/>
      <c r="AL307" s="53"/>
      <c r="AM307" s="53"/>
      <c r="AN307" s="53"/>
      <c r="AO307" s="53"/>
      <c r="AP307" s="62">
        <f t="shared" si="8"/>
        <v>60</v>
      </c>
      <c r="AQ307" s="55">
        <f t="shared" si="9"/>
        <v>28020</v>
      </c>
    </row>
    <row r="308" spans="1:43">
      <c r="A308" s="47">
        <v>295</v>
      </c>
      <c r="B308" s="56">
        <v>4971710573244</v>
      </c>
      <c r="C308" s="57" t="s">
        <v>573</v>
      </c>
      <c r="D308" s="75" t="s">
        <v>880</v>
      </c>
      <c r="E308" s="48" t="s">
        <v>574</v>
      </c>
      <c r="F308" s="58">
        <v>0</v>
      </c>
      <c r="G308" s="50">
        <v>0</v>
      </c>
      <c r="H308" s="51">
        <v>0</v>
      </c>
      <c r="I308" s="52">
        <v>0</v>
      </c>
      <c r="J308" s="49">
        <v>0</v>
      </c>
      <c r="K308" s="50">
        <v>0</v>
      </c>
      <c r="L308" s="49">
        <v>20</v>
      </c>
      <c r="M308" s="50">
        <v>13200</v>
      </c>
      <c r="N308" s="49">
        <v>0</v>
      </c>
      <c r="O308" s="50">
        <v>0</v>
      </c>
      <c r="P308" s="49">
        <v>0</v>
      </c>
      <c r="Q308" s="53">
        <v>0</v>
      </c>
      <c r="R308" s="58"/>
      <c r="S308" s="59"/>
      <c r="T308" s="60"/>
      <c r="U308" s="61"/>
      <c r="V308" s="58"/>
      <c r="W308" s="59"/>
      <c r="X308" s="49">
        <v>10</v>
      </c>
      <c r="Y308" s="50">
        <v>6600</v>
      </c>
      <c r="Z308" s="49"/>
      <c r="AA308" s="50"/>
      <c r="AB308" s="49"/>
      <c r="AC308" s="53"/>
      <c r="AD308" s="49"/>
      <c r="AE308" s="53"/>
      <c r="AF308" s="49">
        <v>30</v>
      </c>
      <c r="AG308" s="53">
        <v>19800</v>
      </c>
      <c r="AH308" s="49"/>
      <c r="AI308" s="53"/>
      <c r="AJ308" s="53"/>
      <c r="AK308" s="53"/>
      <c r="AL308" s="53"/>
      <c r="AM308" s="53"/>
      <c r="AN308" s="53"/>
      <c r="AO308" s="53"/>
      <c r="AP308" s="62">
        <f t="shared" si="8"/>
        <v>60</v>
      </c>
      <c r="AQ308" s="55">
        <f t="shared" si="9"/>
        <v>39600</v>
      </c>
    </row>
    <row r="309" spans="1:43">
      <c r="A309" s="47">
        <v>296</v>
      </c>
      <c r="B309" s="56">
        <v>4971710513929</v>
      </c>
      <c r="C309" s="57" t="s">
        <v>292</v>
      </c>
      <c r="D309" s="75" t="s">
        <v>880</v>
      </c>
      <c r="E309" s="48" t="s">
        <v>293</v>
      </c>
      <c r="F309" s="58">
        <v>0</v>
      </c>
      <c r="G309" s="50">
        <v>0</v>
      </c>
      <c r="H309" s="51">
        <v>0</v>
      </c>
      <c r="I309" s="52">
        <v>0</v>
      </c>
      <c r="J309" s="49">
        <v>0</v>
      </c>
      <c r="K309" s="50">
        <v>0</v>
      </c>
      <c r="L309" s="49">
        <v>0</v>
      </c>
      <c r="M309" s="50">
        <v>0</v>
      </c>
      <c r="N309" s="49">
        <v>20</v>
      </c>
      <c r="O309" s="50">
        <v>12100</v>
      </c>
      <c r="P309" s="49">
        <v>0</v>
      </c>
      <c r="Q309" s="53">
        <v>0</v>
      </c>
      <c r="R309" s="58"/>
      <c r="S309" s="59"/>
      <c r="T309" s="60"/>
      <c r="U309" s="61"/>
      <c r="V309" s="58"/>
      <c r="W309" s="59"/>
      <c r="X309" s="49"/>
      <c r="Y309" s="50"/>
      <c r="Z309" s="49">
        <v>40</v>
      </c>
      <c r="AA309" s="50">
        <v>24200</v>
      </c>
      <c r="AB309" s="49"/>
      <c r="AC309" s="53"/>
      <c r="AD309" s="49"/>
      <c r="AE309" s="53"/>
      <c r="AF309" s="49"/>
      <c r="AG309" s="53"/>
      <c r="AH309" s="49"/>
      <c r="AI309" s="53"/>
      <c r="AJ309" s="53"/>
      <c r="AK309" s="53"/>
      <c r="AL309" s="53"/>
      <c r="AM309" s="53"/>
      <c r="AN309" s="53"/>
      <c r="AO309" s="53"/>
      <c r="AP309" s="62">
        <f t="shared" si="8"/>
        <v>60</v>
      </c>
      <c r="AQ309" s="55">
        <f t="shared" si="9"/>
        <v>36300</v>
      </c>
    </row>
    <row r="310" spans="1:43">
      <c r="A310" s="47">
        <v>277</v>
      </c>
      <c r="B310" s="56">
        <v>4971710597059</v>
      </c>
      <c r="C310" s="57" t="s">
        <v>824</v>
      </c>
      <c r="D310" s="75" t="s">
        <v>880</v>
      </c>
      <c r="E310" s="48" t="s">
        <v>1023</v>
      </c>
      <c r="F310" s="58">
        <v>0</v>
      </c>
      <c r="G310" s="50">
        <v>0</v>
      </c>
      <c r="H310" s="51">
        <v>0</v>
      </c>
      <c r="I310" s="52">
        <v>0</v>
      </c>
      <c r="J310" s="49">
        <v>0</v>
      </c>
      <c r="K310" s="50">
        <v>0</v>
      </c>
      <c r="L310" s="49">
        <v>0</v>
      </c>
      <c r="M310" s="50">
        <v>0</v>
      </c>
      <c r="N310" s="49">
        <v>0</v>
      </c>
      <c r="O310" s="50">
        <v>0</v>
      </c>
      <c r="P310" s="49">
        <v>0</v>
      </c>
      <c r="Q310" s="53">
        <v>0</v>
      </c>
      <c r="R310" s="58"/>
      <c r="S310" s="59"/>
      <c r="T310" s="60"/>
      <c r="U310" s="61"/>
      <c r="V310" s="58"/>
      <c r="W310" s="59"/>
      <c r="X310" s="49"/>
      <c r="Y310" s="50"/>
      <c r="Z310" s="49"/>
      <c r="AA310" s="50"/>
      <c r="AB310" s="49">
        <v>6</v>
      </c>
      <c r="AC310" s="53">
        <v>5280</v>
      </c>
      <c r="AD310" s="49"/>
      <c r="AE310" s="53"/>
      <c r="AF310" s="49"/>
      <c r="AG310" s="53"/>
      <c r="AH310" s="49">
        <v>30</v>
      </c>
      <c r="AI310" s="53">
        <v>26400</v>
      </c>
      <c r="AJ310" s="53"/>
      <c r="AK310" s="53"/>
      <c r="AL310" s="53"/>
      <c r="AM310" s="53"/>
      <c r="AN310" s="53">
        <v>20</v>
      </c>
      <c r="AO310" s="53">
        <v>17600</v>
      </c>
      <c r="AP310" s="63">
        <f t="shared" si="8"/>
        <v>56</v>
      </c>
      <c r="AQ310" s="55">
        <f t="shared" si="9"/>
        <v>49280</v>
      </c>
    </row>
    <row r="311" spans="1:43">
      <c r="A311" s="47">
        <v>299</v>
      </c>
      <c r="B311" s="56">
        <v>4971710516869</v>
      </c>
      <c r="C311" s="57" t="s">
        <v>332</v>
      </c>
      <c r="D311" s="75" t="s">
        <v>880</v>
      </c>
      <c r="E311" s="48" t="s">
        <v>333</v>
      </c>
      <c r="F311" s="58">
        <v>0</v>
      </c>
      <c r="G311" s="50">
        <v>0</v>
      </c>
      <c r="H311" s="51">
        <v>0</v>
      </c>
      <c r="I311" s="52">
        <v>0</v>
      </c>
      <c r="J311" s="49">
        <v>0</v>
      </c>
      <c r="K311" s="50">
        <v>0</v>
      </c>
      <c r="L311" s="49">
        <v>0</v>
      </c>
      <c r="M311" s="50">
        <v>0</v>
      </c>
      <c r="N311" s="49">
        <v>20</v>
      </c>
      <c r="O311" s="50">
        <v>17600</v>
      </c>
      <c r="P311" s="49">
        <v>0</v>
      </c>
      <c r="Q311" s="53">
        <v>0</v>
      </c>
      <c r="R311" s="58"/>
      <c r="S311" s="59"/>
      <c r="T311" s="60"/>
      <c r="U311" s="61"/>
      <c r="V311" s="58"/>
      <c r="W311" s="59"/>
      <c r="X311" s="49">
        <v>6</v>
      </c>
      <c r="Y311" s="50">
        <v>5280</v>
      </c>
      <c r="Z311" s="49"/>
      <c r="AA311" s="50"/>
      <c r="AB311" s="49"/>
      <c r="AC311" s="53"/>
      <c r="AD311" s="49"/>
      <c r="AE311" s="53"/>
      <c r="AF311" s="49"/>
      <c r="AG311" s="53"/>
      <c r="AH311" s="49"/>
      <c r="AI311" s="53"/>
      <c r="AJ311" s="53"/>
      <c r="AK311" s="53"/>
      <c r="AL311" s="53"/>
      <c r="AM311" s="53"/>
      <c r="AN311" s="53">
        <v>30</v>
      </c>
      <c r="AO311" s="53">
        <v>26400</v>
      </c>
      <c r="AP311" s="62">
        <f t="shared" si="8"/>
        <v>56</v>
      </c>
      <c r="AQ311" s="55">
        <f t="shared" si="9"/>
        <v>49280</v>
      </c>
    </row>
    <row r="312" spans="1:43">
      <c r="A312" s="47">
        <v>300</v>
      </c>
      <c r="B312" s="56">
        <v>4971710516760</v>
      </c>
      <c r="C312" s="57" t="s">
        <v>327</v>
      </c>
      <c r="D312" s="75" t="s">
        <v>880</v>
      </c>
      <c r="E312" s="48" t="s">
        <v>325</v>
      </c>
      <c r="F312" s="58">
        <v>0</v>
      </c>
      <c r="G312" s="50">
        <v>0</v>
      </c>
      <c r="H312" s="51">
        <v>0</v>
      </c>
      <c r="I312" s="52">
        <v>0</v>
      </c>
      <c r="J312" s="49">
        <v>0</v>
      </c>
      <c r="K312" s="50">
        <v>0</v>
      </c>
      <c r="L312" s="49">
        <v>0</v>
      </c>
      <c r="M312" s="50">
        <v>0</v>
      </c>
      <c r="N312" s="49">
        <v>20</v>
      </c>
      <c r="O312" s="50">
        <v>12100</v>
      </c>
      <c r="P312" s="49">
        <v>0</v>
      </c>
      <c r="Q312" s="53">
        <v>0</v>
      </c>
      <c r="R312" s="58"/>
      <c r="S312" s="59"/>
      <c r="T312" s="60"/>
      <c r="U312" s="61"/>
      <c r="V312" s="58"/>
      <c r="W312" s="59"/>
      <c r="X312" s="49">
        <v>6</v>
      </c>
      <c r="Y312" s="50">
        <v>3630</v>
      </c>
      <c r="Z312" s="49">
        <v>30</v>
      </c>
      <c r="AA312" s="50">
        <v>18150</v>
      </c>
      <c r="AB312" s="49"/>
      <c r="AC312" s="53"/>
      <c r="AD312" s="49"/>
      <c r="AE312" s="53"/>
      <c r="AF312" s="49"/>
      <c r="AG312" s="53"/>
      <c r="AH312" s="49"/>
      <c r="AI312" s="53"/>
      <c r="AJ312" s="53"/>
      <c r="AK312" s="53"/>
      <c r="AL312" s="53"/>
      <c r="AM312" s="53"/>
      <c r="AN312" s="53"/>
      <c r="AO312" s="53"/>
      <c r="AP312" s="62">
        <f t="shared" si="8"/>
        <v>56</v>
      </c>
      <c r="AQ312" s="55">
        <f t="shared" si="9"/>
        <v>33880</v>
      </c>
    </row>
    <row r="313" spans="1:43">
      <c r="A313" s="47">
        <v>279</v>
      </c>
      <c r="B313" s="56">
        <v>4971710494938</v>
      </c>
      <c r="C313" s="57" t="s">
        <v>136</v>
      </c>
      <c r="D313" s="75" t="s">
        <v>884</v>
      </c>
      <c r="E313" s="48" t="s">
        <v>137</v>
      </c>
      <c r="F313" s="58">
        <v>0</v>
      </c>
      <c r="G313" s="50">
        <v>0</v>
      </c>
      <c r="H313" s="51">
        <v>0</v>
      </c>
      <c r="I313" s="52">
        <v>0</v>
      </c>
      <c r="J313" s="49">
        <v>0</v>
      </c>
      <c r="K313" s="50">
        <v>0</v>
      </c>
      <c r="L313" s="49">
        <v>0</v>
      </c>
      <c r="M313" s="50">
        <v>0</v>
      </c>
      <c r="N313" s="49">
        <v>0</v>
      </c>
      <c r="O313" s="50">
        <v>0</v>
      </c>
      <c r="P313" s="49">
        <v>0</v>
      </c>
      <c r="Q313" s="53">
        <v>0</v>
      </c>
      <c r="R313" s="58"/>
      <c r="S313" s="59"/>
      <c r="T313" s="60"/>
      <c r="U313" s="61"/>
      <c r="V313" s="58">
        <v>5</v>
      </c>
      <c r="W313" s="59">
        <v>3300</v>
      </c>
      <c r="X313" s="49">
        <v>20</v>
      </c>
      <c r="Y313" s="50">
        <v>13200</v>
      </c>
      <c r="Z313" s="49">
        <v>20</v>
      </c>
      <c r="AA313" s="50">
        <v>13200</v>
      </c>
      <c r="AB313" s="49">
        <v>10</v>
      </c>
      <c r="AC313" s="53">
        <v>6600</v>
      </c>
      <c r="AD313" s="49"/>
      <c r="AE313" s="53"/>
      <c r="AF313" s="49"/>
      <c r="AG313" s="53"/>
      <c r="AH313" s="49"/>
      <c r="AI313" s="53"/>
      <c r="AJ313" s="53"/>
      <c r="AK313" s="53"/>
      <c r="AL313" s="53"/>
      <c r="AM313" s="53"/>
      <c r="AN313" s="53"/>
      <c r="AO313" s="53"/>
      <c r="AP313" s="62">
        <f t="shared" si="8"/>
        <v>55</v>
      </c>
      <c r="AQ313" s="55">
        <f t="shared" si="9"/>
        <v>36300</v>
      </c>
    </row>
    <row r="314" spans="1:43">
      <c r="A314" s="47">
        <v>287</v>
      </c>
      <c r="B314" s="56">
        <v>4971710494952</v>
      </c>
      <c r="C314" s="57" t="s">
        <v>140</v>
      </c>
      <c r="D314" s="75" t="s">
        <v>884</v>
      </c>
      <c r="E314" s="48" t="s">
        <v>141</v>
      </c>
      <c r="F314" s="58">
        <v>0</v>
      </c>
      <c r="G314" s="50">
        <v>0</v>
      </c>
      <c r="H314" s="51">
        <v>0</v>
      </c>
      <c r="I314" s="52">
        <v>0</v>
      </c>
      <c r="J314" s="49">
        <v>0</v>
      </c>
      <c r="K314" s="50">
        <v>0</v>
      </c>
      <c r="L314" s="49">
        <v>0</v>
      </c>
      <c r="M314" s="50">
        <v>0</v>
      </c>
      <c r="N314" s="49">
        <v>0</v>
      </c>
      <c r="O314" s="50">
        <v>0</v>
      </c>
      <c r="P314" s="49">
        <v>0</v>
      </c>
      <c r="Q314" s="53">
        <v>0</v>
      </c>
      <c r="R314" s="58"/>
      <c r="S314" s="59"/>
      <c r="T314" s="60">
        <v>8</v>
      </c>
      <c r="U314" s="61">
        <v>2640</v>
      </c>
      <c r="V314" s="58"/>
      <c r="W314" s="59"/>
      <c r="X314" s="49">
        <v>14</v>
      </c>
      <c r="Y314" s="50">
        <v>9240</v>
      </c>
      <c r="Z314" s="49">
        <v>10</v>
      </c>
      <c r="AA314" s="50">
        <v>6600</v>
      </c>
      <c r="AB314" s="49">
        <v>22</v>
      </c>
      <c r="AC314" s="53">
        <v>14520</v>
      </c>
      <c r="AD314" s="49"/>
      <c r="AE314" s="53"/>
      <c r="AF314" s="49"/>
      <c r="AG314" s="53"/>
      <c r="AH314" s="49"/>
      <c r="AI314" s="53"/>
      <c r="AJ314" s="53"/>
      <c r="AK314" s="53"/>
      <c r="AL314" s="53"/>
      <c r="AM314" s="53"/>
      <c r="AN314" s="53"/>
      <c r="AO314" s="53"/>
      <c r="AP314" s="62">
        <f t="shared" si="8"/>
        <v>54</v>
      </c>
      <c r="AQ314" s="55">
        <f t="shared" si="9"/>
        <v>33000</v>
      </c>
    </row>
    <row r="315" spans="1:43">
      <c r="A315" s="47">
        <v>323</v>
      </c>
      <c r="B315" s="56">
        <v>4971710541182</v>
      </c>
      <c r="C315" s="57" t="s">
        <v>428</v>
      </c>
      <c r="D315" s="75" t="s">
        <v>884</v>
      </c>
      <c r="E315" s="48" t="s">
        <v>429</v>
      </c>
      <c r="F315" s="58">
        <v>10</v>
      </c>
      <c r="G315" s="50">
        <v>6600</v>
      </c>
      <c r="H315" s="51">
        <v>0</v>
      </c>
      <c r="I315" s="52">
        <v>0</v>
      </c>
      <c r="J315" s="49">
        <v>0</v>
      </c>
      <c r="K315" s="50">
        <v>0</v>
      </c>
      <c r="L315" s="49">
        <v>20</v>
      </c>
      <c r="M315" s="50">
        <v>13200</v>
      </c>
      <c r="N315" s="49">
        <v>0</v>
      </c>
      <c r="O315" s="50">
        <v>0</v>
      </c>
      <c r="P315" s="49">
        <v>0</v>
      </c>
      <c r="Q315" s="53">
        <v>0</v>
      </c>
      <c r="R315" s="58"/>
      <c r="S315" s="59"/>
      <c r="T315" s="60"/>
      <c r="U315" s="61"/>
      <c r="V315" s="58"/>
      <c r="W315" s="59"/>
      <c r="X315" s="49"/>
      <c r="Y315" s="50"/>
      <c r="Z315" s="49"/>
      <c r="AA315" s="50"/>
      <c r="AB315" s="49"/>
      <c r="AC315" s="53"/>
      <c r="AD315" s="49">
        <v>4</v>
      </c>
      <c r="AE315" s="53">
        <v>2640</v>
      </c>
      <c r="AF315" s="49"/>
      <c r="AG315" s="53"/>
      <c r="AH315" s="49">
        <v>20</v>
      </c>
      <c r="AI315" s="53">
        <v>13200</v>
      </c>
      <c r="AJ315" s="53"/>
      <c r="AK315" s="53"/>
      <c r="AL315" s="53"/>
      <c r="AM315" s="53"/>
      <c r="AN315" s="53"/>
      <c r="AO315" s="53"/>
      <c r="AP315" s="62">
        <f t="shared" si="8"/>
        <v>54</v>
      </c>
      <c r="AQ315" s="55">
        <f t="shared" si="9"/>
        <v>35640</v>
      </c>
    </row>
    <row r="316" spans="1:43">
      <c r="A316" s="47">
        <v>285</v>
      </c>
      <c r="B316" s="56">
        <v>4971710573145</v>
      </c>
      <c r="C316" s="57" t="s">
        <v>1027</v>
      </c>
      <c r="D316" s="75" t="s">
        <v>1076</v>
      </c>
      <c r="E316" s="48" t="s">
        <v>933</v>
      </c>
      <c r="F316" s="58"/>
      <c r="G316" s="50"/>
      <c r="H316" s="51"/>
      <c r="I316" s="52"/>
      <c r="J316" s="49"/>
      <c r="K316" s="50"/>
      <c r="L316" s="49"/>
      <c r="M316" s="50"/>
      <c r="N316" s="49"/>
      <c r="O316" s="50"/>
      <c r="P316" s="49"/>
      <c r="Q316" s="53"/>
      <c r="R316" s="58"/>
      <c r="S316" s="59"/>
      <c r="T316" s="60"/>
      <c r="U316" s="61"/>
      <c r="V316" s="58"/>
      <c r="W316" s="59"/>
      <c r="X316" s="49"/>
      <c r="Y316" s="50"/>
      <c r="Z316" s="49"/>
      <c r="AA316" s="50"/>
      <c r="AB316" s="49"/>
      <c r="AC316" s="53"/>
      <c r="AD316" s="49"/>
      <c r="AE316" s="53"/>
      <c r="AF316" s="49"/>
      <c r="AG316" s="53"/>
      <c r="AH316" s="49"/>
      <c r="AI316" s="53"/>
      <c r="AJ316" s="53"/>
      <c r="AK316" s="53"/>
      <c r="AL316" s="53"/>
      <c r="AM316" s="53"/>
      <c r="AN316" s="53">
        <v>50</v>
      </c>
      <c r="AO316" s="53">
        <v>5500</v>
      </c>
      <c r="AP316" s="63">
        <f t="shared" si="8"/>
        <v>50</v>
      </c>
      <c r="AQ316" s="55">
        <f t="shared" si="9"/>
        <v>5500</v>
      </c>
    </row>
    <row r="317" spans="1:43">
      <c r="A317" s="47">
        <v>293</v>
      </c>
      <c r="B317" s="56">
        <v>4971710541175</v>
      </c>
      <c r="C317" s="57" t="s">
        <v>426</v>
      </c>
      <c r="D317" s="75" t="s">
        <v>884</v>
      </c>
      <c r="E317" s="48" t="s">
        <v>427</v>
      </c>
      <c r="F317" s="58">
        <v>10</v>
      </c>
      <c r="G317" s="50">
        <v>6600</v>
      </c>
      <c r="H317" s="51">
        <v>0</v>
      </c>
      <c r="I317" s="52">
        <v>0</v>
      </c>
      <c r="J317" s="49">
        <v>0</v>
      </c>
      <c r="K317" s="50">
        <v>0</v>
      </c>
      <c r="L317" s="49">
        <v>0</v>
      </c>
      <c r="M317" s="50">
        <v>0</v>
      </c>
      <c r="N317" s="49">
        <v>0</v>
      </c>
      <c r="O317" s="50">
        <v>0</v>
      </c>
      <c r="P317" s="49">
        <v>0</v>
      </c>
      <c r="Q317" s="53">
        <v>0</v>
      </c>
      <c r="R317" s="58">
        <v>20</v>
      </c>
      <c r="S317" s="59">
        <v>13200</v>
      </c>
      <c r="T317" s="60"/>
      <c r="U317" s="61"/>
      <c r="V317" s="58"/>
      <c r="W317" s="59"/>
      <c r="X317" s="49"/>
      <c r="Y317" s="50"/>
      <c r="Z317" s="49"/>
      <c r="AA317" s="50"/>
      <c r="AB317" s="49"/>
      <c r="AC317" s="53"/>
      <c r="AD317" s="49"/>
      <c r="AE317" s="53"/>
      <c r="AF317" s="49"/>
      <c r="AG317" s="53"/>
      <c r="AH317" s="49">
        <v>20</v>
      </c>
      <c r="AI317" s="53">
        <v>13200</v>
      </c>
      <c r="AJ317" s="53"/>
      <c r="AK317" s="53"/>
      <c r="AL317" s="53"/>
      <c r="AM317" s="53"/>
      <c r="AN317" s="53"/>
      <c r="AO317" s="53"/>
      <c r="AP317" s="62">
        <f t="shared" si="8"/>
        <v>50</v>
      </c>
      <c r="AQ317" s="55">
        <f t="shared" si="9"/>
        <v>33000</v>
      </c>
    </row>
    <row r="318" spans="1:43">
      <c r="A318" s="47">
        <v>434</v>
      </c>
      <c r="B318" s="56">
        <v>4971710514490</v>
      </c>
      <c r="C318" s="57" t="s">
        <v>300</v>
      </c>
      <c r="D318" s="75" t="s">
        <v>884</v>
      </c>
      <c r="E318" s="48" t="s">
        <v>301</v>
      </c>
      <c r="F318" s="58"/>
      <c r="G318" s="50">
        <v>0</v>
      </c>
      <c r="H318" s="51">
        <v>24</v>
      </c>
      <c r="I318" s="52">
        <v>13200</v>
      </c>
      <c r="J318" s="49">
        <v>24</v>
      </c>
      <c r="K318" s="50">
        <v>13200</v>
      </c>
      <c r="L318" s="49"/>
      <c r="M318" s="50"/>
      <c r="N318" s="49"/>
      <c r="O318" s="50"/>
      <c r="P318" s="49">
        <v>0</v>
      </c>
      <c r="Q318" s="53"/>
      <c r="R318" s="58"/>
      <c r="S318" s="59"/>
      <c r="T318" s="60"/>
      <c r="U318" s="61"/>
      <c r="V318" s="58"/>
      <c r="W318" s="59"/>
      <c r="X318" s="49"/>
      <c r="Y318" s="50"/>
      <c r="Z318" s="49"/>
      <c r="AA318" s="50"/>
      <c r="AB318" s="49"/>
      <c r="AC318" s="53"/>
      <c r="AD318" s="49"/>
      <c r="AE318" s="53"/>
      <c r="AF318" s="49"/>
      <c r="AG318" s="53"/>
      <c r="AH318" s="49"/>
      <c r="AI318" s="53"/>
      <c r="AJ318" s="53"/>
      <c r="AK318" s="53"/>
      <c r="AL318" s="53"/>
      <c r="AM318" s="53"/>
      <c r="AN318" s="53"/>
      <c r="AO318" s="53"/>
      <c r="AP318" s="62">
        <f t="shared" si="8"/>
        <v>48</v>
      </c>
      <c r="AQ318" s="55">
        <f t="shared" si="9"/>
        <v>26400</v>
      </c>
    </row>
    <row r="319" spans="1:43">
      <c r="A319" s="47">
        <v>435</v>
      </c>
      <c r="B319" s="56">
        <v>4971710514506</v>
      </c>
      <c r="C319" s="57" t="s">
        <v>302</v>
      </c>
      <c r="D319" s="75" t="s">
        <v>884</v>
      </c>
      <c r="E319" s="48" t="s">
        <v>303</v>
      </c>
      <c r="F319" s="58"/>
      <c r="G319" s="50">
        <v>0</v>
      </c>
      <c r="H319" s="51">
        <v>24</v>
      </c>
      <c r="I319" s="52">
        <v>13200</v>
      </c>
      <c r="J319" s="49">
        <v>24</v>
      </c>
      <c r="K319" s="50">
        <v>13200</v>
      </c>
      <c r="L319" s="49"/>
      <c r="M319" s="50"/>
      <c r="N319" s="49"/>
      <c r="O319" s="50"/>
      <c r="P319" s="49">
        <v>0</v>
      </c>
      <c r="Q319" s="53"/>
      <c r="R319" s="58"/>
      <c r="S319" s="59"/>
      <c r="T319" s="60"/>
      <c r="U319" s="61"/>
      <c r="V319" s="58"/>
      <c r="W319" s="59"/>
      <c r="X319" s="49"/>
      <c r="Y319" s="50"/>
      <c r="Z319" s="49"/>
      <c r="AA319" s="50"/>
      <c r="AB319" s="49"/>
      <c r="AC319" s="53"/>
      <c r="AD319" s="49"/>
      <c r="AE319" s="53"/>
      <c r="AF319" s="49"/>
      <c r="AG319" s="53"/>
      <c r="AH319" s="49"/>
      <c r="AI319" s="53"/>
      <c r="AJ319" s="53"/>
      <c r="AK319" s="53"/>
      <c r="AL319" s="53"/>
      <c r="AM319" s="53"/>
      <c r="AN319" s="53"/>
      <c r="AO319" s="53"/>
      <c r="AP319" s="62">
        <f t="shared" si="8"/>
        <v>48</v>
      </c>
      <c r="AQ319" s="55">
        <f t="shared" si="9"/>
        <v>26400</v>
      </c>
    </row>
    <row r="320" spans="1:43">
      <c r="A320" s="47">
        <v>288</v>
      </c>
      <c r="B320" s="56">
        <v>4971710475036</v>
      </c>
      <c r="C320" s="57" t="s">
        <v>774</v>
      </c>
      <c r="D320" s="75" t="s">
        <v>884</v>
      </c>
      <c r="E320" s="48" t="s">
        <v>1014</v>
      </c>
      <c r="F320" s="58">
        <v>0</v>
      </c>
      <c r="G320" s="50">
        <v>0</v>
      </c>
      <c r="H320" s="51">
        <v>0</v>
      </c>
      <c r="I320" s="52">
        <v>0</v>
      </c>
      <c r="J320" s="49">
        <v>0</v>
      </c>
      <c r="K320" s="50">
        <v>0</v>
      </c>
      <c r="L320" s="49">
        <v>0</v>
      </c>
      <c r="M320" s="50">
        <v>0</v>
      </c>
      <c r="N320" s="49">
        <v>0</v>
      </c>
      <c r="O320" s="50">
        <v>0</v>
      </c>
      <c r="P320" s="49">
        <v>0</v>
      </c>
      <c r="Q320" s="53">
        <v>0</v>
      </c>
      <c r="R320" s="58"/>
      <c r="S320" s="59"/>
      <c r="T320" s="60"/>
      <c r="U320" s="61"/>
      <c r="V320" s="58">
        <v>20</v>
      </c>
      <c r="W320" s="59">
        <v>8800</v>
      </c>
      <c r="X320" s="49"/>
      <c r="Y320" s="50"/>
      <c r="Z320" s="49"/>
      <c r="AA320" s="50"/>
      <c r="AB320" s="49">
        <v>20</v>
      </c>
      <c r="AC320" s="53">
        <v>8800</v>
      </c>
      <c r="AD320" s="49"/>
      <c r="AE320" s="53"/>
      <c r="AF320" s="49"/>
      <c r="AG320" s="53"/>
      <c r="AH320" s="49">
        <v>6</v>
      </c>
      <c r="AI320" s="53">
        <v>2640</v>
      </c>
      <c r="AJ320" s="53"/>
      <c r="AK320" s="53"/>
      <c r="AL320" s="53"/>
      <c r="AM320" s="53"/>
      <c r="AN320" s="53"/>
      <c r="AO320" s="53"/>
      <c r="AP320" s="62">
        <f t="shared" si="8"/>
        <v>46</v>
      </c>
      <c r="AQ320" s="55">
        <f t="shared" si="9"/>
        <v>20240</v>
      </c>
    </row>
    <row r="321" spans="1:43">
      <c r="A321" s="47">
        <v>301</v>
      </c>
      <c r="B321" s="56">
        <v>4971710522372</v>
      </c>
      <c r="C321" s="57" t="s">
        <v>374</v>
      </c>
      <c r="D321" s="75" t="s">
        <v>880</v>
      </c>
      <c r="E321" s="48" t="s">
        <v>375</v>
      </c>
      <c r="F321" s="58">
        <v>0</v>
      </c>
      <c r="G321" s="50">
        <v>0</v>
      </c>
      <c r="H321" s="51">
        <v>0</v>
      </c>
      <c r="I321" s="52">
        <v>0</v>
      </c>
      <c r="J321" s="49">
        <v>0</v>
      </c>
      <c r="K321" s="50">
        <v>0</v>
      </c>
      <c r="L321" s="49">
        <v>10</v>
      </c>
      <c r="M321" s="50">
        <v>4950</v>
      </c>
      <c r="N321" s="49">
        <v>0</v>
      </c>
      <c r="O321" s="50">
        <v>0</v>
      </c>
      <c r="P321" s="49">
        <v>0</v>
      </c>
      <c r="Q321" s="53">
        <v>0</v>
      </c>
      <c r="R321" s="58"/>
      <c r="S321" s="59"/>
      <c r="T321" s="60"/>
      <c r="U321" s="61"/>
      <c r="V321" s="58">
        <v>20</v>
      </c>
      <c r="W321" s="59">
        <v>9900</v>
      </c>
      <c r="X321" s="49">
        <v>15</v>
      </c>
      <c r="Y321" s="50">
        <v>7425</v>
      </c>
      <c r="Z321" s="49"/>
      <c r="AA321" s="50"/>
      <c r="AB321" s="49"/>
      <c r="AC321" s="53"/>
      <c r="AD321" s="49"/>
      <c r="AE321" s="53"/>
      <c r="AF321" s="49"/>
      <c r="AG321" s="53"/>
      <c r="AH321" s="49"/>
      <c r="AI321" s="53"/>
      <c r="AJ321" s="53"/>
      <c r="AK321" s="53"/>
      <c r="AL321" s="53"/>
      <c r="AM321" s="53"/>
      <c r="AN321" s="53"/>
      <c r="AO321" s="53"/>
      <c r="AP321" s="62">
        <f t="shared" si="8"/>
        <v>45</v>
      </c>
      <c r="AQ321" s="55">
        <f t="shared" si="9"/>
        <v>22275</v>
      </c>
    </row>
    <row r="322" spans="1:43">
      <c r="A322" s="47">
        <v>326</v>
      </c>
      <c r="B322" s="56">
        <v>4971710519433</v>
      </c>
      <c r="C322" s="57" t="s">
        <v>352</v>
      </c>
      <c r="D322" s="75" t="s">
        <v>884</v>
      </c>
      <c r="E322" s="48" t="s">
        <v>353</v>
      </c>
      <c r="F322" s="58">
        <v>0</v>
      </c>
      <c r="G322" s="50">
        <v>0</v>
      </c>
      <c r="H322" s="51">
        <v>0</v>
      </c>
      <c r="I322" s="52">
        <v>0</v>
      </c>
      <c r="J322" s="49">
        <v>0</v>
      </c>
      <c r="K322" s="50">
        <v>0</v>
      </c>
      <c r="L322" s="49">
        <v>0</v>
      </c>
      <c r="M322" s="50">
        <v>0</v>
      </c>
      <c r="N322" s="49">
        <v>0</v>
      </c>
      <c r="O322" s="50">
        <v>0</v>
      </c>
      <c r="P322" s="49">
        <v>20</v>
      </c>
      <c r="Q322" s="53">
        <v>11000</v>
      </c>
      <c r="R322" s="58">
        <v>20</v>
      </c>
      <c r="S322" s="59">
        <v>11000</v>
      </c>
      <c r="T322" s="60">
        <v>4</v>
      </c>
      <c r="U322" s="61">
        <v>1100</v>
      </c>
      <c r="V322" s="58"/>
      <c r="W322" s="59"/>
      <c r="X322" s="49"/>
      <c r="Y322" s="50"/>
      <c r="Z322" s="49"/>
      <c r="AA322" s="50"/>
      <c r="AB322" s="49"/>
      <c r="AC322" s="53"/>
      <c r="AD322" s="49"/>
      <c r="AE322" s="53"/>
      <c r="AF322" s="49"/>
      <c r="AG322" s="53"/>
      <c r="AH322" s="49"/>
      <c r="AI322" s="53"/>
      <c r="AJ322" s="53"/>
      <c r="AK322" s="53"/>
      <c r="AL322" s="53"/>
      <c r="AM322" s="53"/>
      <c r="AN322" s="53"/>
      <c r="AO322" s="53"/>
      <c r="AP322" s="62">
        <f t="shared" si="8"/>
        <v>44</v>
      </c>
      <c r="AQ322" s="55">
        <f t="shared" si="9"/>
        <v>23100</v>
      </c>
    </row>
    <row r="323" spans="1:43">
      <c r="A323" s="47">
        <v>298</v>
      </c>
      <c r="B323" s="56">
        <v>4971710507591</v>
      </c>
      <c r="C323" s="57" t="s">
        <v>180</v>
      </c>
      <c r="D323" s="75" t="s">
        <v>884</v>
      </c>
      <c r="E323" s="48" t="s">
        <v>181</v>
      </c>
      <c r="F323" s="58">
        <v>0</v>
      </c>
      <c r="G323" s="50">
        <v>0</v>
      </c>
      <c r="H323" s="51">
        <v>0</v>
      </c>
      <c r="I323" s="52">
        <v>0</v>
      </c>
      <c r="J323" s="49">
        <v>0</v>
      </c>
      <c r="K323" s="50">
        <v>0</v>
      </c>
      <c r="L323" s="49">
        <v>0</v>
      </c>
      <c r="M323" s="50">
        <v>0</v>
      </c>
      <c r="N323" s="49">
        <v>0</v>
      </c>
      <c r="O323" s="50">
        <v>0</v>
      </c>
      <c r="P323" s="49">
        <v>2</v>
      </c>
      <c r="Q323" s="53">
        <v>1320</v>
      </c>
      <c r="R323" s="58"/>
      <c r="S323" s="59"/>
      <c r="T323" s="60">
        <v>4</v>
      </c>
      <c r="U323" s="61">
        <v>1320</v>
      </c>
      <c r="V323" s="58"/>
      <c r="W323" s="59"/>
      <c r="X323" s="49">
        <v>12</v>
      </c>
      <c r="Y323" s="50">
        <v>7920</v>
      </c>
      <c r="Z323" s="49"/>
      <c r="AA323" s="50"/>
      <c r="AB323" s="49"/>
      <c r="AC323" s="53"/>
      <c r="AD323" s="49">
        <v>6</v>
      </c>
      <c r="AE323" s="53">
        <v>3960</v>
      </c>
      <c r="AF323" s="49">
        <v>2</v>
      </c>
      <c r="AG323" s="53">
        <v>1320</v>
      </c>
      <c r="AH323" s="49">
        <v>15</v>
      </c>
      <c r="AI323" s="53">
        <v>9900</v>
      </c>
      <c r="AJ323" s="53"/>
      <c r="AK323" s="53"/>
      <c r="AL323" s="53"/>
      <c r="AM323" s="53"/>
      <c r="AN323" s="53"/>
      <c r="AO323" s="53"/>
      <c r="AP323" s="62">
        <f t="shared" ref="AP323:AP386" si="10">F323+H323+J323+L323+N323+P323+R323+T323+V323+X323+Z323+AB323+AD323+AF323+AH323+AJ323+AL323+AN323</f>
        <v>41</v>
      </c>
      <c r="AQ323" s="55">
        <f t="shared" ref="AQ323:AQ386" si="11">G323+I323+K323+M323+O323+Q323+S323+U323+W323+Y323+AA323+AC323+AE323+AG323+AI323+AK323+AM323+AO323</f>
        <v>25740</v>
      </c>
    </row>
    <row r="324" spans="1:43">
      <c r="A324" s="47">
        <v>290</v>
      </c>
      <c r="B324" s="56">
        <v>4971710615807</v>
      </c>
      <c r="C324" s="57" t="s">
        <v>1048</v>
      </c>
      <c r="D324" s="75" t="s">
        <v>1076</v>
      </c>
      <c r="E324" s="48" t="s">
        <v>1049</v>
      </c>
      <c r="F324" s="58"/>
      <c r="G324" s="50"/>
      <c r="H324" s="51"/>
      <c r="I324" s="52"/>
      <c r="J324" s="49"/>
      <c r="K324" s="50"/>
      <c r="L324" s="49"/>
      <c r="M324" s="50"/>
      <c r="N324" s="49"/>
      <c r="O324" s="50"/>
      <c r="P324" s="49"/>
      <c r="Q324" s="53"/>
      <c r="R324" s="58"/>
      <c r="S324" s="59"/>
      <c r="T324" s="60"/>
      <c r="U324" s="61"/>
      <c r="V324" s="58"/>
      <c r="W324" s="59"/>
      <c r="X324" s="49"/>
      <c r="Y324" s="50"/>
      <c r="Z324" s="49"/>
      <c r="AA324" s="50"/>
      <c r="AB324" s="49"/>
      <c r="AC324" s="53"/>
      <c r="AD324" s="49"/>
      <c r="AE324" s="53"/>
      <c r="AF324" s="49"/>
      <c r="AG324" s="53"/>
      <c r="AH324" s="49"/>
      <c r="AI324" s="53"/>
      <c r="AJ324" s="53"/>
      <c r="AK324" s="53"/>
      <c r="AL324" s="53"/>
      <c r="AM324" s="53"/>
      <c r="AN324" s="53">
        <v>40</v>
      </c>
      <c r="AO324" s="53">
        <v>114400</v>
      </c>
      <c r="AP324" s="63">
        <f t="shared" si="10"/>
        <v>40</v>
      </c>
      <c r="AQ324" s="55">
        <f t="shared" si="11"/>
        <v>114400</v>
      </c>
    </row>
    <row r="325" spans="1:43">
      <c r="A325" s="47">
        <v>291</v>
      </c>
      <c r="B325" s="56">
        <v>4971710615791</v>
      </c>
      <c r="C325" s="57" t="s">
        <v>1050</v>
      </c>
      <c r="D325" s="75" t="s">
        <v>1076</v>
      </c>
      <c r="E325" s="48" t="s">
        <v>946</v>
      </c>
      <c r="F325" s="58"/>
      <c r="G325" s="50"/>
      <c r="H325" s="51"/>
      <c r="I325" s="52"/>
      <c r="J325" s="49"/>
      <c r="K325" s="50"/>
      <c r="L325" s="49"/>
      <c r="M325" s="50"/>
      <c r="N325" s="49"/>
      <c r="O325" s="50"/>
      <c r="P325" s="49"/>
      <c r="Q325" s="53"/>
      <c r="R325" s="58"/>
      <c r="S325" s="59"/>
      <c r="T325" s="60"/>
      <c r="U325" s="61"/>
      <c r="V325" s="58"/>
      <c r="W325" s="59"/>
      <c r="X325" s="49"/>
      <c r="Y325" s="50"/>
      <c r="Z325" s="49"/>
      <c r="AA325" s="50"/>
      <c r="AB325" s="49"/>
      <c r="AC325" s="53"/>
      <c r="AD325" s="49"/>
      <c r="AE325" s="53"/>
      <c r="AF325" s="49"/>
      <c r="AG325" s="53"/>
      <c r="AH325" s="49"/>
      <c r="AI325" s="53"/>
      <c r="AJ325" s="53"/>
      <c r="AK325" s="53"/>
      <c r="AL325" s="53"/>
      <c r="AM325" s="53"/>
      <c r="AN325" s="53">
        <v>40</v>
      </c>
      <c r="AO325" s="53">
        <v>105600</v>
      </c>
      <c r="AP325" s="63">
        <f t="shared" si="10"/>
        <v>40</v>
      </c>
      <c r="AQ325" s="55">
        <f t="shared" si="11"/>
        <v>105600</v>
      </c>
    </row>
    <row r="326" spans="1:43">
      <c r="A326" s="47">
        <v>292</v>
      </c>
      <c r="B326" s="56">
        <v>4971710597066</v>
      </c>
      <c r="C326" s="57" t="s">
        <v>971</v>
      </c>
      <c r="D326" s="75" t="s">
        <v>880</v>
      </c>
      <c r="E326" s="48" t="s">
        <v>972</v>
      </c>
      <c r="F326" s="58"/>
      <c r="G326" s="50"/>
      <c r="H326" s="51"/>
      <c r="I326" s="52"/>
      <c r="J326" s="49"/>
      <c r="K326" s="50"/>
      <c r="L326" s="49"/>
      <c r="M326" s="50"/>
      <c r="N326" s="49"/>
      <c r="O326" s="50"/>
      <c r="P326" s="49"/>
      <c r="Q326" s="53"/>
      <c r="R326" s="58"/>
      <c r="S326" s="59"/>
      <c r="T326" s="60"/>
      <c r="U326" s="61"/>
      <c r="V326" s="58"/>
      <c r="W326" s="59"/>
      <c r="X326" s="49"/>
      <c r="Y326" s="50"/>
      <c r="Z326" s="49"/>
      <c r="AA326" s="50"/>
      <c r="AB326" s="49"/>
      <c r="AC326" s="53"/>
      <c r="AD326" s="49"/>
      <c r="AE326" s="53"/>
      <c r="AF326" s="49"/>
      <c r="AG326" s="53"/>
      <c r="AH326" s="49">
        <v>30</v>
      </c>
      <c r="AI326" s="53">
        <v>26400</v>
      </c>
      <c r="AJ326" s="53"/>
      <c r="AK326" s="53"/>
      <c r="AL326" s="53"/>
      <c r="AM326" s="53"/>
      <c r="AN326" s="53">
        <v>10</v>
      </c>
      <c r="AO326" s="53">
        <v>8800</v>
      </c>
      <c r="AP326" s="63">
        <f t="shared" si="10"/>
        <v>40</v>
      </c>
      <c r="AQ326" s="55">
        <f t="shared" si="11"/>
        <v>35200</v>
      </c>
    </row>
    <row r="327" spans="1:43">
      <c r="A327" s="47">
        <v>320</v>
      </c>
      <c r="B327" s="56">
        <v>4971710522389</v>
      </c>
      <c r="C327" s="57" t="s">
        <v>376</v>
      </c>
      <c r="D327" s="75" t="s">
        <v>880</v>
      </c>
      <c r="E327" s="48" t="s">
        <v>377</v>
      </c>
      <c r="F327" s="58">
        <v>0</v>
      </c>
      <c r="G327" s="50">
        <v>0</v>
      </c>
      <c r="H327" s="51">
        <v>0</v>
      </c>
      <c r="I327" s="52">
        <v>0</v>
      </c>
      <c r="J327" s="49">
        <v>10</v>
      </c>
      <c r="K327" s="50">
        <v>4950</v>
      </c>
      <c r="L327" s="49">
        <v>0</v>
      </c>
      <c r="M327" s="50">
        <v>0</v>
      </c>
      <c r="N327" s="49">
        <v>0</v>
      </c>
      <c r="O327" s="50">
        <v>0</v>
      </c>
      <c r="P327" s="49">
        <v>0</v>
      </c>
      <c r="Q327" s="53">
        <v>0</v>
      </c>
      <c r="R327" s="58"/>
      <c r="S327" s="59"/>
      <c r="T327" s="60">
        <v>10</v>
      </c>
      <c r="U327" s="61">
        <v>2475</v>
      </c>
      <c r="V327" s="58">
        <v>20</v>
      </c>
      <c r="W327" s="59">
        <v>9900</v>
      </c>
      <c r="X327" s="49"/>
      <c r="Y327" s="50"/>
      <c r="Z327" s="49"/>
      <c r="AA327" s="50"/>
      <c r="AB327" s="49"/>
      <c r="AC327" s="53"/>
      <c r="AD327" s="49"/>
      <c r="AE327" s="53"/>
      <c r="AF327" s="49"/>
      <c r="AG327" s="53"/>
      <c r="AH327" s="49"/>
      <c r="AI327" s="53"/>
      <c r="AJ327" s="53"/>
      <c r="AK327" s="53"/>
      <c r="AL327" s="53"/>
      <c r="AM327" s="53"/>
      <c r="AN327" s="53"/>
      <c r="AO327" s="53"/>
      <c r="AP327" s="62">
        <f t="shared" si="10"/>
        <v>40</v>
      </c>
      <c r="AQ327" s="55">
        <f t="shared" si="11"/>
        <v>17325</v>
      </c>
    </row>
    <row r="328" spans="1:43">
      <c r="A328" s="47">
        <v>329</v>
      </c>
      <c r="B328" s="56">
        <v>4971710575743</v>
      </c>
      <c r="C328" s="57" t="s">
        <v>584</v>
      </c>
      <c r="D328" s="75" t="s">
        <v>884</v>
      </c>
      <c r="E328" s="48" t="s">
        <v>585</v>
      </c>
      <c r="F328" s="58">
        <v>0</v>
      </c>
      <c r="G328" s="50">
        <v>0</v>
      </c>
      <c r="H328" s="51">
        <v>0</v>
      </c>
      <c r="I328" s="52">
        <v>0</v>
      </c>
      <c r="J328" s="49">
        <v>20</v>
      </c>
      <c r="K328" s="50">
        <v>9900</v>
      </c>
      <c r="L328" s="49">
        <v>0</v>
      </c>
      <c r="M328" s="50">
        <v>0</v>
      </c>
      <c r="N328" s="49">
        <v>0</v>
      </c>
      <c r="O328" s="50">
        <v>0</v>
      </c>
      <c r="P328" s="49">
        <v>0</v>
      </c>
      <c r="Q328" s="53">
        <v>0</v>
      </c>
      <c r="R328" s="58"/>
      <c r="S328" s="59"/>
      <c r="T328" s="60"/>
      <c r="U328" s="61"/>
      <c r="V328" s="58"/>
      <c r="W328" s="59"/>
      <c r="X328" s="49"/>
      <c r="Y328" s="50"/>
      <c r="Z328" s="49">
        <v>10</v>
      </c>
      <c r="AA328" s="50">
        <v>4950</v>
      </c>
      <c r="AB328" s="49"/>
      <c r="AC328" s="53"/>
      <c r="AD328" s="49"/>
      <c r="AE328" s="53"/>
      <c r="AF328" s="49"/>
      <c r="AG328" s="53"/>
      <c r="AH328" s="49"/>
      <c r="AI328" s="53"/>
      <c r="AJ328" s="53"/>
      <c r="AK328" s="53"/>
      <c r="AL328" s="53"/>
      <c r="AM328" s="53"/>
      <c r="AN328" s="53">
        <v>10</v>
      </c>
      <c r="AO328" s="53">
        <v>4950</v>
      </c>
      <c r="AP328" s="62">
        <f t="shared" si="10"/>
        <v>40</v>
      </c>
      <c r="AQ328" s="55">
        <f t="shared" si="11"/>
        <v>19800</v>
      </c>
    </row>
    <row r="329" spans="1:43">
      <c r="A329" s="47">
        <v>307</v>
      </c>
      <c r="B329" s="56">
        <v>4971710487701</v>
      </c>
      <c r="C329" s="57" t="s">
        <v>54</v>
      </c>
      <c r="D329" s="75" t="s">
        <v>884</v>
      </c>
      <c r="E329" s="48" t="s">
        <v>55</v>
      </c>
      <c r="F329" s="58">
        <v>0</v>
      </c>
      <c r="G329" s="50">
        <v>0</v>
      </c>
      <c r="H329" s="51">
        <v>0</v>
      </c>
      <c r="I329" s="52">
        <v>0</v>
      </c>
      <c r="J329" s="49">
        <v>0</v>
      </c>
      <c r="K329" s="50">
        <v>0</v>
      </c>
      <c r="L329" s="49">
        <v>0</v>
      </c>
      <c r="M329" s="50">
        <v>0</v>
      </c>
      <c r="N329" s="49">
        <v>3</v>
      </c>
      <c r="O329" s="50">
        <v>2640</v>
      </c>
      <c r="P329" s="49">
        <v>0</v>
      </c>
      <c r="Q329" s="53">
        <v>0</v>
      </c>
      <c r="R329" s="58"/>
      <c r="S329" s="59"/>
      <c r="T329" s="60">
        <v>10</v>
      </c>
      <c r="U329" s="61">
        <v>4400</v>
      </c>
      <c r="V329" s="58">
        <v>4</v>
      </c>
      <c r="W329" s="59">
        <v>3520</v>
      </c>
      <c r="X329" s="49">
        <v>4</v>
      </c>
      <c r="Y329" s="50">
        <v>3520</v>
      </c>
      <c r="Z329" s="49"/>
      <c r="AA329" s="50"/>
      <c r="AB329" s="49"/>
      <c r="AC329" s="53"/>
      <c r="AD329" s="49"/>
      <c r="AE329" s="53"/>
      <c r="AF329" s="49"/>
      <c r="AG329" s="53"/>
      <c r="AH329" s="49">
        <v>8</v>
      </c>
      <c r="AI329" s="53">
        <v>7040</v>
      </c>
      <c r="AJ329" s="53"/>
      <c r="AK329" s="53"/>
      <c r="AL329" s="53"/>
      <c r="AM329" s="53"/>
      <c r="AN329" s="53">
        <v>10</v>
      </c>
      <c r="AO329" s="53">
        <v>8800</v>
      </c>
      <c r="AP329" s="62">
        <f t="shared" si="10"/>
        <v>39</v>
      </c>
      <c r="AQ329" s="55">
        <f t="shared" si="11"/>
        <v>29920</v>
      </c>
    </row>
    <row r="330" spans="1:43">
      <c r="A330" s="47">
        <v>417</v>
      </c>
      <c r="B330" s="56">
        <v>4971710519471</v>
      </c>
      <c r="C330" s="57" t="s">
        <v>360</v>
      </c>
      <c r="D330" s="75" t="s">
        <v>884</v>
      </c>
      <c r="E330" s="48" t="s">
        <v>361</v>
      </c>
      <c r="F330" s="58">
        <v>0</v>
      </c>
      <c r="G330" s="50">
        <v>0</v>
      </c>
      <c r="H330" s="51">
        <v>0</v>
      </c>
      <c r="I330" s="52">
        <v>0</v>
      </c>
      <c r="J330" s="49">
        <v>0</v>
      </c>
      <c r="K330" s="50">
        <v>0</v>
      </c>
      <c r="L330" s="49">
        <v>30</v>
      </c>
      <c r="M330" s="50">
        <v>16500</v>
      </c>
      <c r="N330" s="49">
        <v>0</v>
      </c>
      <c r="O330" s="50">
        <v>0</v>
      </c>
      <c r="P330" s="49">
        <v>0</v>
      </c>
      <c r="Q330" s="53">
        <v>0</v>
      </c>
      <c r="R330" s="58"/>
      <c r="S330" s="59"/>
      <c r="T330" s="60">
        <v>8</v>
      </c>
      <c r="U330" s="61">
        <v>2200</v>
      </c>
      <c r="V330" s="58"/>
      <c r="W330" s="59"/>
      <c r="X330" s="49"/>
      <c r="Y330" s="50"/>
      <c r="Z330" s="49"/>
      <c r="AA330" s="50"/>
      <c r="AB330" s="49"/>
      <c r="AC330" s="53"/>
      <c r="AD330" s="49"/>
      <c r="AE330" s="53"/>
      <c r="AF330" s="49"/>
      <c r="AG330" s="53"/>
      <c r="AH330" s="49"/>
      <c r="AI330" s="53"/>
      <c r="AJ330" s="53"/>
      <c r="AK330" s="53"/>
      <c r="AL330" s="53"/>
      <c r="AM330" s="53"/>
      <c r="AN330" s="53"/>
      <c r="AO330" s="53"/>
      <c r="AP330" s="62">
        <f t="shared" si="10"/>
        <v>38</v>
      </c>
      <c r="AQ330" s="55">
        <f t="shared" si="11"/>
        <v>18700</v>
      </c>
    </row>
    <row r="331" spans="1:43">
      <c r="A331" s="47">
        <v>297</v>
      </c>
      <c r="B331" s="56">
        <v>4971710615821</v>
      </c>
      <c r="C331" s="57" t="s">
        <v>1051</v>
      </c>
      <c r="D331" s="75" t="s">
        <v>1076</v>
      </c>
      <c r="E331" s="48" t="s">
        <v>1041</v>
      </c>
      <c r="F331" s="58"/>
      <c r="G331" s="50"/>
      <c r="H331" s="51"/>
      <c r="I331" s="52"/>
      <c r="J331" s="49"/>
      <c r="K331" s="50"/>
      <c r="L331" s="49"/>
      <c r="M331" s="50"/>
      <c r="N331" s="49"/>
      <c r="O331" s="50"/>
      <c r="P331" s="49"/>
      <c r="Q331" s="53"/>
      <c r="R331" s="58"/>
      <c r="S331" s="59"/>
      <c r="T331" s="60"/>
      <c r="U331" s="61"/>
      <c r="V331" s="58"/>
      <c r="W331" s="59"/>
      <c r="X331" s="49"/>
      <c r="Y331" s="50"/>
      <c r="Z331" s="49"/>
      <c r="AA331" s="50"/>
      <c r="AB331" s="49"/>
      <c r="AC331" s="53"/>
      <c r="AD331" s="49"/>
      <c r="AE331" s="53"/>
      <c r="AF331" s="49"/>
      <c r="AG331" s="53"/>
      <c r="AH331" s="49"/>
      <c r="AI331" s="53"/>
      <c r="AJ331" s="53"/>
      <c r="AK331" s="53"/>
      <c r="AL331" s="53"/>
      <c r="AM331" s="53"/>
      <c r="AN331" s="53">
        <v>37</v>
      </c>
      <c r="AO331" s="53">
        <v>183150</v>
      </c>
      <c r="AP331" s="63">
        <f t="shared" si="10"/>
        <v>37</v>
      </c>
      <c r="AQ331" s="55">
        <f t="shared" si="11"/>
        <v>183150</v>
      </c>
    </row>
    <row r="332" spans="1:43">
      <c r="A332" s="47">
        <v>319</v>
      </c>
      <c r="B332" s="56">
        <v>4971710568677</v>
      </c>
      <c r="C332" s="57" t="s">
        <v>529</v>
      </c>
      <c r="D332" s="75" t="s">
        <v>884</v>
      </c>
      <c r="E332" s="48" t="s">
        <v>530</v>
      </c>
      <c r="F332" s="58">
        <v>10</v>
      </c>
      <c r="G332" s="50">
        <v>8250</v>
      </c>
      <c r="H332" s="51">
        <v>0</v>
      </c>
      <c r="I332" s="52">
        <v>0</v>
      </c>
      <c r="J332" s="49">
        <v>0</v>
      </c>
      <c r="K332" s="50">
        <v>0</v>
      </c>
      <c r="L332" s="49">
        <v>0</v>
      </c>
      <c r="M332" s="50">
        <v>0</v>
      </c>
      <c r="N332" s="49">
        <v>0</v>
      </c>
      <c r="O332" s="50">
        <v>0</v>
      </c>
      <c r="P332" s="49">
        <v>0</v>
      </c>
      <c r="Q332" s="53">
        <v>0</v>
      </c>
      <c r="R332" s="58"/>
      <c r="S332" s="59"/>
      <c r="T332" s="60"/>
      <c r="U332" s="61"/>
      <c r="V332" s="58">
        <v>2</v>
      </c>
      <c r="W332" s="59">
        <v>1650</v>
      </c>
      <c r="X332" s="49">
        <v>20</v>
      </c>
      <c r="Y332" s="50">
        <v>16500</v>
      </c>
      <c r="Z332" s="49">
        <v>4</v>
      </c>
      <c r="AA332" s="50">
        <v>3300</v>
      </c>
      <c r="AB332" s="49"/>
      <c r="AC332" s="53"/>
      <c r="AD332" s="49"/>
      <c r="AE332" s="53"/>
      <c r="AF332" s="49"/>
      <c r="AG332" s="53"/>
      <c r="AH332" s="49"/>
      <c r="AI332" s="53"/>
      <c r="AJ332" s="53"/>
      <c r="AK332" s="53"/>
      <c r="AL332" s="53"/>
      <c r="AM332" s="53"/>
      <c r="AN332" s="53"/>
      <c r="AO332" s="53"/>
      <c r="AP332" s="62">
        <f t="shared" si="10"/>
        <v>36</v>
      </c>
      <c r="AQ332" s="55">
        <f t="shared" si="11"/>
        <v>29700</v>
      </c>
    </row>
    <row r="333" spans="1:43">
      <c r="A333" s="47">
        <v>362</v>
      </c>
      <c r="B333" s="56">
        <v>4971710579314</v>
      </c>
      <c r="C333" s="57" t="s">
        <v>652</v>
      </c>
      <c r="D333" s="75" t="s">
        <v>884</v>
      </c>
      <c r="E333" s="48" t="s">
        <v>653</v>
      </c>
      <c r="F333" s="58">
        <v>0</v>
      </c>
      <c r="G333" s="50">
        <v>0</v>
      </c>
      <c r="H333" s="51">
        <v>0</v>
      </c>
      <c r="I333" s="52">
        <v>0</v>
      </c>
      <c r="J333" s="49">
        <v>24</v>
      </c>
      <c r="K333" s="50">
        <v>18480</v>
      </c>
      <c r="L333" s="49">
        <v>0</v>
      </c>
      <c r="M333" s="50">
        <v>0</v>
      </c>
      <c r="N333" s="49">
        <v>0</v>
      </c>
      <c r="O333" s="50">
        <v>0</v>
      </c>
      <c r="P333" s="49">
        <v>0</v>
      </c>
      <c r="Q333" s="53">
        <v>0</v>
      </c>
      <c r="R333" s="58">
        <v>12</v>
      </c>
      <c r="S333" s="59">
        <v>9240</v>
      </c>
      <c r="T333" s="60"/>
      <c r="U333" s="61"/>
      <c r="V333" s="58"/>
      <c r="W333" s="59"/>
      <c r="X333" s="49"/>
      <c r="Y333" s="50"/>
      <c r="Z333" s="49"/>
      <c r="AA333" s="50"/>
      <c r="AB333" s="49"/>
      <c r="AC333" s="53"/>
      <c r="AD333" s="49"/>
      <c r="AE333" s="53"/>
      <c r="AF333" s="49"/>
      <c r="AG333" s="53"/>
      <c r="AH333" s="49"/>
      <c r="AI333" s="53"/>
      <c r="AJ333" s="53"/>
      <c r="AK333" s="53"/>
      <c r="AL333" s="53"/>
      <c r="AM333" s="53"/>
      <c r="AN333" s="53"/>
      <c r="AO333" s="53"/>
      <c r="AP333" s="62">
        <f t="shared" si="10"/>
        <v>36</v>
      </c>
      <c r="AQ333" s="55">
        <f t="shared" si="11"/>
        <v>27720</v>
      </c>
    </row>
    <row r="334" spans="1:43">
      <c r="A334" s="47">
        <v>436</v>
      </c>
      <c r="B334" s="56">
        <v>4971710471953</v>
      </c>
      <c r="C334" s="57" t="s">
        <v>18</v>
      </c>
      <c r="D334" s="75" t="s">
        <v>884</v>
      </c>
      <c r="E334" s="48" t="s">
        <v>19</v>
      </c>
      <c r="F334" s="58"/>
      <c r="G334" s="50">
        <v>0</v>
      </c>
      <c r="H334" s="51"/>
      <c r="I334" s="52"/>
      <c r="J334" s="49"/>
      <c r="K334" s="50"/>
      <c r="L334" s="49"/>
      <c r="M334" s="50"/>
      <c r="N334" s="49">
        <v>30</v>
      </c>
      <c r="O334" s="50">
        <v>19800</v>
      </c>
      <c r="P334" s="49">
        <v>5</v>
      </c>
      <c r="Q334" s="53">
        <v>3300</v>
      </c>
      <c r="R334" s="58"/>
      <c r="S334" s="59"/>
      <c r="T334" s="60"/>
      <c r="U334" s="61"/>
      <c r="V334" s="58"/>
      <c r="W334" s="59"/>
      <c r="X334" s="49"/>
      <c r="Y334" s="50"/>
      <c r="Z334" s="49"/>
      <c r="AA334" s="50"/>
      <c r="AB334" s="49"/>
      <c r="AC334" s="53"/>
      <c r="AD334" s="49"/>
      <c r="AE334" s="53"/>
      <c r="AF334" s="49"/>
      <c r="AG334" s="53"/>
      <c r="AH334" s="49"/>
      <c r="AI334" s="53"/>
      <c r="AJ334" s="53"/>
      <c r="AK334" s="53"/>
      <c r="AL334" s="53"/>
      <c r="AM334" s="53"/>
      <c r="AN334" s="53"/>
      <c r="AO334" s="53"/>
      <c r="AP334" s="62">
        <f t="shared" si="10"/>
        <v>35</v>
      </c>
      <c r="AQ334" s="55">
        <f t="shared" si="11"/>
        <v>23100</v>
      </c>
    </row>
    <row r="335" spans="1:43">
      <c r="A335" s="47">
        <v>437</v>
      </c>
      <c r="B335" s="56">
        <v>4971710484281</v>
      </c>
      <c r="C335" s="57" t="s">
        <v>38</v>
      </c>
      <c r="D335" s="75" t="s">
        <v>884</v>
      </c>
      <c r="E335" s="48" t="s">
        <v>39</v>
      </c>
      <c r="F335" s="58"/>
      <c r="G335" s="50">
        <v>0</v>
      </c>
      <c r="H335" s="51"/>
      <c r="I335" s="52"/>
      <c r="J335" s="49">
        <v>5</v>
      </c>
      <c r="K335" s="50">
        <v>3300</v>
      </c>
      <c r="L335" s="49"/>
      <c r="M335" s="50"/>
      <c r="N335" s="49">
        <v>30</v>
      </c>
      <c r="O335" s="50">
        <v>19800</v>
      </c>
      <c r="P335" s="49">
        <v>0</v>
      </c>
      <c r="Q335" s="53"/>
      <c r="R335" s="58"/>
      <c r="S335" s="59"/>
      <c r="T335" s="60"/>
      <c r="U335" s="61"/>
      <c r="V335" s="58"/>
      <c r="W335" s="59"/>
      <c r="X335" s="49"/>
      <c r="Y335" s="50"/>
      <c r="Z335" s="49"/>
      <c r="AA335" s="50"/>
      <c r="AB335" s="49"/>
      <c r="AC335" s="53"/>
      <c r="AD335" s="49"/>
      <c r="AE335" s="53"/>
      <c r="AF335" s="49"/>
      <c r="AG335" s="53"/>
      <c r="AH335" s="49"/>
      <c r="AI335" s="53"/>
      <c r="AJ335" s="53"/>
      <c r="AK335" s="53"/>
      <c r="AL335" s="53"/>
      <c r="AM335" s="53"/>
      <c r="AN335" s="53"/>
      <c r="AO335" s="53"/>
      <c r="AP335" s="62">
        <f t="shared" si="10"/>
        <v>35</v>
      </c>
      <c r="AQ335" s="55">
        <f t="shared" si="11"/>
        <v>23100</v>
      </c>
    </row>
    <row r="336" spans="1:43">
      <c r="A336" s="47">
        <v>302</v>
      </c>
      <c r="B336" s="56">
        <v>4971710611847</v>
      </c>
      <c r="C336" s="57" t="s">
        <v>963</v>
      </c>
      <c r="D336" s="75" t="s">
        <v>884</v>
      </c>
      <c r="E336" s="48" t="s">
        <v>964</v>
      </c>
      <c r="F336" s="58"/>
      <c r="G336" s="50"/>
      <c r="H336" s="51"/>
      <c r="I336" s="52"/>
      <c r="J336" s="49"/>
      <c r="K336" s="50"/>
      <c r="L336" s="49"/>
      <c r="M336" s="50"/>
      <c r="N336" s="49"/>
      <c r="O336" s="50"/>
      <c r="P336" s="49"/>
      <c r="Q336" s="53"/>
      <c r="R336" s="58"/>
      <c r="S336" s="59"/>
      <c r="T336" s="60"/>
      <c r="U336" s="61"/>
      <c r="V336" s="58"/>
      <c r="W336" s="59"/>
      <c r="X336" s="49"/>
      <c r="Y336" s="50"/>
      <c r="Z336" s="49"/>
      <c r="AA336" s="50"/>
      <c r="AB336" s="49"/>
      <c r="AC336" s="53"/>
      <c r="AD336" s="49"/>
      <c r="AE336" s="53"/>
      <c r="AF336" s="49"/>
      <c r="AG336" s="53"/>
      <c r="AH336" s="49">
        <v>34</v>
      </c>
      <c r="AI336" s="53">
        <v>28050</v>
      </c>
      <c r="AJ336" s="53"/>
      <c r="AK336" s="53"/>
      <c r="AL336" s="53"/>
      <c r="AM336" s="53"/>
      <c r="AN336" s="53"/>
      <c r="AO336" s="53"/>
      <c r="AP336" s="63">
        <f t="shared" si="10"/>
        <v>34</v>
      </c>
      <c r="AQ336" s="55">
        <f t="shared" si="11"/>
        <v>28050</v>
      </c>
    </row>
    <row r="337" spans="1:43">
      <c r="A337" s="47">
        <v>322</v>
      </c>
      <c r="B337" s="56">
        <v>4971710575910</v>
      </c>
      <c r="C337" s="57" t="s">
        <v>598</v>
      </c>
      <c r="D337" s="75" t="s">
        <v>884</v>
      </c>
      <c r="E337" s="48" t="s">
        <v>599</v>
      </c>
      <c r="F337" s="58">
        <v>0</v>
      </c>
      <c r="G337" s="50">
        <v>0</v>
      </c>
      <c r="H337" s="51">
        <v>0</v>
      </c>
      <c r="I337" s="52">
        <v>0</v>
      </c>
      <c r="J337" s="49">
        <v>10</v>
      </c>
      <c r="K337" s="50">
        <v>4950</v>
      </c>
      <c r="L337" s="49">
        <v>0</v>
      </c>
      <c r="M337" s="50">
        <v>0</v>
      </c>
      <c r="N337" s="49">
        <v>0</v>
      </c>
      <c r="O337" s="50">
        <v>0</v>
      </c>
      <c r="P337" s="49">
        <v>0</v>
      </c>
      <c r="Q337" s="53">
        <v>0</v>
      </c>
      <c r="R337" s="58"/>
      <c r="S337" s="59"/>
      <c r="T337" s="60"/>
      <c r="U337" s="61"/>
      <c r="V337" s="58"/>
      <c r="W337" s="59"/>
      <c r="X337" s="49">
        <v>10</v>
      </c>
      <c r="Y337" s="50">
        <v>4950</v>
      </c>
      <c r="Z337" s="49"/>
      <c r="AA337" s="50"/>
      <c r="AB337" s="49"/>
      <c r="AC337" s="53"/>
      <c r="AD337" s="49"/>
      <c r="AE337" s="53"/>
      <c r="AF337" s="49"/>
      <c r="AG337" s="53"/>
      <c r="AH337" s="49"/>
      <c r="AI337" s="53"/>
      <c r="AJ337" s="53"/>
      <c r="AK337" s="53"/>
      <c r="AL337" s="53"/>
      <c r="AM337" s="53"/>
      <c r="AN337" s="53">
        <v>14</v>
      </c>
      <c r="AO337" s="53">
        <v>6930</v>
      </c>
      <c r="AP337" s="62">
        <f t="shared" si="10"/>
        <v>34</v>
      </c>
      <c r="AQ337" s="55">
        <f t="shared" si="11"/>
        <v>16830</v>
      </c>
    </row>
    <row r="338" spans="1:43">
      <c r="A338" s="47">
        <v>303</v>
      </c>
      <c r="B338" s="56">
        <v>4971710613285</v>
      </c>
      <c r="C338" s="57" t="s">
        <v>1074</v>
      </c>
      <c r="D338" s="75" t="s">
        <v>882</v>
      </c>
      <c r="E338" s="48" t="s">
        <v>1073</v>
      </c>
      <c r="F338" s="58"/>
      <c r="G338" s="50"/>
      <c r="H338" s="51"/>
      <c r="I338" s="52"/>
      <c r="J338" s="49"/>
      <c r="K338" s="50"/>
      <c r="L338" s="49"/>
      <c r="M338" s="50"/>
      <c r="N338" s="49"/>
      <c r="O338" s="50"/>
      <c r="P338" s="49"/>
      <c r="Q338" s="53"/>
      <c r="R338" s="58"/>
      <c r="S338" s="59"/>
      <c r="T338" s="60"/>
      <c r="U338" s="61"/>
      <c r="V338" s="58"/>
      <c r="W338" s="59"/>
      <c r="X338" s="49"/>
      <c r="Y338" s="50"/>
      <c r="Z338" s="49"/>
      <c r="AA338" s="50"/>
      <c r="AB338" s="49"/>
      <c r="AC338" s="53"/>
      <c r="AD338" s="49"/>
      <c r="AE338" s="53"/>
      <c r="AF338" s="49"/>
      <c r="AG338" s="53"/>
      <c r="AH338" s="49"/>
      <c r="AI338" s="53"/>
      <c r="AJ338" s="53"/>
      <c r="AK338" s="53"/>
      <c r="AL338" s="53"/>
      <c r="AM338" s="53"/>
      <c r="AN338" s="53">
        <v>32</v>
      </c>
      <c r="AO338" s="53">
        <v>132000</v>
      </c>
      <c r="AP338" s="63">
        <f t="shared" si="10"/>
        <v>32</v>
      </c>
      <c r="AQ338" s="55">
        <f t="shared" si="11"/>
        <v>132000</v>
      </c>
    </row>
    <row r="339" spans="1:43">
      <c r="A339" s="47">
        <v>304</v>
      </c>
      <c r="B339" s="56">
        <v>4971710610765</v>
      </c>
      <c r="C339" s="57" t="s">
        <v>900</v>
      </c>
      <c r="D339" s="75" t="s">
        <v>880</v>
      </c>
      <c r="E339" s="48" t="s">
        <v>904</v>
      </c>
      <c r="F339" s="58"/>
      <c r="G339" s="50"/>
      <c r="H339" s="51"/>
      <c r="I339" s="52"/>
      <c r="J339" s="49"/>
      <c r="K339" s="50"/>
      <c r="L339" s="49"/>
      <c r="M339" s="50"/>
      <c r="N339" s="49"/>
      <c r="O339" s="50"/>
      <c r="P339" s="49"/>
      <c r="Q339" s="53"/>
      <c r="R339" s="58"/>
      <c r="S339" s="59"/>
      <c r="T339" s="60"/>
      <c r="U339" s="61"/>
      <c r="V339" s="58"/>
      <c r="W339" s="59"/>
      <c r="X339" s="49"/>
      <c r="Y339" s="50"/>
      <c r="Z339" s="49"/>
      <c r="AA339" s="50"/>
      <c r="AB339" s="49"/>
      <c r="AC339" s="53"/>
      <c r="AD339" s="49"/>
      <c r="AE339" s="53"/>
      <c r="AF339" s="49">
        <v>2</v>
      </c>
      <c r="AG339" s="53">
        <v>1320</v>
      </c>
      <c r="AH339" s="49">
        <v>30</v>
      </c>
      <c r="AI339" s="53">
        <v>19800</v>
      </c>
      <c r="AJ339" s="53"/>
      <c r="AK339" s="53"/>
      <c r="AL339" s="53"/>
      <c r="AM339" s="53"/>
      <c r="AN339" s="53"/>
      <c r="AO339" s="53"/>
      <c r="AP339" s="63">
        <f t="shared" si="10"/>
        <v>32</v>
      </c>
      <c r="AQ339" s="55">
        <f t="shared" si="11"/>
        <v>21120</v>
      </c>
    </row>
    <row r="340" spans="1:43">
      <c r="A340" s="47">
        <v>305</v>
      </c>
      <c r="B340" s="56">
        <v>4971710610772</v>
      </c>
      <c r="C340" s="57" t="s">
        <v>901</v>
      </c>
      <c r="D340" s="75" t="s">
        <v>880</v>
      </c>
      <c r="E340" s="48" t="s">
        <v>905</v>
      </c>
      <c r="F340" s="58"/>
      <c r="G340" s="50"/>
      <c r="H340" s="51"/>
      <c r="I340" s="52"/>
      <c r="J340" s="49"/>
      <c r="K340" s="50"/>
      <c r="L340" s="49"/>
      <c r="M340" s="50"/>
      <c r="N340" s="49"/>
      <c r="O340" s="50"/>
      <c r="P340" s="49"/>
      <c r="Q340" s="53"/>
      <c r="R340" s="58"/>
      <c r="S340" s="59"/>
      <c r="T340" s="60"/>
      <c r="U340" s="61"/>
      <c r="V340" s="58"/>
      <c r="W340" s="59"/>
      <c r="X340" s="49"/>
      <c r="Y340" s="50"/>
      <c r="Z340" s="49"/>
      <c r="AA340" s="50"/>
      <c r="AB340" s="49"/>
      <c r="AC340" s="53"/>
      <c r="AD340" s="49"/>
      <c r="AE340" s="53"/>
      <c r="AF340" s="49">
        <v>2</v>
      </c>
      <c r="AG340" s="53">
        <v>1320</v>
      </c>
      <c r="AH340" s="49">
        <v>30</v>
      </c>
      <c r="AI340" s="53">
        <v>19800</v>
      </c>
      <c r="AJ340" s="53"/>
      <c r="AK340" s="53"/>
      <c r="AL340" s="53"/>
      <c r="AM340" s="53"/>
      <c r="AN340" s="53"/>
      <c r="AO340" s="53"/>
      <c r="AP340" s="63">
        <f t="shared" si="10"/>
        <v>32</v>
      </c>
      <c r="AQ340" s="55">
        <f t="shared" si="11"/>
        <v>21120</v>
      </c>
    </row>
    <row r="341" spans="1:43">
      <c r="A341" s="47">
        <v>306</v>
      </c>
      <c r="B341" s="56">
        <v>4971710610789</v>
      </c>
      <c r="C341" s="57" t="s">
        <v>902</v>
      </c>
      <c r="D341" s="75" t="s">
        <v>880</v>
      </c>
      <c r="E341" s="48" t="s">
        <v>906</v>
      </c>
      <c r="F341" s="58"/>
      <c r="G341" s="50"/>
      <c r="H341" s="51"/>
      <c r="I341" s="52"/>
      <c r="J341" s="49"/>
      <c r="K341" s="50"/>
      <c r="L341" s="49"/>
      <c r="M341" s="50"/>
      <c r="N341" s="49"/>
      <c r="O341" s="50"/>
      <c r="P341" s="49"/>
      <c r="Q341" s="53"/>
      <c r="R341" s="58"/>
      <c r="S341" s="59"/>
      <c r="T341" s="60"/>
      <c r="U341" s="61"/>
      <c r="V341" s="58"/>
      <c r="W341" s="59"/>
      <c r="X341" s="49"/>
      <c r="Y341" s="50"/>
      <c r="Z341" s="49"/>
      <c r="AA341" s="50"/>
      <c r="AB341" s="49"/>
      <c r="AC341" s="53"/>
      <c r="AD341" s="49"/>
      <c r="AE341" s="53"/>
      <c r="AF341" s="49">
        <v>2</v>
      </c>
      <c r="AG341" s="53">
        <v>1320</v>
      </c>
      <c r="AH341" s="49">
        <v>30</v>
      </c>
      <c r="AI341" s="53">
        <v>19800</v>
      </c>
      <c r="AJ341" s="53"/>
      <c r="AK341" s="53"/>
      <c r="AL341" s="53"/>
      <c r="AM341" s="53"/>
      <c r="AN341" s="53"/>
      <c r="AO341" s="53"/>
      <c r="AP341" s="63">
        <f t="shared" si="10"/>
        <v>32</v>
      </c>
      <c r="AQ341" s="55">
        <f t="shared" si="11"/>
        <v>21120</v>
      </c>
    </row>
    <row r="342" spans="1:43">
      <c r="A342" s="47">
        <v>316</v>
      </c>
      <c r="B342" s="56">
        <v>4971710507584</v>
      </c>
      <c r="C342" s="57" t="s">
        <v>178</v>
      </c>
      <c r="D342" s="75" t="s">
        <v>884</v>
      </c>
      <c r="E342" s="48" t="s">
        <v>179</v>
      </c>
      <c r="F342" s="58">
        <v>0</v>
      </c>
      <c r="G342" s="50">
        <v>0</v>
      </c>
      <c r="H342" s="51">
        <v>0</v>
      </c>
      <c r="I342" s="52">
        <v>0</v>
      </c>
      <c r="J342" s="49">
        <v>0</v>
      </c>
      <c r="K342" s="50">
        <v>0</v>
      </c>
      <c r="L342" s="49">
        <v>0</v>
      </c>
      <c r="M342" s="50">
        <v>0</v>
      </c>
      <c r="N342" s="49">
        <v>3</v>
      </c>
      <c r="O342" s="50">
        <v>1980</v>
      </c>
      <c r="P342" s="49">
        <v>0</v>
      </c>
      <c r="Q342" s="53">
        <v>0</v>
      </c>
      <c r="R342" s="58"/>
      <c r="S342" s="59"/>
      <c r="T342" s="60"/>
      <c r="U342" s="61"/>
      <c r="V342" s="58">
        <v>4</v>
      </c>
      <c r="W342" s="59">
        <v>2640</v>
      </c>
      <c r="X342" s="49">
        <v>11</v>
      </c>
      <c r="Y342" s="50">
        <v>7260</v>
      </c>
      <c r="Z342" s="49">
        <v>10</v>
      </c>
      <c r="AA342" s="50">
        <v>6600</v>
      </c>
      <c r="AB342" s="49"/>
      <c r="AC342" s="53"/>
      <c r="AD342" s="49"/>
      <c r="AE342" s="53"/>
      <c r="AF342" s="49"/>
      <c r="AG342" s="53"/>
      <c r="AH342" s="49"/>
      <c r="AI342" s="53"/>
      <c r="AJ342" s="53"/>
      <c r="AK342" s="53"/>
      <c r="AL342" s="53"/>
      <c r="AM342" s="53"/>
      <c r="AN342" s="53">
        <v>4</v>
      </c>
      <c r="AO342" s="53">
        <v>2640</v>
      </c>
      <c r="AP342" s="62">
        <f t="shared" si="10"/>
        <v>32</v>
      </c>
      <c r="AQ342" s="55">
        <f t="shared" si="11"/>
        <v>21120</v>
      </c>
    </row>
    <row r="343" spans="1:43">
      <c r="A343" s="47">
        <v>334</v>
      </c>
      <c r="B343" s="56">
        <v>4971710507560</v>
      </c>
      <c r="C343" s="57" t="s">
        <v>174</v>
      </c>
      <c r="D343" s="75" t="s">
        <v>884</v>
      </c>
      <c r="E343" s="48" t="s">
        <v>175</v>
      </c>
      <c r="F343" s="58">
        <v>0</v>
      </c>
      <c r="G343" s="50">
        <v>0</v>
      </c>
      <c r="H343" s="51">
        <v>0</v>
      </c>
      <c r="I343" s="52">
        <v>0</v>
      </c>
      <c r="J343" s="49">
        <v>5</v>
      </c>
      <c r="K343" s="50">
        <v>3300</v>
      </c>
      <c r="L343" s="49">
        <v>0</v>
      </c>
      <c r="M343" s="50">
        <v>0</v>
      </c>
      <c r="N343" s="49">
        <v>0</v>
      </c>
      <c r="O343" s="50">
        <v>0</v>
      </c>
      <c r="P343" s="49">
        <v>5</v>
      </c>
      <c r="Q343" s="53">
        <v>3300</v>
      </c>
      <c r="R343" s="58"/>
      <c r="S343" s="59"/>
      <c r="T343" s="60">
        <v>4</v>
      </c>
      <c r="U343" s="61">
        <v>1320</v>
      </c>
      <c r="V343" s="58">
        <v>6</v>
      </c>
      <c r="W343" s="59">
        <v>3960</v>
      </c>
      <c r="X343" s="49">
        <v>6</v>
      </c>
      <c r="Y343" s="50">
        <v>3960</v>
      </c>
      <c r="Z343" s="49"/>
      <c r="AA343" s="50"/>
      <c r="AB343" s="49"/>
      <c r="AC343" s="53"/>
      <c r="AD343" s="49">
        <v>2</v>
      </c>
      <c r="AE343" s="53">
        <v>1320</v>
      </c>
      <c r="AF343" s="49">
        <v>2</v>
      </c>
      <c r="AG343" s="53">
        <v>1320</v>
      </c>
      <c r="AH343" s="49">
        <v>2</v>
      </c>
      <c r="AI343" s="53">
        <v>1320</v>
      </c>
      <c r="AJ343" s="53"/>
      <c r="AK343" s="53"/>
      <c r="AL343" s="53"/>
      <c r="AM343" s="53"/>
      <c r="AN343" s="53"/>
      <c r="AO343" s="53"/>
      <c r="AP343" s="62">
        <f t="shared" si="10"/>
        <v>32</v>
      </c>
      <c r="AQ343" s="55">
        <f t="shared" si="11"/>
        <v>19800</v>
      </c>
    </row>
    <row r="344" spans="1:43">
      <c r="A344" s="47">
        <v>378</v>
      </c>
      <c r="B344" s="56">
        <v>4971710487732</v>
      </c>
      <c r="C344" s="57" t="s">
        <v>58</v>
      </c>
      <c r="D344" s="75" t="s">
        <v>884</v>
      </c>
      <c r="E344" s="48" t="s">
        <v>59</v>
      </c>
      <c r="F344" s="58">
        <v>0</v>
      </c>
      <c r="G344" s="50">
        <v>0</v>
      </c>
      <c r="H344" s="51">
        <v>0</v>
      </c>
      <c r="I344" s="52">
        <v>0</v>
      </c>
      <c r="J344" s="49">
        <v>24</v>
      </c>
      <c r="K344" s="50">
        <v>21120</v>
      </c>
      <c r="L344" s="49">
        <v>0</v>
      </c>
      <c r="M344" s="50">
        <v>0</v>
      </c>
      <c r="N344" s="49">
        <v>0</v>
      </c>
      <c r="O344" s="50">
        <v>0</v>
      </c>
      <c r="P344" s="49">
        <v>0</v>
      </c>
      <c r="Q344" s="53">
        <v>0</v>
      </c>
      <c r="R344" s="58"/>
      <c r="S344" s="59"/>
      <c r="T344" s="60"/>
      <c r="U344" s="61"/>
      <c r="V344" s="58">
        <v>4</v>
      </c>
      <c r="W344" s="59">
        <v>3520</v>
      </c>
      <c r="X344" s="49"/>
      <c r="Y344" s="50"/>
      <c r="Z344" s="49"/>
      <c r="AA344" s="50"/>
      <c r="AB344" s="49"/>
      <c r="AC344" s="53"/>
      <c r="AD344" s="49"/>
      <c r="AE344" s="53"/>
      <c r="AF344" s="49"/>
      <c r="AG344" s="53"/>
      <c r="AH344" s="49"/>
      <c r="AI344" s="53"/>
      <c r="AJ344" s="53"/>
      <c r="AK344" s="53"/>
      <c r="AL344" s="53"/>
      <c r="AM344" s="53"/>
      <c r="AN344" s="53">
        <v>4</v>
      </c>
      <c r="AO344" s="53">
        <v>3520</v>
      </c>
      <c r="AP344" s="62">
        <f t="shared" si="10"/>
        <v>32</v>
      </c>
      <c r="AQ344" s="55">
        <f t="shared" si="11"/>
        <v>28160</v>
      </c>
    </row>
    <row r="345" spans="1:43">
      <c r="A345" s="47">
        <v>438</v>
      </c>
      <c r="B345" s="56">
        <v>4971710563443</v>
      </c>
      <c r="C345" s="57" t="s">
        <v>485</v>
      </c>
      <c r="D345" s="75" t="s">
        <v>879</v>
      </c>
      <c r="E345" s="48" t="s">
        <v>486</v>
      </c>
      <c r="F345" s="58"/>
      <c r="G345" s="50">
        <v>0</v>
      </c>
      <c r="H345" s="51"/>
      <c r="I345" s="52"/>
      <c r="J345" s="49"/>
      <c r="K345" s="50"/>
      <c r="L345" s="49"/>
      <c r="M345" s="50"/>
      <c r="N345" s="49">
        <v>16</v>
      </c>
      <c r="O345" s="50">
        <v>11440</v>
      </c>
      <c r="P345" s="49">
        <v>16</v>
      </c>
      <c r="Q345" s="53">
        <v>11440</v>
      </c>
      <c r="R345" s="58"/>
      <c r="S345" s="59"/>
      <c r="T345" s="60"/>
      <c r="U345" s="61"/>
      <c r="V345" s="58"/>
      <c r="W345" s="59"/>
      <c r="X345" s="49"/>
      <c r="Y345" s="50"/>
      <c r="Z345" s="49"/>
      <c r="AA345" s="50"/>
      <c r="AB345" s="49"/>
      <c r="AC345" s="53"/>
      <c r="AD345" s="49"/>
      <c r="AE345" s="53"/>
      <c r="AF345" s="49"/>
      <c r="AG345" s="53"/>
      <c r="AH345" s="49"/>
      <c r="AI345" s="53"/>
      <c r="AJ345" s="53"/>
      <c r="AK345" s="53"/>
      <c r="AL345" s="53"/>
      <c r="AM345" s="53"/>
      <c r="AN345" s="53"/>
      <c r="AO345" s="53"/>
      <c r="AP345" s="62">
        <f t="shared" si="10"/>
        <v>32</v>
      </c>
      <c r="AQ345" s="55">
        <f t="shared" si="11"/>
        <v>22880</v>
      </c>
    </row>
    <row r="346" spans="1:43">
      <c r="A346" s="47">
        <v>309</v>
      </c>
      <c r="B346" s="56">
        <v>4971710556698</v>
      </c>
      <c r="C346" s="57" t="s">
        <v>918</v>
      </c>
      <c r="D346" s="75" t="s">
        <v>1076</v>
      </c>
      <c r="E346" s="48" t="s">
        <v>934</v>
      </c>
      <c r="F346" s="58"/>
      <c r="G346" s="50"/>
      <c r="H346" s="51"/>
      <c r="I346" s="52"/>
      <c r="J346" s="49"/>
      <c r="K346" s="50"/>
      <c r="L346" s="49"/>
      <c r="M346" s="50"/>
      <c r="N346" s="49"/>
      <c r="O346" s="50"/>
      <c r="P346" s="49"/>
      <c r="Q346" s="53"/>
      <c r="R346" s="58"/>
      <c r="S346" s="59"/>
      <c r="T346" s="60"/>
      <c r="U346" s="61"/>
      <c r="V346" s="58"/>
      <c r="W346" s="59"/>
      <c r="X346" s="49"/>
      <c r="Y346" s="50"/>
      <c r="Z346" s="49"/>
      <c r="AA346" s="50"/>
      <c r="AB346" s="49"/>
      <c r="AC346" s="53"/>
      <c r="AD346" s="49"/>
      <c r="AE346" s="53"/>
      <c r="AF346" s="49"/>
      <c r="AG346" s="53"/>
      <c r="AH346" s="49">
        <v>15</v>
      </c>
      <c r="AI346" s="53">
        <v>33000</v>
      </c>
      <c r="AJ346" s="53"/>
      <c r="AK346" s="53"/>
      <c r="AL346" s="53"/>
      <c r="AM346" s="53"/>
      <c r="AN346" s="53">
        <v>15</v>
      </c>
      <c r="AO346" s="53">
        <v>33000</v>
      </c>
      <c r="AP346" s="63">
        <f t="shared" si="10"/>
        <v>30</v>
      </c>
      <c r="AQ346" s="55">
        <f t="shared" si="11"/>
        <v>66000</v>
      </c>
    </row>
    <row r="347" spans="1:43">
      <c r="A347" s="47">
        <v>310</v>
      </c>
      <c r="B347" s="56">
        <v>4971710517965</v>
      </c>
      <c r="C347" s="57" t="s">
        <v>903</v>
      </c>
      <c r="D347" s="75" t="s">
        <v>884</v>
      </c>
      <c r="E347" s="48" t="s">
        <v>909</v>
      </c>
      <c r="F347" s="58"/>
      <c r="G347" s="50"/>
      <c r="H347" s="51"/>
      <c r="I347" s="52"/>
      <c r="J347" s="49"/>
      <c r="K347" s="50"/>
      <c r="L347" s="49"/>
      <c r="M347" s="50"/>
      <c r="N347" s="49"/>
      <c r="O347" s="50"/>
      <c r="P347" s="49"/>
      <c r="Q347" s="53"/>
      <c r="R347" s="58"/>
      <c r="S347" s="59"/>
      <c r="T347" s="60"/>
      <c r="U347" s="61"/>
      <c r="V347" s="58"/>
      <c r="W347" s="59"/>
      <c r="X347" s="49"/>
      <c r="Y347" s="50"/>
      <c r="Z347" s="49"/>
      <c r="AA347" s="50"/>
      <c r="AB347" s="49"/>
      <c r="AC347" s="53"/>
      <c r="AD347" s="49"/>
      <c r="AE347" s="53"/>
      <c r="AF347" s="49">
        <v>20</v>
      </c>
      <c r="AG347" s="53">
        <v>8800</v>
      </c>
      <c r="AH347" s="49">
        <v>10</v>
      </c>
      <c r="AI347" s="53">
        <v>4400</v>
      </c>
      <c r="AJ347" s="53"/>
      <c r="AK347" s="53"/>
      <c r="AL347" s="53"/>
      <c r="AM347" s="53"/>
      <c r="AN347" s="53"/>
      <c r="AO347" s="53"/>
      <c r="AP347" s="63">
        <f t="shared" si="10"/>
        <v>30</v>
      </c>
      <c r="AQ347" s="55">
        <f t="shared" si="11"/>
        <v>13200</v>
      </c>
    </row>
    <row r="348" spans="1:43">
      <c r="A348" s="47">
        <v>314</v>
      </c>
      <c r="B348" s="56">
        <v>4971710589566</v>
      </c>
      <c r="C348" s="57" t="s">
        <v>789</v>
      </c>
      <c r="D348" s="75" t="s">
        <v>884</v>
      </c>
      <c r="E348" s="48" t="s">
        <v>1016</v>
      </c>
      <c r="F348" s="58">
        <v>0</v>
      </c>
      <c r="G348" s="50">
        <v>0</v>
      </c>
      <c r="H348" s="51">
        <v>0</v>
      </c>
      <c r="I348" s="52">
        <v>0</v>
      </c>
      <c r="J348" s="49">
        <v>0</v>
      </c>
      <c r="K348" s="50">
        <v>0</v>
      </c>
      <c r="L348" s="49">
        <v>0</v>
      </c>
      <c r="M348" s="50">
        <v>0</v>
      </c>
      <c r="N348" s="49">
        <v>0</v>
      </c>
      <c r="O348" s="50">
        <v>0</v>
      </c>
      <c r="P348" s="49">
        <v>0</v>
      </c>
      <c r="Q348" s="53">
        <v>0</v>
      </c>
      <c r="R348" s="58"/>
      <c r="S348" s="59"/>
      <c r="T348" s="60"/>
      <c r="U348" s="61"/>
      <c r="V348" s="58"/>
      <c r="W348" s="59"/>
      <c r="X348" s="49">
        <v>30</v>
      </c>
      <c r="Y348" s="50">
        <v>13200</v>
      </c>
      <c r="Z348" s="49"/>
      <c r="AA348" s="50"/>
      <c r="AB348" s="49"/>
      <c r="AC348" s="53"/>
      <c r="AD348" s="49"/>
      <c r="AE348" s="53"/>
      <c r="AF348" s="49"/>
      <c r="AG348" s="53"/>
      <c r="AH348" s="49"/>
      <c r="AI348" s="53"/>
      <c r="AJ348" s="53"/>
      <c r="AK348" s="53"/>
      <c r="AL348" s="53"/>
      <c r="AM348" s="53"/>
      <c r="AN348" s="53"/>
      <c r="AO348" s="53"/>
      <c r="AP348" s="62">
        <f t="shared" si="10"/>
        <v>30</v>
      </c>
      <c r="AQ348" s="55">
        <f t="shared" si="11"/>
        <v>13200</v>
      </c>
    </row>
    <row r="349" spans="1:43">
      <c r="A349" s="47">
        <v>315</v>
      </c>
      <c r="B349" s="56">
        <v>4971710560961</v>
      </c>
      <c r="C349" s="57" t="s">
        <v>807</v>
      </c>
      <c r="D349" s="75" t="s">
        <v>884</v>
      </c>
      <c r="E349" s="48" t="s">
        <v>1017</v>
      </c>
      <c r="F349" s="58">
        <v>0</v>
      </c>
      <c r="G349" s="50">
        <v>0</v>
      </c>
      <c r="H349" s="51">
        <v>0</v>
      </c>
      <c r="I349" s="52">
        <v>0</v>
      </c>
      <c r="J349" s="49">
        <v>0</v>
      </c>
      <c r="K349" s="50">
        <v>0</v>
      </c>
      <c r="L349" s="49">
        <v>0</v>
      </c>
      <c r="M349" s="50">
        <v>0</v>
      </c>
      <c r="N349" s="49">
        <v>0</v>
      </c>
      <c r="O349" s="50">
        <v>0</v>
      </c>
      <c r="P349" s="49">
        <v>0</v>
      </c>
      <c r="Q349" s="53">
        <v>0</v>
      </c>
      <c r="R349" s="58"/>
      <c r="S349" s="59"/>
      <c r="T349" s="60"/>
      <c r="U349" s="61"/>
      <c r="V349" s="58"/>
      <c r="W349" s="59"/>
      <c r="X349" s="49"/>
      <c r="Y349" s="50"/>
      <c r="Z349" s="49">
        <v>30</v>
      </c>
      <c r="AA349" s="50">
        <v>24750</v>
      </c>
      <c r="AB349" s="49"/>
      <c r="AC349" s="53"/>
      <c r="AD349" s="49"/>
      <c r="AE349" s="53"/>
      <c r="AF349" s="49"/>
      <c r="AG349" s="53"/>
      <c r="AH349" s="49"/>
      <c r="AI349" s="53"/>
      <c r="AJ349" s="53"/>
      <c r="AK349" s="53"/>
      <c r="AL349" s="53"/>
      <c r="AM349" s="53"/>
      <c r="AN349" s="53"/>
      <c r="AO349" s="53"/>
      <c r="AP349" s="62">
        <f t="shared" si="10"/>
        <v>30</v>
      </c>
      <c r="AQ349" s="55">
        <f t="shared" si="11"/>
        <v>24750</v>
      </c>
    </row>
    <row r="350" spans="1:43">
      <c r="A350" s="47">
        <v>330</v>
      </c>
      <c r="B350" s="56">
        <v>4971710575835</v>
      </c>
      <c r="C350" s="57" t="s">
        <v>592</v>
      </c>
      <c r="D350" s="75" t="s">
        <v>884</v>
      </c>
      <c r="E350" s="48" t="s">
        <v>593</v>
      </c>
      <c r="F350" s="58">
        <v>0</v>
      </c>
      <c r="G350" s="50">
        <v>0</v>
      </c>
      <c r="H350" s="51">
        <v>0</v>
      </c>
      <c r="I350" s="52">
        <v>0</v>
      </c>
      <c r="J350" s="49">
        <v>10</v>
      </c>
      <c r="K350" s="50">
        <v>4950</v>
      </c>
      <c r="L350" s="49">
        <v>0</v>
      </c>
      <c r="M350" s="50">
        <v>0</v>
      </c>
      <c r="N350" s="49">
        <v>0</v>
      </c>
      <c r="O350" s="50">
        <v>0</v>
      </c>
      <c r="P350" s="49">
        <v>0</v>
      </c>
      <c r="Q350" s="53">
        <v>0</v>
      </c>
      <c r="R350" s="58"/>
      <c r="S350" s="59"/>
      <c r="T350" s="60"/>
      <c r="U350" s="61"/>
      <c r="V350" s="58">
        <v>10</v>
      </c>
      <c r="W350" s="59">
        <v>4950</v>
      </c>
      <c r="X350" s="49"/>
      <c r="Y350" s="50"/>
      <c r="Z350" s="49"/>
      <c r="AA350" s="50"/>
      <c r="AB350" s="49"/>
      <c r="AC350" s="53"/>
      <c r="AD350" s="49"/>
      <c r="AE350" s="53"/>
      <c r="AF350" s="49"/>
      <c r="AG350" s="53"/>
      <c r="AH350" s="49"/>
      <c r="AI350" s="53"/>
      <c r="AJ350" s="53"/>
      <c r="AK350" s="53"/>
      <c r="AL350" s="53"/>
      <c r="AM350" s="53"/>
      <c r="AN350" s="53">
        <v>10</v>
      </c>
      <c r="AO350" s="53">
        <v>4950</v>
      </c>
      <c r="AP350" s="62">
        <f t="shared" si="10"/>
        <v>30</v>
      </c>
      <c r="AQ350" s="55">
        <f t="shared" si="11"/>
        <v>14850</v>
      </c>
    </row>
    <row r="351" spans="1:43">
      <c r="A351" s="47">
        <v>335</v>
      </c>
      <c r="B351" s="56">
        <v>4971710522402</v>
      </c>
      <c r="C351" s="57" t="s">
        <v>380</v>
      </c>
      <c r="D351" s="75" t="s">
        <v>880</v>
      </c>
      <c r="E351" s="48" t="s">
        <v>381</v>
      </c>
      <c r="F351" s="58">
        <v>0</v>
      </c>
      <c r="G351" s="50">
        <v>0</v>
      </c>
      <c r="H351" s="51">
        <v>0</v>
      </c>
      <c r="I351" s="52">
        <v>0</v>
      </c>
      <c r="J351" s="49">
        <v>0</v>
      </c>
      <c r="K351" s="50">
        <v>0</v>
      </c>
      <c r="L351" s="49">
        <v>10</v>
      </c>
      <c r="M351" s="50">
        <v>4950</v>
      </c>
      <c r="N351" s="49">
        <v>0</v>
      </c>
      <c r="O351" s="50">
        <v>0</v>
      </c>
      <c r="P351" s="49">
        <v>0</v>
      </c>
      <c r="Q351" s="53">
        <v>0</v>
      </c>
      <c r="R351" s="58"/>
      <c r="S351" s="59"/>
      <c r="T351" s="60"/>
      <c r="U351" s="61"/>
      <c r="V351" s="58">
        <v>20</v>
      </c>
      <c r="W351" s="59">
        <v>9900</v>
      </c>
      <c r="X351" s="49"/>
      <c r="Y351" s="50"/>
      <c r="Z351" s="49"/>
      <c r="AA351" s="50"/>
      <c r="AB351" s="49"/>
      <c r="AC351" s="53"/>
      <c r="AD351" s="49"/>
      <c r="AE351" s="53"/>
      <c r="AF351" s="49"/>
      <c r="AG351" s="53"/>
      <c r="AH351" s="49"/>
      <c r="AI351" s="53"/>
      <c r="AJ351" s="53"/>
      <c r="AK351" s="53"/>
      <c r="AL351" s="53"/>
      <c r="AM351" s="53"/>
      <c r="AN351" s="53"/>
      <c r="AO351" s="53"/>
      <c r="AP351" s="62">
        <f t="shared" si="10"/>
        <v>30</v>
      </c>
      <c r="AQ351" s="55">
        <f t="shared" si="11"/>
        <v>14850</v>
      </c>
    </row>
    <row r="352" spans="1:43">
      <c r="A352" s="47">
        <v>336</v>
      </c>
      <c r="B352" s="56">
        <v>4971710522419</v>
      </c>
      <c r="C352" s="57" t="s">
        <v>382</v>
      </c>
      <c r="D352" s="75" t="s">
        <v>880</v>
      </c>
      <c r="E352" s="48" t="s">
        <v>383</v>
      </c>
      <c r="F352" s="58">
        <v>0</v>
      </c>
      <c r="G352" s="50">
        <v>0</v>
      </c>
      <c r="H352" s="51">
        <v>0</v>
      </c>
      <c r="I352" s="52">
        <v>0</v>
      </c>
      <c r="J352" s="49">
        <v>0</v>
      </c>
      <c r="K352" s="50">
        <v>0</v>
      </c>
      <c r="L352" s="49">
        <v>10</v>
      </c>
      <c r="M352" s="50">
        <v>4950</v>
      </c>
      <c r="N352" s="49">
        <v>0</v>
      </c>
      <c r="O352" s="50">
        <v>0</v>
      </c>
      <c r="P352" s="49">
        <v>0</v>
      </c>
      <c r="Q352" s="53">
        <v>0</v>
      </c>
      <c r="R352" s="58"/>
      <c r="S352" s="59"/>
      <c r="T352" s="60"/>
      <c r="U352" s="61"/>
      <c r="V352" s="58">
        <v>20</v>
      </c>
      <c r="W352" s="59">
        <v>9900</v>
      </c>
      <c r="X352" s="49"/>
      <c r="Y352" s="50"/>
      <c r="Z352" s="49"/>
      <c r="AA352" s="50"/>
      <c r="AB352" s="49"/>
      <c r="AC352" s="53"/>
      <c r="AD352" s="49"/>
      <c r="AE352" s="53"/>
      <c r="AF352" s="49"/>
      <c r="AG352" s="53"/>
      <c r="AH352" s="49"/>
      <c r="AI352" s="53"/>
      <c r="AJ352" s="53"/>
      <c r="AK352" s="53"/>
      <c r="AL352" s="53"/>
      <c r="AM352" s="53"/>
      <c r="AN352" s="53"/>
      <c r="AO352" s="53"/>
      <c r="AP352" s="62">
        <f t="shared" si="10"/>
        <v>30</v>
      </c>
      <c r="AQ352" s="55">
        <f t="shared" si="11"/>
        <v>14850</v>
      </c>
    </row>
    <row r="353" spans="1:43">
      <c r="A353" s="47">
        <v>364</v>
      </c>
      <c r="B353" s="56">
        <v>4971710575828</v>
      </c>
      <c r="C353" s="57" t="s">
        <v>590</v>
      </c>
      <c r="D353" s="75" t="s">
        <v>884</v>
      </c>
      <c r="E353" s="48" t="s">
        <v>591</v>
      </c>
      <c r="F353" s="58">
        <v>0</v>
      </c>
      <c r="G353" s="50">
        <v>0</v>
      </c>
      <c r="H353" s="51">
        <v>0</v>
      </c>
      <c r="I353" s="52">
        <v>0</v>
      </c>
      <c r="J353" s="49">
        <v>20</v>
      </c>
      <c r="K353" s="50">
        <v>9900</v>
      </c>
      <c r="L353" s="49">
        <v>0</v>
      </c>
      <c r="M353" s="50">
        <v>0</v>
      </c>
      <c r="N353" s="49">
        <v>0</v>
      </c>
      <c r="O353" s="50">
        <v>0</v>
      </c>
      <c r="P353" s="49">
        <v>0</v>
      </c>
      <c r="Q353" s="53">
        <v>0</v>
      </c>
      <c r="R353" s="58"/>
      <c r="S353" s="59"/>
      <c r="T353" s="60"/>
      <c r="U353" s="61"/>
      <c r="V353" s="58"/>
      <c r="W353" s="59"/>
      <c r="X353" s="49"/>
      <c r="Y353" s="50"/>
      <c r="Z353" s="49"/>
      <c r="AA353" s="50"/>
      <c r="AB353" s="49"/>
      <c r="AC353" s="53"/>
      <c r="AD353" s="49"/>
      <c r="AE353" s="53"/>
      <c r="AF353" s="49"/>
      <c r="AG353" s="53"/>
      <c r="AH353" s="49"/>
      <c r="AI353" s="53"/>
      <c r="AJ353" s="53"/>
      <c r="AK353" s="53"/>
      <c r="AL353" s="53"/>
      <c r="AM353" s="53"/>
      <c r="AN353" s="53">
        <v>10</v>
      </c>
      <c r="AO353" s="53">
        <v>4950</v>
      </c>
      <c r="AP353" s="62">
        <f t="shared" si="10"/>
        <v>30</v>
      </c>
      <c r="AQ353" s="55">
        <f t="shared" si="11"/>
        <v>14850</v>
      </c>
    </row>
    <row r="354" spans="1:43">
      <c r="A354" s="47">
        <v>373</v>
      </c>
      <c r="B354" s="56">
        <v>4971710573237</v>
      </c>
      <c r="C354" s="57" t="s">
        <v>571</v>
      </c>
      <c r="D354" s="75" t="s">
        <v>880</v>
      </c>
      <c r="E354" s="48" t="s">
        <v>572</v>
      </c>
      <c r="F354" s="58">
        <v>0</v>
      </c>
      <c r="G354" s="50">
        <v>0</v>
      </c>
      <c r="H354" s="51">
        <v>0</v>
      </c>
      <c r="I354" s="52">
        <v>0</v>
      </c>
      <c r="J354" s="49">
        <v>0</v>
      </c>
      <c r="K354" s="50">
        <v>0</v>
      </c>
      <c r="L354" s="49">
        <v>20</v>
      </c>
      <c r="M354" s="50">
        <v>13200</v>
      </c>
      <c r="N354" s="49">
        <v>0</v>
      </c>
      <c r="O354" s="50">
        <v>0</v>
      </c>
      <c r="P354" s="49">
        <v>0</v>
      </c>
      <c r="Q354" s="53">
        <v>0</v>
      </c>
      <c r="R354" s="58"/>
      <c r="S354" s="59"/>
      <c r="T354" s="60"/>
      <c r="U354" s="61"/>
      <c r="V354" s="58"/>
      <c r="W354" s="59"/>
      <c r="X354" s="49">
        <v>10</v>
      </c>
      <c r="Y354" s="50">
        <v>6600</v>
      </c>
      <c r="Z354" s="49"/>
      <c r="AA354" s="50"/>
      <c r="AB354" s="49"/>
      <c r="AC354" s="53"/>
      <c r="AD354" s="49"/>
      <c r="AE354" s="53"/>
      <c r="AF354" s="49"/>
      <c r="AG354" s="53"/>
      <c r="AH354" s="49"/>
      <c r="AI354" s="53"/>
      <c r="AJ354" s="53"/>
      <c r="AK354" s="53"/>
      <c r="AL354" s="53"/>
      <c r="AM354" s="53"/>
      <c r="AN354" s="53"/>
      <c r="AO354" s="53"/>
      <c r="AP354" s="62">
        <f t="shared" si="10"/>
        <v>30</v>
      </c>
      <c r="AQ354" s="55">
        <f t="shared" si="11"/>
        <v>19800</v>
      </c>
    </row>
    <row r="355" spans="1:43">
      <c r="A355" s="47">
        <v>439</v>
      </c>
      <c r="B355" s="56">
        <v>4971710484267</v>
      </c>
      <c r="C355" s="57" t="s">
        <v>34</v>
      </c>
      <c r="D355" s="75" t="s">
        <v>884</v>
      </c>
      <c r="E355" s="48" t="s">
        <v>35</v>
      </c>
      <c r="F355" s="58"/>
      <c r="G355" s="50">
        <v>0</v>
      </c>
      <c r="H355" s="51"/>
      <c r="I355" s="52"/>
      <c r="J355" s="49"/>
      <c r="K355" s="50"/>
      <c r="L355" s="49"/>
      <c r="M355" s="50"/>
      <c r="N355" s="49">
        <v>30</v>
      </c>
      <c r="O355" s="50">
        <v>19800</v>
      </c>
      <c r="P355" s="49">
        <v>0</v>
      </c>
      <c r="Q355" s="53"/>
      <c r="R355" s="58"/>
      <c r="S355" s="59"/>
      <c r="T355" s="60"/>
      <c r="U355" s="61"/>
      <c r="V355" s="58"/>
      <c r="W355" s="59"/>
      <c r="X355" s="49"/>
      <c r="Y355" s="50"/>
      <c r="Z355" s="49"/>
      <c r="AA355" s="50"/>
      <c r="AB355" s="49"/>
      <c r="AC355" s="53"/>
      <c r="AD355" s="49"/>
      <c r="AE355" s="53"/>
      <c r="AF355" s="49"/>
      <c r="AG355" s="53"/>
      <c r="AH355" s="49"/>
      <c r="AI355" s="53"/>
      <c r="AJ355" s="53"/>
      <c r="AK355" s="53"/>
      <c r="AL355" s="53"/>
      <c r="AM355" s="53"/>
      <c r="AN355" s="53"/>
      <c r="AO355" s="53"/>
      <c r="AP355" s="62">
        <f t="shared" si="10"/>
        <v>30</v>
      </c>
      <c r="AQ355" s="55">
        <f t="shared" si="11"/>
        <v>19800</v>
      </c>
    </row>
    <row r="356" spans="1:43">
      <c r="A356" s="47">
        <v>317</v>
      </c>
      <c r="B356" s="56">
        <v>4971710611854</v>
      </c>
      <c r="C356" s="57" t="s">
        <v>965</v>
      </c>
      <c r="D356" s="75" t="s">
        <v>884</v>
      </c>
      <c r="E356" s="48" t="s">
        <v>966</v>
      </c>
      <c r="F356" s="58"/>
      <c r="G356" s="50"/>
      <c r="H356" s="51"/>
      <c r="I356" s="52"/>
      <c r="J356" s="49"/>
      <c r="K356" s="50"/>
      <c r="L356" s="49"/>
      <c r="M356" s="50"/>
      <c r="N356" s="49"/>
      <c r="O356" s="50"/>
      <c r="P356" s="49"/>
      <c r="Q356" s="53"/>
      <c r="R356" s="58"/>
      <c r="S356" s="59"/>
      <c r="T356" s="60"/>
      <c r="U356" s="61"/>
      <c r="V356" s="58"/>
      <c r="W356" s="59"/>
      <c r="X356" s="49"/>
      <c r="Y356" s="50"/>
      <c r="Z356" s="49"/>
      <c r="AA356" s="50"/>
      <c r="AB356" s="49"/>
      <c r="AC356" s="53"/>
      <c r="AD356" s="49"/>
      <c r="AE356" s="53"/>
      <c r="AF356" s="49"/>
      <c r="AG356" s="53"/>
      <c r="AH356" s="49">
        <v>29</v>
      </c>
      <c r="AI356" s="53">
        <v>23925</v>
      </c>
      <c r="AJ356" s="53"/>
      <c r="AK356" s="53"/>
      <c r="AL356" s="53"/>
      <c r="AM356" s="53"/>
      <c r="AN356" s="53"/>
      <c r="AO356" s="53"/>
      <c r="AP356" s="63">
        <f t="shared" si="10"/>
        <v>29</v>
      </c>
      <c r="AQ356" s="55">
        <f t="shared" si="11"/>
        <v>23925</v>
      </c>
    </row>
    <row r="357" spans="1:43">
      <c r="A357" s="47">
        <v>360</v>
      </c>
      <c r="B357" s="56">
        <v>4971710519457</v>
      </c>
      <c r="C357" s="57" t="s">
        <v>356</v>
      </c>
      <c r="D357" s="75" t="s">
        <v>884</v>
      </c>
      <c r="E357" s="48" t="s">
        <v>357</v>
      </c>
      <c r="F357" s="58">
        <v>0</v>
      </c>
      <c r="G357" s="50">
        <v>0</v>
      </c>
      <c r="H357" s="51">
        <v>0</v>
      </c>
      <c r="I357" s="52">
        <v>0</v>
      </c>
      <c r="J357" s="49">
        <v>0</v>
      </c>
      <c r="K357" s="50">
        <v>0</v>
      </c>
      <c r="L357" s="49">
        <v>10</v>
      </c>
      <c r="M357" s="50">
        <v>5500</v>
      </c>
      <c r="N357" s="49">
        <v>0</v>
      </c>
      <c r="O357" s="50">
        <v>0</v>
      </c>
      <c r="P357" s="49">
        <v>0</v>
      </c>
      <c r="Q357" s="53">
        <v>0</v>
      </c>
      <c r="R357" s="58"/>
      <c r="S357" s="59"/>
      <c r="T357" s="60">
        <v>8</v>
      </c>
      <c r="U357" s="61">
        <v>2200</v>
      </c>
      <c r="V357" s="58">
        <v>10</v>
      </c>
      <c r="W357" s="59">
        <v>5500</v>
      </c>
      <c r="X357" s="49"/>
      <c r="Y357" s="50"/>
      <c r="Z357" s="49"/>
      <c r="AA357" s="50"/>
      <c r="AB357" s="49"/>
      <c r="AC357" s="53"/>
      <c r="AD357" s="49"/>
      <c r="AE357" s="53"/>
      <c r="AF357" s="49"/>
      <c r="AG357" s="53"/>
      <c r="AH357" s="49"/>
      <c r="AI357" s="53"/>
      <c r="AJ357" s="53"/>
      <c r="AK357" s="53"/>
      <c r="AL357" s="53"/>
      <c r="AM357" s="53"/>
      <c r="AN357" s="53"/>
      <c r="AO357" s="53"/>
      <c r="AP357" s="62">
        <f t="shared" si="10"/>
        <v>28</v>
      </c>
      <c r="AQ357" s="55">
        <f t="shared" si="11"/>
        <v>13200</v>
      </c>
    </row>
    <row r="358" spans="1:43">
      <c r="A358" s="47">
        <v>318</v>
      </c>
      <c r="B358" s="56">
        <v>4971710613278</v>
      </c>
      <c r="C358" s="57" t="s">
        <v>1072</v>
      </c>
      <c r="D358" s="75" t="s">
        <v>882</v>
      </c>
      <c r="E358" s="48" t="s">
        <v>1073</v>
      </c>
      <c r="F358" s="58"/>
      <c r="G358" s="50"/>
      <c r="H358" s="51"/>
      <c r="I358" s="52"/>
      <c r="J358" s="49"/>
      <c r="K358" s="50"/>
      <c r="L358" s="49"/>
      <c r="M358" s="50"/>
      <c r="N358" s="49"/>
      <c r="O358" s="50"/>
      <c r="P358" s="49"/>
      <c r="Q358" s="53"/>
      <c r="R358" s="58"/>
      <c r="S358" s="59"/>
      <c r="T358" s="60"/>
      <c r="U358" s="61"/>
      <c r="V358" s="58"/>
      <c r="W358" s="59"/>
      <c r="X358" s="49"/>
      <c r="Y358" s="50"/>
      <c r="Z358" s="49"/>
      <c r="AA358" s="50"/>
      <c r="AB358" s="49"/>
      <c r="AC358" s="53"/>
      <c r="AD358" s="49"/>
      <c r="AE358" s="53"/>
      <c r="AF358" s="49"/>
      <c r="AG358" s="53"/>
      <c r="AH358" s="49"/>
      <c r="AI358" s="53"/>
      <c r="AJ358" s="53"/>
      <c r="AK358" s="53"/>
      <c r="AL358" s="53"/>
      <c r="AM358" s="53"/>
      <c r="AN358" s="53">
        <v>26</v>
      </c>
      <c r="AO358" s="53">
        <v>82940</v>
      </c>
      <c r="AP358" s="63">
        <f t="shared" si="10"/>
        <v>26</v>
      </c>
      <c r="AQ358" s="55">
        <f t="shared" si="11"/>
        <v>82940</v>
      </c>
    </row>
    <row r="359" spans="1:43">
      <c r="A359" s="47">
        <v>359</v>
      </c>
      <c r="B359" s="56">
        <v>4971710568707</v>
      </c>
      <c r="C359" s="57" t="s">
        <v>535</v>
      </c>
      <c r="D359" s="75" t="s">
        <v>884</v>
      </c>
      <c r="E359" s="48" t="s">
        <v>536</v>
      </c>
      <c r="F359" s="58">
        <v>10</v>
      </c>
      <c r="G359" s="50">
        <v>8250</v>
      </c>
      <c r="H359" s="51">
        <v>0</v>
      </c>
      <c r="I359" s="52">
        <v>0</v>
      </c>
      <c r="J359" s="49">
        <v>0</v>
      </c>
      <c r="K359" s="50">
        <v>0</v>
      </c>
      <c r="L359" s="49">
        <v>0</v>
      </c>
      <c r="M359" s="50">
        <v>0</v>
      </c>
      <c r="N359" s="49">
        <v>0</v>
      </c>
      <c r="O359" s="50">
        <v>0</v>
      </c>
      <c r="P359" s="49">
        <v>0</v>
      </c>
      <c r="Q359" s="53">
        <v>0</v>
      </c>
      <c r="R359" s="58"/>
      <c r="S359" s="59"/>
      <c r="T359" s="60">
        <v>4</v>
      </c>
      <c r="U359" s="61">
        <v>1650</v>
      </c>
      <c r="V359" s="58"/>
      <c r="W359" s="59"/>
      <c r="X359" s="49"/>
      <c r="Y359" s="50"/>
      <c r="Z359" s="49"/>
      <c r="AA359" s="50"/>
      <c r="AB359" s="49"/>
      <c r="AC359" s="53"/>
      <c r="AD359" s="49">
        <v>10</v>
      </c>
      <c r="AE359" s="53">
        <v>8250</v>
      </c>
      <c r="AF359" s="49"/>
      <c r="AG359" s="53"/>
      <c r="AH359" s="49">
        <v>2</v>
      </c>
      <c r="AI359" s="53">
        <v>1650</v>
      </c>
      <c r="AJ359" s="53"/>
      <c r="AK359" s="53"/>
      <c r="AL359" s="53"/>
      <c r="AM359" s="53"/>
      <c r="AN359" s="53"/>
      <c r="AO359" s="53"/>
      <c r="AP359" s="62">
        <f t="shared" si="10"/>
        <v>26</v>
      </c>
      <c r="AQ359" s="55">
        <f t="shared" si="11"/>
        <v>19800</v>
      </c>
    </row>
    <row r="360" spans="1:43">
      <c r="A360" s="47">
        <v>358</v>
      </c>
      <c r="B360" s="56">
        <v>4971710578782</v>
      </c>
      <c r="C360" s="57" t="s">
        <v>642</v>
      </c>
      <c r="D360" s="75" t="s">
        <v>884</v>
      </c>
      <c r="E360" s="48" t="s">
        <v>643</v>
      </c>
      <c r="F360" s="58">
        <v>0</v>
      </c>
      <c r="G360" s="50">
        <v>0</v>
      </c>
      <c r="H360" s="51">
        <v>0</v>
      </c>
      <c r="I360" s="52">
        <v>0</v>
      </c>
      <c r="J360" s="49">
        <v>10</v>
      </c>
      <c r="K360" s="50">
        <v>4950</v>
      </c>
      <c r="L360" s="49">
        <v>0</v>
      </c>
      <c r="M360" s="50">
        <v>0</v>
      </c>
      <c r="N360" s="49">
        <v>1</v>
      </c>
      <c r="O360" s="50">
        <v>495</v>
      </c>
      <c r="P360" s="49">
        <v>0</v>
      </c>
      <c r="Q360" s="53">
        <v>0</v>
      </c>
      <c r="R360" s="58"/>
      <c r="S360" s="59"/>
      <c r="T360" s="60"/>
      <c r="U360" s="61"/>
      <c r="V360" s="58"/>
      <c r="W360" s="59"/>
      <c r="X360" s="49">
        <v>4</v>
      </c>
      <c r="Y360" s="50">
        <v>1980</v>
      </c>
      <c r="Z360" s="49"/>
      <c r="AA360" s="50"/>
      <c r="AB360" s="49"/>
      <c r="AC360" s="53"/>
      <c r="AD360" s="49"/>
      <c r="AE360" s="53"/>
      <c r="AF360" s="49"/>
      <c r="AG360" s="53"/>
      <c r="AH360" s="49"/>
      <c r="AI360" s="53"/>
      <c r="AJ360" s="53"/>
      <c r="AK360" s="53"/>
      <c r="AL360" s="53"/>
      <c r="AM360" s="53"/>
      <c r="AN360" s="53">
        <v>10</v>
      </c>
      <c r="AO360" s="53">
        <v>4950</v>
      </c>
      <c r="AP360" s="62">
        <f t="shared" si="10"/>
        <v>25</v>
      </c>
      <c r="AQ360" s="55">
        <f t="shared" si="11"/>
        <v>12375</v>
      </c>
    </row>
    <row r="361" spans="1:43">
      <c r="A361" s="47">
        <v>374</v>
      </c>
      <c r="B361" s="56">
        <v>4971710487725</v>
      </c>
      <c r="C361" s="57" t="s">
        <v>56</v>
      </c>
      <c r="D361" s="75" t="s">
        <v>884</v>
      </c>
      <c r="E361" s="48" t="s">
        <v>57</v>
      </c>
      <c r="F361" s="58">
        <v>0</v>
      </c>
      <c r="G361" s="50">
        <v>0</v>
      </c>
      <c r="H361" s="51">
        <v>0</v>
      </c>
      <c r="I361" s="52">
        <v>0</v>
      </c>
      <c r="J361" s="49">
        <v>14</v>
      </c>
      <c r="K361" s="50">
        <v>12320</v>
      </c>
      <c r="L361" s="49">
        <v>0</v>
      </c>
      <c r="M361" s="50">
        <v>0</v>
      </c>
      <c r="N361" s="49">
        <v>1</v>
      </c>
      <c r="O361" s="50">
        <v>880</v>
      </c>
      <c r="P361" s="49">
        <v>0</v>
      </c>
      <c r="Q361" s="53">
        <v>0</v>
      </c>
      <c r="R361" s="58"/>
      <c r="S361" s="59"/>
      <c r="T361" s="60"/>
      <c r="U361" s="61"/>
      <c r="V361" s="58"/>
      <c r="W361" s="59"/>
      <c r="X361" s="49"/>
      <c r="Y361" s="50"/>
      <c r="Z361" s="49">
        <v>10</v>
      </c>
      <c r="AA361" s="50">
        <v>8800</v>
      </c>
      <c r="AB361" s="49"/>
      <c r="AC361" s="53"/>
      <c r="AD361" s="49"/>
      <c r="AE361" s="53"/>
      <c r="AF361" s="49"/>
      <c r="AG361" s="53"/>
      <c r="AH361" s="49"/>
      <c r="AI361" s="53"/>
      <c r="AJ361" s="53"/>
      <c r="AK361" s="53"/>
      <c r="AL361" s="53"/>
      <c r="AM361" s="53"/>
      <c r="AN361" s="53"/>
      <c r="AO361" s="53"/>
      <c r="AP361" s="62">
        <f t="shared" si="10"/>
        <v>25</v>
      </c>
      <c r="AQ361" s="55">
        <f t="shared" si="11"/>
        <v>22000</v>
      </c>
    </row>
    <row r="362" spans="1:43">
      <c r="A362" s="47">
        <v>321</v>
      </c>
      <c r="B362" s="56">
        <v>4971710514179</v>
      </c>
      <c r="C362" s="57" t="s">
        <v>1052</v>
      </c>
      <c r="D362" s="75" t="s">
        <v>880</v>
      </c>
      <c r="E362" s="48" t="s">
        <v>1053</v>
      </c>
      <c r="F362" s="58"/>
      <c r="G362" s="50"/>
      <c r="H362" s="51"/>
      <c r="I362" s="52"/>
      <c r="J362" s="49"/>
      <c r="K362" s="50"/>
      <c r="L362" s="49"/>
      <c r="M362" s="50"/>
      <c r="N362" s="49"/>
      <c r="O362" s="50"/>
      <c r="P362" s="49"/>
      <c r="Q362" s="53"/>
      <c r="R362" s="58"/>
      <c r="S362" s="59"/>
      <c r="T362" s="60"/>
      <c r="U362" s="61"/>
      <c r="V362" s="58"/>
      <c r="W362" s="59"/>
      <c r="X362" s="49"/>
      <c r="Y362" s="50"/>
      <c r="Z362" s="49"/>
      <c r="AA362" s="50"/>
      <c r="AB362" s="49"/>
      <c r="AC362" s="53"/>
      <c r="AD362" s="49"/>
      <c r="AE362" s="53"/>
      <c r="AF362" s="49"/>
      <c r="AG362" s="53"/>
      <c r="AH362" s="49"/>
      <c r="AI362" s="53"/>
      <c r="AJ362" s="53"/>
      <c r="AK362" s="53"/>
      <c r="AL362" s="53"/>
      <c r="AM362" s="53"/>
      <c r="AN362" s="53">
        <v>24</v>
      </c>
      <c r="AO362" s="53">
        <v>11880</v>
      </c>
      <c r="AP362" s="63">
        <f t="shared" si="10"/>
        <v>24</v>
      </c>
      <c r="AQ362" s="55">
        <f t="shared" si="11"/>
        <v>11880</v>
      </c>
    </row>
    <row r="363" spans="1:43">
      <c r="A363" s="47">
        <v>324</v>
      </c>
      <c r="B363" s="56">
        <v>4971710511833</v>
      </c>
      <c r="C363" s="57" t="s">
        <v>222</v>
      </c>
      <c r="D363" s="75" t="s">
        <v>884</v>
      </c>
      <c r="E363" s="48" t="s">
        <v>223</v>
      </c>
      <c r="F363" s="58">
        <v>0</v>
      </c>
      <c r="G363" s="50">
        <v>0</v>
      </c>
      <c r="H363" s="51">
        <v>0</v>
      </c>
      <c r="I363" s="52">
        <v>0</v>
      </c>
      <c r="J363" s="49">
        <v>0</v>
      </c>
      <c r="K363" s="50">
        <v>0</v>
      </c>
      <c r="L363" s="49">
        <v>0</v>
      </c>
      <c r="M363" s="50">
        <v>0</v>
      </c>
      <c r="N363" s="49">
        <v>0</v>
      </c>
      <c r="O363" s="50">
        <v>0</v>
      </c>
      <c r="P363" s="49">
        <v>0</v>
      </c>
      <c r="Q363" s="53">
        <v>0</v>
      </c>
      <c r="R363" s="58"/>
      <c r="S363" s="59"/>
      <c r="T363" s="60"/>
      <c r="U363" s="61"/>
      <c r="V363" s="58"/>
      <c r="W363" s="59"/>
      <c r="X363" s="49"/>
      <c r="Y363" s="50"/>
      <c r="Z363" s="49">
        <v>4</v>
      </c>
      <c r="AA363" s="50">
        <v>2640</v>
      </c>
      <c r="AB363" s="49">
        <v>20</v>
      </c>
      <c r="AC363" s="53">
        <v>13200</v>
      </c>
      <c r="AD363" s="49"/>
      <c r="AE363" s="53"/>
      <c r="AF363" s="49"/>
      <c r="AG363" s="53"/>
      <c r="AH363" s="49"/>
      <c r="AI363" s="53"/>
      <c r="AJ363" s="53"/>
      <c r="AK363" s="53"/>
      <c r="AL363" s="53"/>
      <c r="AM363" s="53"/>
      <c r="AN363" s="53"/>
      <c r="AO363" s="53"/>
      <c r="AP363" s="62">
        <f t="shared" si="10"/>
        <v>24</v>
      </c>
      <c r="AQ363" s="55">
        <f t="shared" si="11"/>
        <v>15840</v>
      </c>
    </row>
    <row r="364" spans="1:43">
      <c r="A364" s="47">
        <v>357</v>
      </c>
      <c r="B364" s="56">
        <v>4971710575767</v>
      </c>
      <c r="C364" s="57" t="s">
        <v>586</v>
      </c>
      <c r="D364" s="75" t="s">
        <v>884</v>
      </c>
      <c r="E364" s="48" t="s">
        <v>587</v>
      </c>
      <c r="F364" s="58">
        <v>0</v>
      </c>
      <c r="G364" s="50">
        <v>0</v>
      </c>
      <c r="H364" s="51">
        <v>0</v>
      </c>
      <c r="I364" s="52">
        <v>0</v>
      </c>
      <c r="J364" s="49">
        <v>10</v>
      </c>
      <c r="K364" s="50">
        <v>4950</v>
      </c>
      <c r="L364" s="49">
        <v>0</v>
      </c>
      <c r="M364" s="50">
        <v>0</v>
      </c>
      <c r="N364" s="49">
        <v>0</v>
      </c>
      <c r="O364" s="50">
        <v>0</v>
      </c>
      <c r="P364" s="49">
        <v>0</v>
      </c>
      <c r="Q364" s="53">
        <v>0</v>
      </c>
      <c r="R364" s="58"/>
      <c r="S364" s="59"/>
      <c r="T364" s="60"/>
      <c r="U364" s="61"/>
      <c r="V364" s="58"/>
      <c r="W364" s="59"/>
      <c r="X364" s="49"/>
      <c r="Y364" s="50"/>
      <c r="Z364" s="49"/>
      <c r="AA364" s="50"/>
      <c r="AB364" s="49"/>
      <c r="AC364" s="53"/>
      <c r="AD364" s="49">
        <v>4</v>
      </c>
      <c r="AE364" s="53">
        <v>1980</v>
      </c>
      <c r="AF364" s="49"/>
      <c r="AG364" s="53"/>
      <c r="AH364" s="49"/>
      <c r="AI364" s="53"/>
      <c r="AJ364" s="53"/>
      <c r="AK364" s="53"/>
      <c r="AL364" s="53"/>
      <c r="AM364" s="53"/>
      <c r="AN364" s="53">
        <v>10</v>
      </c>
      <c r="AO364" s="53">
        <v>4950</v>
      </c>
      <c r="AP364" s="62">
        <f t="shared" si="10"/>
        <v>24</v>
      </c>
      <c r="AQ364" s="55">
        <f t="shared" si="11"/>
        <v>11880</v>
      </c>
    </row>
    <row r="365" spans="1:43">
      <c r="A365" s="47">
        <v>440</v>
      </c>
      <c r="B365" s="56">
        <v>4971710479560</v>
      </c>
      <c r="C365" s="57" t="s">
        <v>30</v>
      </c>
      <c r="D365" s="75" t="s">
        <v>884</v>
      </c>
      <c r="E365" s="48" t="s">
        <v>31</v>
      </c>
      <c r="F365" s="58"/>
      <c r="G365" s="50">
        <v>0</v>
      </c>
      <c r="H365" s="51"/>
      <c r="I365" s="52"/>
      <c r="J365" s="49">
        <v>24</v>
      </c>
      <c r="K365" s="50">
        <v>23760</v>
      </c>
      <c r="L365" s="49"/>
      <c r="M365" s="50"/>
      <c r="N365" s="49"/>
      <c r="O365" s="50"/>
      <c r="P365" s="49">
        <v>0</v>
      </c>
      <c r="Q365" s="53"/>
      <c r="R365" s="58"/>
      <c r="S365" s="59"/>
      <c r="T365" s="60"/>
      <c r="U365" s="61"/>
      <c r="V365" s="58"/>
      <c r="W365" s="59"/>
      <c r="X365" s="49"/>
      <c r="Y365" s="50"/>
      <c r="Z365" s="49"/>
      <c r="AA365" s="50"/>
      <c r="AB365" s="49"/>
      <c r="AC365" s="53"/>
      <c r="AD365" s="49"/>
      <c r="AE365" s="53"/>
      <c r="AF365" s="49"/>
      <c r="AG365" s="53"/>
      <c r="AH365" s="49"/>
      <c r="AI365" s="53"/>
      <c r="AJ365" s="53"/>
      <c r="AK365" s="53"/>
      <c r="AL365" s="53"/>
      <c r="AM365" s="53"/>
      <c r="AN365" s="53"/>
      <c r="AO365" s="53"/>
      <c r="AP365" s="62">
        <f t="shared" si="10"/>
        <v>24</v>
      </c>
      <c r="AQ365" s="55">
        <f t="shared" si="11"/>
        <v>23760</v>
      </c>
    </row>
    <row r="366" spans="1:43">
      <c r="A366" s="47">
        <v>441</v>
      </c>
      <c r="B366" s="56">
        <v>4971710487688</v>
      </c>
      <c r="C366" s="57" t="s">
        <v>50</v>
      </c>
      <c r="D366" s="75" t="s">
        <v>884</v>
      </c>
      <c r="E366" s="48" t="s">
        <v>51</v>
      </c>
      <c r="F366" s="58"/>
      <c r="G366" s="50">
        <v>0</v>
      </c>
      <c r="H366" s="51"/>
      <c r="I366" s="52"/>
      <c r="J366" s="49">
        <v>24</v>
      </c>
      <c r="K366" s="50">
        <v>21120</v>
      </c>
      <c r="L366" s="49"/>
      <c r="M366" s="50"/>
      <c r="N366" s="49"/>
      <c r="O366" s="50"/>
      <c r="P366" s="49">
        <v>0</v>
      </c>
      <c r="Q366" s="53"/>
      <c r="R366" s="58"/>
      <c r="S366" s="59"/>
      <c r="T366" s="60"/>
      <c r="U366" s="61"/>
      <c r="V366" s="58"/>
      <c r="W366" s="59"/>
      <c r="X366" s="49"/>
      <c r="Y366" s="50"/>
      <c r="Z366" s="49"/>
      <c r="AA366" s="50"/>
      <c r="AB366" s="49"/>
      <c r="AC366" s="53"/>
      <c r="AD366" s="49"/>
      <c r="AE366" s="53"/>
      <c r="AF366" s="49"/>
      <c r="AG366" s="53"/>
      <c r="AH366" s="49"/>
      <c r="AI366" s="53"/>
      <c r="AJ366" s="53"/>
      <c r="AK366" s="53"/>
      <c r="AL366" s="53"/>
      <c r="AM366" s="53"/>
      <c r="AN366" s="53"/>
      <c r="AO366" s="53"/>
      <c r="AP366" s="62">
        <f t="shared" si="10"/>
        <v>24</v>
      </c>
      <c r="AQ366" s="55">
        <f t="shared" si="11"/>
        <v>21120</v>
      </c>
    </row>
    <row r="367" spans="1:43">
      <c r="A367" s="47">
        <v>442</v>
      </c>
      <c r="B367" s="56">
        <v>4971710487855</v>
      </c>
      <c r="C367" s="57" t="s">
        <v>78</v>
      </c>
      <c r="D367" s="75" t="s">
        <v>884</v>
      </c>
      <c r="E367" s="48" t="s">
        <v>79</v>
      </c>
      <c r="F367" s="58"/>
      <c r="G367" s="50">
        <v>0</v>
      </c>
      <c r="H367" s="51"/>
      <c r="I367" s="52"/>
      <c r="J367" s="49">
        <v>24</v>
      </c>
      <c r="K367" s="50">
        <v>21120</v>
      </c>
      <c r="L367" s="49"/>
      <c r="M367" s="50"/>
      <c r="N367" s="49"/>
      <c r="O367" s="50"/>
      <c r="P367" s="49">
        <v>0</v>
      </c>
      <c r="Q367" s="53"/>
      <c r="R367" s="58"/>
      <c r="S367" s="59"/>
      <c r="T367" s="60"/>
      <c r="U367" s="61"/>
      <c r="V367" s="58"/>
      <c r="W367" s="59"/>
      <c r="X367" s="49"/>
      <c r="Y367" s="50"/>
      <c r="Z367" s="49"/>
      <c r="AA367" s="50"/>
      <c r="AB367" s="49"/>
      <c r="AC367" s="53"/>
      <c r="AD367" s="49"/>
      <c r="AE367" s="53"/>
      <c r="AF367" s="49"/>
      <c r="AG367" s="53"/>
      <c r="AH367" s="49"/>
      <c r="AI367" s="53"/>
      <c r="AJ367" s="53"/>
      <c r="AK367" s="53"/>
      <c r="AL367" s="53"/>
      <c r="AM367" s="53"/>
      <c r="AN367" s="53"/>
      <c r="AO367" s="53"/>
      <c r="AP367" s="62">
        <f t="shared" si="10"/>
        <v>24</v>
      </c>
      <c r="AQ367" s="55">
        <f t="shared" si="11"/>
        <v>21120</v>
      </c>
    </row>
    <row r="368" spans="1:43">
      <c r="A368" s="47">
        <v>443</v>
      </c>
      <c r="B368" s="56">
        <v>4971710495386</v>
      </c>
      <c r="C368" s="57" t="s">
        <v>160</v>
      </c>
      <c r="D368" s="75" t="s">
        <v>884</v>
      </c>
      <c r="E368" s="48" t="s">
        <v>161</v>
      </c>
      <c r="F368" s="58"/>
      <c r="G368" s="50">
        <v>0</v>
      </c>
      <c r="H368" s="51"/>
      <c r="I368" s="52"/>
      <c r="J368" s="49">
        <v>24</v>
      </c>
      <c r="K368" s="50">
        <v>21120</v>
      </c>
      <c r="L368" s="49"/>
      <c r="M368" s="50"/>
      <c r="N368" s="49"/>
      <c r="O368" s="50"/>
      <c r="P368" s="49">
        <v>0</v>
      </c>
      <c r="Q368" s="53"/>
      <c r="R368" s="58"/>
      <c r="S368" s="59"/>
      <c r="T368" s="60"/>
      <c r="U368" s="61"/>
      <c r="V368" s="58"/>
      <c r="W368" s="59"/>
      <c r="X368" s="49"/>
      <c r="Y368" s="50"/>
      <c r="Z368" s="49"/>
      <c r="AA368" s="50"/>
      <c r="AB368" s="49"/>
      <c r="AC368" s="53"/>
      <c r="AD368" s="49"/>
      <c r="AE368" s="53"/>
      <c r="AF368" s="49"/>
      <c r="AG368" s="53"/>
      <c r="AH368" s="49"/>
      <c r="AI368" s="53"/>
      <c r="AJ368" s="53"/>
      <c r="AK368" s="53"/>
      <c r="AL368" s="53"/>
      <c r="AM368" s="53"/>
      <c r="AN368" s="53"/>
      <c r="AO368" s="53"/>
      <c r="AP368" s="62">
        <f t="shared" si="10"/>
        <v>24</v>
      </c>
      <c r="AQ368" s="55">
        <f t="shared" si="11"/>
        <v>21120</v>
      </c>
    </row>
    <row r="369" spans="1:43">
      <c r="A369" s="47">
        <v>444</v>
      </c>
      <c r="B369" s="56">
        <v>4971710511895</v>
      </c>
      <c r="C369" s="57" t="s">
        <v>230</v>
      </c>
      <c r="D369" s="75" t="s">
        <v>884</v>
      </c>
      <c r="E369" s="48" t="s">
        <v>231</v>
      </c>
      <c r="F369" s="58"/>
      <c r="G369" s="50">
        <v>0</v>
      </c>
      <c r="H369" s="51"/>
      <c r="I369" s="52"/>
      <c r="J369" s="49">
        <v>24</v>
      </c>
      <c r="K369" s="50">
        <v>21120</v>
      </c>
      <c r="L369" s="49"/>
      <c r="M369" s="50"/>
      <c r="N369" s="49"/>
      <c r="O369" s="50"/>
      <c r="P369" s="49">
        <v>0</v>
      </c>
      <c r="Q369" s="53"/>
      <c r="R369" s="58"/>
      <c r="S369" s="59"/>
      <c r="T369" s="60"/>
      <c r="U369" s="61"/>
      <c r="V369" s="58"/>
      <c r="W369" s="59"/>
      <c r="X369" s="49"/>
      <c r="Y369" s="50"/>
      <c r="Z369" s="49"/>
      <c r="AA369" s="50"/>
      <c r="AB369" s="49"/>
      <c r="AC369" s="53"/>
      <c r="AD369" s="49"/>
      <c r="AE369" s="53"/>
      <c r="AF369" s="49"/>
      <c r="AG369" s="53"/>
      <c r="AH369" s="49"/>
      <c r="AI369" s="53"/>
      <c r="AJ369" s="53"/>
      <c r="AK369" s="53"/>
      <c r="AL369" s="53"/>
      <c r="AM369" s="53"/>
      <c r="AN369" s="53"/>
      <c r="AO369" s="53"/>
      <c r="AP369" s="62">
        <f t="shared" si="10"/>
        <v>24</v>
      </c>
      <c r="AQ369" s="55">
        <f t="shared" si="11"/>
        <v>21120</v>
      </c>
    </row>
    <row r="370" spans="1:43">
      <c r="A370" s="47">
        <v>445</v>
      </c>
      <c r="B370" s="56">
        <v>4971710522495</v>
      </c>
      <c r="C370" s="57" t="s">
        <v>388</v>
      </c>
      <c r="D370" s="75" t="s">
        <v>884</v>
      </c>
      <c r="E370" s="48" t="s">
        <v>389</v>
      </c>
      <c r="F370" s="58"/>
      <c r="G370" s="50">
        <v>0</v>
      </c>
      <c r="H370" s="51"/>
      <c r="I370" s="52"/>
      <c r="J370" s="49">
        <v>24</v>
      </c>
      <c r="K370" s="50">
        <v>17160</v>
      </c>
      <c r="L370" s="49"/>
      <c r="M370" s="50"/>
      <c r="N370" s="49"/>
      <c r="O370" s="50"/>
      <c r="P370" s="49">
        <v>0</v>
      </c>
      <c r="Q370" s="53"/>
      <c r="R370" s="58"/>
      <c r="S370" s="59"/>
      <c r="T370" s="60"/>
      <c r="U370" s="61"/>
      <c r="V370" s="58"/>
      <c r="W370" s="59"/>
      <c r="X370" s="49"/>
      <c r="Y370" s="50"/>
      <c r="Z370" s="49"/>
      <c r="AA370" s="50"/>
      <c r="AB370" s="49"/>
      <c r="AC370" s="53"/>
      <c r="AD370" s="49"/>
      <c r="AE370" s="53"/>
      <c r="AF370" s="49"/>
      <c r="AG370" s="53"/>
      <c r="AH370" s="49"/>
      <c r="AI370" s="53"/>
      <c r="AJ370" s="53"/>
      <c r="AK370" s="53"/>
      <c r="AL370" s="53"/>
      <c r="AM370" s="53"/>
      <c r="AN370" s="53"/>
      <c r="AO370" s="53"/>
      <c r="AP370" s="62">
        <f t="shared" si="10"/>
        <v>24</v>
      </c>
      <c r="AQ370" s="55">
        <f t="shared" si="11"/>
        <v>17160</v>
      </c>
    </row>
    <row r="371" spans="1:43">
      <c r="A371" s="47">
        <v>327</v>
      </c>
      <c r="B371" s="56">
        <v>4971710615920</v>
      </c>
      <c r="C371" s="57" t="s">
        <v>1055</v>
      </c>
      <c r="D371" s="75" t="s">
        <v>880</v>
      </c>
      <c r="E371" s="48" t="s">
        <v>1058</v>
      </c>
      <c r="F371" s="58"/>
      <c r="G371" s="50"/>
      <c r="H371" s="51"/>
      <c r="I371" s="52"/>
      <c r="J371" s="49"/>
      <c r="K371" s="50"/>
      <c r="L371" s="49"/>
      <c r="M371" s="50"/>
      <c r="N371" s="49"/>
      <c r="O371" s="50"/>
      <c r="P371" s="49"/>
      <c r="Q371" s="53"/>
      <c r="R371" s="58"/>
      <c r="S371" s="59"/>
      <c r="T371" s="60"/>
      <c r="U371" s="61"/>
      <c r="V371" s="58"/>
      <c r="W371" s="59"/>
      <c r="X371" s="49"/>
      <c r="Y371" s="50"/>
      <c r="Z371" s="49"/>
      <c r="AA371" s="50"/>
      <c r="AB371" s="49"/>
      <c r="AC371" s="53"/>
      <c r="AD371" s="49"/>
      <c r="AE371" s="53"/>
      <c r="AF371" s="49"/>
      <c r="AG371" s="53"/>
      <c r="AH371" s="49"/>
      <c r="AI371" s="53"/>
      <c r="AJ371" s="53"/>
      <c r="AK371" s="53"/>
      <c r="AL371" s="53"/>
      <c r="AM371" s="53"/>
      <c r="AN371" s="53">
        <v>20</v>
      </c>
      <c r="AO371" s="53">
        <v>13200</v>
      </c>
      <c r="AP371" s="63">
        <f t="shared" si="10"/>
        <v>20</v>
      </c>
      <c r="AQ371" s="55">
        <f t="shared" si="11"/>
        <v>13200</v>
      </c>
    </row>
    <row r="372" spans="1:43">
      <c r="A372" s="47">
        <v>328</v>
      </c>
      <c r="B372" s="56">
        <v>4971710293531</v>
      </c>
      <c r="C372" s="57" t="s">
        <v>1046</v>
      </c>
      <c r="D372" s="75" t="s">
        <v>1076</v>
      </c>
      <c r="E372" s="48" t="s">
        <v>1047</v>
      </c>
      <c r="F372" s="58"/>
      <c r="G372" s="50"/>
      <c r="H372" s="51"/>
      <c r="I372" s="52"/>
      <c r="J372" s="49"/>
      <c r="K372" s="50"/>
      <c r="L372" s="49"/>
      <c r="M372" s="50"/>
      <c r="N372" s="49"/>
      <c r="O372" s="50"/>
      <c r="P372" s="49"/>
      <c r="Q372" s="53"/>
      <c r="R372" s="58"/>
      <c r="S372" s="59"/>
      <c r="T372" s="60"/>
      <c r="U372" s="61"/>
      <c r="V372" s="58"/>
      <c r="W372" s="59"/>
      <c r="X372" s="49"/>
      <c r="Y372" s="50"/>
      <c r="Z372" s="49"/>
      <c r="AA372" s="50"/>
      <c r="AB372" s="49"/>
      <c r="AC372" s="53"/>
      <c r="AD372" s="49"/>
      <c r="AE372" s="53"/>
      <c r="AF372" s="49"/>
      <c r="AG372" s="53"/>
      <c r="AH372" s="49"/>
      <c r="AI372" s="53"/>
      <c r="AJ372" s="53"/>
      <c r="AK372" s="53"/>
      <c r="AL372" s="53"/>
      <c r="AM372" s="53"/>
      <c r="AN372" s="53">
        <v>20</v>
      </c>
      <c r="AO372" s="53">
        <v>660000</v>
      </c>
      <c r="AP372" s="63">
        <f t="shared" si="10"/>
        <v>20</v>
      </c>
      <c r="AQ372" s="55">
        <f t="shared" si="11"/>
        <v>660000</v>
      </c>
    </row>
    <row r="373" spans="1:43">
      <c r="A373" s="47">
        <v>332</v>
      </c>
      <c r="B373" s="56">
        <v>4971710572803</v>
      </c>
      <c r="C373" s="57" t="s">
        <v>921</v>
      </c>
      <c r="D373" s="75" t="s">
        <v>1076</v>
      </c>
      <c r="E373" s="48" t="s">
        <v>937</v>
      </c>
      <c r="F373" s="58"/>
      <c r="G373" s="50"/>
      <c r="H373" s="51"/>
      <c r="I373" s="52"/>
      <c r="J373" s="49"/>
      <c r="K373" s="50"/>
      <c r="L373" s="49"/>
      <c r="M373" s="50"/>
      <c r="N373" s="49"/>
      <c r="O373" s="50"/>
      <c r="P373" s="49"/>
      <c r="Q373" s="53"/>
      <c r="R373" s="58"/>
      <c r="S373" s="59"/>
      <c r="T373" s="60"/>
      <c r="U373" s="61"/>
      <c r="V373" s="58"/>
      <c r="W373" s="59"/>
      <c r="X373" s="49"/>
      <c r="Y373" s="50"/>
      <c r="Z373" s="49"/>
      <c r="AA373" s="50"/>
      <c r="AB373" s="49"/>
      <c r="AC373" s="53"/>
      <c r="AD373" s="49"/>
      <c r="AE373" s="53"/>
      <c r="AF373" s="49"/>
      <c r="AG373" s="53"/>
      <c r="AH373" s="49">
        <v>15</v>
      </c>
      <c r="AI373" s="53">
        <v>26400</v>
      </c>
      <c r="AJ373" s="53"/>
      <c r="AK373" s="53"/>
      <c r="AL373" s="53"/>
      <c r="AM373" s="53"/>
      <c r="AN373" s="53">
        <v>5</v>
      </c>
      <c r="AO373" s="53">
        <v>8800</v>
      </c>
      <c r="AP373" s="63">
        <f t="shared" si="10"/>
        <v>20</v>
      </c>
      <c r="AQ373" s="55">
        <f t="shared" si="11"/>
        <v>35200</v>
      </c>
    </row>
    <row r="374" spans="1:43">
      <c r="A374" s="47">
        <v>333</v>
      </c>
      <c r="B374" s="56">
        <v>4971710572810</v>
      </c>
      <c r="C374" s="57" t="s">
        <v>922</v>
      </c>
      <c r="D374" s="75" t="s">
        <v>1076</v>
      </c>
      <c r="E374" s="48" t="s">
        <v>938</v>
      </c>
      <c r="F374" s="58"/>
      <c r="G374" s="50"/>
      <c r="H374" s="51"/>
      <c r="I374" s="52"/>
      <c r="J374" s="49"/>
      <c r="K374" s="50"/>
      <c r="L374" s="49"/>
      <c r="M374" s="50"/>
      <c r="N374" s="49"/>
      <c r="O374" s="50"/>
      <c r="P374" s="49"/>
      <c r="Q374" s="53"/>
      <c r="R374" s="58"/>
      <c r="S374" s="59"/>
      <c r="T374" s="60"/>
      <c r="U374" s="61"/>
      <c r="V374" s="58"/>
      <c r="W374" s="59"/>
      <c r="X374" s="49"/>
      <c r="Y374" s="50"/>
      <c r="Z374" s="49"/>
      <c r="AA374" s="50"/>
      <c r="AB374" s="49"/>
      <c r="AC374" s="53"/>
      <c r="AD374" s="49"/>
      <c r="AE374" s="53"/>
      <c r="AF374" s="49"/>
      <c r="AG374" s="53"/>
      <c r="AH374" s="49">
        <v>15</v>
      </c>
      <c r="AI374" s="53">
        <v>26400</v>
      </c>
      <c r="AJ374" s="53"/>
      <c r="AK374" s="53"/>
      <c r="AL374" s="53"/>
      <c r="AM374" s="53"/>
      <c r="AN374" s="53">
        <v>5</v>
      </c>
      <c r="AO374" s="53">
        <v>8800</v>
      </c>
      <c r="AP374" s="63">
        <f t="shared" si="10"/>
        <v>20</v>
      </c>
      <c r="AQ374" s="55">
        <f t="shared" si="11"/>
        <v>35200</v>
      </c>
    </row>
    <row r="375" spans="1:43">
      <c r="A375" s="47">
        <v>337</v>
      </c>
      <c r="B375" s="56">
        <v>4971710572520</v>
      </c>
      <c r="C375" s="57" t="s">
        <v>802</v>
      </c>
      <c r="D375" s="75" t="s">
        <v>882</v>
      </c>
      <c r="E375" s="48" t="s">
        <v>1019</v>
      </c>
      <c r="F375" s="58">
        <v>0</v>
      </c>
      <c r="G375" s="50">
        <v>0</v>
      </c>
      <c r="H375" s="51">
        <v>0</v>
      </c>
      <c r="I375" s="52">
        <v>0</v>
      </c>
      <c r="J375" s="49">
        <v>0</v>
      </c>
      <c r="K375" s="50">
        <v>0</v>
      </c>
      <c r="L375" s="49">
        <v>0</v>
      </c>
      <c r="M375" s="50">
        <v>0</v>
      </c>
      <c r="N375" s="49">
        <v>0</v>
      </c>
      <c r="O375" s="50">
        <v>0</v>
      </c>
      <c r="P375" s="49">
        <v>0</v>
      </c>
      <c r="Q375" s="53">
        <v>0</v>
      </c>
      <c r="R375" s="58"/>
      <c r="S375" s="59"/>
      <c r="T375" s="60"/>
      <c r="U375" s="61"/>
      <c r="V375" s="58"/>
      <c r="W375" s="59"/>
      <c r="X375" s="49"/>
      <c r="Y375" s="50"/>
      <c r="Z375" s="49">
        <v>20</v>
      </c>
      <c r="AA375" s="50">
        <v>79200</v>
      </c>
      <c r="AB375" s="49"/>
      <c r="AC375" s="53"/>
      <c r="AD375" s="49"/>
      <c r="AE375" s="53"/>
      <c r="AF375" s="49"/>
      <c r="AG375" s="53"/>
      <c r="AH375" s="49"/>
      <c r="AI375" s="53"/>
      <c r="AJ375" s="53"/>
      <c r="AK375" s="53"/>
      <c r="AL375" s="53"/>
      <c r="AM375" s="53"/>
      <c r="AN375" s="53"/>
      <c r="AO375" s="53"/>
      <c r="AP375" s="62">
        <f t="shared" si="10"/>
        <v>20</v>
      </c>
      <c r="AQ375" s="55">
        <f t="shared" si="11"/>
        <v>79200</v>
      </c>
    </row>
    <row r="376" spans="1:43">
      <c r="A376" s="47">
        <v>339</v>
      </c>
      <c r="B376" s="56">
        <v>4971710507577</v>
      </c>
      <c r="C376" s="57" t="s">
        <v>176</v>
      </c>
      <c r="D376" s="75" t="s">
        <v>884</v>
      </c>
      <c r="E376" s="48" t="s">
        <v>177</v>
      </c>
      <c r="F376" s="58">
        <v>0</v>
      </c>
      <c r="G376" s="50">
        <v>0</v>
      </c>
      <c r="H376" s="51">
        <v>0</v>
      </c>
      <c r="I376" s="52">
        <v>0</v>
      </c>
      <c r="J376" s="49">
        <v>0</v>
      </c>
      <c r="K376" s="50">
        <v>0</v>
      </c>
      <c r="L376" s="49">
        <v>0</v>
      </c>
      <c r="M376" s="50">
        <v>0</v>
      </c>
      <c r="N376" s="49">
        <v>0</v>
      </c>
      <c r="O376" s="50">
        <v>0</v>
      </c>
      <c r="P376" s="49">
        <v>2</v>
      </c>
      <c r="Q376" s="53">
        <v>1320</v>
      </c>
      <c r="R376" s="58">
        <v>2</v>
      </c>
      <c r="S376" s="59">
        <v>1320</v>
      </c>
      <c r="T376" s="60"/>
      <c r="U376" s="61"/>
      <c r="V376" s="58"/>
      <c r="W376" s="59"/>
      <c r="X376" s="49">
        <v>6</v>
      </c>
      <c r="Y376" s="50">
        <v>3960</v>
      </c>
      <c r="Z376" s="49"/>
      <c r="AA376" s="50"/>
      <c r="AB376" s="49"/>
      <c r="AC376" s="53"/>
      <c r="AD376" s="49"/>
      <c r="AE376" s="53"/>
      <c r="AF376" s="49"/>
      <c r="AG376" s="53"/>
      <c r="AH376" s="49"/>
      <c r="AI376" s="53"/>
      <c r="AJ376" s="53"/>
      <c r="AK376" s="53"/>
      <c r="AL376" s="53"/>
      <c r="AM376" s="53"/>
      <c r="AN376" s="53">
        <v>10</v>
      </c>
      <c r="AO376" s="53">
        <v>6600</v>
      </c>
      <c r="AP376" s="62">
        <f t="shared" si="10"/>
        <v>20</v>
      </c>
      <c r="AQ376" s="55">
        <f t="shared" si="11"/>
        <v>13200</v>
      </c>
    </row>
    <row r="377" spans="1:43">
      <c r="A377" s="47">
        <v>365</v>
      </c>
      <c r="B377" s="56">
        <v>4971710575781</v>
      </c>
      <c r="C377" s="57" t="s">
        <v>588</v>
      </c>
      <c r="D377" s="75" t="s">
        <v>884</v>
      </c>
      <c r="E377" s="48" t="s">
        <v>589</v>
      </c>
      <c r="F377" s="58">
        <v>0</v>
      </c>
      <c r="G377" s="50">
        <v>0</v>
      </c>
      <c r="H377" s="51">
        <v>0</v>
      </c>
      <c r="I377" s="52">
        <v>0</v>
      </c>
      <c r="J377" s="49">
        <v>10</v>
      </c>
      <c r="K377" s="50">
        <v>4950</v>
      </c>
      <c r="L377" s="49">
        <v>0</v>
      </c>
      <c r="M377" s="50">
        <v>0</v>
      </c>
      <c r="N377" s="49">
        <v>0</v>
      </c>
      <c r="O377" s="50">
        <v>0</v>
      </c>
      <c r="P377" s="49">
        <v>0</v>
      </c>
      <c r="Q377" s="53">
        <v>0</v>
      </c>
      <c r="R377" s="58"/>
      <c r="S377" s="59"/>
      <c r="T377" s="60"/>
      <c r="U377" s="61"/>
      <c r="V377" s="58"/>
      <c r="W377" s="59"/>
      <c r="X377" s="49"/>
      <c r="Y377" s="50"/>
      <c r="Z377" s="49"/>
      <c r="AA377" s="50"/>
      <c r="AB377" s="49"/>
      <c r="AC377" s="53"/>
      <c r="AD377" s="49"/>
      <c r="AE377" s="53"/>
      <c r="AF377" s="49"/>
      <c r="AG377" s="53"/>
      <c r="AH377" s="49"/>
      <c r="AI377" s="53"/>
      <c r="AJ377" s="53"/>
      <c r="AK377" s="53"/>
      <c r="AL377" s="53"/>
      <c r="AM377" s="53"/>
      <c r="AN377" s="53">
        <v>10</v>
      </c>
      <c r="AO377" s="53">
        <v>4950</v>
      </c>
      <c r="AP377" s="62">
        <f t="shared" si="10"/>
        <v>20</v>
      </c>
      <c r="AQ377" s="55">
        <f t="shared" si="11"/>
        <v>9900</v>
      </c>
    </row>
    <row r="378" spans="1:43">
      <c r="A378" s="47">
        <v>366</v>
      </c>
      <c r="B378" s="56">
        <v>4971710575866</v>
      </c>
      <c r="C378" s="57" t="s">
        <v>594</v>
      </c>
      <c r="D378" s="75" t="s">
        <v>884</v>
      </c>
      <c r="E378" s="48" t="s">
        <v>595</v>
      </c>
      <c r="F378" s="58">
        <v>0</v>
      </c>
      <c r="G378" s="50">
        <v>0</v>
      </c>
      <c r="H378" s="51">
        <v>0</v>
      </c>
      <c r="I378" s="52">
        <v>0</v>
      </c>
      <c r="J378" s="49">
        <v>10</v>
      </c>
      <c r="K378" s="50">
        <v>4950</v>
      </c>
      <c r="L378" s="49">
        <v>0</v>
      </c>
      <c r="M378" s="50">
        <v>0</v>
      </c>
      <c r="N378" s="49">
        <v>0</v>
      </c>
      <c r="O378" s="50">
        <v>0</v>
      </c>
      <c r="P378" s="49">
        <v>0</v>
      </c>
      <c r="Q378" s="53">
        <v>0</v>
      </c>
      <c r="R378" s="58"/>
      <c r="S378" s="59"/>
      <c r="T378" s="60"/>
      <c r="U378" s="61"/>
      <c r="V378" s="58"/>
      <c r="W378" s="59"/>
      <c r="X378" s="49"/>
      <c r="Y378" s="50"/>
      <c r="Z378" s="49"/>
      <c r="AA378" s="50"/>
      <c r="AB378" s="49"/>
      <c r="AC378" s="53"/>
      <c r="AD378" s="49"/>
      <c r="AE378" s="53"/>
      <c r="AF378" s="49"/>
      <c r="AG378" s="53"/>
      <c r="AH378" s="49"/>
      <c r="AI378" s="53"/>
      <c r="AJ378" s="53"/>
      <c r="AK378" s="53"/>
      <c r="AL378" s="53"/>
      <c r="AM378" s="53"/>
      <c r="AN378" s="53">
        <v>10</v>
      </c>
      <c r="AO378" s="53">
        <v>4950</v>
      </c>
      <c r="AP378" s="62">
        <f t="shared" si="10"/>
        <v>20</v>
      </c>
      <c r="AQ378" s="55">
        <f t="shared" si="11"/>
        <v>9900</v>
      </c>
    </row>
    <row r="379" spans="1:43">
      <c r="A379" s="47">
        <v>367</v>
      </c>
      <c r="B379" s="56">
        <v>4971710578812</v>
      </c>
      <c r="C379" s="57" t="s">
        <v>648</v>
      </c>
      <c r="D379" s="75" t="s">
        <v>884</v>
      </c>
      <c r="E379" s="48" t="s">
        <v>649</v>
      </c>
      <c r="F379" s="58">
        <v>0</v>
      </c>
      <c r="G379" s="50">
        <v>0</v>
      </c>
      <c r="H379" s="51">
        <v>0</v>
      </c>
      <c r="I379" s="52">
        <v>0</v>
      </c>
      <c r="J379" s="49">
        <v>10</v>
      </c>
      <c r="K379" s="50">
        <v>4950</v>
      </c>
      <c r="L379" s="49">
        <v>0</v>
      </c>
      <c r="M379" s="50">
        <v>0</v>
      </c>
      <c r="N379" s="49">
        <v>0</v>
      </c>
      <c r="O379" s="50">
        <v>0</v>
      </c>
      <c r="P379" s="49">
        <v>0</v>
      </c>
      <c r="Q379" s="53">
        <v>0</v>
      </c>
      <c r="R379" s="58"/>
      <c r="S379" s="59"/>
      <c r="T379" s="60"/>
      <c r="U379" s="61"/>
      <c r="V379" s="58"/>
      <c r="W379" s="59"/>
      <c r="X379" s="49"/>
      <c r="Y379" s="50"/>
      <c r="Z379" s="49"/>
      <c r="AA379" s="50"/>
      <c r="AB379" s="49"/>
      <c r="AC379" s="53"/>
      <c r="AD379" s="49"/>
      <c r="AE379" s="53"/>
      <c r="AF379" s="49"/>
      <c r="AG379" s="53"/>
      <c r="AH379" s="49"/>
      <c r="AI379" s="53"/>
      <c r="AJ379" s="53"/>
      <c r="AK379" s="53"/>
      <c r="AL379" s="53"/>
      <c r="AM379" s="53"/>
      <c r="AN379" s="53">
        <v>10</v>
      </c>
      <c r="AO379" s="53">
        <v>4950</v>
      </c>
      <c r="AP379" s="62">
        <f t="shared" si="10"/>
        <v>20</v>
      </c>
      <c r="AQ379" s="55">
        <f t="shared" si="11"/>
        <v>9900</v>
      </c>
    </row>
    <row r="380" spans="1:43">
      <c r="A380" s="47">
        <v>380</v>
      </c>
      <c r="B380" s="56">
        <v>4971710568691</v>
      </c>
      <c r="C380" s="57" t="s">
        <v>533</v>
      </c>
      <c r="D380" s="75" t="s">
        <v>884</v>
      </c>
      <c r="E380" s="48" t="s">
        <v>534</v>
      </c>
      <c r="F380" s="58">
        <v>10</v>
      </c>
      <c r="G380" s="50">
        <v>8250</v>
      </c>
      <c r="H380" s="51">
        <v>0</v>
      </c>
      <c r="I380" s="52">
        <v>0</v>
      </c>
      <c r="J380" s="49">
        <v>0</v>
      </c>
      <c r="K380" s="50">
        <v>0</v>
      </c>
      <c r="L380" s="49">
        <v>0</v>
      </c>
      <c r="M380" s="50">
        <v>0</v>
      </c>
      <c r="N380" s="49">
        <v>0</v>
      </c>
      <c r="O380" s="50">
        <v>0</v>
      </c>
      <c r="P380" s="49">
        <v>0</v>
      </c>
      <c r="Q380" s="53">
        <v>0</v>
      </c>
      <c r="R380" s="58"/>
      <c r="S380" s="59"/>
      <c r="T380" s="60">
        <v>4</v>
      </c>
      <c r="U380" s="61">
        <v>1650</v>
      </c>
      <c r="V380" s="58"/>
      <c r="W380" s="59"/>
      <c r="X380" s="49">
        <v>2</v>
      </c>
      <c r="Y380" s="50">
        <v>1650</v>
      </c>
      <c r="Z380" s="49"/>
      <c r="AA380" s="50"/>
      <c r="AB380" s="49"/>
      <c r="AC380" s="53"/>
      <c r="AD380" s="49">
        <v>2</v>
      </c>
      <c r="AE380" s="53">
        <v>1650</v>
      </c>
      <c r="AF380" s="49"/>
      <c r="AG380" s="53"/>
      <c r="AH380" s="49">
        <v>2</v>
      </c>
      <c r="AI380" s="53">
        <v>1650</v>
      </c>
      <c r="AJ380" s="53"/>
      <c r="AK380" s="53"/>
      <c r="AL380" s="53"/>
      <c r="AM380" s="53"/>
      <c r="AN380" s="53"/>
      <c r="AO380" s="53"/>
      <c r="AP380" s="62">
        <f t="shared" si="10"/>
        <v>20</v>
      </c>
      <c r="AQ380" s="55">
        <f t="shared" si="11"/>
        <v>14850</v>
      </c>
    </row>
    <row r="381" spans="1:43">
      <c r="A381" s="47">
        <v>446</v>
      </c>
      <c r="B381" s="56">
        <v>4971710580037</v>
      </c>
      <c r="C381" s="57" t="s">
        <v>672</v>
      </c>
      <c r="D381" s="75" t="s">
        <v>1094</v>
      </c>
      <c r="E381" s="48" t="s">
        <v>673</v>
      </c>
      <c r="F381" s="58"/>
      <c r="G381" s="50">
        <v>0</v>
      </c>
      <c r="H381" s="51"/>
      <c r="I381" s="52"/>
      <c r="J381" s="49">
        <v>20</v>
      </c>
      <c r="K381" s="50">
        <v>13200</v>
      </c>
      <c r="L381" s="49"/>
      <c r="M381" s="50"/>
      <c r="N381" s="49"/>
      <c r="O381" s="50"/>
      <c r="P381" s="49">
        <v>0</v>
      </c>
      <c r="Q381" s="53"/>
      <c r="R381" s="58"/>
      <c r="S381" s="59"/>
      <c r="T381" s="60"/>
      <c r="U381" s="61"/>
      <c r="V381" s="58"/>
      <c r="W381" s="59"/>
      <c r="X381" s="49"/>
      <c r="Y381" s="50"/>
      <c r="Z381" s="49"/>
      <c r="AA381" s="50"/>
      <c r="AB381" s="49"/>
      <c r="AC381" s="53"/>
      <c r="AD381" s="49"/>
      <c r="AE381" s="53"/>
      <c r="AF381" s="49"/>
      <c r="AG381" s="53"/>
      <c r="AH381" s="49"/>
      <c r="AI381" s="53"/>
      <c r="AJ381" s="53"/>
      <c r="AK381" s="53"/>
      <c r="AL381" s="53"/>
      <c r="AM381" s="53"/>
      <c r="AN381" s="53"/>
      <c r="AO381" s="53"/>
      <c r="AP381" s="62">
        <f t="shared" si="10"/>
        <v>20</v>
      </c>
      <c r="AQ381" s="55">
        <f t="shared" si="11"/>
        <v>13200</v>
      </c>
    </row>
    <row r="382" spans="1:43">
      <c r="A382" s="47">
        <v>387</v>
      </c>
      <c r="B382" s="56">
        <v>4971710573947</v>
      </c>
      <c r="C382" s="57" t="s">
        <v>575</v>
      </c>
      <c r="D382" s="75" t="s">
        <v>884</v>
      </c>
      <c r="E382" s="48" t="s">
        <v>576</v>
      </c>
      <c r="F382" s="58">
        <v>0</v>
      </c>
      <c r="G382" s="50">
        <v>0</v>
      </c>
      <c r="H382" s="51">
        <v>0</v>
      </c>
      <c r="I382" s="52">
        <v>0</v>
      </c>
      <c r="J382" s="49">
        <v>0</v>
      </c>
      <c r="K382" s="50">
        <v>0</v>
      </c>
      <c r="L382" s="49">
        <v>0</v>
      </c>
      <c r="M382" s="50">
        <v>0</v>
      </c>
      <c r="N382" s="49">
        <v>0</v>
      </c>
      <c r="O382" s="50">
        <v>0</v>
      </c>
      <c r="P382" s="49">
        <v>5</v>
      </c>
      <c r="Q382" s="53">
        <v>7700</v>
      </c>
      <c r="R382" s="58"/>
      <c r="S382" s="59"/>
      <c r="T382" s="60">
        <v>12</v>
      </c>
      <c r="U382" s="61">
        <v>9240</v>
      </c>
      <c r="V382" s="58"/>
      <c r="W382" s="59"/>
      <c r="X382" s="49"/>
      <c r="Y382" s="50"/>
      <c r="Z382" s="49"/>
      <c r="AA382" s="50"/>
      <c r="AB382" s="49"/>
      <c r="AC382" s="53"/>
      <c r="AD382" s="49"/>
      <c r="AE382" s="53"/>
      <c r="AF382" s="49"/>
      <c r="AG382" s="53"/>
      <c r="AH382" s="49"/>
      <c r="AI382" s="53"/>
      <c r="AJ382" s="53"/>
      <c r="AK382" s="53"/>
      <c r="AL382" s="53"/>
      <c r="AM382" s="53"/>
      <c r="AN382" s="53"/>
      <c r="AO382" s="53"/>
      <c r="AP382" s="62">
        <f t="shared" si="10"/>
        <v>17</v>
      </c>
      <c r="AQ382" s="55">
        <f t="shared" si="11"/>
        <v>16940</v>
      </c>
    </row>
    <row r="383" spans="1:43">
      <c r="A383" s="47">
        <v>341</v>
      </c>
      <c r="B383" s="56">
        <v>4971710570144</v>
      </c>
      <c r="C383" s="57" t="s">
        <v>919</v>
      </c>
      <c r="D383" s="75" t="s">
        <v>1076</v>
      </c>
      <c r="E383" s="48" t="s">
        <v>935</v>
      </c>
      <c r="F383" s="58"/>
      <c r="G383" s="50"/>
      <c r="H383" s="51"/>
      <c r="I383" s="52"/>
      <c r="J383" s="49"/>
      <c r="K383" s="50"/>
      <c r="L383" s="49"/>
      <c r="M383" s="50"/>
      <c r="N383" s="49"/>
      <c r="O383" s="50"/>
      <c r="P383" s="49"/>
      <c r="Q383" s="53"/>
      <c r="R383" s="58"/>
      <c r="S383" s="59"/>
      <c r="T383" s="60"/>
      <c r="U383" s="61"/>
      <c r="V383" s="58"/>
      <c r="W383" s="59"/>
      <c r="X383" s="49"/>
      <c r="Y383" s="50"/>
      <c r="Z383" s="49"/>
      <c r="AA383" s="50"/>
      <c r="AB383" s="49"/>
      <c r="AC383" s="53"/>
      <c r="AD383" s="49"/>
      <c r="AE383" s="53"/>
      <c r="AF383" s="49"/>
      <c r="AG383" s="53"/>
      <c r="AH383" s="49">
        <v>6</v>
      </c>
      <c r="AI383" s="53">
        <v>20460</v>
      </c>
      <c r="AJ383" s="53"/>
      <c r="AK383" s="53"/>
      <c r="AL383" s="53"/>
      <c r="AM383" s="53"/>
      <c r="AN383" s="53">
        <v>10</v>
      </c>
      <c r="AO383" s="53">
        <v>36850</v>
      </c>
      <c r="AP383" s="63">
        <f t="shared" si="10"/>
        <v>16</v>
      </c>
      <c r="AQ383" s="55">
        <f t="shared" si="11"/>
        <v>57310</v>
      </c>
    </row>
    <row r="384" spans="1:43">
      <c r="A384" s="47">
        <v>342</v>
      </c>
      <c r="B384" s="56">
        <v>4971710570168</v>
      </c>
      <c r="C384" s="57" t="s">
        <v>920</v>
      </c>
      <c r="D384" s="75" t="s">
        <v>1076</v>
      </c>
      <c r="E384" s="48" t="s">
        <v>936</v>
      </c>
      <c r="F384" s="58"/>
      <c r="G384" s="50"/>
      <c r="H384" s="51"/>
      <c r="I384" s="52"/>
      <c r="J384" s="49"/>
      <c r="K384" s="50"/>
      <c r="L384" s="49"/>
      <c r="M384" s="50"/>
      <c r="N384" s="49"/>
      <c r="O384" s="50"/>
      <c r="P384" s="49"/>
      <c r="Q384" s="53"/>
      <c r="R384" s="58"/>
      <c r="S384" s="59"/>
      <c r="T384" s="60"/>
      <c r="U384" s="61"/>
      <c r="V384" s="58"/>
      <c r="W384" s="59"/>
      <c r="X384" s="49"/>
      <c r="Y384" s="50"/>
      <c r="Z384" s="49"/>
      <c r="AA384" s="50"/>
      <c r="AB384" s="49"/>
      <c r="AC384" s="53"/>
      <c r="AD384" s="49"/>
      <c r="AE384" s="53"/>
      <c r="AF384" s="49"/>
      <c r="AG384" s="53"/>
      <c r="AH384" s="49">
        <v>6</v>
      </c>
      <c r="AI384" s="53">
        <v>20460</v>
      </c>
      <c r="AJ384" s="53"/>
      <c r="AK384" s="53"/>
      <c r="AL384" s="53"/>
      <c r="AM384" s="53"/>
      <c r="AN384" s="53">
        <v>10</v>
      </c>
      <c r="AO384" s="53">
        <v>36850</v>
      </c>
      <c r="AP384" s="63">
        <f t="shared" si="10"/>
        <v>16</v>
      </c>
      <c r="AQ384" s="55">
        <f t="shared" si="11"/>
        <v>57310</v>
      </c>
    </row>
    <row r="385" spans="1:43">
      <c r="A385" s="47">
        <v>343</v>
      </c>
      <c r="B385" s="56">
        <v>4971710294736</v>
      </c>
      <c r="C385" s="57" t="s">
        <v>915</v>
      </c>
      <c r="D385" s="75" t="s">
        <v>1076</v>
      </c>
      <c r="E385" s="48" t="s">
        <v>932</v>
      </c>
      <c r="F385" s="58"/>
      <c r="G385" s="50"/>
      <c r="H385" s="51"/>
      <c r="I385" s="52"/>
      <c r="J385" s="49"/>
      <c r="K385" s="50"/>
      <c r="L385" s="49"/>
      <c r="M385" s="50"/>
      <c r="N385" s="49"/>
      <c r="O385" s="50"/>
      <c r="P385" s="49"/>
      <c r="Q385" s="53"/>
      <c r="R385" s="58"/>
      <c r="S385" s="59"/>
      <c r="T385" s="60"/>
      <c r="U385" s="61"/>
      <c r="V385" s="58"/>
      <c r="W385" s="59"/>
      <c r="X385" s="49"/>
      <c r="Y385" s="50"/>
      <c r="Z385" s="49"/>
      <c r="AA385" s="50"/>
      <c r="AB385" s="49"/>
      <c r="AC385" s="53"/>
      <c r="AD385" s="49"/>
      <c r="AE385" s="53"/>
      <c r="AF385" s="49"/>
      <c r="AG385" s="53"/>
      <c r="AH385" s="49">
        <v>10</v>
      </c>
      <c r="AI385" s="53">
        <v>13750</v>
      </c>
      <c r="AJ385" s="53"/>
      <c r="AK385" s="53"/>
      <c r="AL385" s="53"/>
      <c r="AM385" s="53"/>
      <c r="AN385" s="53">
        <v>6</v>
      </c>
      <c r="AO385" s="53">
        <v>8250</v>
      </c>
      <c r="AP385" s="63">
        <f t="shared" si="10"/>
        <v>16</v>
      </c>
      <c r="AQ385" s="55">
        <f t="shared" si="11"/>
        <v>22000</v>
      </c>
    </row>
    <row r="386" spans="1:43">
      <c r="A386" s="47">
        <v>345</v>
      </c>
      <c r="B386" s="56">
        <v>4971710463712</v>
      </c>
      <c r="C386" s="57" t="s">
        <v>816</v>
      </c>
      <c r="D386" s="75" t="s">
        <v>884</v>
      </c>
      <c r="E386" s="48" t="s">
        <v>1022</v>
      </c>
      <c r="F386" s="58">
        <v>0</v>
      </c>
      <c r="G386" s="50">
        <v>0</v>
      </c>
      <c r="H386" s="51">
        <v>0</v>
      </c>
      <c r="I386" s="52">
        <v>0</v>
      </c>
      <c r="J386" s="49">
        <v>0</v>
      </c>
      <c r="K386" s="50">
        <v>0</v>
      </c>
      <c r="L386" s="49">
        <v>0</v>
      </c>
      <c r="M386" s="50">
        <v>0</v>
      </c>
      <c r="N386" s="49">
        <v>0</v>
      </c>
      <c r="O386" s="50">
        <v>0</v>
      </c>
      <c r="P386" s="49">
        <v>0</v>
      </c>
      <c r="Q386" s="53">
        <v>0</v>
      </c>
      <c r="R386" s="58"/>
      <c r="S386" s="59"/>
      <c r="T386" s="60"/>
      <c r="U386" s="61"/>
      <c r="V386" s="58"/>
      <c r="W386" s="59"/>
      <c r="X386" s="49"/>
      <c r="Y386" s="50"/>
      <c r="Z386" s="49"/>
      <c r="AA386" s="50"/>
      <c r="AB386" s="49">
        <v>10</v>
      </c>
      <c r="AC386" s="53">
        <v>4400</v>
      </c>
      <c r="AD386" s="49"/>
      <c r="AE386" s="53"/>
      <c r="AF386" s="49"/>
      <c r="AG386" s="53"/>
      <c r="AH386" s="49">
        <v>6</v>
      </c>
      <c r="AI386" s="53">
        <v>2640</v>
      </c>
      <c r="AJ386" s="53"/>
      <c r="AK386" s="53"/>
      <c r="AL386" s="53"/>
      <c r="AM386" s="53"/>
      <c r="AN386" s="53"/>
      <c r="AO386" s="53"/>
      <c r="AP386" s="63">
        <f t="shared" si="10"/>
        <v>16</v>
      </c>
      <c r="AQ386" s="55">
        <f t="shared" si="11"/>
        <v>7040</v>
      </c>
    </row>
    <row r="387" spans="1:43">
      <c r="A387" s="47">
        <v>375</v>
      </c>
      <c r="B387" s="56">
        <v>4971710517835</v>
      </c>
      <c r="C387" s="57" t="s">
        <v>334</v>
      </c>
      <c r="D387" s="75" t="s">
        <v>884</v>
      </c>
      <c r="E387" s="48" t="s">
        <v>335</v>
      </c>
      <c r="F387" s="58">
        <v>0</v>
      </c>
      <c r="G387" s="50">
        <v>0</v>
      </c>
      <c r="H387" s="51">
        <v>0</v>
      </c>
      <c r="I387" s="52">
        <v>0</v>
      </c>
      <c r="J387" s="49">
        <v>0</v>
      </c>
      <c r="K387" s="50">
        <v>0</v>
      </c>
      <c r="L387" s="49">
        <v>0</v>
      </c>
      <c r="M387" s="50">
        <v>0</v>
      </c>
      <c r="N387" s="49">
        <v>0</v>
      </c>
      <c r="O387" s="50">
        <v>0</v>
      </c>
      <c r="P387" s="49">
        <v>0</v>
      </c>
      <c r="Q387" s="53">
        <v>0</v>
      </c>
      <c r="R387" s="58"/>
      <c r="S387" s="59"/>
      <c r="T387" s="60">
        <v>12</v>
      </c>
      <c r="U387" s="61">
        <v>3960</v>
      </c>
      <c r="V387" s="58"/>
      <c r="W387" s="59"/>
      <c r="X387" s="49"/>
      <c r="Y387" s="50"/>
      <c r="Z387" s="49">
        <v>4</v>
      </c>
      <c r="AA387" s="50">
        <v>2640</v>
      </c>
      <c r="AB387" s="49"/>
      <c r="AC387" s="53"/>
      <c r="AD387" s="49"/>
      <c r="AE387" s="53"/>
      <c r="AF387" s="49"/>
      <c r="AG387" s="53"/>
      <c r="AH387" s="49"/>
      <c r="AI387" s="53"/>
      <c r="AJ387" s="53"/>
      <c r="AK387" s="53"/>
      <c r="AL387" s="53"/>
      <c r="AM387" s="53"/>
      <c r="AN387" s="53"/>
      <c r="AO387" s="53"/>
      <c r="AP387" s="62">
        <f t="shared" ref="AP387:AP450" si="12">F387+H387+J387+L387+N387+P387+R387+T387+V387+X387+Z387+AB387+AD387+AF387+AH387+AJ387+AL387+AN387</f>
        <v>16</v>
      </c>
      <c r="AQ387" s="55">
        <f t="shared" ref="AQ387:AQ450" si="13">G387+I387+K387+M387+O387+Q387+S387+U387+W387+Y387+AA387+AC387+AE387+AG387+AI387+AK387+AM387+AO387</f>
        <v>6600</v>
      </c>
    </row>
    <row r="388" spans="1:43">
      <c r="A388" s="47">
        <v>346</v>
      </c>
      <c r="B388" s="56">
        <v>4971710615913</v>
      </c>
      <c r="C388" s="57" t="s">
        <v>1054</v>
      </c>
      <c r="D388" s="75" t="s">
        <v>880</v>
      </c>
      <c r="E388" s="48" t="s">
        <v>1057</v>
      </c>
      <c r="F388" s="58"/>
      <c r="G388" s="50"/>
      <c r="H388" s="51"/>
      <c r="I388" s="52"/>
      <c r="J388" s="49"/>
      <c r="K388" s="50"/>
      <c r="L388" s="49"/>
      <c r="M388" s="50"/>
      <c r="N388" s="49"/>
      <c r="O388" s="50"/>
      <c r="P388" s="49"/>
      <c r="Q388" s="53"/>
      <c r="R388" s="58"/>
      <c r="S388" s="59"/>
      <c r="T388" s="60"/>
      <c r="U388" s="61"/>
      <c r="V388" s="58"/>
      <c r="W388" s="59"/>
      <c r="X388" s="49"/>
      <c r="Y388" s="50"/>
      <c r="Z388" s="49"/>
      <c r="AA388" s="50"/>
      <c r="AB388" s="49"/>
      <c r="AC388" s="53"/>
      <c r="AD388" s="49"/>
      <c r="AE388" s="53"/>
      <c r="AF388" s="49"/>
      <c r="AG388" s="53"/>
      <c r="AH388" s="49"/>
      <c r="AI388" s="53"/>
      <c r="AJ388" s="53"/>
      <c r="AK388" s="53"/>
      <c r="AL388" s="53"/>
      <c r="AM388" s="53"/>
      <c r="AN388" s="53">
        <v>15</v>
      </c>
      <c r="AO388" s="53">
        <v>9900</v>
      </c>
      <c r="AP388" s="63">
        <f t="shared" si="12"/>
        <v>15</v>
      </c>
      <c r="AQ388" s="55">
        <f t="shared" si="13"/>
        <v>9900</v>
      </c>
    </row>
    <row r="389" spans="1:43">
      <c r="A389" s="47">
        <v>347</v>
      </c>
      <c r="B389" s="56">
        <v>4971710615937</v>
      </c>
      <c r="C389" s="57" t="s">
        <v>1056</v>
      </c>
      <c r="D389" s="75" t="s">
        <v>880</v>
      </c>
      <c r="E389" s="48" t="s">
        <v>1059</v>
      </c>
      <c r="F389" s="58"/>
      <c r="G389" s="50"/>
      <c r="H389" s="51"/>
      <c r="I389" s="52"/>
      <c r="J389" s="49"/>
      <c r="K389" s="50"/>
      <c r="L389" s="49"/>
      <c r="M389" s="50"/>
      <c r="N389" s="49"/>
      <c r="O389" s="50"/>
      <c r="P389" s="49"/>
      <c r="Q389" s="53"/>
      <c r="R389" s="58"/>
      <c r="S389" s="59"/>
      <c r="T389" s="60"/>
      <c r="U389" s="61"/>
      <c r="V389" s="58"/>
      <c r="W389" s="59"/>
      <c r="X389" s="49"/>
      <c r="Y389" s="50"/>
      <c r="Z389" s="49"/>
      <c r="AA389" s="50"/>
      <c r="AB389" s="49"/>
      <c r="AC389" s="53"/>
      <c r="AD389" s="49"/>
      <c r="AE389" s="53"/>
      <c r="AF389" s="49"/>
      <c r="AG389" s="53"/>
      <c r="AH389" s="49"/>
      <c r="AI389" s="53"/>
      <c r="AJ389" s="53"/>
      <c r="AK389" s="53"/>
      <c r="AL389" s="53"/>
      <c r="AM389" s="53"/>
      <c r="AN389" s="53">
        <v>15</v>
      </c>
      <c r="AO389" s="53">
        <v>9900</v>
      </c>
      <c r="AP389" s="63">
        <f t="shared" si="12"/>
        <v>15</v>
      </c>
      <c r="AQ389" s="55">
        <f t="shared" si="13"/>
        <v>9900</v>
      </c>
    </row>
    <row r="390" spans="1:43">
      <c r="A390" s="47">
        <v>348</v>
      </c>
      <c r="B390" s="56">
        <v>4971710615944</v>
      </c>
      <c r="C390" s="57" t="s">
        <v>1060</v>
      </c>
      <c r="D390" s="75" t="s">
        <v>880</v>
      </c>
      <c r="E390" s="48" t="s">
        <v>1063</v>
      </c>
      <c r="F390" s="58"/>
      <c r="G390" s="50"/>
      <c r="H390" s="51"/>
      <c r="I390" s="52"/>
      <c r="J390" s="49"/>
      <c r="K390" s="50"/>
      <c r="L390" s="49"/>
      <c r="M390" s="50"/>
      <c r="N390" s="49"/>
      <c r="O390" s="50"/>
      <c r="P390" s="49"/>
      <c r="Q390" s="53"/>
      <c r="R390" s="58"/>
      <c r="S390" s="59"/>
      <c r="T390" s="60"/>
      <c r="U390" s="61"/>
      <c r="V390" s="58"/>
      <c r="W390" s="59"/>
      <c r="X390" s="49"/>
      <c r="Y390" s="50"/>
      <c r="Z390" s="49"/>
      <c r="AA390" s="50"/>
      <c r="AB390" s="49"/>
      <c r="AC390" s="53"/>
      <c r="AD390" s="49"/>
      <c r="AE390" s="53"/>
      <c r="AF390" s="49"/>
      <c r="AG390" s="53"/>
      <c r="AH390" s="49"/>
      <c r="AI390" s="53"/>
      <c r="AJ390" s="53"/>
      <c r="AK390" s="53"/>
      <c r="AL390" s="53"/>
      <c r="AM390" s="53"/>
      <c r="AN390" s="53">
        <v>15</v>
      </c>
      <c r="AO390" s="53">
        <v>9900</v>
      </c>
      <c r="AP390" s="63">
        <f t="shared" si="12"/>
        <v>15</v>
      </c>
      <c r="AQ390" s="55">
        <f t="shared" si="13"/>
        <v>9900</v>
      </c>
    </row>
    <row r="391" spans="1:43">
      <c r="A391" s="47">
        <v>349</v>
      </c>
      <c r="B391" s="56">
        <v>4971710615951</v>
      </c>
      <c r="C391" s="57" t="s">
        <v>1061</v>
      </c>
      <c r="D391" s="75" t="s">
        <v>880</v>
      </c>
      <c r="E391" s="48" t="s">
        <v>1064</v>
      </c>
      <c r="F391" s="58"/>
      <c r="G391" s="50"/>
      <c r="H391" s="51"/>
      <c r="I391" s="52"/>
      <c r="J391" s="49"/>
      <c r="K391" s="50"/>
      <c r="L391" s="49"/>
      <c r="M391" s="50"/>
      <c r="N391" s="49"/>
      <c r="O391" s="50"/>
      <c r="P391" s="49"/>
      <c r="Q391" s="53"/>
      <c r="R391" s="58"/>
      <c r="S391" s="59"/>
      <c r="T391" s="60"/>
      <c r="U391" s="61"/>
      <c r="V391" s="58"/>
      <c r="W391" s="59"/>
      <c r="X391" s="49"/>
      <c r="Y391" s="50"/>
      <c r="Z391" s="49"/>
      <c r="AA391" s="50"/>
      <c r="AB391" s="49"/>
      <c r="AC391" s="53"/>
      <c r="AD391" s="49"/>
      <c r="AE391" s="53"/>
      <c r="AF391" s="49"/>
      <c r="AG391" s="53"/>
      <c r="AH391" s="49"/>
      <c r="AI391" s="53"/>
      <c r="AJ391" s="53"/>
      <c r="AK391" s="53"/>
      <c r="AL391" s="53"/>
      <c r="AM391" s="53"/>
      <c r="AN391" s="53">
        <v>15</v>
      </c>
      <c r="AO391" s="53">
        <v>9900</v>
      </c>
      <c r="AP391" s="63">
        <f t="shared" si="12"/>
        <v>15</v>
      </c>
      <c r="AQ391" s="55">
        <f t="shared" si="13"/>
        <v>9900</v>
      </c>
    </row>
    <row r="392" spans="1:43">
      <c r="A392" s="47">
        <v>350</v>
      </c>
      <c r="B392" s="56">
        <v>4971710615968</v>
      </c>
      <c r="C392" s="57" t="s">
        <v>1062</v>
      </c>
      <c r="D392" s="75" t="s">
        <v>880</v>
      </c>
      <c r="E392" s="48" t="s">
        <v>1065</v>
      </c>
      <c r="F392" s="58"/>
      <c r="G392" s="50"/>
      <c r="H392" s="51"/>
      <c r="I392" s="52"/>
      <c r="J392" s="49"/>
      <c r="K392" s="50"/>
      <c r="L392" s="49"/>
      <c r="M392" s="50"/>
      <c r="N392" s="49"/>
      <c r="O392" s="50"/>
      <c r="P392" s="49"/>
      <c r="Q392" s="53"/>
      <c r="R392" s="58"/>
      <c r="S392" s="59"/>
      <c r="T392" s="60"/>
      <c r="U392" s="61"/>
      <c r="V392" s="58"/>
      <c r="W392" s="59"/>
      <c r="X392" s="49"/>
      <c r="Y392" s="50"/>
      <c r="Z392" s="49"/>
      <c r="AA392" s="50"/>
      <c r="AB392" s="49"/>
      <c r="AC392" s="53"/>
      <c r="AD392" s="49"/>
      <c r="AE392" s="53"/>
      <c r="AF392" s="49"/>
      <c r="AG392" s="53"/>
      <c r="AH392" s="49"/>
      <c r="AI392" s="53"/>
      <c r="AJ392" s="53"/>
      <c r="AK392" s="53"/>
      <c r="AL392" s="53"/>
      <c r="AM392" s="53"/>
      <c r="AN392" s="53">
        <v>15</v>
      </c>
      <c r="AO392" s="53">
        <v>9900</v>
      </c>
      <c r="AP392" s="63">
        <f t="shared" si="12"/>
        <v>15</v>
      </c>
      <c r="AQ392" s="55">
        <f t="shared" si="13"/>
        <v>9900</v>
      </c>
    </row>
    <row r="393" spans="1:43">
      <c r="A393" s="47">
        <v>351</v>
      </c>
      <c r="B393" s="56">
        <v>4971710285208</v>
      </c>
      <c r="C393" s="57" t="s">
        <v>914</v>
      </c>
      <c r="D393" s="75" t="s">
        <v>1076</v>
      </c>
      <c r="E393" s="48" t="s">
        <v>931</v>
      </c>
      <c r="F393" s="58"/>
      <c r="G393" s="50"/>
      <c r="H393" s="51"/>
      <c r="I393" s="52"/>
      <c r="J393" s="49"/>
      <c r="K393" s="50"/>
      <c r="L393" s="49"/>
      <c r="M393" s="50"/>
      <c r="N393" s="49"/>
      <c r="O393" s="50"/>
      <c r="P393" s="49"/>
      <c r="Q393" s="53"/>
      <c r="R393" s="58"/>
      <c r="S393" s="59"/>
      <c r="T393" s="60"/>
      <c r="U393" s="61"/>
      <c r="V393" s="58"/>
      <c r="W393" s="59"/>
      <c r="X393" s="49"/>
      <c r="Y393" s="50"/>
      <c r="Z393" s="49"/>
      <c r="AA393" s="50"/>
      <c r="AB393" s="49"/>
      <c r="AC393" s="53"/>
      <c r="AD393" s="49"/>
      <c r="AE393" s="53"/>
      <c r="AF393" s="49"/>
      <c r="AG393" s="53"/>
      <c r="AH393" s="49">
        <v>5</v>
      </c>
      <c r="AI393" s="53">
        <v>22000</v>
      </c>
      <c r="AJ393" s="53"/>
      <c r="AK393" s="53"/>
      <c r="AL393" s="53"/>
      <c r="AM393" s="53"/>
      <c r="AN393" s="53">
        <v>10</v>
      </c>
      <c r="AO393" s="53">
        <v>44000</v>
      </c>
      <c r="AP393" s="63">
        <f t="shared" si="12"/>
        <v>15</v>
      </c>
      <c r="AQ393" s="55">
        <f t="shared" si="13"/>
        <v>66000</v>
      </c>
    </row>
    <row r="394" spans="1:43">
      <c r="A394" s="47">
        <v>352</v>
      </c>
      <c r="B394" s="56">
        <v>4971710593556</v>
      </c>
      <c r="C394" s="57" t="s">
        <v>927</v>
      </c>
      <c r="D394" s="75" t="s">
        <v>1076</v>
      </c>
      <c r="E394" s="48" t="s">
        <v>943</v>
      </c>
      <c r="F394" s="58"/>
      <c r="G394" s="50"/>
      <c r="H394" s="51"/>
      <c r="I394" s="52"/>
      <c r="J394" s="49"/>
      <c r="K394" s="50"/>
      <c r="L394" s="49"/>
      <c r="M394" s="50"/>
      <c r="N394" s="49"/>
      <c r="O394" s="50"/>
      <c r="P394" s="49"/>
      <c r="Q394" s="53"/>
      <c r="R394" s="58"/>
      <c r="S394" s="59"/>
      <c r="T394" s="60"/>
      <c r="U394" s="61"/>
      <c r="V394" s="58"/>
      <c r="W394" s="59"/>
      <c r="X394" s="49"/>
      <c r="Y394" s="50"/>
      <c r="Z394" s="49"/>
      <c r="AA394" s="50"/>
      <c r="AB394" s="49"/>
      <c r="AC394" s="53"/>
      <c r="AD394" s="49"/>
      <c r="AE394" s="53"/>
      <c r="AF394" s="49"/>
      <c r="AG394" s="53"/>
      <c r="AH394" s="49">
        <v>5</v>
      </c>
      <c r="AI394" s="53">
        <v>12925</v>
      </c>
      <c r="AJ394" s="53"/>
      <c r="AK394" s="53"/>
      <c r="AL394" s="53"/>
      <c r="AM394" s="53"/>
      <c r="AN394" s="53">
        <v>10</v>
      </c>
      <c r="AO394" s="53">
        <v>25850</v>
      </c>
      <c r="AP394" s="63">
        <f t="shared" si="12"/>
        <v>15</v>
      </c>
      <c r="AQ394" s="55">
        <f t="shared" si="13"/>
        <v>38775</v>
      </c>
    </row>
    <row r="395" spans="1:43">
      <c r="A395" s="47">
        <v>353</v>
      </c>
      <c r="B395" s="56">
        <v>4971710593563</v>
      </c>
      <c r="C395" s="57" t="s">
        <v>928</v>
      </c>
      <c r="D395" s="75" t="s">
        <v>1076</v>
      </c>
      <c r="E395" s="48" t="s">
        <v>944</v>
      </c>
      <c r="F395" s="58"/>
      <c r="G395" s="50"/>
      <c r="H395" s="51"/>
      <c r="I395" s="52"/>
      <c r="J395" s="49"/>
      <c r="K395" s="50"/>
      <c r="L395" s="49"/>
      <c r="M395" s="50"/>
      <c r="N395" s="49"/>
      <c r="O395" s="50"/>
      <c r="P395" s="49"/>
      <c r="Q395" s="53"/>
      <c r="R395" s="58"/>
      <c r="S395" s="59"/>
      <c r="T395" s="60"/>
      <c r="U395" s="61"/>
      <c r="V395" s="58"/>
      <c r="W395" s="59"/>
      <c r="X395" s="49"/>
      <c r="Y395" s="50"/>
      <c r="Z395" s="49"/>
      <c r="AA395" s="50"/>
      <c r="AB395" s="49"/>
      <c r="AC395" s="53"/>
      <c r="AD395" s="49"/>
      <c r="AE395" s="53"/>
      <c r="AF395" s="49"/>
      <c r="AG395" s="53"/>
      <c r="AH395" s="49">
        <v>5</v>
      </c>
      <c r="AI395" s="53">
        <v>12925</v>
      </c>
      <c r="AJ395" s="53"/>
      <c r="AK395" s="53"/>
      <c r="AL395" s="53"/>
      <c r="AM395" s="53"/>
      <c r="AN395" s="53">
        <v>10</v>
      </c>
      <c r="AO395" s="53">
        <v>25850</v>
      </c>
      <c r="AP395" s="63">
        <f t="shared" si="12"/>
        <v>15</v>
      </c>
      <c r="AQ395" s="55">
        <f t="shared" si="13"/>
        <v>38775</v>
      </c>
    </row>
    <row r="396" spans="1:43">
      <c r="A396" s="47">
        <v>355</v>
      </c>
      <c r="B396" s="56">
        <v>4971710551761</v>
      </c>
      <c r="C396" s="57" t="s">
        <v>917</v>
      </c>
      <c r="D396" s="75" t="s">
        <v>1076</v>
      </c>
      <c r="E396" s="48" t="s">
        <v>933</v>
      </c>
      <c r="F396" s="58"/>
      <c r="G396" s="50"/>
      <c r="H396" s="51"/>
      <c r="I396" s="52"/>
      <c r="J396" s="49"/>
      <c r="K396" s="50"/>
      <c r="L396" s="49"/>
      <c r="M396" s="50"/>
      <c r="N396" s="49"/>
      <c r="O396" s="50"/>
      <c r="P396" s="49"/>
      <c r="Q396" s="53"/>
      <c r="R396" s="58"/>
      <c r="S396" s="59"/>
      <c r="T396" s="60"/>
      <c r="U396" s="61"/>
      <c r="V396" s="58"/>
      <c r="W396" s="59"/>
      <c r="X396" s="49"/>
      <c r="Y396" s="50"/>
      <c r="Z396" s="49"/>
      <c r="AA396" s="50"/>
      <c r="AB396" s="49"/>
      <c r="AC396" s="53"/>
      <c r="AD396" s="49"/>
      <c r="AE396" s="53"/>
      <c r="AF396" s="49"/>
      <c r="AG396" s="53"/>
      <c r="AH396" s="49">
        <v>10</v>
      </c>
      <c r="AI396" s="53">
        <v>15400</v>
      </c>
      <c r="AJ396" s="53"/>
      <c r="AK396" s="53"/>
      <c r="AL396" s="53"/>
      <c r="AM396" s="53"/>
      <c r="AN396" s="53">
        <v>5</v>
      </c>
      <c r="AO396" s="53">
        <v>7700</v>
      </c>
      <c r="AP396" s="63">
        <f t="shared" si="12"/>
        <v>15</v>
      </c>
      <c r="AQ396" s="55">
        <f t="shared" si="13"/>
        <v>23100</v>
      </c>
    </row>
    <row r="397" spans="1:43">
      <c r="A397" s="47">
        <v>408</v>
      </c>
      <c r="B397" s="56">
        <v>4971710568684</v>
      </c>
      <c r="C397" s="57" t="s">
        <v>531</v>
      </c>
      <c r="D397" s="75" t="s">
        <v>884</v>
      </c>
      <c r="E397" s="48" t="s">
        <v>532</v>
      </c>
      <c r="F397" s="58">
        <v>10</v>
      </c>
      <c r="G397" s="50">
        <v>8250</v>
      </c>
      <c r="H397" s="51">
        <v>0</v>
      </c>
      <c r="I397" s="52">
        <v>0</v>
      </c>
      <c r="J397" s="49">
        <v>0</v>
      </c>
      <c r="K397" s="50">
        <v>0</v>
      </c>
      <c r="L397" s="49">
        <v>0</v>
      </c>
      <c r="M397" s="50">
        <v>0</v>
      </c>
      <c r="N397" s="49">
        <v>0</v>
      </c>
      <c r="O397" s="50">
        <v>0</v>
      </c>
      <c r="P397" s="49">
        <v>0</v>
      </c>
      <c r="Q397" s="53">
        <v>0</v>
      </c>
      <c r="R397" s="58"/>
      <c r="S397" s="59"/>
      <c r="T397" s="60"/>
      <c r="U397" s="61"/>
      <c r="V397" s="58"/>
      <c r="W397" s="59"/>
      <c r="X397" s="49"/>
      <c r="Y397" s="50"/>
      <c r="Z397" s="49"/>
      <c r="AA397" s="50"/>
      <c r="AB397" s="49"/>
      <c r="AC397" s="53"/>
      <c r="AD397" s="49">
        <v>5</v>
      </c>
      <c r="AE397" s="53">
        <v>4125</v>
      </c>
      <c r="AF397" s="49"/>
      <c r="AG397" s="53"/>
      <c r="AH397" s="49"/>
      <c r="AI397" s="53"/>
      <c r="AJ397" s="53"/>
      <c r="AK397" s="53"/>
      <c r="AL397" s="53"/>
      <c r="AM397" s="53"/>
      <c r="AN397" s="53"/>
      <c r="AO397" s="53"/>
      <c r="AP397" s="62">
        <f t="shared" si="12"/>
        <v>15</v>
      </c>
      <c r="AQ397" s="55">
        <f t="shared" si="13"/>
        <v>12375</v>
      </c>
    </row>
    <row r="398" spans="1:43">
      <c r="A398" s="47">
        <v>356</v>
      </c>
      <c r="B398" s="56">
        <v>4971710592535</v>
      </c>
      <c r="C398" s="57" t="s">
        <v>834</v>
      </c>
      <c r="D398" s="75" t="s">
        <v>880</v>
      </c>
      <c r="E398" s="48" t="s">
        <v>1026</v>
      </c>
      <c r="F398" s="58">
        <v>0</v>
      </c>
      <c r="G398" s="50">
        <v>0</v>
      </c>
      <c r="H398" s="51">
        <v>0</v>
      </c>
      <c r="I398" s="52">
        <v>0</v>
      </c>
      <c r="J398" s="49">
        <v>0</v>
      </c>
      <c r="K398" s="50">
        <v>0</v>
      </c>
      <c r="L398" s="49">
        <v>0</v>
      </c>
      <c r="M398" s="50">
        <v>0</v>
      </c>
      <c r="N398" s="49">
        <v>0</v>
      </c>
      <c r="O398" s="50">
        <v>0</v>
      </c>
      <c r="P398" s="49">
        <v>0</v>
      </c>
      <c r="Q398" s="53">
        <v>0</v>
      </c>
      <c r="R398" s="58"/>
      <c r="S398" s="59"/>
      <c r="T398" s="60"/>
      <c r="U398" s="61"/>
      <c r="V398" s="58"/>
      <c r="W398" s="59"/>
      <c r="X398" s="49"/>
      <c r="Y398" s="50"/>
      <c r="Z398" s="49"/>
      <c r="AA398" s="50"/>
      <c r="AB398" s="49"/>
      <c r="AC398" s="53"/>
      <c r="AD398" s="49">
        <v>2</v>
      </c>
      <c r="AE398" s="53">
        <v>1210</v>
      </c>
      <c r="AF398" s="49"/>
      <c r="AG398" s="53"/>
      <c r="AH398" s="49">
        <v>2</v>
      </c>
      <c r="AI398" s="53">
        <v>1210</v>
      </c>
      <c r="AJ398" s="53"/>
      <c r="AK398" s="53"/>
      <c r="AL398" s="53"/>
      <c r="AM398" s="53"/>
      <c r="AN398" s="53">
        <v>10</v>
      </c>
      <c r="AO398" s="53">
        <v>6050</v>
      </c>
      <c r="AP398" s="63">
        <f t="shared" si="12"/>
        <v>14</v>
      </c>
      <c r="AQ398" s="55">
        <f t="shared" si="13"/>
        <v>8470</v>
      </c>
    </row>
    <row r="399" spans="1:43">
      <c r="A399" s="47">
        <v>410</v>
      </c>
      <c r="B399" s="56">
        <v>4971710540048</v>
      </c>
      <c r="C399" s="57" t="s">
        <v>418</v>
      </c>
      <c r="D399" s="75" t="s">
        <v>884</v>
      </c>
      <c r="E399" s="48" t="s">
        <v>419</v>
      </c>
      <c r="F399" s="58">
        <v>10</v>
      </c>
      <c r="G399" s="50">
        <v>7700</v>
      </c>
      <c r="H399" s="51">
        <v>0</v>
      </c>
      <c r="I399" s="52">
        <v>0</v>
      </c>
      <c r="J399" s="49">
        <v>0</v>
      </c>
      <c r="K399" s="50">
        <v>0</v>
      </c>
      <c r="L399" s="49">
        <v>0</v>
      </c>
      <c r="M399" s="50">
        <v>0</v>
      </c>
      <c r="N399" s="49">
        <v>0</v>
      </c>
      <c r="O399" s="50">
        <v>0</v>
      </c>
      <c r="P399" s="49">
        <v>0</v>
      </c>
      <c r="Q399" s="53">
        <v>0</v>
      </c>
      <c r="R399" s="58"/>
      <c r="S399" s="59"/>
      <c r="T399" s="60"/>
      <c r="U399" s="61"/>
      <c r="V399" s="58"/>
      <c r="W399" s="59"/>
      <c r="X399" s="49"/>
      <c r="Y399" s="50"/>
      <c r="Z399" s="49"/>
      <c r="AA399" s="50"/>
      <c r="AB399" s="49"/>
      <c r="AC399" s="53"/>
      <c r="AD399" s="49"/>
      <c r="AE399" s="53"/>
      <c r="AF399" s="49"/>
      <c r="AG399" s="53"/>
      <c r="AH399" s="49"/>
      <c r="AI399" s="53"/>
      <c r="AJ399" s="53"/>
      <c r="AK399" s="53"/>
      <c r="AL399" s="53"/>
      <c r="AM399" s="53"/>
      <c r="AN399" s="53">
        <v>4</v>
      </c>
      <c r="AO399" s="53">
        <v>3080</v>
      </c>
      <c r="AP399" s="62">
        <f t="shared" si="12"/>
        <v>14</v>
      </c>
      <c r="AQ399" s="55">
        <f t="shared" si="13"/>
        <v>10780</v>
      </c>
    </row>
    <row r="400" spans="1:43">
      <c r="A400" s="47">
        <v>411</v>
      </c>
      <c r="B400" s="56">
        <v>4971710578775</v>
      </c>
      <c r="C400" s="57" t="s">
        <v>640</v>
      </c>
      <c r="D400" s="75" t="s">
        <v>884</v>
      </c>
      <c r="E400" s="48" t="s">
        <v>641</v>
      </c>
      <c r="F400" s="58">
        <v>0</v>
      </c>
      <c r="G400" s="50">
        <v>0</v>
      </c>
      <c r="H400" s="51">
        <v>0</v>
      </c>
      <c r="I400" s="52">
        <v>0</v>
      </c>
      <c r="J400" s="49">
        <v>10</v>
      </c>
      <c r="K400" s="50">
        <v>4950</v>
      </c>
      <c r="L400" s="49">
        <v>0</v>
      </c>
      <c r="M400" s="50">
        <v>0</v>
      </c>
      <c r="N400" s="49">
        <v>0</v>
      </c>
      <c r="O400" s="50">
        <v>0</v>
      </c>
      <c r="P400" s="49">
        <v>0</v>
      </c>
      <c r="Q400" s="53">
        <v>0</v>
      </c>
      <c r="R400" s="58"/>
      <c r="S400" s="59"/>
      <c r="T400" s="60"/>
      <c r="U400" s="61"/>
      <c r="V400" s="58"/>
      <c r="W400" s="59"/>
      <c r="X400" s="49"/>
      <c r="Y400" s="50"/>
      <c r="Z400" s="49"/>
      <c r="AA400" s="50"/>
      <c r="AB400" s="49"/>
      <c r="AC400" s="53"/>
      <c r="AD400" s="49"/>
      <c r="AE400" s="53"/>
      <c r="AF400" s="49"/>
      <c r="AG400" s="53"/>
      <c r="AH400" s="49"/>
      <c r="AI400" s="53"/>
      <c r="AJ400" s="53"/>
      <c r="AK400" s="53"/>
      <c r="AL400" s="53"/>
      <c r="AM400" s="53"/>
      <c r="AN400" s="53">
        <v>4</v>
      </c>
      <c r="AO400" s="53">
        <v>1980</v>
      </c>
      <c r="AP400" s="62">
        <f t="shared" si="12"/>
        <v>14</v>
      </c>
      <c r="AQ400" s="55">
        <f t="shared" si="13"/>
        <v>6930</v>
      </c>
    </row>
    <row r="401" spans="1:43">
      <c r="A401" s="47">
        <v>412</v>
      </c>
      <c r="B401" s="56">
        <v>4971710578805</v>
      </c>
      <c r="C401" s="57" t="s">
        <v>646</v>
      </c>
      <c r="D401" s="75" t="s">
        <v>884</v>
      </c>
      <c r="E401" s="48" t="s">
        <v>647</v>
      </c>
      <c r="F401" s="58">
        <v>0</v>
      </c>
      <c r="G401" s="50">
        <v>0</v>
      </c>
      <c r="H401" s="51">
        <v>0</v>
      </c>
      <c r="I401" s="52">
        <v>0</v>
      </c>
      <c r="J401" s="49">
        <v>10</v>
      </c>
      <c r="K401" s="50">
        <v>4950</v>
      </c>
      <c r="L401" s="49">
        <v>0</v>
      </c>
      <c r="M401" s="50">
        <v>0</v>
      </c>
      <c r="N401" s="49">
        <v>0</v>
      </c>
      <c r="O401" s="50">
        <v>0</v>
      </c>
      <c r="P401" s="49">
        <v>0</v>
      </c>
      <c r="Q401" s="53">
        <v>0</v>
      </c>
      <c r="R401" s="58"/>
      <c r="S401" s="59"/>
      <c r="T401" s="60"/>
      <c r="U401" s="61"/>
      <c r="V401" s="58"/>
      <c r="W401" s="59"/>
      <c r="X401" s="49"/>
      <c r="Y401" s="50"/>
      <c r="Z401" s="49"/>
      <c r="AA401" s="50"/>
      <c r="AB401" s="49"/>
      <c r="AC401" s="53"/>
      <c r="AD401" s="49"/>
      <c r="AE401" s="53"/>
      <c r="AF401" s="49"/>
      <c r="AG401" s="53"/>
      <c r="AH401" s="49"/>
      <c r="AI401" s="53"/>
      <c r="AJ401" s="53"/>
      <c r="AK401" s="53"/>
      <c r="AL401" s="53"/>
      <c r="AM401" s="53"/>
      <c r="AN401" s="53">
        <v>4</v>
      </c>
      <c r="AO401" s="53">
        <v>1980</v>
      </c>
      <c r="AP401" s="62">
        <f t="shared" si="12"/>
        <v>14</v>
      </c>
      <c r="AQ401" s="55">
        <f t="shared" si="13"/>
        <v>6930</v>
      </c>
    </row>
    <row r="402" spans="1:43">
      <c r="A402" s="47">
        <v>413</v>
      </c>
      <c r="B402" s="56">
        <v>4971710578799</v>
      </c>
      <c r="C402" s="57" t="s">
        <v>644</v>
      </c>
      <c r="D402" s="75" t="s">
        <v>884</v>
      </c>
      <c r="E402" s="48" t="s">
        <v>645</v>
      </c>
      <c r="F402" s="58">
        <v>0</v>
      </c>
      <c r="G402" s="50">
        <v>0</v>
      </c>
      <c r="H402" s="51">
        <v>0</v>
      </c>
      <c r="I402" s="52">
        <v>0</v>
      </c>
      <c r="J402" s="49">
        <v>10</v>
      </c>
      <c r="K402" s="50">
        <v>4950</v>
      </c>
      <c r="L402" s="49">
        <v>0</v>
      </c>
      <c r="M402" s="50">
        <v>0</v>
      </c>
      <c r="N402" s="49">
        <v>0</v>
      </c>
      <c r="O402" s="50">
        <v>0</v>
      </c>
      <c r="P402" s="49">
        <v>0</v>
      </c>
      <c r="Q402" s="53">
        <v>0</v>
      </c>
      <c r="R402" s="58"/>
      <c r="S402" s="59"/>
      <c r="T402" s="60"/>
      <c r="U402" s="61"/>
      <c r="V402" s="58"/>
      <c r="W402" s="59"/>
      <c r="X402" s="49"/>
      <c r="Y402" s="50"/>
      <c r="Z402" s="49"/>
      <c r="AA402" s="50"/>
      <c r="AB402" s="49"/>
      <c r="AC402" s="53"/>
      <c r="AD402" s="49"/>
      <c r="AE402" s="53"/>
      <c r="AF402" s="49"/>
      <c r="AG402" s="53"/>
      <c r="AH402" s="49">
        <v>4</v>
      </c>
      <c r="AI402" s="53">
        <v>1980</v>
      </c>
      <c r="AJ402" s="53"/>
      <c r="AK402" s="53"/>
      <c r="AL402" s="53"/>
      <c r="AM402" s="53"/>
      <c r="AN402" s="53"/>
      <c r="AO402" s="53"/>
      <c r="AP402" s="62">
        <f t="shared" si="12"/>
        <v>14</v>
      </c>
      <c r="AQ402" s="55">
        <f t="shared" si="13"/>
        <v>6930</v>
      </c>
    </row>
    <row r="403" spans="1:43">
      <c r="A403" s="47">
        <v>447</v>
      </c>
      <c r="B403" s="56">
        <v>4971710487671</v>
      </c>
      <c r="C403" s="57" t="s">
        <v>48</v>
      </c>
      <c r="D403" s="75" t="s">
        <v>884</v>
      </c>
      <c r="E403" s="48" t="s">
        <v>49</v>
      </c>
      <c r="F403" s="65"/>
      <c r="G403" s="50">
        <v>0</v>
      </c>
      <c r="H403" s="51"/>
      <c r="I403" s="52"/>
      <c r="J403" s="49">
        <v>14</v>
      </c>
      <c r="K403" s="50">
        <v>12320</v>
      </c>
      <c r="L403" s="49"/>
      <c r="M403" s="50"/>
      <c r="N403" s="49"/>
      <c r="O403" s="50"/>
      <c r="P403" s="49">
        <v>0</v>
      </c>
      <c r="Q403" s="53"/>
      <c r="R403" s="65"/>
      <c r="S403" s="66"/>
      <c r="T403" s="67"/>
      <c r="U403" s="68"/>
      <c r="V403" s="65"/>
      <c r="W403" s="66"/>
      <c r="X403" s="49"/>
      <c r="Y403" s="50"/>
      <c r="Z403" s="49"/>
      <c r="AA403" s="50"/>
      <c r="AB403" s="49"/>
      <c r="AC403" s="53"/>
      <c r="AD403" s="49"/>
      <c r="AE403" s="53"/>
      <c r="AF403" s="49"/>
      <c r="AG403" s="53"/>
      <c r="AH403" s="49"/>
      <c r="AI403" s="53"/>
      <c r="AJ403" s="53"/>
      <c r="AK403" s="53"/>
      <c r="AL403" s="53"/>
      <c r="AM403" s="53"/>
      <c r="AN403" s="53"/>
      <c r="AO403" s="53"/>
      <c r="AP403" s="62">
        <f t="shared" si="12"/>
        <v>14</v>
      </c>
      <c r="AQ403" s="55">
        <f t="shared" si="13"/>
        <v>12320</v>
      </c>
    </row>
    <row r="404" spans="1:43">
      <c r="A404" s="47">
        <v>448</v>
      </c>
      <c r="B404" s="56">
        <v>4971710487749</v>
      </c>
      <c r="C404" s="57" t="s">
        <v>60</v>
      </c>
      <c r="D404" s="75" t="s">
        <v>884</v>
      </c>
      <c r="E404" s="48" t="s">
        <v>61</v>
      </c>
      <c r="F404" s="65"/>
      <c r="G404" s="50">
        <v>0</v>
      </c>
      <c r="H404" s="51"/>
      <c r="I404" s="52"/>
      <c r="J404" s="49">
        <v>14</v>
      </c>
      <c r="K404" s="50">
        <v>12320</v>
      </c>
      <c r="L404" s="49"/>
      <c r="M404" s="50"/>
      <c r="N404" s="49"/>
      <c r="O404" s="50"/>
      <c r="P404" s="49">
        <v>0</v>
      </c>
      <c r="Q404" s="53"/>
      <c r="R404" s="65"/>
      <c r="S404" s="66"/>
      <c r="T404" s="65"/>
      <c r="U404" s="66"/>
      <c r="V404" s="65"/>
      <c r="W404" s="66"/>
      <c r="X404" s="49"/>
      <c r="Y404" s="50"/>
      <c r="Z404" s="49"/>
      <c r="AA404" s="50"/>
      <c r="AB404" s="49"/>
      <c r="AC404" s="53"/>
      <c r="AD404" s="49"/>
      <c r="AE404" s="53"/>
      <c r="AF404" s="49"/>
      <c r="AG404" s="53"/>
      <c r="AH404" s="49"/>
      <c r="AI404" s="53"/>
      <c r="AJ404" s="53"/>
      <c r="AK404" s="53"/>
      <c r="AL404" s="53"/>
      <c r="AM404" s="53"/>
      <c r="AN404" s="53"/>
      <c r="AO404" s="53"/>
      <c r="AP404" s="62">
        <f t="shared" si="12"/>
        <v>14</v>
      </c>
      <c r="AQ404" s="55">
        <f t="shared" si="13"/>
        <v>12320</v>
      </c>
    </row>
    <row r="405" spans="1:43">
      <c r="A405" s="47">
        <v>449</v>
      </c>
      <c r="B405" s="56">
        <v>4971710495393</v>
      </c>
      <c r="C405" s="57" t="s">
        <v>162</v>
      </c>
      <c r="D405" s="75" t="s">
        <v>884</v>
      </c>
      <c r="E405" s="48" t="s">
        <v>163</v>
      </c>
      <c r="F405" s="65"/>
      <c r="G405" s="50">
        <v>0</v>
      </c>
      <c r="H405" s="51"/>
      <c r="I405" s="52"/>
      <c r="J405" s="49">
        <v>14</v>
      </c>
      <c r="K405" s="50">
        <v>12320</v>
      </c>
      <c r="L405" s="49"/>
      <c r="M405" s="50"/>
      <c r="N405" s="49"/>
      <c r="O405" s="50"/>
      <c r="P405" s="49">
        <v>0</v>
      </c>
      <c r="Q405" s="53"/>
      <c r="R405" s="65"/>
      <c r="S405" s="66"/>
      <c r="T405" s="65"/>
      <c r="U405" s="66"/>
      <c r="V405" s="65"/>
      <c r="W405" s="66"/>
      <c r="X405" s="49"/>
      <c r="Y405" s="50"/>
      <c r="Z405" s="49"/>
      <c r="AA405" s="50"/>
      <c r="AB405" s="49"/>
      <c r="AC405" s="53"/>
      <c r="AD405" s="49"/>
      <c r="AE405" s="53"/>
      <c r="AF405" s="49"/>
      <c r="AG405" s="53"/>
      <c r="AH405" s="49"/>
      <c r="AI405" s="53"/>
      <c r="AJ405" s="53"/>
      <c r="AK405" s="53"/>
      <c r="AL405" s="53"/>
      <c r="AM405" s="53"/>
      <c r="AN405" s="53"/>
      <c r="AO405" s="53"/>
      <c r="AP405" s="62">
        <f t="shared" si="12"/>
        <v>14</v>
      </c>
      <c r="AQ405" s="55">
        <f t="shared" si="13"/>
        <v>12320</v>
      </c>
    </row>
    <row r="406" spans="1:43">
      <c r="A406" s="47">
        <v>450</v>
      </c>
      <c r="B406" s="56">
        <v>4971710495409</v>
      </c>
      <c r="C406" s="57" t="s">
        <v>164</v>
      </c>
      <c r="D406" s="75" t="s">
        <v>884</v>
      </c>
      <c r="E406" s="48" t="s">
        <v>165</v>
      </c>
      <c r="F406" s="65"/>
      <c r="G406" s="50">
        <v>0</v>
      </c>
      <c r="H406" s="51"/>
      <c r="I406" s="52"/>
      <c r="J406" s="49">
        <v>14</v>
      </c>
      <c r="K406" s="50">
        <v>12320</v>
      </c>
      <c r="L406" s="49"/>
      <c r="M406" s="50"/>
      <c r="N406" s="49"/>
      <c r="O406" s="50"/>
      <c r="P406" s="49">
        <v>0</v>
      </c>
      <c r="Q406" s="53"/>
      <c r="R406" s="65"/>
      <c r="S406" s="66"/>
      <c r="T406" s="65"/>
      <c r="U406" s="66"/>
      <c r="V406" s="65"/>
      <c r="W406" s="66"/>
      <c r="X406" s="49"/>
      <c r="Y406" s="50"/>
      <c r="Z406" s="49"/>
      <c r="AA406" s="50"/>
      <c r="AB406" s="49"/>
      <c r="AC406" s="53"/>
      <c r="AD406" s="49"/>
      <c r="AE406" s="53"/>
      <c r="AF406" s="49"/>
      <c r="AG406" s="53"/>
      <c r="AH406" s="49"/>
      <c r="AI406" s="53"/>
      <c r="AJ406" s="53"/>
      <c r="AK406" s="53"/>
      <c r="AL406" s="53"/>
      <c r="AM406" s="53"/>
      <c r="AN406" s="53"/>
      <c r="AO406" s="53"/>
      <c r="AP406" s="62">
        <f t="shared" si="12"/>
        <v>14</v>
      </c>
      <c r="AQ406" s="55">
        <f t="shared" si="13"/>
        <v>12320</v>
      </c>
    </row>
    <row r="407" spans="1:43">
      <c r="A407" s="47">
        <v>451</v>
      </c>
      <c r="B407" s="56">
        <v>4971710511871</v>
      </c>
      <c r="C407" s="57" t="s">
        <v>226</v>
      </c>
      <c r="D407" s="75" t="s">
        <v>884</v>
      </c>
      <c r="E407" s="48" t="s">
        <v>227</v>
      </c>
      <c r="F407" s="65"/>
      <c r="G407" s="50">
        <v>0</v>
      </c>
      <c r="H407" s="51"/>
      <c r="I407" s="52"/>
      <c r="J407" s="49">
        <v>14</v>
      </c>
      <c r="K407" s="50">
        <v>12320</v>
      </c>
      <c r="L407" s="49"/>
      <c r="M407" s="50"/>
      <c r="N407" s="49"/>
      <c r="O407" s="50"/>
      <c r="P407" s="49">
        <v>0</v>
      </c>
      <c r="Q407" s="53"/>
      <c r="R407" s="65"/>
      <c r="S407" s="66"/>
      <c r="T407" s="65"/>
      <c r="U407" s="66"/>
      <c r="V407" s="65"/>
      <c r="W407" s="66"/>
      <c r="X407" s="49"/>
      <c r="Y407" s="50"/>
      <c r="Z407" s="49"/>
      <c r="AA407" s="50"/>
      <c r="AB407" s="49"/>
      <c r="AC407" s="53"/>
      <c r="AD407" s="49"/>
      <c r="AE407" s="53"/>
      <c r="AF407" s="49"/>
      <c r="AG407" s="53"/>
      <c r="AH407" s="49"/>
      <c r="AI407" s="53"/>
      <c r="AJ407" s="53"/>
      <c r="AK407" s="53"/>
      <c r="AL407" s="53"/>
      <c r="AM407" s="53"/>
      <c r="AN407" s="53"/>
      <c r="AO407" s="53"/>
      <c r="AP407" s="62">
        <f t="shared" si="12"/>
        <v>14</v>
      </c>
      <c r="AQ407" s="55">
        <f t="shared" si="13"/>
        <v>12320</v>
      </c>
    </row>
    <row r="408" spans="1:43">
      <c r="A408" s="47">
        <v>452</v>
      </c>
      <c r="B408" s="56">
        <v>4971710511918</v>
      </c>
      <c r="C408" s="57" t="s">
        <v>234</v>
      </c>
      <c r="D408" s="75" t="s">
        <v>884</v>
      </c>
      <c r="E408" s="48" t="s">
        <v>235</v>
      </c>
      <c r="F408" s="65"/>
      <c r="G408" s="50">
        <v>0</v>
      </c>
      <c r="H408" s="51"/>
      <c r="I408" s="52"/>
      <c r="J408" s="49">
        <v>14</v>
      </c>
      <c r="K408" s="50">
        <v>12320</v>
      </c>
      <c r="L408" s="49"/>
      <c r="M408" s="50"/>
      <c r="N408" s="49"/>
      <c r="O408" s="50"/>
      <c r="P408" s="49">
        <v>0</v>
      </c>
      <c r="Q408" s="53"/>
      <c r="R408" s="65"/>
      <c r="S408" s="66"/>
      <c r="T408" s="65"/>
      <c r="U408" s="66"/>
      <c r="V408" s="65"/>
      <c r="W408" s="66"/>
      <c r="X408" s="49"/>
      <c r="Y408" s="50"/>
      <c r="Z408" s="49"/>
      <c r="AA408" s="50"/>
      <c r="AB408" s="49"/>
      <c r="AC408" s="53"/>
      <c r="AD408" s="49"/>
      <c r="AE408" s="53"/>
      <c r="AF408" s="49"/>
      <c r="AG408" s="53"/>
      <c r="AH408" s="49"/>
      <c r="AI408" s="53"/>
      <c r="AJ408" s="53"/>
      <c r="AK408" s="53"/>
      <c r="AL408" s="53"/>
      <c r="AM408" s="53"/>
      <c r="AN408" s="53"/>
      <c r="AO408" s="53"/>
      <c r="AP408" s="62">
        <f t="shared" si="12"/>
        <v>14</v>
      </c>
      <c r="AQ408" s="55">
        <f t="shared" si="13"/>
        <v>12320</v>
      </c>
    </row>
    <row r="409" spans="1:43">
      <c r="A409" s="47">
        <v>453</v>
      </c>
      <c r="B409" s="56">
        <v>4971710511932</v>
      </c>
      <c r="C409" s="57" t="s">
        <v>238</v>
      </c>
      <c r="D409" s="75" t="s">
        <v>884</v>
      </c>
      <c r="E409" s="48" t="s">
        <v>239</v>
      </c>
      <c r="F409" s="65"/>
      <c r="G409" s="50">
        <v>0</v>
      </c>
      <c r="H409" s="51"/>
      <c r="I409" s="52"/>
      <c r="J409" s="49">
        <v>14</v>
      </c>
      <c r="K409" s="50">
        <v>12320</v>
      </c>
      <c r="L409" s="49"/>
      <c r="M409" s="50"/>
      <c r="N409" s="49"/>
      <c r="O409" s="50"/>
      <c r="P409" s="49">
        <v>0</v>
      </c>
      <c r="Q409" s="53"/>
      <c r="R409" s="65"/>
      <c r="S409" s="66"/>
      <c r="T409" s="65"/>
      <c r="U409" s="66"/>
      <c r="V409" s="65"/>
      <c r="W409" s="66"/>
      <c r="X409" s="49"/>
      <c r="Y409" s="50"/>
      <c r="Z409" s="49"/>
      <c r="AA409" s="50"/>
      <c r="AB409" s="49"/>
      <c r="AC409" s="53"/>
      <c r="AD409" s="49"/>
      <c r="AE409" s="53"/>
      <c r="AF409" s="49"/>
      <c r="AG409" s="53"/>
      <c r="AH409" s="49"/>
      <c r="AI409" s="53"/>
      <c r="AJ409" s="53"/>
      <c r="AK409" s="53"/>
      <c r="AL409" s="53"/>
      <c r="AM409" s="53"/>
      <c r="AN409" s="53"/>
      <c r="AO409" s="53"/>
      <c r="AP409" s="63">
        <f t="shared" si="12"/>
        <v>14</v>
      </c>
      <c r="AQ409" s="55">
        <f t="shared" si="13"/>
        <v>12320</v>
      </c>
    </row>
    <row r="410" spans="1:43">
      <c r="A410" s="47">
        <v>454</v>
      </c>
      <c r="B410" s="56">
        <v>4971710514674</v>
      </c>
      <c r="C410" s="57" t="s">
        <v>306</v>
      </c>
      <c r="D410" s="75" t="s">
        <v>884</v>
      </c>
      <c r="E410" s="48" t="s">
        <v>307</v>
      </c>
      <c r="F410" s="65"/>
      <c r="G410" s="50">
        <v>0</v>
      </c>
      <c r="H410" s="51"/>
      <c r="I410" s="52"/>
      <c r="J410" s="49">
        <v>14</v>
      </c>
      <c r="K410" s="50">
        <v>12320</v>
      </c>
      <c r="L410" s="49"/>
      <c r="M410" s="50"/>
      <c r="N410" s="49"/>
      <c r="O410" s="50"/>
      <c r="P410" s="49">
        <v>0</v>
      </c>
      <c r="Q410" s="53"/>
      <c r="R410" s="65"/>
      <c r="S410" s="66"/>
      <c r="T410" s="65"/>
      <c r="U410" s="66"/>
      <c r="V410" s="65"/>
      <c r="W410" s="66"/>
      <c r="X410" s="49"/>
      <c r="Y410" s="50"/>
      <c r="Z410" s="49"/>
      <c r="AA410" s="50"/>
      <c r="AB410" s="49"/>
      <c r="AC410" s="53"/>
      <c r="AD410" s="49"/>
      <c r="AE410" s="53"/>
      <c r="AF410" s="49"/>
      <c r="AG410" s="53"/>
      <c r="AH410" s="49"/>
      <c r="AI410" s="53"/>
      <c r="AJ410" s="53"/>
      <c r="AK410" s="53"/>
      <c r="AL410" s="53"/>
      <c r="AM410" s="53"/>
      <c r="AN410" s="53"/>
      <c r="AO410" s="53"/>
      <c r="AP410" s="62">
        <f t="shared" si="12"/>
        <v>14</v>
      </c>
      <c r="AQ410" s="55">
        <f t="shared" si="13"/>
        <v>12320</v>
      </c>
    </row>
    <row r="411" spans="1:43">
      <c r="A411" s="47">
        <v>372</v>
      </c>
      <c r="B411" s="56">
        <v>4971710563399</v>
      </c>
      <c r="C411" s="57" t="s">
        <v>481</v>
      </c>
      <c r="D411" s="75" t="s">
        <v>880</v>
      </c>
      <c r="E411" s="48" t="s">
        <v>482</v>
      </c>
      <c r="F411" s="65">
        <v>0</v>
      </c>
      <c r="G411" s="50">
        <v>0</v>
      </c>
      <c r="H411" s="51">
        <v>0</v>
      </c>
      <c r="I411" s="52">
        <v>0</v>
      </c>
      <c r="J411" s="49">
        <v>0</v>
      </c>
      <c r="K411" s="50">
        <v>0</v>
      </c>
      <c r="L411" s="49">
        <v>0</v>
      </c>
      <c r="M411" s="50">
        <v>0</v>
      </c>
      <c r="N411" s="49">
        <v>1</v>
      </c>
      <c r="O411" s="50">
        <v>715</v>
      </c>
      <c r="P411" s="49">
        <v>0</v>
      </c>
      <c r="Q411" s="53">
        <v>0</v>
      </c>
      <c r="R411" s="65"/>
      <c r="S411" s="66"/>
      <c r="T411" s="65">
        <v>4</v>
      </c>
      <c r="U411" s="66">
        <v>1430</v>
      </c>
      <c r="V411" s="65"/>
      <c r="W411" s="66"/>
      <c r="X411" s="49"/>
      <c r="Y411" s="50"/>
      <c r="Z411" s="49">
        <v>2</v>
      </c>
      <c r="AA411" s="50">
        <v>1430</v>
      </c>
      <c r="AB411" s="49"/>
      <c r="AC411" s="53"/>
      <c r="AD411" s="49">
        <v>4</v>
      </c>
      <c r="AE411" s="53">
        <v>2860</v>
      </c>
      <c r="AF411" s="49"/>
      <c r="AG411" s="53"/>
      <c r="AH411" s="49">
        <v>2</v>
      </c>
      <c r="AI411" s="53">
        <v>1430</v>
      </c>
      <c r="AJ411" s="53"/>
      <c r="AK411" s="53"/>
      <c r="AL411" s="53"/>
      <c r="AM411" s="53"/>
      <c r="AN411" s="53"/>
      <c r="AO411" s="53"/>
      <c r="AP411" s="62">
        <f t="shared" si="12"/>
        <v>13</v>
      </c>
      <c r="AQ411" s="55">
        <f t="shared" si="13"/>
        <v>7865</v>
      </c>
    </row>
    <row r="412" spans="1:43">
      <c r="A412" s="47">
        <v>455</v>
      </c>
      <c r="B412" s="56">
        <v>4971710578768</v>
      </c>
      <c r="C412" s="57" t="s">
        <v>638</v>
      </c>
      <c r="D412" s="75" t="s">
        <v>884</v>
      </c>
      <c r="E412" s="48" t="s">
        <v>639</v>
      </c>
      <c r="F412" s="65"/>
      <c r="G412" s="50">
        <v>0</v>
      </c>
      <c r="H412" s="51"/>
      <c r="I412" s="52"/>
      <c r="J412" s="49">
        <v>10</v>
      </c>
      <c r="K412" s="50">
        <v>4950</v>
      </c>
      <c r="L412" s="49">
        <v>3</v>
      </c>
      <c r="M412" s="50">
        <v>1485</v>
      </c>
      <c r="N412" s="49"/>
      <c r="O412" s="50"/>
      <c r="P412" s="49">
        <v>0</v>
      </c>
      <c r="Q412" s="53"/>
      <c r="R412" s="65"/>
      <c r="S412" s="66"/>
      <c r="T412" s="65"/>
      <c r="U412" s="66"/>
      <c r="V412" s="65"/>
      <c r="W412" s="66"/>
      <c r="X412" s="49"/>
      <c r="Y412" s="50"/>
      <c r="Z412" s="49"/>
      <c r="AA412" s="50"/>
      <c r="AB412" s="49"/>
      <c r="AC412" s="53"/>
      <c r="AD412" s="49"/>
      <c r="AE412" s="53"/>
      <c r="AF412" s="49"/>
      <c r="AG412" s="53"/>
      <c r="AH412" s="49"/>
      <c r="AI412" s="53"/>
      <c r="AJ412" s="53"/>
      <c r="AK412" s="53"/>
      <c r="AL412" s="53"/>
      <c r="AM412" s="53"/>
      <c r="AN412" s="53"/>
      <c r="AO412" s="53"/>
      <c r="AP412" s="63">
        <f t="shared" si="12"/>
        <v>13</v>
      </c>
      <c r="AQ412" s="55">
        <f t="shared" si="13"/>
        <v>6435</v>
      </c>
    </row>
    <row r="413" spans="1:43">
      <c r="A413" s="47">
        <v>361</v>
      </c>
      <c r="B413" s="56">
        <v>4971710592528</v>
      </c>
      <c r="C413" s="57" t="s">
        <v>833</v>
      </c>
      <c r="D413" s="75" t="s">
        <v>880</v>
      </c>
      <c r="E413" s="48" t="s">
        <v>1026</v>
      </c>
      <c r="F413" s="65">
        <v>0</v>
      </c>
      <c r="G413" s="50">
        <v>0</v>
      </c>
      <c r="H413" s="51">
        <v>0</v>
      </c>
      <c r="I413" s="52">
        <v>0</v>
      </c>
      <c r="J413" s="49">
        <v>0</v>
      </c>
      <c r="K413" s="50">
        <v>0</v>
      </c>
      <c r="L413" s="49">
        <v>0</v>
      </c>
      <c r="M413" s="50">
        <v>0</v>
      </c>
      <c r="N413" s="49">
        <v>0</v>
      </c>
      <c r="O413" s="50">
        <v>0</v>
      </c>
      <c r="P413" s="49">
        <v>0</v>
      </c>
      <c r="Q413" s="53">
        <v>0</v>
      </c>
      <c r="R413" s="65"/>
      <c r="S413" s="66"/>
      <c r="T413" s="65"/>
      <c r="U413" s="66"/>
      <c r="V413" s="65"/>
      <c r="W413" s="66"/>
      <c r="X413" s="49"/>
      <c r="Y413" s="50"/>
      <c r="Z413" s="49"/>
      <c r="AA413" s="50"/>
      <c r="AB413" s="49"/>
      <c r="AC413" s="53"/>
      <c r="AD413" s="49">
        <v>2</v>
      </c>
      <c r="AE413" s="53">
        <v>1210</v>
      </c>
      <c r="AF413" s="49"/>
      <c r="AG413" s="53"/>
      <c r="AH413" s="49"/>
      <c r="AI413" s="53"/>
      <c r="AJ413" s="53"/>
      <c r="AK413" s="53"/>
      <c r="AL413" s="53"/>
      <c r="AM413" s="53"/>
      <c r="AN413" s="53">
        <v>10</v>
      </c>
      <c r="AO413" s="53">
        <v>6050</v>
      </c>
      <c r="AP413" s="63">
        <f t="shared" si="12"/>
        <v>12</v>
      </c>
      <c r="AQ413" s="55">
        <f t="shared" si="13"/>
        <v>7260</v>
      </c>
    </row>
    <row r="414" spans="1:43">
      <c r="A414" s="47">
        <v>388</v>
      </c>
      <c r="B414" s="56">
        <v>4971710507751</v>
      </c>
      <c r="C414" s="57" t="s">
        <v>198</v>
      </c>
      <c r="D414" s="75" t="s">
        <v>884</v>
      </c>
      <c r="E414" s="48" t="s">
        <v>199</v>
      </c>
      <c r="F414" s="65">
        <v>0</v>
      </c>
      <c r="G414" s="50">
        <v>0</v>
      </c>
      <c r="H414" s="51">
        <v>0</v>
      </c>
      <c r="I414" s="52">
        <v>0</v>
      </c>
      <c r="J414" s="49">
        <v>0</v>
      </c>
      <c r="K414" s="50">
        <v>0</v>
      </c>
      <c r="L414" s="49">
        <v>0</v>
      </c>
      <c r="M414" s="50">
        <v>0</v>
      </c>
      <c r="N414" s="49">
        <v>0</v>
      </c>
      <c r="O414" s="50">
        <v>0</v>
      </c>
      <c r="P414" s="49">
        <v>0</v>
      </c>
      <c r="Q414" s="53">
        <v>0</v>
      </c>
      <c r="R414" s="65"/>
      <c r="S414" s="66"/>
      <c r="T414" s="65">
        <v>12</v>
      </c>
      <c r="U414" s="66">
        <v>3960</v>
      </c>
      <c r="V414" s="65"/>
      <c r="W414" s="66"/>
      <c r="X414" s="49"/>
      <c r="Y414" s="50"/>
      <c r="Z414" s="49"/>
      <c r="AA414" s="50"/>
      <c r="AB414" s="49"/>
      <c r="AC414" s="53"/>
      <c r="AD414" s="49"/>
      <c r="AE414" s="53"/>
      <c r="AF414" s="49"/>
      <c r="AG414" s="53"/>
      <c r="AH414" s="49"/>
      <c r="AI414" s="53"/>
      <c r="AJ414" s="53"/>
      <c r="AK414" s="53"/>
      <c r="AL414" s="53"/>
      <c r="AM414" s="53"/>
      <c r="AN414" s="53"/>
      <c r="AO414" s="53"/>
      <c r="AP414" s="62">
        <f t="shared" si="12"/>
        <v>12</v>
      </c>
      <c r="AQ414" s="55">
        <f t="shared" si="13"/>
        <v>3960</v>
      </c>
    </row>
    <row r="415" spans="1:43">
      <c r="A415" s="47">
        <v>456</v>
      </c>
      <c r="B415" s="56">
        <v>4971710519228</v>
      </c>
      <c r="C415" s="57" t="s">
        <v>342</v>
      </c>
      <c r="D415" s="75" t="s">
        <v>884</v>
      </c>
      <c r="E415" s="48" t="s">
        <v>343</v>
      </c>
      <c r="F415" s="65"/>
      <c r="G415" s="50">
        <v>0</v>
      </c>
      <c r="H415" s="51"/>
      <c r="I415" s="52"/>
      <c r="J415" s="49"/>
      <c r="K415" s="50"/>
      <c r="L415" s="49"/>
      <c r="M415" s="50"/>
      <c r="N415" s="49">
        <v>12</v>
      </c>
      <c r="O415" s="50">
        <v>10560</v>
      </c>
      <c r="P415" s="49">
        <v>0</v>
      </c>
      <c r="Q415" s="53"/>
      <c r="R415" s="65"/>
      <c r="S415" s="66"/>
      <c r="T415" s="65"/>
      <c r="U415" s="66"/>
      <c r="V415" s="65"/>
      <c r="W415" s="66"/>
      <c r="X415" s="49"/>
      <c r="Y415" s="50"/>
      <c r="Z415" s="49"/>
      <c r="AA415" s="50"/>
      <c r="AB415" s="49"/>
      <c r="AC415" s="53"/>
      <c r="AD415" s="49"/>
      <c r="AE415" s="53"/>
      <c r="AF415" s="49"/>
      <c r="AG415" s="53"/>
      <c r="AH415" s="49"/>
      <c r="AI415" s="53"/>
      <c r="AJ415" s="53"/>
      <c r="AK415" s="53"/>
      <c r="AL415" s="53"/>
      <c r="AM415" s="53"/>
      <c r="AN415" s="53"/>
      <c r="AO415" s="53"/>
      <c r="AP415" s="62">
        <f t="shared" si="12"/>
        <v>12</v>
      </c>
      <c r="AQ415" s="55">
        <f t="shared" si="13"/>
        <v>10560</v>
      </c>
    </row>
    <row r="416" spans="1:43">
      <c r="A416" s="47">
        <v>368</v>
      </c>
      <c r="B416" s="56">
        <v>4971710270389</v>
      </c>
      <c r="C416" s="57" t="s">
        <v>1029</v>
      </c>
      <c r="D416" s="75" t="s">
        <v>1076</v>
      </c>
      <c r="E416" s="48" t="s">
        <v>1030</v>
      </c>
      <c r="F416" s="65"/>
      <c r="G416" s="50"/>
      <c r="H416" s="51"/>
      <c r="I416" s="52"/>
      <c r="J416" s="49"/>
      <c r="K416" s="50"/>
      <c r="L416" s="49"/>
      <c r="M416" s="50"/>
      <c r="N416" s="49"/>
      <c r="O416" s="50"/>
      <c r="P416" s="49"/>
      <c r="Q416" s="53"/>
      <c r="R416" s="65"/>
      <c r="S416" s="66"/>
      <c r="T416" s="65"/>
      <c r="U416" s="66"/>
      <c r="V416" s="65"/>
      <c r="W416" s="66"/>
      <c r="X416" s="49"/>
      <c r="Y416" s="50"/>
      <c r="Z416" s="49"/>
      <c r="AA416" s="50"/>
      <c r="AB416" s="49"/>
      <c r="AC416" s="53"/>
      <c r="AD416" s="49"/>
      <c r="AE416" s="53"/>
      <c r="AF416" s="49"/>
      <c r="AG416" s="53"/>
      <c r="AH416" s="49"/>
      <c r="AI416" s="53"/>
      <c r="AJ416" s="53"/>
      <c r="AK416" s="53"/>
      <c r="AL416" s="53"/>
      <c r="AM416" s="53"/>
      <c r="AN416" s="53">
        <v>10</v>
      </c>
      <c r="AO416" s="53">
        <v>8250</v>
      </c>
      <c r="AP416" s="63">
        <f t="shared" si="12"/>
        <v>10</v>
      </c>
      <c r="AQ416" s="55">
        <f t="shared" si="13"/>
        <v>8250</v>
      </c>
    </row>
    <row r="417" spans="1:43">
      <c r="A417" s="47">
        <v>369</v>
      </c>
      <c r="B417" s="56">
        <v>4971710593525</v>
      </c>
      <c r="C417" s="57" t="s">
        <v>924</v>
      </c>
      <c r="D417" s="75" t="s">
        <v>1076</v>
      </c>
      <c r="E417" s="48" t="s">
        <v>940</v>
      </c>
      <c r="F417" s="65"/>
      <c r="G417" s="50"/>
      <c r="H417" s="51"/>
      <c r="I417" s="52"/>
      <c r="J417" s="49"/>
      <c r="K417" s="50"/>
      <c r="L417" s="49"/>
      <c r="M417" s="50"/>
      <c r="N417" s="49"/>
      <c r="O417" s="50"/>
      <c r="P417" s="49"/>
      <c r="Q417" s="53"/>
      <c r="R417" s="65"/>
      <c r="S417" s="66"/>
      <c r="T417" s="65"/>
      <c r="U417" s="66"/>
      <c r="V417" s="65"/>
      <c r="W417" s="66"/>
      <c r="X417" s="49"/>
      <c r="Y417" s="50"/>
      <c r="Z417" s="49"/>
      <c r="AA417" s="50"/>
      <c r="AB417" s="49"/>
      <c r="AC417" s="53"/>
      <c r="AD417" s="49"/>
      <c r="AE417" s="53"/>
      <c r="AF417" s="49"/>
      <c r="AG417" s="53"/>
      <c r="AH417" s="49">
        <v>5</v>
      </c>
      <c r="AI417" s="53">
        <v>12925</v>
      </c>
      <c r="AJ417" s="53"/>
      <c r="AK417" s="53"/>
      <c r="AL417" s="53"/>
      <c r="AM417" s="53"/>
      <c r="AN417" s="53">
        <v>5</v>
      </c>
      <c r="AO417" s="53">
        <v>12925</v>
      </c>
      <c r="AP417" s="63">
        <f t="shared" si="12"/>
        <v>10</v>
      </c>
      <c r="AQ417" s="55">
        <f t="shared" si="13"/>
        <v>25850</v>
      </c>
    </row>
    <row r="418" spans="1:43">
      <c r="A418" s="47">
        <v>370</v>
      </c>
      <c r="B418" s="56">
        <v>4971710551754</v>
      </c>
      <c r="C418" s="57" t="s">
        <v>916</v>
      </c>
      <c r="D418" s="75" t="s">
        <v>1076</v>
      </c>
      <c r="E418" s="48" t="s">
        <v>933</v>
      </c>
      <c r="F418" s="65"/>
      <c r="G418" s="50"/>
      <c r="H418" s="51"/>
      <c r="I418" s="52"/>
      <c r="J418" s="49"/>
      <c r="K418" s="50"/>
      <c r="L418" s="49"/>
      <c r="M418" s="50"/>
      <c r="N418" s="49"/>
      <c r="O418" s="50"/>
      <c r="P418" s="49"/>
      <c r="Q418" s="53"/>
      <c r="R418" s="65"/>
      <c r="S418" s="66"/>
      <c r="T418" s="65"/>
      <c r="U418" s="66"/>
      <c r="V418" s="65"/>
      <c r="W418" s="66"/>
      <c r="X418" s="49"/>
      <c r="Y418" s="50"/>
      <c r="Z418" s="49"/>
      <c r="AA418" s="50"/>
      <c r="AB418" s="49"/>
      <c r="AC418" s="53"/>
      <c r="AD418" s="49"/>
      <c r="AE418" s="53"/>
      <c r="AF418" s="49"/>
      <c r="AG418" s="53"/>
      <c r="AH418" s="49">
        <v>10</v>
      </c>
      <c r="AI418" s="53">
        <v>16500</v>
      </c>
      <c r="AJ418" s="53"/>
      <c r="AK418" s="53"/>
      <c r="AL418" s="53"/>
      <c r="AM418" s="53"/>
      <c r="AN418" s="53"/>
      <c r="AO418" s="53"/>
      <c r="AP418" s="63">
        <f t="shared" si="12"/>
        <v>10</v>
      </c>
      <c r="AQ418" s="55">
        <f t="shared" si="13"/>
        <v>16500</v>
      </c>
    </row>
    <row r="419" spans="1:43">
      <c r="A419" s="47">
        <v>371</v>
      </c>
      <c r="B419" s="56">
        <v>4971710475029</v>
      </c>
      <c r="C419" s="57" t="s">
        <v>969</v>
      </c>
      <c r="D419" s="75" t="s">
        <v>884</v>
      </c>
      <c r="E419" s="48" t="s">
        <v>970</v>
      </c>
      <c r="F419" s="65"/>
      <c r="G419" s="50"/>
      <c r="H419" s="51"/>
      <c r="I419" s="52"/>
      <c r="J419" s="49"/>
      <c r="K419" s="50"/>
      <c r="L419" s="49"/>
      <c r="M419" s="50"/>
      <c r="N419" s="49"/>
      <c r="O419" s="50"/>
      <c r="P419" s="49"/>
      <c r="Q419" s="53"/>
      <c r="R419" s="65"/>
      <c r="S419" s="66"/>
      <c r="T419" s="65"/>
      <c r="U419" s="66"/>
      <c r="V419" s="65"/>
      <c r="W419" s="66"/>
      <c r="X419" s="49"/>
      <c r="Y419" s="50"/>
      <c r="Z419" s="49"/>
      <c r="AA419" s="50"/>
      <c r="AB419" s="49"/>
      <c r="AC419" s="53"/>
      <c r="AD419" s="49"/>
      <c r="AE419" s="53"/>
      <c r="AF419" s="49"/>
      <c r="AG419" s="53"/>
      <c r="AH419" s="49">
        <v>10</v>
      </c>
      <c r="AI419" s="53">
        <v>4400</v>
      </c>
      <c r="AJ419" s="53"/>
      <c r="AK419" s="53"/>
      <c r="AL419" s="53"/>
      <c r="AM419" s="53"/>
      <c r="AN419" s="53"/>
      <c r="AO419" s="53"/>
      <c r="AP419" s="63">
        <f t="shared" si="12"/>
        <v>10</v>
      </c>
      <c r="AQ419" s="55">
        <f t="shared" si="13"/>
        <v>4400</v>
      </c>
    </row>
    <row r="420" spans="1:43">
      <c r="A420" s="47">
        <v>376</v>
      </c>
      <c r="B420" s="56">
        <v>4971710491852</v>
      </c>
      <c r="C420" s="57" t="s">
        <v>811</v>
      </c>
      <c r="D420" s="75" t="s">
        <v>884</v>
      </c>
      <c r="E420" s="48" t="s">
        <v>1020</v>
      </c>
      <c r="F420" s="65">
        <v>0</v>
      </c>
      <c r="G420" s="50">
        <v>0</v>
      </c>
      <c r="H420" s="51">
        <v>0</v>
      </c>
      <c r="I420" s="52">
        <v>0</v>
      </c>
      <c r="J420" s="49">
        <v>0</v>
      </c>
      <c r="K420" s="50">
        <v>0</v>
      </c>
      <c r="L420" s="49">
        <v>0</v>
      </c>
      <c r="M420" s="50">
        <v>0</v>
      </c>
      <c r="N420" s="49">
        <v>0</v>
      </c>
      <c r="O420" s="50">
        <v>0</v>
      </c>
      <c r="P420" s="49">
        <v>0</v>
      </c>
      <c r="Q420" s="53">
        <v>0</v>
      </c>
      <c r="R420" s="65"/>
      <c r="S420" s="66"/>
      <c r="T420" s="65"/>
      <c r="U420" s="66"/>
      <c r="V420" s="65"/>
      <c r="W420" s="66"/>
      <c r="X420" s="49"/>
      <c r="Y420" s="50"/>
      <c r="Z420" s="49"/>
      <c r="AA420" s="50"/>
      <c r="AB420" s="49">
        <v>10</v>
      </c>
      <c r="AC420" s="53">
        <v>4400</v>
      </c>
      <c r="AD420" s="49"/>
      <c r="AE420" s="53"/>
      <c r="AF420" s="49"/>
      <c r="AG420" s="53"/>
      <c r="AH420" s="49"/>
      <c r="AI420" s="53"/>
      <c r="AJ420" s="53"/>
      <c r="AK420" s="53"/>
      <c r="AL420" s="53"/>
      <c r="AM420" s="53"/>
      <c r="AN420" s="53"/>
      <c r="AO420" s="53"/>
      <c r="AP420" s="63">
        <f t="shared" si="12"/>
        <v>10</v>
      </c>
      <c r="AQ420" s="55">
        <f t="shared" si="13"/>
        <v>4400</v>
      </c>
    </row>
    <row r="421" spans="1:43">
      <c r="A421" s="47">
        <v>377</v>
      </c>
      <c r="B421" s="56">
        <v>4971710463729</v>
      </c>
      <c r="C421" s="57" t="s">
        <v>814</v>
      </c>
      <c r="D421" s="75" t="s">
        <v>884</v>
      </c>
      <c r="E421" s="48" t="s">
        <v>1021</v>
      </c>
      <c r="F421" s="65">
        <v>0</v>
      </c>
      <c r="G421" s="50">
        <v>0</v>
      </c>
      <c r="H421" s="51">
        <v>0</v>
      </c>
      <c r="I421" s="52">
        <v>0</v>
      </c>
      <c r="J421" s="49">
        <v>0</v>
      </c>
      <c r="K421" s="50">
        <v>0</v>
      </c>
      <c r="L421" s="49">
        <v>0</v>
      </c>
      <c r="M421" s="50">
        <v>0</v>
      </c>
      <c r="N421" s="49">
        <v>0</v>
      </c>
      <c r="O421" s="50">
        <v>0</v>
      </c>
      <c r="P421" s="49">
        <v>0</v>
      </c>
      <c r="Q421" s="53">
        <v>0</v>
      </c>
      <c r="R421" s="65"/>
      <c r="S421" s="66"/>
      <c r="T421" s="65"/>
      <c r="U421" s="66"/>
      <c r="V421" s="65"/>
      <c r="W421" s="66"/>
      <c r="X421" s="49"/>
      <c r="Y421" s="50"/>
      <c r="Z421" s="49"/>
      <c r="AA421" s="50"/>
      <c r="AB421" s="49">
        <v>10</v>
      </c>
      <c r="AC421" s="53">
        <v>4400</v>
      </c>
      <c r="AD421" s="49"/>
      <c r="AE421" s="53"/>
      <c r="AF421" s="49"/>
      <c r="AG421" s="53"/>
      <c r="AH421" s="49"/>
      <c r="AI421" s="53"/>
      <c r="AJ421" s="53"/>
      <c r="AK421" s="53"/>
      <c r="AL421" s="53"/>
      <c r="AM421" s="53"/>
      <c r="AN421" s="53"/>
      <c r="AO421" s="53"/>
      <c r="AP421" s="63">
        <f t="shared" si="12"/>
        <v>10</v>
      </c>
      <c r="AQ421" s="55">
        <f t="shared" si="13"/>
        <v>4400</v>
      </c>
    </row>
    <row r="422" spans="1:43">
      <c r="A422" s="47">
        <v>457</v>
      </c>
      <c r="B422" s="56">
        <v>4971710571776</v>
      </c>
      <c r="C422" s="57" t="s">
        <v>551</v>
      </c>
      <c r="D422" s="75" t="s">
        <v>884</v>
      </c>
      <c r="E422" s="48" t="s">
        <v>552</v>
      </c>
      <c r="F422" s="65"/>
      <c r="G422" s="50">
        <v>0</v>
      </c>
      <c r="H422" s="51"/>
      <c r="I422" s="52"/>
      <c r="J422" s="49"/>
      <c r="K422" s="50"/>
      <c r="L422" s="49"/>
      <c r="M422" s="50"/>
      <c r="N422" s="49">
        <v>10</v>
      </c>
      <c r="O422" s="50">
        <v>6600</v>
      </c>
      <c r="P422" s="49">
        <v>0</v>
      </c>
      <c r="Q422" s="53"/>
      <c r="R422" s="65"/>
      <c r="S422" s="66"/>
      <c r="T422" s="65"/>
      <c r="U422" s="66"/>
      <c r="V422" s="65"/>
      <c r="W422" s="66"/>
      <c r="X422" s="49"/>
      <c r="Y422" s="50"/>
      <c r="Z422" s="49"/>
      <c r="AA422" s="50"/>
      <c r="AB422" s="49"/>
      <c r="AC422" s="53"/>
      <c r="AD422" s="49"/>
      <c r="AE422" s="53"/>
      <c r="AF422" s="49"/>
      <c r="AG422" s="53"/>
      <c r="AH422" s="49"/>
      <c r="AI422" s="53"/>
      <c r="AJ422" s="53"/>
      <c r="AK422" s="53"/>
      <c r="AL422" s="53"/>
      <c r="AM422" s="53"/>
      <c r="AN422" s="53"/>
      <c r="AO422" s="53"/>
      <c r="AP422" s="62">
        <f t="shared" si="12"/>
        <v>10</v>
      </c>
      <c r="AQ422" s="55">
        <f t="shared" si="13"/>
        <v>6600</v>
      </c>
    </row>
    <row r="423" spans="1:43">
      <c r="A423" s="47">
        <v>458</v>
      </c>
      <c r="B423" s="56">
        <v>4971710522280</v>
      </c>
      <c r="C423" s="57" t="s">
        <v>372</v>
      </c>
      <c r="D423" s="75" t="s">
        <v>1094</v>
      </c>
      <c r="E423" s="48" t="s">
        <v>373</v>
      </c>
      <c r="F423" s="65"/>
      <c r="G423" s="50">
        <v>0</v>
      </c>
      <c r="H423" s="51"/>
      <c r="I423" s="52"/>
      <c r="J423" s="49">
        <v>0</v>
      </c>
      <c r="K423" s="50">
        <v>0</v>
      </c>
      <c r="L423" s="49">
        <v>10</v>
      </c>
      <c r="M423" s="50">
        <v>5500</v>
      </c>
      <c r="N423" s="49"/>
      <c r="O423" s="50"/>
      <c r="P423" s="49">
        <v>0</v>
      </c>
      <c r="Q423" s="53"/>
      <c r="R423" s="65"/>
      <c r="S423" s="66"/>
      <c r="T423" s="65"/>
      <c r="U423" s="66"/>
      <c r="V423" s="65"/>
      <c r="W423" s="66"/>
      <c r="X423" s="49"/>
      <c r="Y423" s="50"/>
      <c r="Z423" s="49"/>
      <c r="AA423" s="50"/>
      <c r="AB423" s="49"/>
      <c r="AC423" s="53"/>
      <c r="AD423" s="49"/>
      <c r="AE423" s="53"/>
      <c r="AF423" s="49"/>
      <c r="AG423" s="53"/>
      <c r="AH423" s="49"/>
      <c r="AI423" s="53"/>
      <c r="AJ423" s="53"/>
      <c r="AK423" s="53"/>
      <c r="AL423" s="53"/>
      <c r="AM423" s="53"/>
      <c r="AN423" s="53"/>
      <c r="AO423" s="53"/>
      <c r="AP423" s="62">
        <f t="shared" si="12"/>
        <v>10</v>
      </c>
      <c r="AQ423" s="55">
        <f t="shared" si="13"/>
        <v>5500</v>
      </c>
    </row>
    <row r="424" spans="1:43">
      <c r="A424" s="47">
        <v>459</v>
      </c>
      <c r="B424" s="56">
        <v>4971710540000</v>
      </c>
      <c r="C424" s="57" t="s">
        <v>410</v>
      </c>
      <c r="D424" s="75" t="s">
        <v>884</v>
      </c>
      <c r="E424" s="48" t="s">
        <v>411</v>
      </c>
      <c r="F424" s="65">
        <v>10</v>
      </c>
      <c r="G424" s="50">
        <v>7700</v>
      </c>
      <c r="H424" s="51"/>
      <c r="I424" s="52"/>
      <c r="J424" s="49"/>
      <c r="K424" s="50"/>
      <c r="L424" s="49"/>
      <c r="M424" s="50"/>
      <c r="N424" s="49"/>
      <c r="O424" s="50"/>
      <c r="P424" s="49">
        <v>0</v>
      </c>
      <c r="Q424" s="53"/>
      <c r="R424" s="65"/>
      <c r="S424" s="66"/>
      <c r="T424" s="65"/>
      <c r="U424" s="66"/>
      <c r="V424" s="65"/>
      <c r="W424" s="66"/>
      <c r="X424" s="49"/>
      <c r="Y424" s="50"/>
      <c r="Z424" s="49"/>
      <c r="AA424" s="50"/>
      <c r="AB424" s="49"/>
      <c r="AC424" s="53"/>
      <c r="AD424" s="49"/>
      <c r="AE424" s="53"/>
      <c r="AF424" s="49"/>
      <c r="AG424" s="53"/>
      <c r="AH424" s="49"/>
      <c r="AI424" s="53"/>
      <c r="AJ424" s="53"/>
      <c r="AK424" s="53"/>
      <c r="AL424" s="53"/>
      <c r="AM424" s="53"/>
      <c r="AN424" s="53"/>
      <c r="AO424" s="53"/>
      <c r="AP424" s="62">
        <f t="shared" si="12"/>
        <v>10</v>
      </c>
      <c r="AQ424" s="55">
        <f t="shared" si="13"/>
        <v>7700</v>
      </c>
    </row>
    <row r="425" spans="1:43">
      <c r="A425" s="47">
        <v>460</v>
      </c>
      <c r="B425" s="56">
        <v>4971710540017</v>
      </c>
      <c r="C425" s="57" t="s">
        <v>412</v>
      </c>
      <c r="D425" s="75" t="s">
        <v>884</v>
      </c>
      <c r="E425" s="48" t="s">
        <v>413</v>
      </c>
      <c r="F425" s="65">
        <v>10</v>
      </c>
      <c r="G425" s="50">
        <v>7700</v>
      </c>
      <c r="H425" s="51"/>
      <c r="I425" s="52"/>
      <c r="J425" s="49"/>
      <c r="K425" s="50"/>
      <c r="L425" s="49"/>
      <c r="M425" s="50"/>
      <c r="N425" s="49"/>
      <c r="O425" s="50"/>
      <c r="P425" s="49">
        <v>0</v>
      </c>
      <c r="Q425" s="53"/>
      <c r="R425" s="65"/>
      <c r="S425" s="66"/>
      <c r="T425" s="65"/>
      <c r="U425" s="66"/>
      <c r="V425" s="65"/>
      <c r="W425" s="66"/>
      <c r="X425" s="49"/>
      <c r="Y425" s="50"/>
      <c r="Z425" s="49"/>
      <c r="AA425" s="50"/>
      <c r="AB425" s="49"/>
      <c r="AC425" s="53"/>
      <c r="AD425" s="49"/>
      <c r="AE425" s="53"/>
      <c r="AF425" s="49"/>
      <c r="AG425" s="53"/>
      <c r="AH425" s="49"/>
      <c r="AI425" s="53"/>
      <c r="AJ425" s="53"/>
      <c r="AK425" s="53"/>
      <c r="AL425" s="53"/>
      <c r="AM425" s="53"/>
      <c r="AN425" s="53"/>
      <c r="AO425" s="53"/>
      <c r="AP425" s="62">
        <f t="shared" si="12"/>
        <v>10</v>
      </c>
      <c r="AQ425" s="55">
        <f t="shared" si="13"/>
        <v>7700</v>
      </c>
    </row>
    <row r="426" spans="1:43">
      <c r="A426" s="47">
        <v>461</v>
      </c>
      <c r="B426" s="56">
        <v>4971710540024</v>
      </c>
      <c r="C426" s="57" t="s">
        <v>414</v>
      </c>
      <c r="D426" s="75" t="s">
        <v>884</v>
      </c>
      <c r="E426" s="48" t="s">
        <v>415</v>
      </c>
      <c r="F426" s="65">
        <v>10</v>
      </c>
      <c r="G426" s="50">
        <v>7700</v>
      </c>
      <c r="H426" s="51"/>
      <c r="I426" s="52"/>
      <c r="J426" s="49"/>
      <c r="K426" s="50"/>
      <c r="L426" s="49"/>
      <c r="M426" s="50"/>
      <c r="N426" s="49"/>
      <c r="O426" s="50"/>
      <c r="P426" s="49">
        <v>0</v>
      </c>
      <c r="Q426" s="53"/>
      <c r="R426" s="65"/>
      <c r="S426" s="66"/>
      <c r="T426" s="65"/>
      <c r="U426" s="66"/>
      <c r="V426" s="65"/>
      <c r="W426" s="66"/>
      <c r="X426" s="49"/>
      <c r="Y426" s="50"/>
      <c r="Z426" s="49"/>
      <c r="AA426" s="50"/>
      <c r="AB426" s="49"/>
      <c r="AC426" s="53"/>
      <c r="AD426" s="49"/>
      <c r="AE426" s="53"/>
      <c r="AF426" s="49"/>
      <c r="AG426" s="53"/>
      <c r="AH426" s="49"/>
      <c r="AI426" s="53"/>
      <c r="AJ426" s="53"/>
      <c r="AK426" s="53"/>
      <c r="AL426" s="53"/>
      <c r="AM426" s="53"/>
      <c r="AN426" s="53"/>
      <c r="AO426" s="53"/>
      <c r="AP426" s="62">
        <f t="shared" si="12"/>
        <v>10</v>
      </c>
      <c r="AQ426" s="55">
        <f t="shared" si="13"/>
        <v>7700</v>
      </c>
    </row>
    <row r="427" spans="1:43">
      <c r="A427" s="47">
        <v>462</v>
      </c>
      <c r="B427" s="56">
        <v>4971710540031</v>
      </c>
      <c r="C427" s="57" t="s">
        <v>416</v>
      </c>
      <c r="D427" s="75" t="s">
        <v>884</v>
      </c>
      <c r="E427" s="48" t="s">
        <v>417</v>
      </c>
      <c r="F427" s="65">
        <v>10</v>
      </c>
      <c r="G427" s="50">
        <v>7700</v>
      </c>
      <c r="H427" s="51"/>
      <c r="I427" s="52"/>
      <c r="J427" s="49"/>
      <c r="K427" s="50"/>
      <c r="L427" s="49"/>
      <c r="M427" s="50"/>
      <c r="N427" s="49"/>
      <c r="O427" s="50"/>
      <c r="P427" s="49">
        <v>0</v>
      </c>
      <c r="Q427" s="53"/>
      <c r="R427" s="65"/>
      <c r="S427" s="66"/>
      <c r="T427" s="65"/>
      <c r="U427" s="66"/>
      <c r="V427" s="65"/>
      <c r="W427" s="66"/>
      <c r="X427" s="49"/>
      <c r="Y427" s="50"/>
      <c r="Z427" s="49"/>
      <c r="AA427" s="50"/>
      <c r="AB427" s="49"/>
      <c r="AC427" s="53"/>
      <c r="AD427" s="49"/>
      <c r="AE427" s="53"/>
      <c r="AF427" s="49"/>
      <c r="AG427" s="53"/>
      <c r="AH427" s="49"/>
      <c r="AI427" s="53"/>
      <c r="AJ427" s="53"/>
      <c r="AK427" s="53"/>
      <c r="AL427" s="53"/>
      <c r="AM427" s="53"/>
      <c r="AN427" s="53"/>
      <c r="AO427" s="53"/>
      <c r="AP427" s="54">
        <f t="shared" si="12"/>
        <v>10</v>
      </c>
      <c r="AQ427" s="55">
        <f t="shared" si="13"/>
        <v>7700</v>
      </c>
    </row>
    <row r="428" spans="1:43">
      <c r="A428" s="47">
        <v>463</v>
      </c>
      <c r="B428" s="56">
        <v>4971710540055</v>
      </c>
      <c r="C428" s="57" t="s">
        <v>420</v>
      </c>
      <c r="D428" s="75" t="s">
        <v>884</v>
      </c>
      <c r="E428" s="48" t="s">
        <v>421</v>
      </c>
      <c r="F428" s="65">
        <v>10</v>
      </c>
      <c r="G428" s="50">
        <v>7700</v>
      </c>
      <c r="H428" s="51"/>
      <c r="I428" s="52"/>
      <c r="J428" s="65"/>
      <c r="K428" s="66"/>
      <c r="L428" s="49"/>
      <c r="M428" s="50"/>
      <c r="N428" s="49"/>
      <c r="O428" s="50"/>
      <c r="P428" s="49">
        <v>0</v>
      </c>
      <c r="Q428" s="53"/>
      <c r="R428" s="65"/>
      <c r="S428" s="66"/>
      <c r="T428" s="65"/>
      <c r="U428" s="66"/>
      <c r="V428" s="65"/>
      <c r="W428" s="66"/>
      <c r="X428" s="49"/>
      <c r="Y428" s="50"/>
      <c r="Z428" s="49"/>
      <c r="AA428" s="50"/>
      <c r="AB428" s="49"/>
      <c r="AC428" s="53"/>
      <c r="AD428" s="49"/>
      <c r="AE428" s="53"/>
      <c r="AF428" s="49"/>
      <c r="AG428" s="53"/>
      <c r="AH428" s="49"/>
      <c r="AI428" s="53"/>
      <c r="AJ428" s="53"/>
      <c r="AK428" s="53"/>
      <c r="AL428" s="53"/>
      <c r="AM428" s="53"/>
      <c r="AN428" s="53"/>
      <c r="AO428" s="53"/>
      <c r="AP428" s="62">
        <f t="shared" si="12"/>
        <v>10</v>
      </c>
      <c r="AQ428" s="55">
        <f t="shared" si="13"/>
        <v>7700</v>
      </c>
    </row>
    <row r="429" spans="1:43">
      <c r="A429" s="47">
        <v>464</v>
      </c>
      <c r="B429" s="56">
        <v>4971710575903</v>
      </c>
      <c r="C429" s="57" t="s">
        <v>596</v>
      </c>
      <c r="D429" s="75" t="s">
        <v>884</v>
      </c>
      <c r="E429" s="48" t="s">
        <v>597</v>
      </c>
      <c r="F429" s="65"/>
      <c r="G429" s="50"/>
      <c r="H429" s="51"/>
      <c r="I429" s="52"/>
      <c r="J429" s="65">
        <v>10</v>
      </c>
      <c r="K429" s="66">
        <v>4950</v>
      </c>
      <c r="L429" s="49"/>
      <c r="M429" s="50"/>
      <c r="N429" s="49"/>
      <c r="O429" s="50"/>
      <c r="P429" s="49">
        <v>0</v>
      </c>
      <c r="Q429" s="53"/>
      <c r="R429" s="65"/>
      <c r="S429" s="66"/>
      <c r="T429" s="65"/>
      <c r="U429" s="66"/>
      <c r="V429" s="65"/>
      <c r="W429" s="66"/>
      <c r="X429" s="49"/>
      <c r="Y429" s="50"/>
      <c r="Z429" s="49"/>
      <c r="AA429" s="50"/>
      <c r="AB429" s="49"/>
      <c r="AC429" s="53"/>
      <c r="AD429" s="49"/>
      <c r="AE429" s="53"/>
      <c r="AF429" s="49"/>
      <c r="AG429" s="53"/>
      <c r="AH429" s="49"/>
      <c r="AI429" s="53"/>
      <c r="AJ429" s="53"/>
      <c r="AK429" s="53"/>
      <c r="AL429" s="53"/>
      <c r="AM429" s="53"/>
      <c r="AN429" s="53"/>
      <c r="AO429" s="53"/>
      <c r="AP429" s="62">
        <f t="shared" si="12"/>
        <v>10</v>
      </c>
      <c r="AQ429" s="55">
        <f t="shared" si="13"/>
        <v>4950</v>
      </c>
    </row>
    <row r="430" spans="1:43">
      <c r="A430" s="47">
        <v>465</v>
      </c>
      <c r="B430" s="56">
        <v>4971710578751</v>
      </c>
      <c r="C430" s="57" t="s">
        <v>636</v>
      </c>
      <c r="D430" s="75" t="s">
        <v>884</v>
      </c>
      <c r="E430" s="48" t="s">
        <v>637</v>
      </c>
      <c r="F430" s="65"/>
      <c r="G430" s="50"/>
      <c r="H430" s="51"/>
      <c r="I430" s="52"/>
      <c r="J430" s="65">
        <v>10</v>
      </c>
      <c r="K430" s="66">
        <v>4950</v>
      </c>
      <c r="L430" s="49"/>
      <c r="M430" s="50"/>
      <c r="N430" s="49"/>
      <c r="O430" s="50"/>
      <c r="P430" s="49">
        <v>0</v>
      </c>
      <c r="Q430" s="53"/>
      <c r="R430" s="65"/>
      <c r="S430" s="66"/>
      <c r="T430" s="65"/>
      <c r="U430" s="66"/>
      <c r="V430" s="65"/>
      <c r="W430" s="66"/>
      <c r="X430" s="49"/>
      <c r="Y430" s="50"/>
      <c r="Z430" s="49"/>
      <c r="AA430" s="50"/>
      <c r="AB430" s="49"/>
      <c r="AC430" s="53"/>
      <c r="AD430" s="49"/>
      <c r="AE430" s="53"/>
      <c r="AF430" s="49"/>
      <c r="AG430" s="53"/>
      <c r="AH430" s="49"/>
      <c r="AI430" s="53"/>
      <c r="AJ430" s="53"/>
      <c r="AK430" s="53"/>
      <c r="AL430" s="53"/>
      <c r="AM430" s="53"/>
      <c r="AN430" s="53"/>
      <c r="AO430" s="53"/>
      <c r="AP430" s="62">
        <f t="shared" si="12"/>
        <v>10</v>
      </c>
      <c r="AQ430" s="55">
        <f t="shared" si="13"/>
        <v>4950</v>
      </c>
    </row>
    <row r="431" spans="1:43">
      <c r="A431" s="47">
        <v>379</v>
      </c>
      <c r="B431" s="56">
        <v>4971710494907</v>
      </c>
      <c r="C431" s="57" t="s">
        <v>130</v>
      </c>
      <c r="D431" s="75" t="s">
        <v>884</v>
      </c>
      <c r="E431" s="48" t="s">
        <v>131</v>
      </c>
      <c r="F431" s="65">
        <v>0</v>
      </c>
      <c r="G431" s="50">
        <v>0</v>
      </c>
      <c r="H431" s="65">
        <v>0</v>
      </c>
      <c r="I431" s="66">
        <v>0</v>
      </c>
      <c r="J431" s="65">
        <v>0</v>
      </c>
      <c r="K431" s="66">
        <v>0</v>
      </c>
      <c r="L431" s="49">
        <v>0</v>
      </c>
      <c r="M431" s="50">
        <v>0</v>
      </c>
      <c r="N431" s="49">
        <v>0</v>
      </c>
      <c r="O431" s="50">
        <v>0</v>
      </c>
      <c r="P431" s="49">
        <v>0</v>
      </c>
      <c r="Q431" s="53">
        <v>0</v>
      </c>
      <c r="R431" s="65"/>
      <c r="S431" s="66"/>
      <c r="T431" s="65"/>
      <c r="U431" s="66"/>
      <c r="V431" s="65"/>
      <c r="W431" s="66"/>
      <c r="X431" s="49"/>
      <c r="Y431" s="50"/>
      <c r="Z431" s="49"/>
      <c r="AA431" s="50"/>
      <c r="AB431" s="49"/>
      <c r="AC431" s="53"/>
      <c r="AD431" s="49">
        <v>4</v>
      </c>
      <c r="AE431" s="53">
        <v>2640</v>
      </c>
      <c r="AF431" s="49"/>
      <c r="AG431" s="53"/>
      <c r="AH431" s="49">
        <v>4</v>
      </c>
      <c r="AI431" s="53">
        <v>2640</v>
      </c>
      <c r="AJ431" s="53"/>
      <c r="AK431" s="53"/>
      <c r="AL431" s="53"/>
      <c r="AM431" s="53"/>
      <c r="AN431" s="53"/>
      <c r="AO431" s="53"/>
      <c r="AP431" s="62">
        <f t="shared" si="12"/>
        <v>8</v>
      </c>
      <c r="AQ431" s="55">
        <f t="shared" si="13"/>
        <v>5280</v>
      </c>
    </row>
    <row r="432" spans="1:43">
      <c r="A432" s="47">
        <v>381</v>
      </c>
      <c r="B432" s="56">
        <v>4971710495027</v>
      </c>
      <c r="C432" s="57" t="s">
        <v>154</v>
      </c>
      <c r="D432" s="75" t="s">
        <v>884</v>
      </c>
      <c r="E432" s="48" t="s">
        <v>155</v>
      </c>
      <c r="F432" s="65">
        <v>0</v>
      </c>
      <c r="G432" s="50">
        <v>0</v>
      </c>
      <c r="H432" s="65">
        <v>0</v>
      </c>
      <c r="I432" s="66">
        <v>0</v>
      </c>
      <c r="J432" s="65">
        <v>0</v>
      </c>
      <c r="K432" s="66">
        <v>0</v>
      </c>
      <c r="L432" s="49">
        <v>0</v>
      </c>
      <c r="M432" s="50">
        <v>0</v>
      </c>
      <c r="N432" s="49">
        <v>0</v>
      </c>
      <c r="O432" s="50">
        <v>0</v>
      </c>
      <c r="P432" s="49">
        <v>0</v>
      </c>
      <c r="Q432" s="53">
        <v>0</v>
      </c>
      <c r="R432" s="65"/>
      <c r="S432" s="66"/>
      <c r="T432" s="65"/>
      <c r="U432" s="66"/>
      <c r="V432" s="65">
        <v>4</v>
      </c>
      <c r="W432" s="66">
        <v>2640</v>
      </c>
      <c r="X432" s="49"/>
      <c r="Y432" s="50"/>
      <c r="Z432" s="49">
        <v>4</v>
      </c>
      <c r="AA432" s="50">
        <v>2640</v>
      </c>
      <c r="AB432" s="49"/>
      <c r="AC432" s="53"/>
      <c r="AD432" s="49"/>
      <c r="AE432" s="53"/>
      <c r="AF432" s="49"/>
      <c r="AG432" s="53"/>
      <c r="AH432" s="49"/>
      <c r="AI432" s="53"/>
      <c r="AJ432" s="53"/>
      <c r="AK432" s="53"/>
      <c r="AL432" s="53"/>
      <c r="AM432" s="53"/>
      <c r="AN432" s="53"/>
      <c r="AO432" s="53"/>
      <c r="AP432" s="62">
        <f t="shared" si="12"/>
        <v>8</v>
      </c>
      <c r="AQ432" s="55">
        <f t="shared" si="13"/>
        <v>5280</v>
      </c>
    </row>
    <row r="433" spans="1:43">
      <c r="A433" s="47">
        <v>382</v>
      </c>
      <c r="B433" s="56">
        <v>4971710494990</v>
      </c>
      <c r="C433" s="57" t="s">
        <v>148</v>
      </c>
      <c r="D433" s="75" t="s">
        <v>884</v>
      </c>
      <c r="E433" s="48" t="s">
        <v>149</v>
      </c>
      <c r="F433" s="65">
        <v>0</v>
      </c>
      <c r="G433" s="50">
        <v>0</v>
      </c>
      <c r="H433" s="65">
        <v>0</v>
      </c>
      <c r="I433" s="66">
        <v>0</v>
      </c>
      <c r="J433" s="65">
        <v>0</v>
      </c>
      <c r="K433" s="66">
        <v>0</v>
      </c>
      <c r="L433" s="49">
        <v>0</v>
      </c>
      <c r="M433" s="50">
        <v>0</v>
      </c>
      <c r="N433" s="49">
        <v>0</v>
      </c>
      <c r="O433" s="50">
        <v>0</v>
      </c>
      <c r="P433" s="49">
        <v>0</v>
      </c>
      <c r="Q433" s="53">
        <v>0</v>
      </c>
      <c r="R433" s="65"/>
      <c r="S433" s="66"/>
      <c r="T433" s="65"/>
      <c r="U433" s="66"/>
      <c r="V433" s="65"/>
      <c r="W433" s="66"/>
      <c r="X433" s="49">
        <v>4</v>
      </c>
      <c r="Y433" s="50">
        <v>2640</v>
      </c>
      <c r="Z433" s="49">
        <v>4</v>
      </c>
      <c r="AA433" s="50">
        <v>2640</v>
      </c>
      <c r="AB433" s="49"/>
      <c r="AC433" s="53"/>
      <c r="AD433" s="49"/>
      <c r="AE433" s="53"/>
      <c r="AF433" s="49"/>
      <c r="AG433" s="53"/>
      <c r="AH433" s="49"/>
      <c r="AI433" s="53"/>
      <c r="AJ433" s="53"/>
      <c r="AK433" s="53"/>
      <c r="AL433" s="53"/>
      <c r="AM433" s="53"/>
      <c r="AN433" s="53"/>
      <c r="AO433" s="53"/>
      <c r="AP433" s="62">
        <f t="shared" si="12"/>
        <v>8</v>
      </c>
      <c r="AQ433" s="55">
        <f t="shared" si="13"/>
        <v>5280</v>
      </c>
    </row>
    <row r="434" spans="1:43">
      <c r="A434" s="47">
        <v>386</v>
      </c>
      <c r="B434" s="56">
        <v>4971710584745</v>
      </c>
      <c r="C434" s="57" t="s">
        <v>712</v>
      </c>
      <c r="D434" s="75" t="s">
        <v>880</v>
      </c>
      <c r="E434" s="48" t="s">
        <v>713</v>
      </c>
      <c r="F434" s="65">
        <v>0</v>
      </c>
      <c r="G434" s="50">
        <v>0</v>
      </c>
      <c r="H434" s="65">
        <v>0</v>
      </c>
      <c r="I434" s="66">
        <v>0</v>
      </c>
      <c r="J434" s="65">
        <v>0</v>
      </c>
      <c r="K434" s="66">
        <v>0</v>
      </c>
      <c r="L434" s="49">
        <v>0</v>
      </c>
      <c r="M434" s="50">
        <v>0</v>
      </c>
      <c r="N434" s="49">
        <v>0</v>
      </c>
      <c r="O434" s="50">
        <v>0</v>
      </c>
      <c r="P434" s="49">
        <v>0</v>
      </c>
      <c r="Q434" s="53">
        <v>0</v>
      </c>
      <c r="R434" s="65"/>
      <c r="S434" s="66"/>
      <c r="T434" s="65">
        <v>4</v>
      </c>
      <c r="U434" s="66">
        <v>1100</v>
      </c>
      <c r="V434" s="65"/>
      <c r="W434" s="66"/>
      <c r="X434" s="49"/>
      <c r="Y434" s="50"/>
      <c r="Z434" s="49">
        <v>2</v>
      </c>
      <c r="AA434" s="50">
        <v>1100</v>
      </c>
      <c r="AB434" s="49"/>
      <c r="AC434" s="53"/>
      <c r="AD434" s="49"/>
      <c r="AE434" s="53"/>
      <c r="AF434" s="49">
        <v>2</v>
      </c>
      <c r="AG434" s="53">
        <v>1100</v>
      </c>
      <c r="AH434" s="49"/>
      <c r="AI434" s="53"/>
      <c r="AJ434" s="53"/>
      <c r="AK434" s="53"/>
      <c r="AL434" s="53"/>
      <c r="AM434" s="53"/>
      <c r="AN434" s="53"/>
      <c r="AO434" s="53"/>
      <c r="AP434" s="63">
        <f t="shared" si="12"/>
        <v>8</v>
      </c>
      <c r="AQ434" s="55">
        <f t="shared" si="13"/>
        <v>3300</v>
      </c>
    </row>
    <row r="435" spans="1:43">
      <c r="A435" s="47">
        <v>383</v>
      </c>
      <c r="B435" s="56">
        <v>4971710282153</v>
      </c>
      <c r="C435" s="57" t="s">
        <v>1042</v>
      </c>
      <c r="D435" s="75" t="s">
        <v>1076</v>
      </c>
      <c r="E435" s="48" t="s">
        <v>1043</v>
      </c>
      <c r="F435" s="65"/>
      <c r="G435" s="50"/>
      <c r="H435" s="65"/>
      <c r="I435" s="66"/>
      <c r="J435" s="65"/>
      <c r="K435" s="66"/>
      <c r="L435" s="49"/>
      <c r="M435" s="50"/>
      <c r="N435" s="49"/>
      <c r="O435" s="50"/>
      <c r="P435" s="49"/>
      <c r="Q435" s="53"/>
      <c r="R435" s="65"/>
      <c r="S435" s="66"/>
      <c r="T435" s="65"/>
      <c r="U435" s="66"/>
      <c r="V435" s="65"/>
      <c r="W435" s="66"/>
      <c r="X435" s="49"/>
      <c r="Y435" s="50"/>
      <c r="Z435" s="49"/>
      <c r="AA435" s="50"/>
      <c r="AB435" s="49"/>
      <c r="AC435" s="53"/>
      <c r="AD435" s="49"/>
      <c r="AE435" s="53"/>
      <c r="AF435" s="49"/>
      <c r="AG435" s="53"/>
      <c r="AH435" s="49"/>
      <c r="AI435" s="53"/>
      <c r="AJ435" s="53"/>
      <c r="AK435" s="53"/>
      <c r="AL435" s="53"/>
      <c r="AM435" s="53"/>
      <c r="AN435" s="53">
        <v>6</v>
      </c>
      <c r="AO435" s="53">
        <v>11550</v>
      </c>
      <c r="AP435" s="63">
        <f t="shared" si="12"/>
        <v>6</v>
      </c>
      <c r="AQ435" s="55">
        <f t="shared" si="13"/>
        <v>11550</v>
      </c>
    </row>
    <row r="436" spans="1:43">
      <c r="A436" s="47">
        <v>384</v>
      </c>
      <c r="B436" s="56">
        <v>4971710615814</v>
      </c>
      <c r="C436" s="57" t="s">
        <v>1044</v>
      </c>
      <c r="D436" s="75" t="s">
        <v>1076</v>
      </c>
      <c r="E436" s="48" t="s">
        <v>1045</v>
      </c>
      <c r="F436" s="65"/>
      <c r="G436" s="50"/>
      <c r="H436" s="65"/>
      <c r="I436" s="66"/>
      <c r="J436" s="65"/>
      <c r="K436" s="66"/>
      <c r="L436" s="49"/>
      <c r="M436" s="50"/>
      <c r="N436" s="49"/>
      <c r="O436" s="50"/>
      <c r="P436" s="49"/>
      <c r="Q436" s="53"/>
      <c r="R436" s="65"/>
      <c r="S436" s="66"/>
      <c r="T436" s="65"/>
      <c r="U436" s="66"/>
      <c r="V436" s="65"/>
      <c r="W436" s="66"/>
      <c r="X436" s="49"/>
      <c r="Y436" s="50"/>
      <c r="Z436" s="49"/>
      <c r="AA436" s="50"/>
      <c r="AB436" s="49"/>
      <c r="AC436" s="53"/>
      <c r="AD436" s="49"/>
      <c r="AE436" s="53"/>
      <c r="AF436" s="49"/>
      <c r="AG436" s="53"/>
      <c r="AH436" s="49"/>
      <c r="AI436" s="53"/>
      <c r="AJ436" s="53"/>
      <c r="AK436" s="53"/>
      <c r="AL436" s="53"/>
      <c r="AM436" s="53"/>
      <c r="AN436" s="53">
        <v>6</v>
      </c>
      <c r="AO436" s="53">
        <v>33000</v>
      </c>
      <c r="AP436" s="63">
        <f t="shared" si="12"/>
        <v>6</v>
      </c>
      <c r="AQ436" s="55">
        <f t="shared" si="13"/>
        <v>33000</v>
      </c>
    </row>
    <row r="437" spans="1:43">
      <c r="A437" s="47">
        <v>385</v>
      </c>
      <c r="B437" s="56">
        <v>4971710463637</v>
      </c>
      <c r="C437" s="57" t="s">
        <v>967</v>
      </c>
      <c r="D437" s="75" t="s">
        <v>884</v>
      </c>
      <c r="E437" s="48" t="s">
        <v>968</v>
      </c>
      <c r="F437" s="65"/>
      <c r="G437" s="50"/>
      <c r="H437" s="65"/>
      <c r="I437" s="66"/>
      <c r="J437" s="65"/>
      <c r="K437" s="66"/>
      <c r="L437" s="49"/>
      <c r="M437" s="50"/>
      <c r="N437" s="49"/>
      <c r="O437" s="50"/>
      <c r="P437" s="49"/>
      <c r="Q437" s="53"/>
      <c r="R437" s="65"/>
      <c r="S437" s="66"/>
      <c r="T437" s="65"/>
      <c r="U437" s="66"/>
      <c r="V437" s="65"/>
      <c r="W437" s="66"/>
      <c r="X437" s="49"/>
      <c r="Y437" s="50"/>
      <c r="Z437" s="49"/>
      <c r="AA437" s="50"/>
      <c r="AB437" s="49"/>
      <c r="AC437" s="53"/>
      <c r="AD437" s="49"/>
      <c r="AE437" s="53"/>
      <c r="AF437" s="49"/>
      <c r="AG437" s="53"/>
      <c r="AH437" s="49">
        <v>6</v>
      </c>
      <c r="AI437" s="53">
        <v>2640</v>
      </c>
      <c r="AJ437" s="53"/>
      <c r="AK437" s="53"/>
      <c r="AL437" s="53"/>
      <c r="AM437" s="53"/>
      <c r="AN437" s="53"/>
      <c r="AO437" s="53"/>
      <c r="AP437" s="63">
        <f t="shared" si="12"/>
        <v>6</v>
      </c>
      <c r="AQ437" s="55">
        <f t="shared" si="13"/>
        <v>2640</v>
      </c>
    </row>
    <row r="438" spans="1:43">
      <c r="A438" s="47">
        <v>389</v>
      </c>
      <c r="B438" s="56">
        <v>4971710513998</v>
      </c>
      <c r="C438" s="57" t="s">
        <v>792</v>
      </c>
      <c r="D438" s="75" t="s">
        <v>880</v>
      </c>
      <c r="E438" s="48" t="s">
        <v>793</v>
      </c>
      <c r="F438" s="65">
        <v>0</v>
      </c>
      <c r="G438" s="50">
        <v>0</v>
      </c>
      <c r="H438" s="65">
        <v>0</v>
      </c>
      <c r="I438" s="66">
        <v>0</v>
      </c>
      <c r="J438" s="65">
        <v>0</v>
      </c>
      <c r="K438" s="66">
        <v>0</v>
      </c>
      <c r="L438" s="49">
        <v>0</v>
      </c>
      <c r="M438" s="50">
        <v>0</v>
      </c>
      <c r="N438" s="49">
        <v>0</v>
      </c>
      <c r="O438" s="50">
        <v>0</v>
      </c>
      <c r="P438" s="49">
        <v>0</v>
      </c>
      <c r="Q438" s="53">
        <v>0</v>
      </c>
      <c r="R438" s="65"/>
      <c r="S438" s="66"/>
      <c r="T438" s="65"/>
      <c r="U438" s="66"/>
      <c r="V438" s="65"/>
      <c r="W438" s="66"/>
      <c r="X438" s="49">
        <v>6</v>
      </c>
      <c r="Y438" s="50">
        <v>2970</v>
      </c>
      <c r="Z438" s="49"/>
      <c r="AA438" s="50"/>
      <c r="AB438" s="49"/>
      <c r="AC438" s="53"/>
      <c r="AD438" s="49"/>
      <c r="AE438" s="53"/>
      <c r="AF438" s="49"/>
      <c r="AG438" s="53"/>
      <c r="AH438" s="49"/>
      <c r="AI438" s="53"/>
      <c r="AJ438" s="53"/>
      <c r="AK438" s="53"/>
      <c r="AL438" s="53"/>
      <c r="AM438" s="53"/>
      <c r="AN438" s="53"/>
      <c r="AO438" s="53"/>
      <c r="AP438" s="62">
        <f t="shared" si="12"/>
        <v>6</v>
      </c>
      <c r="AQ438" s="55">
        <f t="shared" si="13"/>
        <v>2970</v>
      </c>
    </row>
    <row r="439" spans="1:43">
      <c r="A439" s="47">
        <v>390</v>
      </c>
      <c r="B439" s="56">
        <v>4971710518962</v>
      </c>
      <c r="C439" s="57" t="s">
        <v>794</v>
      </c>
      <c r="D439" s="75" t="s">
        <v>880</v>
      </c>
      <c r="E439" s="48" t="s">
        <v>793</v>
      </c>
      <c r="F439" s="65">
        <v>0</v>
      </c>
      <c r="G439" s="50">
        <v>0</v>
      </c>
      <c r="H439" s="65">
        <v>0</v>
      </c>
      <c r="I439" s="66">
        <v>0</v>
      </c>
      <c r="J439" s="65">
        <v>0</v>
      </c>
      <c r="K439" s="66">
        <v>0</v>
      </c>
      <c r="L439" s="49">
        <v>0</v>
      </c>
      <c r="M439" s="50">
        <v>0</v>
      </c>
      <c r="N439" s="49">
        <v>0</v>
      </c>
      <c r="O439" s="50">
        <v>0</v>
      </c>
      <c r="P439" s="49">
        <v>0</v>
      </c>
      <c r="Q439" s="53">
        <v>0</v>
      </c>
      <c r="R439" s="65"/>
      <c r="S439" s="66"/>
      <c r="T439" s="65"/>
      <c r="U439" s="66"/>
      <c r="V439" s="65"/>
      <c r="W439" s="66"/>
      <c r="X439" s="49">
        <v>6</v>
      </c>
      <c r="Y439" s="50">
        <v>2970</v>
      </c>
      <c r="Z439" s="49"/>
      <c r="AA439" s="50"/>
      <c r="AB439" s="49"/>
      <c r="AC439" s="53"/>
      <c r="AD439" s="49"/>
      <c r="AE439" s="53"/>
      <c r="AF439" s="49"/>
      <c r="AG439" s="53"/>
      <c r="AH439" s="49"/>
      <c r="AI439" s="53"/>
      <c r="AJ439" s="53"/>
      <c r="AK439" s="53"/>
      <c r="AL439" s="53"/>
      <c r="AM439" s="53"/>
      <c r="AN439" s="53"/>
      <c r="AO439" s="53"/>
      <c r="AP439" s="62">
        <f t="shared" si="12"/>
        <v>6</v>
      </c>
      <c r="AQ439" s="55">
        <f t="shared" si="13"/>
        <v>2970</v>
      </c>
    </row>
    <row r="440" spans="1:43">
      <c r="A440" s="47">
        <v>391</v>
      </c>
      <c r="B440" s="56">
        <v>4971710514261</v>
      </c>
      <c r="C440" s="57" t="s">
        <v>795</v>
      </c>
      <c r="D440" s="75" t="s">
        <v>880</v>
      </c>
      <c r="E440" s="48" t="s">
        <v>793</v>
      </c>
      <c r="F440" s="65">
        <v>0</v>
      </c>
      <c r="G440" s="50">
        <v>0</v>
      </c>
      <c r="H440" s="65">
        <v>0</v>
      </c>
      <c r="I440" s="66">
        <v>0</v>
      </c>
      <c r="J440" s="65">
        <v>0</v>
      </c>
      <c r="K440" s="66">
        <v>0</v>
      </c>
      <c r="L440" s="49">
        <v>0</v>
      </c>
      <c r="M440" s="50">
        <v>0</v>
      </c>
      <c r="N440" s="49">
        <v>0</v>
      </c>
      <c r="O440" s="50">
        <v>0</v>
      </c>
      <c r="P440" s="49">
        <v>0</v>
      </c>
      <c r="Q440" s="53">
        <v>0</v>
      </c>
      <c r="R440" s="65"/>
      <c r="S440" s="66"/>
      <c r="T440" s="65"/>
      <c r="U440" s="66"/>
      <c r="V440" s="65"/>
      <c r="W440" s="66"/>
      <c r="X440" s="49">
        <v>6</v>
      </c>
      <c r="Y440" s="50">
        <v>2970</v>
      </c>
      <c r="Z440" s="49"/>
      <c r="AA440" s="50"/>
      <c r="AB440" s="49"/>
      <c r="AC440" s="53"/>
      <c r="AD440" s="49"/>
      <c r="AE440" s="53"/>
      <c r="AF440" s="49"/>
      <c r="AG440" s="53"/>
      <c r="AH440" s="49"/>
      <c r="AI440" s="53"/>
      <c r="AJ440" s="53"/>
      <c r="AK440" s="53"/>
      <c r="AL440" s="53"/>
      <c r="AM440" s="53"/>
      <c r="AN440" s="53"/>
      <c r="AO440" s="53"/>
      <c r="AP440" s="62">
        <f t="shared" si="12"/>
        <v>6</v>
      </c>
      <c r="AQ440" s="55">
        <f t="shared" si="13"/>
        <v>2970</v>
      </c>
    </row>
    <row r="441" spans="1:43">
      <c r="A441" s="47">
        <v>392</v>
      </c>
      <c r="B441" s="56">
        <v>4971710514209</v>
      </c>
      <c r="C441" s="57" t="s">
        <v>796</v>
      </c>
      <c r="D441" s="75" t="s">
        <v>880</v>
      </c>
      <c r="E441" s="48" t="s">
        <v>793</v>
      </c>
      <c r="F441" s="65">
        <v>0</v>
      </c>
      <c r="G441" s="50">
        <v>0</v>
      </c>
      <c r="H441" s="65">
        <v>0</v>
      </c>
      <c r="I441" s="66">
        <v>0</v>
      </c>
      <c r="J441" s="65">
        <v>0</v>
      </c>
      <c r="K441" s="66">
        <v>0</v>
      </c>
      <c r="L441" s="49">
        <v>0</v>
      </c>
      <c r="M441" s="50">
        <v>0</v>
      </c>
      <c r="N441" s="49">
        <v>0</v>
      </c>
      <c r="O441" s="50">
        <v>0</v>
      </c>
      <c r="P441" s="49">
        <v>0</v>
      </c>
      <c r="Q441" s="53">
        <v>0</v>
      </c>
      <c r="R441" s="65"/>
      <c r="S441" s="66"/>
      <c r="T441" s="65"/>
      <c r="U441" s="66"/>
      <c r="V441" s="65"/>
      <c r="W441" s="66"/>
      <c r="X441" s="49">
        <v>6</v>
      </c>
      <c r="Y441" s="50">
        <v>2970</v>
      </c>
      <c r="Z441" s="49"/>
      <c r="AA441" s="50"/>
      <c r="AB441" s="49"/>
      <c r="AC441" s="53"/>
      <c r="AD441" s="49"/>
      <c r="AE441" s="53"/>
      <c r="AF441" s="49"/>
      <c r="AG441" s="53"/>
      <c r="AH441" s="49"/>
      <c r="AI441" s="53"/>
      <c r="AJ441" s="53"/>
      <c r="AK441" s="53"/>
      <c r="AL441" s="53"/>
      <c r="AM441" s="53"/>
      <c r="AN441" s="53"/>
      <c r="AO441" s="53"/>
      <c r="AP441" s="62">
        <f t="shared" si="12"/>
        <v>6</v>
      </c>
      <c r="AQ441" s="55">
        <f t="shared" si="13"/>
        <v>2970</v>
      </c>
    </row>
    <row r="442" spans="1:43">
      <c r="A442" s="47">
        <v>393</v>
      </c>
      <c r="B442" s="56">
        <v>4971710514193</v>
      </c>
      <c r="C442" s="57" t="s">
        <v>797</v>
      </c>
      <c r="D442" s="75" t="s">
        <v>880</v>
      </c>
      <c r="E442" s="48" t="s">
        <v>793</v>
      </c>
      <c r="F442" s="65">
        <v>0</v>
      </c>
      <c r="G442" s="50">
        <v>0</v>
      </c>
      <c r="H442" s="65">
        <v>0</v>
      </c>
      <c r="I442" s="66">
        <v>0</v>
      </c>
      <c r="J442" s="65">
        <v>0</v>
      </c>
      <c r="K442" s="66">
        <v>0</v>
      </c>
      <c r="L442" s="49">
        <v>0</v>
      </c>
      <c r="M442" s="50">
        <v>0</v>
      </c>
      <c r="N442" s="49">
        <v>0</v>
      </c>
      <c r="O442" s="50">
        <v>0</v>
      </c>
      <c r="P442" s="49">
        <v>0</v>
      </c>
      <c r="Q442" s="53">
        <v>0</v>
      </c>
      <c r="R442" s="65"/>
      <c r="S442" s="66"/>
      <c r="T442" s="65"/>
      <c r="U442" s="66"/>
      <c r="V442" s="65"/>
      <c r="W442" s="66"/>
      <c r="X442" s="49">
        <v>6</v>
      </c>
      <c r="Y442" s="50">
        <v>2970</v>
      </c>
      <c r="Z442" s="49"/>
      <c r="AA442" s="50"/>
      <c r="AB442" s="49"/>
      <c r="AC442" s="53"/>
      <c r="AD442" s="49"/>
      <c r="AE442" s="53"/>
      <c r="AF442" s="49"/>
      <c r="AG442" s="53"/>
      <c r="AH442" s="49"/>
      <c r="AI442" s="53"/>
      <c r="AJ442" s="53"/>
      <c r="AK442" s="53"/>
      <c r="AL442" s="53"/>
      <c r="AM442" s="53"/>
      <c r="AN442" s="53"/>
      <c r="AO442" s="53"/>
      <c r="AP442" s="62">
        <f t="shared" si="12"/>
        <v>6</v>
      </c>
      <c r="AQ442" s="55">
        <f t="shared" si="13"/>
        <v>2970</v>
      </c>
    </row>
    <row r="443" spans="1:43">
      <c r="A443" s="47">
        <v>394</v>
      </c>
      <c r="B443" s="56">
        <v>4971710514186</v>
      </c>
      <c r="C443" s="57" t="s">
        <v>798</v>
      </c>
      <c r="D443" s="75" t="s">
        <v>880</v>
      </c>
      <c r="E443" s="48" t="s">
        <v>793</v>
      </c>
      <c r="F443" s="65">
        <v>0</v>
      </c>
      <c r="G443" s="50">
        <v>0</v>
      </c>
      <c r="H443" s="65">
        <v>0</v>
      </c>
      <c r="I443" s="66">
        <v>0</v>
      </c>
      <c r="J443" s="65">
        <v>0</v>
      </c>
      <c r="K443" s="66">
        <v>0</v>
      </c>
      <c r="L443" s="49">
        <v>0</v>
      </c>
      <c r="M443" s="50">
        <v>0</v>
      </c>
      <c r="N443" s="49">
        <v>0</v>
      </c>
      <c r="O443" s="50">
        <v>0</v>
      </c>
      <c r="P443" s="49">
        <v>0</v>
      </c>
      <c r="Q443" s="53">
        <v>0</v>
      </c>
      <c r="R443" s="65"/>
      <c r="S443" s="66"/>
      <c r="T443" s="65"/>
      <c r="U443" s="66"/>
      <c r="V443" s="65"/>
      <c r="W443" s="66"/>
      <c r="X443" s="49">
        <v>6</v>
      </c>
      <c r="Y443" s="50">
        <v>2970</v>
      </c>
      <c r="Z443" s="49"/>
      <c r="AA443" s="50"/>
      <c r="AB443" s="49"/>
      <c r="AC443" s="53"/>
      <c r="AD443" s="49"/>
      <c r="AE443" s="53"/>
      <c r="AF443" s="49"/>
      <c r="AG443" s="53"/>
      <c r="AH443" s="49"/>
      <c r="AI443" s="53"/>
      <c r="AJ443" s="53"/>
      <c r="AK443" s="53"/>
      <c r="AL443" s="53"/>
      <c r="AM443" s="53"/>
      <c r="AN443" s="53"/>
      <c r="AO443" s="53"/>
      <c r="AP443" s="62">
        <f t="shared" si="12"/>
        <v>6</v>
      </c>
      <c r="AQ443" s="55">
        <f t="shared" si="13"/>
        <v>2970</v>
      </c>
    </row>
    <row r="444" spans="1:43">
      <c r="A444" s="47">
        <v>395</v>
      </c>
      <c r="B444" s="56">
        <v>4971710514148</v>
      </c>
      <c r="C444" s="57" t="s">
        <v>799</v>
      </c>
      <c r="D444" s="75" t="s">
        <v>880</v>
      </c>
      <c r="E444" s="48" t="s">
        <v>793</v>
      </c>
      <c r="F444" s="65">
        <v>0</v>
      </c>
      <c r="G444" s="50">
        <v>0</v>
      </c>
      <c r="H444" s="65">
        <v>0</v>
      </c>
      <c r="I444" s="66">
        <v>0</v>
      </c>
      <c r="J444" s="65">
        <v>0</v>
      </c>
      <c r="K444" s="66">
        <v>0</v>
      </c>
      <c r="L444" s="49">
        <v>0</v>
      </c>
      <c r="M444" s="50">
        <v>0</v>
      </c>
      <c r="N444" s="49">
        <v>0</v>
      </c>
      <c r="O444" s="50">
        <v>0</v>
      </c>
      <c r="P444" s="49">
        <v>0</v>
      </c>
      <c r="Q444" s="53">
        <v>0</v>
      </c>
      <c r="R444" s="65"/>
      <c r="S444" s="66"/>
      <c r="T444" s="65"/>
      <c r="U444" s="66"/>
      <c r="V444" s="65"/>
      <c r="W444" s="66"/>
      <c r="X444" s="49">
        <v>6</v>
      </c>
      <c r="Y444" s="50">
        <v>2970</v>
      </c>
      <c r="Z444" s="49"/>
      <c r="AA444" s="50"/>
      <c r="AB444" s="49"/>
      <c r="AC444" s="53"/>
      <c r="AD444" s="49"/>
      <c r="AE444" s="53"/>
      <c r="AF444" s="49"/>
      <c r="AG444" s="53"/>
      <c r="AH444" s="49"/>
      <c r="AI444" s="53"/>
      <c r="AJ444" s="53"/>
      <c r="AK444" s="53"/>
      <c r="AL444" s="53"/>
      <c r="AM444" s="53"/>
      <c r="AN444" s="53"/>
      <c r="AO444" s="53"/>
      <c r="AP444" s="62">
        <f t="shared" si="12"/>
        <v>6</v>
      </c>
      <c r="AQ444" s="55">
        <f t="shared" si="13"/>
        <v>2970</v>
      </c>
    </row>
    <row r="445" spans="1:43">
      <c r="A445" s="47">
        <v>466</v>
      </c>
      <c r="B445" s="56">
        <v>4971710474435</v>
      </c>
      <c r="C445" s="57" t="s">
        <v>22</v>
      </c>
      <c r="D445" s="75" t="s">
        <v>884</v>
      </c>
      <c r="E445" s="48" t="s">
        <v>23</v>
      </c>
      <c r="F445" s="65"/>
      <c r="G445" s="50"/>
      <c r="H445" s="65"/>
      <c r="I445" s="66"/>
      <c r="J445" s="65"/>
      <c r="K445" s="66"/>
      <c r="L445" s="49"/>
      <c r="M445" s="50"/>
      <c r="N445" s="49"/>
      <c r="O445" s="50"/>
      <c r="P445" s="49">
        <v>6</v>
      </c>
      <c r="Q445" s="53">
        <v>4950</v>
      </c>
      <c r="R445" s="65"/>
      <c r="S445" s="66"/>
      <c r="T445" s="65"/>
      <c r="U445" s="66"/>
      <c r="V445" s="65"/>
      <c r="W445" s="66"/>
      <c r="X445" s="49"/>
      <c r="Y445" s="50"/>
      <c r="Z445" s="49"/>
      <c r="AA445" s="50"/>
      <c r="AB445" s="49"/>
      <c r="AC445" s="53"/>
      <c r="AD445" s="49"/>
      <c r="AE445" s="53"/>
      <c r="AF445" s="49"/>
      <c r="AG445" s="53"/>
      <c r="AH445" s="49"/>
      <c r="AI445" s="53"/>
      <c r="AJ445" s="53"/>
      <c r="AK445" s="53"/>
      <c r="AL445" s="53"/>
      <c r="AM445" s="53"/>
      <c r="AN445" s="53"/>
      <c r="AO445" s="53"/>
      <c r="AP445" s="62">
        <f t="shared" si="12"/>
        <v>6</v>
      </c>
      <c r="AQ445" s="55">
        <f t="shared" si="13"/>
        <v>4950</v>
      </c>
    </row>
    <row r="446" spans="1:43">
      <c r="A446" s="47">
        <v>396</v>
      </c>
      <c r="B446" s="56">
        <v>4971710551778</v>
      </c>
      <c r="C446" s="57" t="s">
        <v>1028</v>
      </c>
      <c r="D446" s="75" t="s">
        <v>1076</v>
      </c>
      <c r="E446" s="48" t="s">
        <v>933</v>
      </c>
      <c r="F446" s="65"/>
      <c r="G446" s="50"/>
      <c r="H446" s="65"/>
      <c r="I446" s="66"/>
      <c r="J446" s="65"/>
      <c r="K446" s="66"/>
      <c r="L446" s="49"/>
      <c r="M446" s="50"/>
      <c r="N446" s="49"/>
      <c r="O446" s="50"/>
      <c r="P446" s="49"/>
      <c r="Q446" s="53"/>
      <c r="R446" s="65"/>
      <c r="S446" s="66"/>
      <c r="T446" s="65"/>
      <c r="U446" s="66"/>
      <c r="V446" s="65"/>
      <c r="W446" s="66"/>
      <c r="X446" s="49"/>
      <c r="Y446" s="50"/>
      <c r="Z446" s="49"/>
      <c r="AA446" s="50"/>
      <c r="AB446" s="49"/>
      <c r="AC446" s="53"/>
      <c r="AD446" s="49"/>
      <c r="AE446" s="53"/>
      <c r="AF446" s="49"/>
      <c r="AG446" s="53"/>
      <c r="AH446" s="49"/>
      <c r="AI446" s="53"/>
      <c r="AJ446" s="53"/>
      <c r="AK446" s="53"/>
      <c r="AL446" s="53"/>
      <c r="AM446" s="53"/>
      <c r="AN446" s="53">
        <v>5</v>
      </c>
      <c r="AO446" s="53">
        <v>3300</v>
      </c>
      <c r="AP446" s="63">
        <f t="shared" si="12"/>
        <v>5</v>
      </c>
      <c r="AQ446" s="55">
        <f t="shared" si="13"/>
        <v>3300</v>
      </c>
    </row>
    <row r="447" spans="1:43">
      <c r="A447" s="47">
        <v>397</v>
      </c>
      <c r="B447" s="56">
        <v>4971710294767</v>
      </c>
      <c r="C447" s="57" t="s">
        <v>1031</v>
      </c>
      <c r="D447" s="75" t="s">
        <v>1076</v>
      </c>
      <c r="E447" s="48" t="s">
        <v>1032</v>
      </c>
      <c r="F447" s="65"/>
      <c r="G447" s="50"/>
      <c r="H447" s="65"/>
      <c r="I447" s="66"/>
      <c r="J447" s="65"/>
      <c r="K447" s="66"/>
      <c r="L447" s="49"/>
      <c r="M447" s="50"/>
      <c r="N447" s="49"/>
      <c r="O447" s="50"/>
      <c r="P447" s="49"/>
      <c r="Q447" s="53"/>
      <c r="R447" s="65"/>
      <c r="S447" s="66"/>
      <c r="T447" s="65"/>
      <c r="U447" s="66"/>
      <c r="V447" s="65"/>
      <c r="W447" s="66"/>
      <c r="X447" s="49"/>
      <c r="Y447" s="50"/>
      <c r="Z447" s="49"/>
      <c r="AA447" s="50"/>
      <c r="AB447" s="49"/>
      <c r="AC447" s="53"/>
      <c r="AD447" s="49"/>
      <c r="AE447" s="53"/>
      <c r="AF447" s="49"/>
      <c r="AG447" s="53"/>
      <c r="AH447" s="49"/>
      <c r="AI447" s="53"/>
      <c r="AJ447" s="53"/>
      <c r="AK447" s="53"/>
      <c r="AL447" s="53"/>
      <c r="AM447" s="53"/>
      <c r="AN447" s="53">
        <v>5</v>
      </c>
      <c r="AO447" s="53">
        <v>4125</v>
      </c>
      <c r="AP447" s="63">
        <f t="shared" si="12"/>
        <v>5</v>
      </c>
      <c r="AQ447" s="55">
        <f t="shared" si="13"/>
        <v>4125</v>
      </c>
    </row>
    <row r="448" spans="1:43">
      <c r="A448" s="47">
        <v>398</v>
      </c>
      <c r="B448" s="56">
        <v>4971710282283</v>
      </c>
      <c r="C448" s="57" t="s">
        <v>1033</v>
      </c>
      <c r="D448" s="75" t="s">
        <v>1076</v>
      </c>
      <c r="E448" s="48" t="s">
        <v>1034</v>
      </c>
      <c r="F448" s="65"/>
      <c r="G448" s="50"/>
      <c r="H448" s="65"/>
      <c r="I448" s="66"/>
      <c r="J448" s="65"/>
      <c r="K448" s="66"/>
      <c r="L448" s="49"/>
      <c r="M448" s="50"/>
      <c r="N448" s="49"/>
      <c r="O448" s="50"/>
      <c r="P448" s="49"/>
      <c r="Q448" s="53"/>
      <c r="R448" s="65"/>
      <c r="S448" s="66"/>
      <c r="T448" s="65"/>
      <c r="U448" s="66"/>
      <c r="V448" s="65"/>
      <c r="W448" s="66"/>
      <c r="X448" s="49"/>
      <c r="Y448" s="50"/>
      <c r="Z448" s="49"/>
      <c r="AA448" s="50"/>
      <c r="AB448" s="49"/>
      <c r="AC448" s="53"/>
      <c r="AD448" s="49"/>
      <c r="AE448" s="53"/>
      <c r="AF448" s="49"/>
      <c r="AG448" s="53"/>
      <c r="AH448" s="49"/>
      <c r="AI448" s="53"/>
      <c r="AJ448" s="53"/>
      <c r="AK448" s="53"/>
      <c r="AL448" s="53"/>
      <c r="AM448" s="53"/>
      <c r="AN448" s="53">
        <v>5</v>
      </c>
      <c r="AO448" s="53">
        <v>8250</v>
      </c>
      <c r="AP448" s="63">
        <f t="shared" si="12"/>
        <v>5</v>
      </c>
      <c r="AQ448" s="55">
        <f t="shared" si="13"/>
        <v>8250</v>
      </c>
    </row>
    <row r="449" spans="1:43">
      <c r="A449" s="47">
        <v>399</v>
      </c>
      <c r="B449" s="56">
        <v>4971710294750</v>
      </c>
      <c r="C449" s="57" t="s">
        <v>1035</v>
      </c>
      <c r="D449" s="75" t="s">
        <v>1076</v>
      </c>
      <c r="E449" s="48" t="s">
        <v>1036</v>
      </c>
      <c r="F449" s="65"/>
      <c r="G449" s="50"/>
      <c r="H449" s="65"/>
      <c r="I449" s="66"/>
      <c r="J449" s="65"/>
      <c r="K449" s="66"/>
      <c r="L449" s="49"/>
      <c r="M449" s="50"/>
      <c r="N449" s="49"/>
      <c r="O449" s="50"/>
      <c r="P449" s="49"/>
      <c r="Q449" s="53"/>
      <c r="R449" s="65"/>
      <c r="S449" s="66"/>
      <c r="T449" s="65"/>
      <c r="U449" s="66"/>
      <c r="V449" s="65"/>
      <c r="W449" s="66"/>
      <c r="X449" s="49"/>
      <c r="Y449" s="50"/>
      <c r="Z449" s="49"/>
      <c r="AA449" s="50"/>
      <c r="AB449" s="49"/>
      <c r="AC449" s="53"/>
      <c r="AD449" s="49"/>
      <c r="AE449" s="53"/>
      <c r="AF449" s="49"/>
      <c r="AG449" s="53"/>
      <c r="AH449" s="49"/>
      <c r="AI449" s="53"/>
      <c r="AJ449" s="53"/>
      <c r="AK449" s="53"/>
      <c r="AL449" s="53"/>
      <c r="AM449" s="53"/>
      <c r="AN449" s="53">
        <v>5</v>
      </c>
      <c r="AO449" s="53">
        <v>13750</v>
      </c>
      <c r="AP449" s="63">
        <f t="shared" si="12"/>
        <v>5</v>
      </c>
      <c r="AQ449" s="55">
        <f t="shared" si="13"/>
        <v>13750</v>
      </c>
    </row>
    <row r="450" spans="1:43">
      <c r="A450" s="47">
        <v>400</v>
      </c>
      <c r="B450" s="56">
        <v>4971710294774</v>
      </c>
      <c r="C450" s="57" t="s">
        <v>1037</v>
      </c>
      <c r="D450" s="75" t="s">
        <v>1076</v>
      </c>
      <c r="E450" s="48" t="s">
        <v>1032</v>
      </c>
      <c r="F450" s="65"/>
      <c r="G450" s="50"/>
      <c r="H450" s="65"/>
      <c r="I450" s="66"/>
      <c r="J450" s="65"/>
      <c r="K450" s="66"/>
      <c r="L450" s="49"/>
      <c r="M450" s="50"/>
      <c r="N450" s="49"/>
      <c r="O450" s="50"/>
      <c r="P450" s="49"/>
      <c r="Q450" s="53"/>
      <c r="R450" s="65"/>
      <c r="S450" s="66"/>
      <c r="T450" s="65"/>
      <c r="U450" s="66"/>
      <c r="V450" s="65"/>
      <c r="W450" s="66"/>
      <c r="X450" s="49"/>
      <c r="Y450" s="50"/>
      <c r="Z450" s="49"/>
      <c r="AA450" s="50"/>
      <c r="AB450" s="49"/>
      <c r="AC450" s="53"/>
      <c r="AD450" s="49"/>
      <c r="AE450" s="53"/>
      <c r="AF450" s="49"/>
      <c r="AG450" s="53"/>
      <c r="AH450" s="49"/>
      <c r="AI450" s="53"/>
      <c r="AJ450" s="53"/>
      <c r="AK450" s="53"/>
      <c r="AL450" s="53"/>
      <c r="AM450" s="53"/>
      <c r="AN450" s="53">
        <v>5</v>
      </c>
      <c r="AO450" s="53">
        <v>19250</v>
      </c>
      <c r="AP450" s="63">
        <f t="shared" si="12"/>
        <v>5</v>
      </c>
      <c r="AQ450" s="55">
        <f t="shared" si="13"/>
        <v>19250</v>
      </c>
    </row>
    <row r="451" spans="1:43">
      <c r="A451" s="47">
        <v>401</v>
      </c>
      <c r="B451" s="56">
        <v>4971710570137</v>
      </c>
      <c r="C451" s="57" t="s">
        <v>1038</v>
      </c>
      <c r="D451" s="75" t="s">
        <v>1076</v>
      </c>
      <c r="E451" s="48" t="s">
        <v>935</v>
      </c>
      <c r="F451" s="65"/>
      <c r="G451" s="50"/>
      <c r="H451" s="65"/>
      <c r="I451" s="66"/>
      <c r="J451" s="65"/>
      <c r="K451" s="66"/>
      <c r="L451" s="49"/>
      <c r="M451" s="50"/>
      <c r="N451" s="49"/>
      <c r="O451" s="50"/>
      <c r="P451" s="49"/>
      <c r="Q451" s="53"/>
      <c r="R451" s="65"/>
      <c r="S451" s="66"/>
      <c r="T451" s="65"/>
      <c r="U451" s="66"/>
      <c r="V451" s="65"/>
      <c r="W451" s="66"/>
      <c r="X451" s="49"/>
      <c r="Y451" s="50"/>
      <c r="Z451" s="49"/>
      <c r="AA451" s="50"/>
      <c r="AB451" s="49"/>
      <c r="AC451" s="53"/>
      <c r="AD451" s="49"/>
      <c r="AE451" s="53"/>
      <c r="AF451" s="49"/>
      <c r="AG451" s="53"/>
      <c r="AH451" s="49"/>
      <c r="AI451" s="53"/>
      <c r="AJ451" s="53"/>
      <c r="AK451" s="53"/>
      <c r="AL451" s="53"/>
      <c r="AM451" s="53"/>
      <c r="AN451" s="53">
        <v>5</v>
      </c>
      <c r="AO451" s="53">
        <v>20625</v>
      </c>
      <c r="AP451" s="63">
        <f t="shared" ref="AP451:AP514" si="14">F451+H451+J451+L451+N451+P451+R451+T451+V451+X451+Z451+AB451+AD451+AF451+AH451+AJ451+AL451+AN451</f>
        <v>5</v>
      </c>
      <c r="AQ451" s="55">
        <f t="shared" ref="AQ451:AQ514" si="15">G451+I451+K451+M451+O451+Q451+S451+U451+W451+Y451+AA451+AC451+AE451+AG451+AI451+AK451+AM451+AO451</f>
        <v>20625</v>
      </c>
    </row>
    <row r="452" spans="1:43">
      <c r="A452" s="47">
        <v>402</v>
      </c>
      <c r="B452" s="56">
        <v>4971710570151</v>
      </c>
      <c r="C452" s="57" t="s">
        <v>1039</v>
      </c>
      <c r="D452" s="75" t="s">
        <v>1076</v>
      </c>
      <c r="E452" s="48" t="s">
        <v>936</v>
      </c>
      <c r="F452" s="65"/>
      <c r="G452" s="50"/>
      <c r="H452" s="65"/>
      <c r="I452" s="66"/>
      <c r="J452" s="65"/>
      <c r="K452" s="66"/>
      <c r="L452" s="49"/>
      <c r="M452" s="50"/>
      <c r="N452" s="49"/>
      <c r="O452" s="50"/>
      <c r="P452" s="49"/>
      <c r="Q452" s="53"/>
      <c r="R452" s="65"/>
      <c r="S452" s="66"/>
      <c r="T452" s="65"/>
      <c r="U452" s="66"/>
      <c r="V452" s="65"/>
      <c r="W452" s="66"/>
      <c r="X452" s="49"/>
      <c r="Y452" s="50"/>
      <c r="Z452" s="49"/>
      <c r="AA452" s="50"/>
      <c r="AB452" s="49"/>
      <c r="AC452" s="53"/>
      <c r="AD452" s="49"/>
      <c r="AE452" s="53"/>
      <c r="AF452" s="49"/>
      <c r="AG452" s="53"/>
      <c r="AH452" s="49"/>
      <c r="AI452" s="53"/>
      <c r="AJ452" s="53"/>
      <c r="AK452" s="53"/>
      <c r="AL452" s="53"/>
      <c r="AM452" s="53"/>
      <c r="AN452" s="53">
        <v>5</v>
      </c>
      <c r="AO452" s="53">
        <v>20625</v>
      </c>
      <c r="AP452" s="63">
        <f t="shared" si="14"/>
        <v>5</v>
      </c>
      <c r="AQ452" s="55">
        <f t="shared" si="15"/>
        <v>20625</v>
      </c>
    </row>
    <row r="453" spans="1:43">
      <c r="A453" s="47">
        <v>403</v>
      </c>
      <c r="B453" s="56">
        <v>4971710615883</v>
      </c>
      <c r="C453" s="57" t="s">
        <v>1040</v>
      </c>
      <c r="D453" s="75" t="s">
        <v>1076</v>
      </c>
      <c r="E453" s="48" t="s">
        <v>1041</v>
      </c>
      <c r="F453" s="65"/>
      <c r="G453" s="50"/>
      <c r="H453" s="65"/>
      <c r="I453" s="66"/>
      <c r="J453" s="65"/>
      <c r="K453" s="66"/>
      <c r="L453" s="49"/>
      <c r="M453" s="50"/>
      <c r="N453" s="49"/>
      <c r="O453" s="50"/>
      <c r="P453" s="49"/>
      <c r="Q453" s="53"/>
      <c r="R453" s="65"/>
      <c r="S453" s="66"/>
      <c r="T453" s="65"/>
      <c r="U453" s="66"/>
      <c r="V453" s="65"/>
      <c r="W453" s="66"/>
      <c r="X453" s="49"/>
      <c r="Y453" s="50"/>
      <c r="Z453" s="49"/>
      <c r="AA453" s="50"/>
      <c r="AB453" s="49"/>
      <c r="AC453" s="53"/>
      <c r="AD453" s="49"/>
      <c r="AE453" s="53"/>
      <c r="AF453" s="49"/>
      <c r="AG453" s="53"/>
      <c r="AH453" s="49"/>
      <c r="AI453" s="53"/>
      <c r="AJ453" s="53"/>
      <c r="AK453" s="53"/>
      <c r="AL453" s="53"/>
      <c r="AM453" s="53"/>
      <c r="AN453" s="53">
        <v>5</v>
      </c>
      <c r="AO453" s="53">
        <v>23925</v>
      </c>
      <c r="AP453" s="63">
        <f t="shared" si="14"/>
        <v>5</v>
      </c>
      <c r="AQ453" s="55">
        <f t="shared" si="15"/>
        <v>23925</v>
      </c>
    </row>
    <row r="454" spans="1:43">
      <c r="A454" s="47">
        <v>404</v>
      </c>
      <c r="B454" s="56">
        <v>4971710615845</v>
      </c>
      <c r="C454" s="57" t="s">
        <v>930</v>
      </c>
      <c r="D454" s="75" t="s">
        <v>1076</v>
      </c>
      <c r="E454" s="48" t="s">
        <v>946</v>
      </c>
      <c r="F454" s="65"/>
      <c r="G454" s="50"/>
      <c r="H454" s="65"/>
      <c r="I454" s="66"/>
      <c r="J454" s="65"/>
      <c r="K454" s="66"/>
      <c r="L454" s="49"/>
      <c r="M454" s="50"/>
      <c r="N454" s="49"/>
      <c r="O454" s="50"/>
      <c r="P454" s="49"/>
      <c r="Q454" s="53"/>
      <c r="R454" s="65"/>
      <c r="S454" s="66"/>
      <c r="T454" s="65"/>
      <c r="U454" s="66"/>
      <c r="V454" s="65"/>
      <c r="W454" s="66"/>
      <c r="X454" s="49"/>
      <c r="Y454" s="50"/>
      <c r="Z454" s="49"/>
      <c r="AA454" s="50"/>
      <c r="AB454" s="49"/>
      <c r="AC454" s="53"/>
      <c r="AD454" s="49"/>
      <c r="AE454" s="53"/>
      <c r="AF454" s="49"/>
      <c r="AG454" s="53"/>
      <c r="AH454" s="49">
        <v>5</v>
      </c>
      <c r="AI454" s="53">
        <v>17050</v>
      </c>
      <c r="AJ454" s="53"/>
      <c r="AK454" s="53"/>
      <c r="AL454" s="53"/>
      <c r="AM454" s="53"/>
      <c r="AN454" s="53"/>
      <c r="AO454" s="53"/>
      <c r="AP454" s="63">
        <f t="shared" si="14"/>
        <v>5</v>
      </c>
      <c r="AQ454" s="55">
        <f t="shared" si="15"/>
        <v>17050</v>
      </c>
    </row>
    <row r="455" spans="1:43">
      <c r="A455" s="47">
        <v>405</v>
      </c>
      <c r="B455" s="56">
        <v>4971710593532</v>
      </c>
      <c r="C455" s="57" t="s">
        <v>925</v>
      </c>
      <c r="D455" s="75" t="s">
        <v>1076</v>
      </c>
      <c r="E455" s="48" t="s">
        <v>941</v>
      </c>
      <c r="F455" s="65"/>
      <c r="G455" s="50"/>
      <c r="H455" s="65"/>
      <c r="I455" s="66"/>
      <c r="J455" s="65"/>
      <c r="K455" s="66"/>
      <c r="L455" s="49"/>
      <c r="M455" s="50"/>
      <c r="N455" s="49"/>
      <c r="O455" s="50"/>
      <c r="P455" s="49"/>
      <c r="Q455" s="53"/>
      <c r="R455" s="65"/>
      <c r="S455" s="66"/>
      <c r="T455" s="65"/>
      <c r="U455" s="66"/>
      <c r="V455" s="65"/>
      <c r="W455" s="66"/>
      <c r="X455" s="49"/>
      <c r="Y455" s="50"/>
      <c r="Z455" s="49"/>
      <c r="AA455" s="50"/>
      <c r="AB455" s="49"/>
      <c r="AC455" s="53"/>
      <c r="AD455" s="49"/>
      <c r="AE455" s="53"/>
      <c r="AF455" s="49"/>
      <c r="AG455" s="53"/>
      <c r="AH455" s="49">
        <v>5</v>
      </c>
      <c r="AI455" s="53">
        <v>12925</v>
      </c>
      <c r="AJ455" s="53"/>
      <c r="AK455" s="53"/>
      <c r="AL455" s="53"/>
      <c r="AM455" s="53"/>
      <c r="AN455" s="53"/>
      <c r="AO455" s="53"/>
      <c r="AP455" s="63">
        <f t="shared" si="14"/>
        <v>5</v>
      </c>
      <c r="AQ455" s="55">
        <f t="shared" si="15"/>
        <v>12925</v>
      </c>
    </row>
    <row r="456" spans="1:43">
      <c r="A456" s="47">
        <v>406</v>
      </c>
      <c r="B456" s="56">
        <v>4971710593549</v>
      </c>
      <c r="C456" s="57" t="s">
        <v>926</v>
      </c>
      <c r="D456" s="75" t="s">
        <v>1076</v>
      </c>
      <c r="E456" s="48" t="s">
        <v>942</v>
      </c>
      <c r="F456" s="65"/>
      <c r="G456" s="50"/>
      <c r="H456" s="65"/>
      <c r="I456" s="66"/>
      <c r="J456" s="65"/>
      <c r="K456" s="66"/>
      <c r="L456" s="49"/>
      <c r="M456" s="50"/>
      <c r="N456" s="49"/>
      <c r="O456" s="50"/>
      <c r="P456" s="49"/>
      <c r="Q456" s="53"/>
      <c r="R456" s="65"/>
      <c r="S456" s="66"/>
      <c r="T456" s="65"/>
      <c r="U456" s="66"/>
      <c r="V456" s="65"/>
      <c r="W456" s="66"/>
      <c r="X456" s="49"/>
      <c r="Y456" s="50"/>
      <c r="Z456" s="49"/>
      <c r="AA456" s="50"/>
      <c r="AB456" s="49"/>
      <c r="AC456" s="53"/>
      <c r="AD456" s="49"/>
      <c r="AE456" s="53"/>
      <c r="AF456" s="49"/>
      <c r="AG456" s="53"/>
      <c r="AH456" s="49">
        <v>5</v>
      </c>
      <c r="AI456" s="53">
        <v>12925</v>
      </c>
      <c r="AJ456" s="53"/>
      <c r="AK456" s="53"/>
      <c r="AL456" s="53"/>
      <c r="AM456" s="53"/>
      <c r="AN456" s="53"/>
      <c r="AO456" s="53"/>
      <c r="AP456" s="63">
        <f t="shared" si="14"/>
        <v>5</v>
      </c>
      <c r="AQ456" s="55">
        <f t="shared" si="15"/>
        <v>12925</v>
      </c>
    </row>
    <row r="457" spans="1:43">
      <c r="A457" s="47">
        <v>407</v>
      </c>
      <c r="B457" s="56">
        <v>4971710593570</v>
      </c>
      <c r="C457" s="57" t="s">
        <v>929</v>
      </c>
      <c r="D457" s="75" t="s">
        <v>1076</v>
      </c>
      <c r="E457" s="48" t="s">
        <v>945</v>
      </c>
      <c r="F457" s="65"/>
      <c r="G457" s="50"/>
      <c r="H457" s="65"/>
      <c r="I457" s="66"/>
      <c r="J457" s="65"/>
      <c r="K457" s="66"/>
      <c r="L457" s="49"/>
      <c r="M457" s="50"/>
      <c r="N457" s="49"/>
      <c r="O457" s="50"/>
      <c r="P457" s="49"/>
      <c r="Q457" s="53"/>
      <c r="R457" s="65"/>
      <c r="S457" s="66"/>
      <c r="T457" s="65"/>
      <c r="U457" s="66"/>
      <c r="V457" s="65"/>
      <c r="W457" s="66"/>
      <c r="X457" s="49"/>
      <c r="Y457" s="50"/>
      <c r="Z457" s="49"/>
      <c r="AA457" s="50"/>
      <c r="AB457" s="49"/>
      <c r="AC457" s="53"/>
      <c r="AD457" s="49"/>
      <c r="AE457" s="53"/>
      <c r="AF457" s="49"/>
      <c r="AG457" s="53"/>
      <c r="AH457" s="49">
        <v>5</v>
      </c>
      <c r="AI457" s="53">
        <v>12925</v>
      </c>
      <c r="AJ457" s="53"/>
      <c r="AK457" s="53"/>
      <c r="AL457" s="53"/>
      <c r="AM457" s="53"/>
      <c r="AN457" s="53"/>
      <c r="AO457" s="53"/>
      <c r="AP457" s="63">
        <f t="shared" si="14"/>
        <v>5</v>
      </c>
      <c r="AQ457" s="55">
        <f t="shared" si="15"/>
        <v>12925</v>
      </c>
    </row>
    <row r="458" spans="1:43">
      <c r="A458" s="47">
        <v>409</v>
      </c>
      <c r="B458" s="56">
        <v>4971710494945</v>
      </c>
      <c r="C458" s="57" t="s">
        <v>138</v>
      </c>
      <c r="D458" s="75" t="s">
        <v>884</v>
      </c>
      <c r="E458" s="48" t="s">
        <v>139</v>
      </c>
      <c r="F458" s="65">
        <v>0</v>
      </c>
      <c r="G458" s="50">
        <v>0</v>
      </c>
      <c r="H458" s="65">
        <v>0</v>
      </c>
      <c r="I458" s="66">
        <v>0</v>
      </c>
      <c r="J458" s="65">
        <v>0</v>
      </c>
      <c r="K458" s="66">
        <v>0</v>
      </c>
      <c r="L458" s="49">
        <v>0</v>
      </c>
      <c r="M458" s="50">
        <v>0</v>
      </c>
      <c r="N458" s="49">
        <v>0</v>
      </c>
      <c r="O458" s="50">
        <v>0</v>
      </c>
      <c r="P458" s="49">
        <v>0</v>
      </c>
      <c r="Q458" s="53">
        <v>0</v>
      </c>
      <c r="R458" s="65"/>
      <c r="S458" s="66"/>
      <c r="T458" s="65"/>
      <c r="U458" s="66"/>
      <c r="V458" s="65"/>
      <c r="W458" s="66"/>
      <c r="X458" s="49"/>
      <c r="Y458" s="50"/>
      <c r="Z458" s="49">
        <v>5</v>
      </c>
      <c r="AA458" s="50">
        <v>3300</v>
      </c>
      <c r="AB458" s="49"/>
      <c r="AC458" s="53"/>
      <c r="AD458" s="49"/>
      <c r="AE458" s="53"/>
      <c r="AF458" s="49"/>
      <c r="AG458" s="53"/>
      <c r="AH458" s="49"/>
      <c r="AI458" s="53"/>
      <c r="AJ458" s="53"/>
      <c r="AK458" s="53"/>
      <c r="AL458" s="53"/>
      <c r="AM458" s="53"/>
      <c r="AN458" s="53"/>
      <c r="AO458" s="53"/>
      <c r="AP458" s="62">
        <f t="shared" si="14"/>
        <v>5</v>
      </c>
      <c r="AQ458" s="55">
        <f t="shared" si="15"/>
        <v>3300</v>
      </c>
    </row>
    <row r="459" spans="1:43">
      <c r="A459" s="47">
        <v>418</v>
      </c>
      <c r="B459" s="56">
        <v>4971710494983</v>
      </c>
      <c r="C459" s="57" t="s">
        <v>146</v>
      </c>
      <c r="D459" s="75" t="s">
        <v>884</v>
      </c>
      <c r="E459" s="48" t="s">
        <v>147</v>
      </c>
      <c r="F459" s="65">
        <v>0</v>
      </c>
      <c r="G459" s="50">
        <v>0</v>
      </c>
      <c r="H459" s="65">
        <v>0</v>
      </c>
      <c r="I459" s="66">
        <v>0</v>
      </c>
      <c r="J459" s="65">
        <v>0</v>
      </c>
      <c r="K459" s="66">
        <v>0</v>
      </c>
      <c r="L459" s="49">
        <v>0</v>
      </c>
      <c r="M459" s="50">
        <v>0</v>
      </c>
      <c r="N459" s="49">
        <v>1</v>
      </c>
      <c r="O459" s="50">
        <v>660</v>
      </c>
      <c r="P459" s="49">
        <v>0</v>
      </c>
      <c r="Q459" s="53">
        <v>0</v>
      </c>
      <c r="R459" s="65"/>
      <c r="S459" s="66"/>
      <c r="T459" s="65"/>
      <c r="U459" s="66"/>
      <c r="V459" s="65"/>
      <c r="W459" s="66"/>
      <c r="X459" s="49"/>
      <c r="Y459" s="50"/>
      <c r="Z459" s="49">
        <v>4</v>
      </c>
      <c r="AA459" s="50">
        <v>2640</v>
      </c>
      <c r="AB459" s="49"/>
      <c r="AC459" s="53"/>
      <c r="AD459" s="49"/>
      <c r="AE459" s="53"/>
      <c r="AF459" s="49"/>
      <c r="AG459" s="53"/>
      <c r="AH459" s="49"/>
      <c r="AI459" s="53"/>
      <c r="AJ459" s="53"/>
      <c r="AK459" s="53"/>
      <c r="AL459" s="53"/>
      <c r="AM459" s="53"/>
      <c r="AN459" s="53"/>
      <c r="AO459" s="53"/>
      <c r="AP459" s="62">
        <f t="shared" si="14"/>
        <v>5</v>
      </c>
      <c r="AQ459" s="55">
        <f t="shared" si="15"/>
        <v>3300</v>
      </c>
    </row>
    <row r="460" spans="1:43">
      <c r="A460" s="47">
        <v>419</v>
      </c>
      <c r="B460" s="56">
        <v>4971710495034</v>
      </c>
      <c r="C460" s="57" t="s">
        <v>156</v>
      </c>
      <c r="D460" s="75" t="s">
        <v>884</v>
      </c>
      <c r="E460" s="48" t="s">
        <v>157</v>
      </c>
      <c r="F460" s="65">
        <v>0</v>
      </c>
      <c r="G460" s="50">
        <v>0</v>
      </c>
      <c r="H460" s="65">
        <v>0</v>
      </c>
      <c r="I460" s="66">
        <v>0</v>
      </c>
      <c r="J460" s="65">
        <v>0</v>
      </c>
      <c r="K460" s="66">
        <v>0</v>
      </c>
      <c r="L460" s="49">
        <v>0</v>
      </c>
      <c r="M460" s="50">
        <v>0</v>
      </c>
      <c r="N460" s="49">
        <v>1</v>
      </c>
      <c r="O460" s="50">
        <v>660</v>
      </c>
      <c r="P460" s="49">
        <v>0</v>
      </c>
      <c r="Q460" s="53">
        <v>0</v>
      </c>
      <c r="R460" s="65"/>
      <c r="S460" s="66"/>
      <c r="T460" s="65"/>
      <c r="U460" s="66"/>
      <c r="V460" s="65"/>
      <c r="W460" s="66"/>
      <c r="X460" s="49"/>
      <c r="Y460" s="50"/>
      <c r="Z460" s="49">
        <v>4</v>
      </c>
      <c r="AA460" s="50">
        <v>2640</v>
      </c>
      <c r="AB460" s="49"/>
      <c r="AC460" s="53"/>
      <c r="AD460" s="49"/>
      <c r="AE460" s="53"/>
      <c r="AF460" s="49"/>
      <c r="AG460" s="53"/>
      <c r="AH460" s="49"/>
      <c r="AI460" s="53"/>
      <c r="AJ460" s="53"/>
      <c r="AK460" s="53"/>
      <c r="AL460" s="53"/>
      <c r="AM460" s="53"/>
      <c r="AN460" s="53"/>
      <c r="AO460" s="53"/>
      <c r="AP460" s="62">
        <f t="shared" si="14"/>
        <v>5</v>
      </c>
      <c r="AQ460" s="55">
        <f t="shared" si="15"/>
        <v>3300</v>
      </c>
    </row>
    <row r="461" spans="1:43">
      <c r="A461" s="47">
        <v>467</v>
      </c>
      <c r="B461" s="56">
        <v>4971710563436</v>
      </c>
      <c r="C461" s="57" t="s">
        <v>483</v>
      </c>
      <c r="D461" s="75" t="s">
        <v>879</v>
      </c>
      <c r="E461" s="48" t="s">
        <v>484</v>
      </c>
      <c r="F461" s="65"/>
      <c r="G461" s="66"/>
      <c r="H461" s="65"/>
      <c r="I461" s="66"/>
      <c r="J461" s="65">
        <v>5</v>
      </c>
      <c r="K461" s="66">
        <v>3575</v>
      </c>
      <c r="L461" s="49"/>
      <c r="M461" s="50"/>
      <c r="N461" s="49"/>
      <c r="O461" s="50"/>
      <c r="P461" s="49">
        <v>0</v>
      </c>
      <c r="Q461" s="53"/>
      <c r="R461" s="65"/>
      <c r="S461" s="66"/>
      <c r="T461" s="65"/>
      <c r="U461" s="66"/>
      <c r="V461" s="65"/>
      <c r="W461" s="66"/>
      <c r="X461" s="49"/>
      <c r="Y461" s="50"/>
      <c r="Z461" s="49"/>
      <c r="AA461" s="50"/>
      <c r="AB461" s="49"/>
      <c r="AC461" s="53"/>
      <c r="AD461" s="49"/>
      <c r="AE461" s="53"/>
      <c r="AF461" s="49"/>
      <c r="AG461" s="53"/>
      <c r="AH461" s="49"/>
      <c r="AI461" s="53"/>
      <c r="AJ461" s="53"/>
      <c r="AK461" s="53"/>
      <c r="AL461" s="53"/>
      <c r="AM461" s="53"/>
      <c r="AN461" s="53"/>
      <c r="AO461" s="53"/>
      <c r="AP461" s="62">
        <f t="shared" si="14"/>
        <v>5</v>
      </c>
      <c r="AQ461" s="55">
        <f t="shared" si="15"/>
        <v>3575</v>
      </c>
    </row>
    <row r="462" spans="1:43">
      <c r="A462" s="47">
        <v>414</v>
      </c>
      <c r="B462" s="56">
        <v>4971710584738</v>
      </c>
      <c r="C462" s="57" t="s">
        <v>800</v>
      </c>
      <c r="D462" s="75" t="s">
        <v>880</v>
      </c>
      <c r="E462" s="48" t="s">
        <v>1024</v>
      </c>
      <c r="F462" s="65">
        <v>0</v>
      </c>
      <c r="G462" s="66">
        <v>0</v>
      </c>
      <c r="H462" s="65">
        <v>0</v>
      </c>
      <c r="I462" s="66">
        <v>0</v>
      </c>
      <c r="J462" s="65">
        <v>0</v>
      </c>
      <c r="K462" s="66">
        <v>0</v>
      </c>
      <c r="L462" s="49">
        <v>0</v>
      </c>
      <c r="M462" s="50">
        <v>0</v>
      </c>
      <c r="N462" s="49">
        <v>0</v>
      </c>
      <c r="O462" s="50">
        <v>0</v>
      </c>
      <c r="P462" s="49">
        <v>0</v>
      </c>
      <c r="Q462" s="53">
        <v>0</v>
      </c>
      <c r="R462" s="65"/>
      <c r="S462" s="66"/>
      <c r="T462" s="65"/>
      <c r="U462" s="66"/>
      <c r="V462" s="65"/>
      <c r="W462" s="66"/>
      <c r="X462" s="49">
        <v>2</v>
      </c>
      <c r="Y462" s="50">
        <v>1100</v>
      </c>
      <c r="Z462" s="49"/>
      <c r="AA462" s="50"/>
      <c r="AB462" s="49"/>
      <c r="AC462" s="53"/>
      <c r="AD462" s="49"/>
      <c r="AE462" s="53"/>
      <c r="AF462" s="49"/>
      <c r="AG462" s="53"/>
      <c r="AH462" s="49">
        <v>2</v>
      </c>
      <c r="AI462" s="53">
        <v>1100</v>
      </c>
      <c r="AJ462" s="53"/>
      <c r="AK462" s="53"/>
      <c r="AL462" s="53"/>
      <c r="AM462" s="53"/>
      <c r="AN462" s="53"/>
      <c r="AO462" s="53"/>
      <c r="AP462" s="63">
        <f t="shared" si="14"/>
        <v>4</v>
      </c>
      <c r="AQ462" s="55">
        <f t="shared" si="15"/>
        <v>2200</v>
      </c>
    </row>
    <row r="463" spans="1:43">
      <c r="A463" s="47">
        <v>415</v>
      </c>
      <c r="B463" s="56">
        <v>4971710515831</v>
      </c>
      <c r="C463" s="57" t="s">
        <v>832</v>
      </c>
      <c r="D463" s="75" t="s">
        <v>884</v>
      </c>
      <c r="E463" s="48" t="s">
        <v>1025</v>
      </c>
      <c r="F463" s="65">
        <v>0</v>
      </c>
      <c r="G463" s="66">
        <v>0</v>
      </c>
      <c r="H463" s="65">
        <v>0</v>
      </c>
      <c r="I463" s="66">
        <v>0</v>
      </c>
      <c r="J463" s="65">
        <v>0</v>
      </c>
      <c r="K463" s="66">
        <v>0</v>
      </c>
      <c r="L463" s="49">
        <v>0</v>
      </c>
      <c r="M463" s="50">
        <v>0</v>
      </c>
      <c r="N463" s="49">
        <v>0</v>
      </c>
      <c r="O463" s="50">
        <v>0</v>
      </c>
      <c r="P463" s="49">
        <v>0</v>
      </c>
      <c r="Q463" s="53">
        <v>0</v>
      </c>
      <c r="R463" s="65"/>
      <c r="S463" s="66"/>
      <c r="T463" s="65"/>
      <c r="U463" s="66"/>
      <c r="V463" s="65"/>
      <c r="W463" s="66"/>
      <c r="X463" s="49"/>
      <c r="Y463" s="50"/>
      <c r="Z463" s="49"/>
      <c r="AA463" s="50"/>
      <c r="AB463" s="49"/>
      <c r="AC463" s="53"/>
      <c r="AD463" s="49">
        <v>2</v>
      </c>
      <c r="AE463" s="53">
        <v>1044</v>
      </c>
      <c r="AF463" s="49"/>
      <c r="AG463" s="53"/>
      <c r="AH463" s="49">
        <v>2</v>
      </c>
      <c r="AI463" s="53">
        <v>1044</v>
      </c>
      <c r="AJ463" s="53"/>
      <c r="AK463" s="53"/>
      <c r="AL463" s="53"/>
      <c r="AM463" s="53"/>
      <c r="AN463" s="53"/>
      <c r="AO463" s="53"/>
      <c r="AP463" s="63">
        <f t="shared" si="14"/>
        <v>4</v>
      </c>
      <c r="AQ463" s="55">
        <f t="shared" si="15"/>
        <v>2088</v>
      </c>
    </row>
    <row r="464" spans="1:43">
      <c r="A464" s="47">
        <v>416</v>
      </c>
      <c r="B464" s="56">
        <v>4971710584721</v>
      </c>
      <c r="C464" s="57" t="s">
        <v>801</v>
      </c>
      <c r="D464" s="75" t="s">
        <v>880</v>
      </c>
      <c r="E464" s="48" t="s">
        <v>1024</v>
      </c>
      <c r="F464" s="65">
        <v>0</v>
      </c>
      <c r="G464" s="66">
        <v>0</v>
      </c>
      <c r="H464" s="65">
        <v>0</v>
      </c>
      <c r="I464" s="66">
        <v>0</v>
      </c>
      <c r="J464" s="65">
        <v>0</v>
      </c>
      <c r="K464" s="66">
        <v>0</v>
      </c>
      <c r="L464" s="49">
        <v>0</v>
      </c>
      <c r="M464" s="50">
        <v>0</v>
      </c>
      <c r="N464" s="49">
        <v>0</v>
      </c>
      <c r="O464" s="50">
        <v>0</v>
      </c>
      <c r="P464" s="49">
        <v>0</v>
      </c>
      <c r="Q464" s="53">
        <v>0</v>
      </c>
      <c r="R464" s="65"/>
      <c r="S464" s="66"/>
      <c r="T464" s="65"/>
      <c r="U464" s="66"/>
      <c r="V464" s="65"/>
      <c r="W464" s="66"/>
      <c r="X464" s="49">
        <v>2</v>
      </c>
      <c r="Y464" s="50">
        <v>1100</v>
      </c>
      <c r="Z464" s="49"/>
      <c r="AA464" s="50"/>
      <c r="AB464" s="49"/>
      <c r="AC464" s="53"/>
      <c r="AD464" s="49"/>
      <c r="AE464" s="53"/>
      <c r="AF464" s="49">
        <v>2</v>
      </c>
      <c r="AG464" s="53">
        <v>1100</v>
      </c>
      <c r="AH464" s="49"/>
      <c r="AI464" s="53"/>
      <c r="AJ464" s="53"/>
      <c r="AK464" s="53"/>
      <c r="AL464" s="53"/>
      <c r="AM464" s="53"/>
      <c r="AN464" s="53"/>
      <c r="AO464" s="53"/>
      <c r="AP464" s="63">
        <f t="shared" si="14"/>
        <v>4</v>
      </c>
      <c r="AQ464" s="55">
        <f t="shared" si="15"/>
        <v>2200</v>
      </c>
    </row>
    <row r="465" spans="1:43">
      <c r="A465" s="47">
        <v>420</v>
      </c>
      <c r="B465" s="56">
        <v>4971710495010</v>
      </c>
      <c r="C465" s="57" t="s">
        <v>152</v>
      </c>
      <c r="D465" s="75" t="s">
        <v>884</v>
      </c>
      <c r="E465" s="48" t="s">
        <v>153</v>
      </c>
      <c r="F465" s="65">
        <v>0</v>
      </c>
      <c r="G465" s="66">
        <v>0</v>
      </c>
      <c r="H465" s="65">
        <v>0</v>
      </c>
      <c r="I465" s="66">
        <v>0</v>
      </c>
      <c r="J465" s="65">
        <v>0</v>
      </c>
      <c r="K465" s="66">
        <v>0</v>
      </c>
      <c r="L465" s="49">
        <v>0</v>
      </c>
      <c r="M465" s="50">
        <v>0</v>
      </c>
      <c r="N465" s="49">
        <v>0</v>
      </c>
      <c r="O465" s="50">
        <v>0</v>
      </c>
      <c r="P465" s="49">
        <v>0</v>
      </c>
      <c r="Q465" s="53">
        <v>0</v>
      </c>
      <c r="R465" s="65"/>
      <c r="S465" s="66"/>
      <c r="T465" s="65"/>
      <c r="U465" s="66"/>
      <c r="V465" s="65"/>
      <c r="W465" s="66"/>
      <c r="X465" s="49">
        <v>4</v>
      </c>
      <c r="Y465" s="50">
        <v>2640</v>
      </c>
      <c r="Z465" s="49"/>
      <c r="AA465" s="50"/>
      <c r="AB465" s="49"/>
      <c r="AC465" s="53"/>
      <c r="AD465" s="49"/>
      <c r="AE465" s="53"/>
      <c r="AF465" s="49"/>
      <c r="AG465" s="53"/>
      <c r="AH465" s="49"/>
      <c r="AI465" s="53"/>
      <c r="AJ465" s="53"/>
      <c r="AK465" s="53"/>
      <c r="AL465" s="53"/>
      <c r="AM465" s="53"/>
      <c r="AN465" s="53"/>
      <c r="AO465" s="53"/>
      <c r="AP465" s="62">
        <f t="shared" si="14"/>
        <v>4</v>
      </c>
      <c r="AQ465" s="55">
        <f t="shared" si="15"/>
        <v>2640</v>
      </c>
    </row>
    <row r="466" spans="1:43">
      <c r="A466" s="47">
        <v>421</v>
      </c>
      <c r="B466" s="56">
        <v>4971710495003</v>
      </c>
      <c r="C466" s="57" t="s">
        <v>150</v>
      </c>
      <c r="D466" s="75" t="s">
        <v>884</v>
      </c>
      <c r="E466" s="48" t="s">
        <v>151</v>
      </c>
      <c r="F466" s="65">
        <v>0</v>
      </c>
      <c r="G466" s="66">
        <v>0</v>
      </c>
      <c r="H466" s="65">
        <v>0</v>
      </c>
      <c r="I466" s="66">
        <v>0</v>
      </c>
      <c r="J466" s="65">
        <v>0</v>
      </c>
      <c r="K466" s="66">
        <v>0</v>
      </c>
      <c r="L466" s="49">
        <v>0</v>
      </c>
      <c r="M466" s="50">
        <v>0</v>
      </c>
      <c r="N466" s="49">
        <v>0</v>
      </c>
      <c r="O466" s="50">
        <v>0</v>
      </c>
      <c r="P466" s="49">
        <v>0</v>
      </c>
      <c r="Q466" s="53">
        <v>0</v>
      </c>
      <c r="R466" s="65"/>
      <c r="S466" s="66"/>
      <c r="T466" s="65"/>
      <c r="U466" s="66"/>
      <c r="V466" s="65"/>
      <c r="W466" s="66"/>
      <c r="X466" s="49"/>
      <c r="Y466" s="50"/>
      <c r="Z466" s="49">
        <v>4</v>
      </c>
      <c r="AA466" s="50">
        <v>2640</v>
      </c>
      <c r="AB466" s="49"/>
      <c r="AC466" s="53"/>
      <c r="AD466" s="49"/>
      <c r="AE466" s="53"/>
      <c r="AF466" s="49"/>
      <c r="AG466" s="53"/>
      <c r="AH466" s="49"/>
      <c r="AI466" s="53"/>
      <c r="AJ466" s="53"/>
      <c r="AK466" s="53"/>
      <c r="AL466" s="53"/>
      <c r="AM466" s="53"/>
      <c r="AN466" s="53"/>
      <c r="AO466" s="53"/>
      <c r="AP466" s="62">
        <f t="shared" si="14"/>
        <v>4</v>
      </c>
      <c r="AQ466" s="55">
        <f t="shared" si="15"/>
        <v>2640</v>
      </c>
    </row>
    <row r="467" spans="1:43">
      <c r="A467" s="47">
        <v>424</v>
      </c>
      <c r="B467" s="56">
        <v>4971710573985</v>
      </c>
      <c r="C467" s="57" t="s">
        <v>581</v>
      </c>
      <c r="D467" s="75" t="s">
        <v>884</v>
      </c>
      <c r="E467" s="48" t="s">
        <v>582</v>
      </c>
      <c r="F467" s="65">
        <v>0</v>
      </c>
      <c r="G467" s="66">
        <v>0</v>
      </c>
      <c r="H467" s="65">
        <v>0</v>
      </c>
      <c r="I467" s="66">
        <v>0</v>
      </c>
      <c r="J467" s="65">
        <v>0</v>
      </c>
      <c r="K467" s="66">
        <v>0</v>
      </c>
      <c r="L467" s="49">
        <v>0</v>
      </c>
      <c r="M467" s="50">
        <v>0</v>
      </c>
      <c r="N467" s="49">
        <v>0</v>
      </c>
      <c r="O467" s="50">
        <v>0</v>
      </c>
      <c r="P467" s="49">
        <v>0</v>
      </c>
      <c r="Q467" s="53">
        <v>0</v>
      </c>
      <c r="R467" s="65"/>
      <c r="S467" s="66"/>
      <c r="T467" s="65">
        <v>4</v>
      </c>
      <c r="U467" s="66">
        <v>1540</v>
      </c>
      <c r="V467" s="65"/>
      <c r="W467" s="66"/>
      <c r="X467" s="49"/>
      <c r="Y467" s="50"/>
      <c r="Z467" s="49"/>
      <c r="AA467" s="50"/>
      <c r="AB467" s="49"/>
      <c r="AC467" s="53"/>
      <c r="AD467" s="49"/>
      <c r="AE467" s="53"/>
      <c r="AF467" s="49"/>
      <c r="AG467" s="53"/>
      <c r="AH467" s="49"/>
      <c r="AI467" s="53"/>
      <c r="AJ467" s="53"/>
      <c r="AK467" s="53"/>
      <c r="AL467" s="53"/>
      <c r="AM467" s="53"/>
      <c r="AN467" s="53"/>
      <c r="AO467" s="53"/>
      <c r="AP467" s="62">
        <f t="shared" si="14"/>
        <v>4</v>
      </c>
      <c r="AQ467" s="55">
        <f t="shared" si="15"/>
        <v>1540</v>
      </c>
    </row>
    <row r="468" spans="1:43">
      <c r="A468" s="47">
        <v>468</v>
      </c>
      <c r="B468" s="56">
        <v>4971710571769</v>
      </c>
      <c r="C468" s="57" t="s">
        <v>549</v>
      </c>
      <c r="D468" s="75" t="s">
        <v>884</v>
      </c>
      <c r="E468" s="48" t="s">
        <v>550</v>
      </c>
      <c r="F468" s="65"/>
      <c r="G468" s="66"/>
      <c r="H468" s="65"/>
      <c r="I468" s="66"/>
      <c r="J468" s="65"/>
      <c r="K468" s="66"/>
      <c r="L468" s="49"/>
      <c r="M468" s="50"/>
      <c r="N468" s="49">
        <v>3</v>
      </c>
      <c r="O468" s="50">
        <v>1980</v>
      </c>
      <c r="P468" s="49">
        <v>0</v>
      </c>
      <c r="Q468" s="53"/>
      <c r="R468" s="65"/>
      <c r="S468" s="66"/>
      <c r="T468" s="65"/>
      <c r="U468" s="66"/>
      <c r="V468" s="65"/>
      <c r="W468" s="66"/>
      <c r="X468" s="49"/>
      <c r="Y468" s="50"/>
      <c r="Z468" s="49"/>
      <c r="AA468" s="50"/>
      <c r="AB468" s="49"/>
      <c r="AC468" s="53"/>
      <c r="AD468" s="49"/>
      <c r="AE468" s="53"/>
      <c r="AF468" s="49"/>
      <c r="AG468" s="53"/>
      <c r="AH468" s="49"/>
      <c r="AI468" s="53"/>
      <c r="AJ468" s="53"/>
      <c r="AK468" s="53"/>
      <c r="AL468" s="53"/>
      <c r="AM468" s="53"/>
      <c r="AN468" s="53"/>
      <c r="AO468" s="53"/>
      <c r="AP468" s="62">
        <f t="shared" si="14"/>
        <v>3</v>
      </c>
      <c r="AQ468" s="55">
        <f t="shared" si="15"/>
        <v>1980</v>
      </c>
    </row>
    <row r="469" spans="1:43">
      <c r="A469" s="47">
        <v>422</v>
      </c>
      <c r="B469" s="56">
        <v>4971710610741</v>
      </c>
      <c r="C469" s="57" t="s">
        <v>898</v>
      </c>
      <c r="D469" s="75" t="s">
        <v>880</v>
      </c>
      <c r="E469" s="48" t="s">
        <v>907</v>
      </c>
      <c r="F469" s="65"/>
      <c r="G469" s="66"/>
      <c r="H469" s="65"/>
      <c r="I469" s="66"/>
      <c r="J469" s="65"/>
      <c r="K469" s="66"/>
      <c r="L469" s="49"/>
      <c r="M469" s="50"/>
      <c r="N469" s="49"/>
      <c r="O469" s="50"/>
      <c r="P469" s="49"/>
      <c r="Q469" s="53"/>
      <c r="R469" s="65"/>
      <c r="S469" s="66"/>
      <c r="T469" s="65"/>
      <c r="U469" s="66"/>
      <c r="V469" s="65"/>
      <c r="W469" s="66"/>
      <c r="X469" s="49"/>
      <c r="Y469" s="50"/>
      <c r="Z469" s="49"/>
      <c r="AA469" s="50"/>
      <c r="AB469" s="49"/>
      <c r="AC469" s="53"/>
      <c r="AD469" s="49"/>
      <c r="AE469" s="53"/>
      <c r="AF469" s="49">
        <v>2</v>
      </c>
      <c r="AG469" s="53">
        <v>1430</v>
      </c>
      <c r="AH469" s="49"/>
      <c r="AI469" s="53"/>
      <c r="AJ469" s="53"/>
      <c r="AK469" s="53"/>
      <c r="AL469" s="53"/>
      <c r="AM469" s="53"/>
      <c r="AN469" s="53"/>
      <c r="AO469" s="53"/>
      <c r="AP469" s="63">
        <f t="shared" si="14"/>
        <v>2</v>
      </c>
      <c r="AQ469" s="55">
        <f t="shared" si="15"/>
        <v>1430</v>
      </c>
    </row>
    <row r="470" spans="1:43">
      <c r="A470" s="47">
        <v>423</v>
      </c>
      <c r="B470" s="56">
        <v>4971710610758</v>
      </c>
      <c r="C470" s="57" t="s">
        <v>899</v>
      </c>
      <c r="D470" s="75" t="s">
        <v>880</v>
      </c>
      <c r="E470" s="48" t="s">
        <v>908</v>
      </c>
      <c r="F470" s="65"/>
      <c r="G470" s="66"/>
      <c r="H470" s="65"/>
      <c r="I470" s="66"/>
      <c r="J470" s="65"/>
      <c r="K470" s="66"/>
      <c r="L470" s="49"/>
      <c r="M470" s="50"/>
      <c r="N470" s="49"/>
      <c r="O470" s="50"/>
      <c r="P470" s="49"/>
      <c r="Q470" s="53"/>
      <c r="R470" s="65"/>
      <c r="S470" s="66"/>
      <c r="T470" s="65"/>
      <c r="U470" s="66"/>
      <c r="V470" s="65"/>
      <c r="W470" s="66"/>
      <c r="X470" s="49"/>
      <c r="Y470" s="50"/>
      <c r="Z470" s="49"/>
      <c r="AA470" s="50"/>
      <c r="AB470" s="49"/>
      <c r="AC470" s="53"/>
      <c r="AD470" s="49"/>
      <c r="AE470" s="53"/>
      <c r="AF470" s="49">
        <v>2</v>
      </c>
      <c r="AG470" s="53">
        <v>1430</v>
      </c>
      <c r="AH470" s="49"/>
      <c r="AI470" s="53"/>
      <c r="AJ470" s="53"/>
      <c r="AK470" s="53"/>
      <c r="AL470" s="53"/>
      <c r="AM470" s="53"/>
      <c r="AN470" s="53"/>
      <c r="AO470" s="53"/>
      <c r="AP470" s="63">
        <f t="shared" si="14"/>
        <v>2</v>
      </c>
      <c r="AQ470" s="55">
        <f t="shared" si="15"/>
        <v>1430</v>
      </c>
    </row>
    <row r="471" spans="1:43">
      <c r="A471" s="47">
        <v>469</v>
      </c>
      <c r="B471" s="56">
        <v>4971710495379</v>
      </c>
      <c r="C471" s="57" t="s">
        <v>158</v>
      </c>
      <c r="D471" s="75" t="s">
        <v>884</v>
      </c>
      <c r="E471" s="48" t="s">
        <v>159</v>
      </c>
      <c r="F471" s="65"/>
      <c r="G471" s="66"/>
      <c r="H471" s="65"/>
      <c r="I471" s="66"/>
      <c r="J471" s="65"/>
      <c r="K471" s="66"/>
      <c r="L471" s="49"/>
      <c r="M471" s="50"/>
      <c r="N471" s="49">
        <v>2</v>
      </c>
      <c r="O471" s="50">
        <v>1760</v>
      </c>
      <c r="P471" s="49">
        <v>0</v>
      </c>
      <c r="Q471" s="53"/>
      <c r="R471" s="65"/>
      <c r="S471" s="66"/>
      <c r="T471" s="65"/>
      <c r="U471" s="66"/>
      <c r="V471" s="65"/>
      <c r="W471" s="66"/>
      <c r="X471" s="49"/>
      <c r="Y471" s="50"/>
      <c r="Z471" s="49"/>
      <c r="AA471" s="50"/>
      <c r="AB471" s="49"/>
      <c r="AC471" s="53"/>
      <c r="AD471" s="49"/>
      <c r="AE471" s="53"/>
      <c r="AF471" s="49"/>
      <c r="AG471" s="53"/>
      <c r="AH471" s="49"/>
      <c r="AI471" s="53"/>
      <c r="AJ471" s="53"/>
      <c r="AK471" s="53"/>
      <c r="AL471" s="53"/>
      <c r="AM471" s="53"/>
      <c r="AN471" s="53"/>
      <c r="AO471" s="53"/>
      <c r="AP471" s="62">
        <f t="shared" si="14"/>
        <v>2</v>
      </c>
      <c r="AQ471" s="55">
        <f t="shared" si="15"/>
        <v>1760</v>
      </c>
    </row>
    <row r="472" spans="1:43">
      <c r="A472" s="47">
        <v>470</v>
      </c>
      <c r="B472" s="56">
        <v>4971710550962</v>
      </c>
      <c r="C472" s="57" t="s">
        <v>440</v>
      </c>
      <c r="D472" s="75" t="s">
        <v>884</v>
      </c>
      <c r="E472" s="48" t="s">
        <v>441</v>
      </c>
      <c r="F472" s="65"/>
      <c r="G472" s="66"/>
      <c r="H472" s="65"/>
      <c r="I472" s="66"/>
      <c r="J472" s="65"/>
      <c r="K472" s="66"/>
      <c r="L472" s="49"/>
      <c r="M472" s="50"/>
      <c r="N472" s="49"/>
      <c r="O472" s="50"/>
      <c r="P472" s="49">
        <v>2</v>
      </c>
      <c r="Q472" s="53">
        <v>1320</v>
      </c>
      <c r="R472" s="65"/>
      <c r="S472" s="66"/>
      <c r="T472" s="65"/>
      <c r="U472" s="66"/>
      <c r="V472" s="65"/>
      <c r="W472" s="66"/>
      <c r="X472" s="49"/>
      <c r="Y472" s="50"/>
      <c r="Z472" s="49"/>
      <c r="AA472" s="50"/>
      <c r="AB472" s="49"/>
      <c r="AC472" s="53"/>
      <c r="AD472" s="49"/>
      <c r="AE472" s="53"/>
      <c r="AF472" s="49"/>
      <c r="AG472" s="53"/>
      <c r="AH472" s="49"/>
      <c r="AI472" s="53"/>
      <c r="AJ472" s="53"/>
      <c r="AK472" s="53"/>
      <c r="AL472" s="53"/>
      <c r="AM472" s="53"/>
      <c r="AN472" s="53"/>
      <c r="AO472" s="53"/>
      <c r="AP472" s="62">
        <f t="shared" si="14"/>
        <v>2</v>
      </c>
      <c r="AQ472" s="55">
        <f t="shared" si="15"/>
        <v>1320</v>
      </c>
    </row>
    <row r="473" spans="1:43">
      <c r="A473" s="47">
        <v>471</v>
      </c>
      <c r="B473" s="56">
        <v>4971710487640</v>
      </c>
      <c r="C473" s="57" t="s">
        <v>46</v>
      </c>
      <c r="D473" s="75" t="s">
        <v>884</v>
      </c>
      <c r="E473" s="48" t="s">
        <v>47</v>
      </c>
      <c r="F473" s="65"/>
      <c r="G473" s="66"/>
      <c r="H473" s="65"/>
      <c r="I473" s="66"/>
      <c r="J473" s="65"/>
      <c r="K473" s="66"/>
      <c r="L473" s="49"/>
      <c r="M473" s="50"/>
      <c r="N473" s="49"/>
      <c r="O473" s="50"/>
      <c r="P473" s="49">
        <v>2</v>
      </c>
      <c r="Q473" s="53">
        <v>1650</v>
      </c>
      <c r="R473" s="65"/>
      <c r="S473" s="66"/>
      <c r="T473" s="65"/>
      <c r="U473" s="66"/>
      <c r="V473" s="65"/>
      <c r="W473" s="66"/>
      <c r="X473" s="49"/>
      <c r="Y473" s="50"/>
      <c r="Z473" s="49"/>
      <c r="AA473" s="50"/>
      <c r="AB473" s="49"/>
      <c r="AC473" s="53"/>
      <c r="AD473" s="49"/>
      <c r="AE473" s="53"/>
      <c r="AF473" s="49"/>
      <c r="AG473" s="53"/>
      <c r="AH473" s="49"/>
      <c r="AI473" s="53"/>
      <c r="AJ473" s="53"/>
      <c r="AK473" s="53"/>
      <c r="AL473" s="53"/>
      <c r="AM473" s="53"/>
      <c r="AN473" s="53"/>
      <c r="AO473" s="53"/>
      <c r="AP473" s="63">
        <f t="shared" si="14"/>
        <v>2</v>
      </c>
      <c r="AQ473" s="55">
        <f t="shared" si="15"/>
        <v>1650</v>
      </c>
    </row>
    <row r="474" spans="1:43">
      <c r="A474" s="47">
        <v>472</v>
      </c>
      <c r="B474" s="56">
        <v>4971710550955</v>
      </c>
      <c r="C474" s="57" t="s">
        <v>438</v>
      </c>
      <c r="D474" s="75" t="s">
        <v>884</v>
      </c>
      <c r="E474" s="48" t="s">
        <v>439</v>
      </c>
      <c r="F474" s="65"/>
      <c r="G474" s="66"/>
      <c r="H474" s="65"/>
      <c r="I474" s="66"/>
      <c r="J474" s="65"/>
      <c r="K474" s="66"/>
      <c r="L474" s="49"/>
      <c r="M474" s="50"/>
      <c r="N474" s="49">
        <v>1</v>
      </c>
      <c r="O474" s="50">
        <v>660</v>
      </c>
      <c r="P474" s="49">
        <v>0</v>
      </c>
      <c r="Q474" s="53"/>
      <c r="R474" s="65"/>
      <c r="S474" s="66"/>
      <c r="T474" s="65"/>
      <c r="U474" s="66"/>
      <c r="V474" s="65"/>
      <c r="W474" s="66"/>
      <c r="X474" s="49"/>
      <c r="Y474" s="50"/>
      <c r="Z474" s="49"/>
      <c r="AA474" s="50"/>
      <c r="AB474" s="49"/>
      <c r="AC474" s="53"/>
      <c r="AD474" s="49"/>
      <c r="AE474" s="53"/>
      <c r="AF474" s="49"/>
      <c r="AG474" s="53"/>
      <c r="AH474" s="49"/>
      <c r="AI474" s="53"/>
      <c r="AJ474" s="53"/>
      <c r="AK474" s="53"/>
      <c r="AL474" s="53"/>
      <c r="AM474" s="53"/>
      <c r="AN474" s="53"/>
      <c r="AO474" s="53"/>
      <c r="AP474" s="62">
        <f t="shared" si="14"/>
        <v>1</v>
      </c>
      <c r="AQ474" s="55">
        <f t="shared" si="15"/>
        <v>660</v>
      </c>
    </row>
    <row r="475" spans="1:43">
      <c r="A475" s="47">
        <v>473</v>
      </c>
      <c r="B475" s="56">
        <v>4971710493559</v>
      </c>
      <c r="C475" s="57" t="s">
        <v>110</v>
      </c>
      <c r="D475" s="75" t="s">
        <v>884</v>
      </c>
      <c r="E475" s="48" t="s">
        <v>111</v>
      </c>
      <c r="F475" s="65"/>
      <c r="G475" s="66"/>
      <c r="H475" s="65"/>
      <c r="I475" s="66"/>
      <c r="J475" s="65"/>
      <c r="K475" s="66"/>
      <c r="L475" s="49"/>
      <c r="M475" s="50"/>
      <c r="N475" s="49">
        <v>1</v>
      </c>
      <c r="O475" s="50">
        <v>550</v>
      </c>
      <c r="P475" s="49">
        <v>0</v>
      </c>
      <c r="Q475" s="53"/>
      <c r="R475" s="65"/>
      <c r="S475" s="66"/>
      <c r="T475" s="65"/>
      <c r="U475" s="66"/>
      <c r="V475" s="65"/>
      <c r="W475" s="66"/>
      <c r="X475" s="49"/>
      <c r="Y475" s="50"/>
      <c r="Z475" s="49"/>
      <c r="AA475" s="50"/>
      <c r="AB475" s="49"/>
      <c r="AC475" s="53"/>
      <c r="AD475" s="49"/>
      <c r="AE475" s="53"/>
      <c r="AF475" s="49"/>
      <c r="AG475" s="53"/>
      <c r="AH475" s="49"/>
      <c r="AI475" s="53"/>
      <c r="AJ475" s="53"/>
      <c r="AK475" s="53"/>
      <c r="AL475" s="53"/>
      <c r="AM475" s="53"/>
      <c r="AN475" s="53"/>
      <c r="AO475" s="53"/>
      <c r="AP475" s="62">
        <f t="shared" si="14"/>
        <v>1</v>
      </c>
      <c r="AQ475" s="55">
        <f t="shared" si="15"/>
        <v>550</v>
      </c>
    </row>
    <row r="476" spans="1:43">
      <c r="A476" s="47">
        <v>474</v>
      </c>
      <c r="B476" s="56">
        <v>4971710471946</v>
      </c>
      <c r="C476" s="57" t="s">
        <v>16</v>
      </c>
      <c r="D476" s="75" t="s">
        <v>884</v>
      </c>
      <c r="E476" s="48" t="s">
        <v>17</v>
      </c>
      <c r="F476" s="65"/>
      <c r="G476" s="66"/>
      <c r="H476" s="65"/>
      <c r="I476" s="66"/>
      <c r="J476" s="65"/>
      <c r="K476" s="66"/>
      <c r="L476" s="49"/>
      <c r="M476" s="50"/>
      <c r="N476" s="49"/>
      <c r="O476" s="50"/>
      <c r="P476" s="49">
        <v>0</v>
      </c>
      <c r="Q476" s="53"/>
      <c r="R476" s="65"/>
      <c r="S476" s="66"/>
      <c r="T476" s="65"/>
      <c r="U476" s="66"/>
      <c r="V476" s="65"/>
      <c r="W476" s="66"/>
      <c r="X476" s="49"/>
      <c r="Y476" s="50"/>
      <c r="Z476" s="49"/>
      <c r="AA476" s="50"/>
      <c r="AB476" s="49"/>
      <c r="AC476" s="53"/>
      <c r="AD476" s="49"/>
      <c r="AE476" s="53"/>
      <c r="AF476" s="49"/>
      <c r="AG476" s="53"/>
      <c r="AH476" s="49"/>
      <c r="AI476" s="53"/>
      <c r="AJ476" s="53"/>
      <c r="AK476" s="53"/>
      <c r="AL476" s="53"/>
      <c r="AM476" s="53"/>
      <c r="AN476" s="53"/>
      <c r="AO476" s="53"/>
      <c r="AP476" s="62">
        <f t="shared" si="14"/>
        <v>0</v>
      </c>
      <c r="AQ476" s="55">
        <f t="shared" si="15"/>
        <v>0</v>
      </c>
    </row>
    <row r="477" spans="1:43">
      <c r="A477" s="47">
        <v>475</v>
      </c>
      <c r="B477" s="56">
        <v>4971710472127</v>
      </c>
      <c r="C477" s="57" t="s">
        <v>1090</v>
      </c>
      <c r="D477" s="75" t="s">
        <v>884</v>
      </c>
      <c r="E477" s="48" t="s">
        <v>773</v>
      </c>
      <c r="F477" s="65"/>
      <c r="G477" s="66"/>
      <c r="H477" s="65"/>
      <c r="I477" s="66"/>
      <c r="J477" s="65"/>
      <c r="K477" s="66"/>
      <c r="L477" s="49"/>
      <c r="M477" s="50"/>
      <c r="N477" s="49"/>
      <c r="O477" s="50"/>
      <c r="P477" s="49">
        <v>0</v>
      </c>
      <c r="Q477" s="53"/>
      <c r="R477" s="65"/>
      <c r="S477" s="66"/>
      <c r="T477" s="65"/>
      <c r="U477" s="66"/>
      <c r="V477" s="65"/>
      <c r="W477" s="66"/>
      <c r="X477" s="49"/>
      <c r="Y477" s="50"/>
      <c r="Z477" s="49"/>
      <c r="AA477" s="50"/>
      <c r="AB477" s="49"/>
      <c r="AC477" s="53"/>
      <c r="AD477" s="49"/>
      <c r="AE477" s="53"/>
      <c r="AF477" s="49"/>
      <c r="AG477" s="53"/>
      <c r="AH477" s="49"/>
      <c r="AI477" s="53"/>
      <c r="AJ477" s="53"/>
      <c r="AK477" s="53"/>
      <c r="AL477" s="53"/>
      <c r="AM477" s="53"/>
      <c r="AN477" s="53"/>
      <c r="AO477" s="53"/>
      <c r="AP477" s="62">
        <f t="shared" si="14"/>
        <v>0</v>
      </c>
      <c r="AQ477" s="55">
        <f t="shared" si="15"/>
        <v>0</v>
      </c>
    </row>
    <row r="478" spans="1:43">
      <c r="A478" s="47">
        <v>476</v>
      </c>
      <c r="B478" s="56">
        <v>4971710472134</v>
      </c>
      <c r="C478" s="57" t="s">
        <v>1091</v>
      </c>
      <c r="D478" s="75" t="s">
        <v>884</v>
      </c>
      <c r="E478" s="48" t="s">
        <v>773</v>
      </c>
      <c r="F478" s="65"/>
      <c r="G478" s="66"/>
      <c r="H478" s="65"/>
      <c r="I478" s="66"/>
      <c r="J478" s="65"/>
      <c r="K478" s="66"/>
      <c r="L478" s="49"/>
      <c r="M478" s="50"/>
      <c r="N478" s="49"/>
      <c r="O478" s="50"/>
      <c r="P478" s="49">
        <v>0</v>
      </c>
      <c r="Q478" s="53"/>
      <c r="R478" s="65"/>
      <c r="S478" s="66"/>
      <c r="T478" s="65"/>
      <c r="U478" s="66"/>
      <c r="V478" s="65"/>
      <c r="W478" s="66"/>
      <c r="X478" s="49"/>
      <c r="Y478" s="50"/>
      <c r="Z478" s="49"/>
      <c r="AA478" s="50"/>
      <c r="AB478" s="49"/>
      <c r="AC478" s="53"/>
      <c r="AD478" s="49"/>
      <c r="AE478" s="53"/>
      <c r="AF478" s="49"/>
      <c r="AG478" s="53"/>
      <c r="AH478" s="49"/>
      <c r="AI478" s="53"/>
      <c r="AJ478" s="53"/>
      <c r="AK478" s="53"/>
      <c r="AL478" s="53"/>
      <c r="AM478" s="53"/>
      <c r="AN478" s="53"/>
      <c r="AO478" s="53"/>
      <c r="AP478" s="62">
        <f t="shared" si="14"/>
        <v>0</v>
      </c>
      <c r="AQ478" s="55">
        <f t="shared" si="15"/>
        <v>0</v>
      </c>
    </row>
    <row r="479" spans="1:43">
      <c r="A479" s="47">
        <v>477</v>
      </c>
      <c r="B479" s="56">
        <v>4971710472141</v>
      </c>
      <c r="C479" s="57" t="s">
        <v>1092</v>
      </c>
      <c r="D479" s="75" t="s">
        <v>884</v>
      </c>
      <c r="E479" s="48" t="s">
        <v>773</v>
      </c>
      <c r="F479" s="65"/>
      <c r="G479" s="66"/>
      <c r="H479" s="65"/>
      <c r="I479" s="66"/>
      <c r="J479" s="65"/>
      <c r="K479" s="66"/>
      <c r="L479" s="49"/>
      <c r="M479" s="50"/>
      <c r="N479" s="49"/>
      <c r="O479" s="50"/>
      <c r="P479" s="49">
        <v>0</v>
      </c>
      <c r="Q479" s="53"/>
      <c r="R479" s="65"/>
      <c r="S479" s="66"/>
      <c r="T479" s="65"/>
      <c r="U479" s="66"/>
      <c r="V479" s="65"/>
      <c r="W479" s="66"/>
      <c r="X479" s="49"/>
      <c r="Y479" s="50"/>
      <c r="Z479" s="49"/>
      <c r="AA479" s="50"/>
      <c r="AB479" s="49"/>
      <c r="AC479" s="53"/>
      <c r="AD479" s="49"/>
      <c r="AE479" s="53"/>
      <c r="AF479" s="49"/>
      <c r="AG479" s="53"/>
      <c r="AH479" s="49"/>
      <c r="AI479" s="53"/>
      <c r="AJ479" s="53"/>
      <c r="AK479" s="53"/>
      <c r="AL479" s="53"/>
      <c r="AM479" s="53"/>
      <c r="AN479" s="53"/>
      <c r="AO479" s="53"/>
      <c r="AP479" s="62">
        <f t="shared" si="14"/>
        <v>0</v>
      </c>
      <c r="AQ479" s="55">
        <f t="shared" si="15"/>
        <v>0</v>
      </c>
    </row>
    <row r="480" spans="1:43">
      <c r="A480" s="47">
        <v>478</v>
      </c>
      <c r="B480" s="56">
        <v>4971710472158</v>
      </c>
      <c r="C480" s="57" t="s">
        <v>1093</v>
      </c>
      <c r="D480" s="75" t="s">
        <v>884</v>
      </c>
      <c r="E480" s="48" t="s">
        <v>773</v>
      </c>
      <c r="F480" s="65"/>
      <c r="G480" s="66"/>
      <c r="H480" s="65"/>
      <c r="I480" s="66"/>
      <c r="J480" s="65"/>
      <c r="K480" s="66"/>
      <c r="L480" s="49"/>
      <c r="M480" s="50"/>
      <c r="N480" s="49"/>
      <c r="O480" s="50"/>
      <c r="P480" s="49">
        <v>0</v>
      </c>
      <c r="Q480" s="53"/>
      <c r="R480" s="65"/>
      <c r="S480" s="66"/>
      <c r="T480" s="65"/>
      <c r="U480" s="66"/>
      <c r="V480" s="65"/>
      <c r="W480" s="66"/>
      <c r="X480" s="49"/>
      <c r="Y480" s="50"/>
      <c r="Z480" s="49"/>
      <c r="AA480" s="50"/>
      <c r="AB480" s="49"/>
      <c r="AC480" s="53"/>
      <c r="AD480" s="49"/>
      <c r="AE480" s="53"/>
      <c r="AF480" s="49"/>
      <c r="AG480" s="53"/>
      <c r="AH480" s="49"/>
      <c r="AI480" s="53"/>
      <c r="AJ480" s="53"/>
      <c r="AK480" s="53"/>
      <c r="AL480" s="53"/>
      <c r="AM480" s="53"/>
      <c r="AN480" s="53"/>
      <c r="AO480" s="53"/>
      <c r="AP480" s="62">
        <f t="shared" si="14"/>
        <v>0</v>
      </c>
      <c r="AQ480" s="55">
        <f t="shared" si="15"/>
        <v>0</v>
      </c>
    </row>
    <row r="481" spans="1:43">
      <c r="A481" s="47">
        <v>479</v>
      </c>
      <c r="B481" s="56">
        <v>4971710479539</v>
      </c>
      <c r="C481" s="57" t="s">
        <v>24</v>
      </c>
      <c r="D481" s="75" t="s">
        <v>884</v>
      </c>
      <c r="E481" s="48" t="s">
        <v>25</v>
      </c>
      <c r="F481" s="65"/>
      <c r="G481" s="66"/>
      <c r="H481" s="65"/>
      <c r="I481" s="66"/>
      <c r="J481" s="65"/>
      <c r="K481" s="66"/>
      <c r="L481" s="49"/>
      <c r="M481" s="50"/>
      <c r="N481" s="49"/>
      <c r="O481" s="50"/>
      <c r="P481" s="49">
        <v>0</v>
      </c>
      <c r="Q481" s="53"/>
      <c r="R481" s="65"/>
      <c r="S481" s="66"/>
      <c r="T481" s="65"/>
      <c r="U481" s="66"/>
      <c r="V481" s="65"/>
      <c r="W481" s="66"/>
      <c r="X481" s="49"/>
      <c r="Y481" s="50"/>
      <c r="Z481" s="49"/>
      <c r="AA481" s="50"/>
      <c r="AB481" s="49"/>
      <c r="AC481" s="53"/>
      <c r="AD481" s="49"/>
      <c r="AE481" s="53"/>
      <c r="AF481" s="49"/>
      <c r="AG481" s="53"/>
      <c r="AH481" s="49"/>
      <c r="AI481" s="53"/>
      <c r="AJ481" s="53"/>
      <c r="AK481" s="53"/>
      <c r="AL481" s="53"/>
      <c r="AM481" s="53"/>
      <c r="AN481" s="53"/>
      <c r="AO481" s="53"/>
      <c r="AP481" s="62">
        <f t="shared" si="14"/>
        <v>0</v>
      </c>
      <c r="AQ481" s="55">
        <f t="shared" si="15"/>
        <v>0</v>
      </c>
    </row>
    <row r="482" spans="1:43">
      <c r="A482" s="47">
        <v>480</v>
      </c>
      <c r="B482" s="56">
        <v>4971710479546</v>
      </c>
      <c r="C482" s="57" t="s">
        <v>26</v>
      </c>
      <c r="D482" s="75" t="s">
        <v>884</v>
      </c>
      <c r="E482" s="48" t="s">
        <v>27</v>
      </c>
      <c r="F482" s="65"/>
      <c r="G482" s="66"/>
      <c r="H482" s="65"/>
      <c r="I482" s="66"/>
      <c r="J482" s="65"/>
      <c r="K482" s="66"/>
      <c r="L482" s="49"/>
      <c r="M482" s="50"/>
      <c r="N482" s="49"/>
      <c r="O482" s="50"/>
      <c r="P482" s="49">
        <v>0</v>
      </c>
      <c r="Q482" s="53"/>
      <c r="R482" s="65"/>
      <c r="S482" s="66"/>
      <c r="T482" s="65"/>
      <c r="U482" s="66"/>
      <c r="V482" s="65"/>
      <c r="W482" s="66"/>
      <c r="X482" s="49"/>
      <c r="Y482" s="50"/>
      <c r="Z482" s="49"/>
      <c r="AA482" s="50"/>
      <c r="AB482" s="49"/>
      <c r="AC482" s="53"/>
      <c r="AD482" s="49"/>
      <c r="AE482" s="53"/>
      <c r="AF482" s="49"/>
      <c r="AG482" s="53"/>
      <c r="AH482" s="49"/>
      <c r="AI482" s="53"/>
      <c r="AJ482" s="53"/>
      <c r="AK482" s="53"/>
      <c r="AL482" s="53"/>
      <c r="AM482" s="53"/>
      <c r="AN482" s="53"/>
      <c r="AO482" s="53"/>
      <c r="AP482" s="62">
        <f t="shared" si="14"/>
        <v>0</v>
      </c>
      <c r="AQ482" s="55">
        <f t="shared" si="15"/>
        <v>0</v>
      </c>
    </row>
    <row r="483" spans="1:43">
      <c r="A483" s="47">
        <v>481</v>
      </c>
      <c r="B483" s="56">
        <v>4971710479553</v>
      </c>
      <c r="C483" s="57" t="s">
        <v>28</v>
      </c>
      <c r="D483" s="75" t="s">
        <v>884</v>
      </c>
      <c r="E483" s="48" t="s">
        <v>29</v>
      </c>
      <c r="F483" s="65"/>
      <c r="G483" s="66"/>
      <c r="H483" s="65"/>
      <c r="I483" s="66"/>
      <c r="J483" s="65"/>
      <c r="K483" s="66"/>
      <c r="L483" s="49"/>
      <c r="M483" s="50"/>
      <c r="N483" s="49"/>
      <c r="O483" s="50"/>
      <c r="P483" s="49">
        <v>0</v>
      </c>
      <c r="Q483" s="53"/>
      <c r="R483" s="65"/>
      <c r="S483" s="66"/>
      <c r="T483" s="65"/>
      <c r="U483" s="66"/>
      <c r="V483" s="65"/>
      <c r="W483" s="66"/>
      <c r="X483" s="49"/>
      <c r="Y483" s="50"/>
      <c r="Z483" s="49"/>
      <c r="AA483" s="50"/>
      <c r="AB483" s="49"/>
      <c r="AC483" s="53"/>
      <c r="AD483" s="49"/>
      <c r="AE483" s="53"/>
      <c r="AF483" s="49"/>
      <c r="AG483" s="53"/>
      <c r="AH483" s="49"/>
      <c r="AI483" s="53"/>
      <c r="AJ483" s="53"/>
      <c r="AK483" s="53"/>
      <c r="AL483" s="53"/>
      <c r="AM483" s="53"/>
      <c r="AN483" s="53"/>
      <c r="AO483" s="53"/>
      <c r="AP483" s="63">
        <f t="shared" si="14"/>
        <v>0</v>
      </c>
      <c r="AQ483" s="55">
        <f t="shared" si="15"/>
        <v>0</v>
      </c>
    </row>
    <row r="484" spans="1:43">
      <c r="A484" s="47">
        <v>482</v>
      </c>
      <c r="B484" s="56">
        <v>4971710487695</v>
      </c>
      <c r="C484" s="57" t="s">
        <v>52</v>
      </c>
      <c r="D484" s="75" t="s">
        <v>884</v>
      </c>
      <c r="E484" s="48" t="s">
        <v>53</v>
      </c>
      <c r="F484" s="65"/>
      <c r="G484" s="66"/>
      <c r="H484" s="65"/>
      <c r="I484" s="66"/>
      <c r="J484" s="65"/>
      <c r="K484" s="66"/>
      <c r="L484" s="49"/>
      <c r="M484" s="50"/>
      <c r="N484" s="49"/>
      <c r="O484" s="50"/>
      <c r="P484" s="49">
        <v>0</v>
      </c>
      <c r="Q484" s="53"/>
      <c r="R484" s="65"/>
      <c r="S484" s="66"/>
      <c r="T484" s="65"/>
      <c r="U484" s="66"/>
      <c r="V484" s="65"/>
      <c r="W484" s="66"/>
      <c r="X484" s="49"/>
      <c r="Y484" s="50"/>
      <c r="Z484" s="49"/>
      <c r="AA484" s="50"/>
      <c r="AB484" s="49"/>
      <c r="AC484" s="53"/>
      <c r="AD484" s="49"/>
      <c r="AE484" s="53"/>
      <c r="AF484" s="49"/>
      <c r="AG484" s="53"/>
      <c r="AH484" s="49"/>
      <c r="AI484" s="53"/>
      <c r="AJ484" s="53"/>
      <c r="AK484" s="53"/>
      <c r="AL484" s="53"/>
      <c r="AM484" s="53"/>
      <c r="AN484" s="53"/>
      <c r="AO484" s="53"/>
      <c r="AP484" s="62">
        <f t="shared" si="14"/>
        <v>0</v>
      </c>
      <c r="AQ484" s="55">
        <f t="shared" si="15"/>
        <v>0</v>
      </c>
    </row>
    <row r="485" spans="1:43">
      <c r="A485" s="47">
        <v>483</v>
      </c>
      <c r="B485" s="56">
        <v>4971710487756</v>
      </c>
      <c r="C485" s="57" t="s">
        <v>62</v>
      </c>
      <c r="D485" s="75" t="s">
        <v>884</v>
      </c>
      <c r="E485" s="48" t="s">
        <v>63</v>
      </c>
      <c r="F485" s="65"/>
      <c r="G485" s="66"/>
      <c r="H485" s="65"/>
      <c r="I485" s="66"/>
      <c r="J485" s="65"/>
      <c r="K485" s="66"/>
      <c r="L485" s="49"/>
      <c r="M485" s="50"/>
      <c r="N485" s="49"/>
      <c r="O485" s="50"/>
      <c r="P485" s="49">
        <v>0</v>
      </c>
      <c r="Q485" s="53"/>
      <c r="R485" s="65"/>
      <c r="S485" s="66"/>
      <c r="T485" s="65"/>
      <c r="U485" s="66"/>
      <c r="V485" s="65"/>
      <c r="W485" s="66"/>
      <c r="X485" s="49"/>
      <c r="Y485" s="50"/>
      <c r="Z485" s="49"/>
      <c r="AA485" s="50"/>
      <c r="AB485" s="49"/>
      <c r="AC485" s="53"/>
      <c r="AD485" s="49"/>
      <c r="AE485" s="53"/>
      <c r="AF485" s="49"/>
      <c r="AG485" s="53"/>
      <c r="AH485" s="49"/>
      <c r="AI485" s="53"/>
      <c r="AJ485" s="53"/>
      <c r="AK485" s="53"/>
      <c r="AL485" s="53"/>
      <c r="AM485" s="53"/>
      <c r="AN485" s="53"/>
      <c r="AO485" s="53"/>
      <c r="AP485" s="62">
        <f t="shared" si="14"/>
        <v>0</v>
      </c>
      <c r="AQ485" s="55">
        <f t="shared" si="15"/>
        <v>0</v>
      </c>
    </row>
    <row r="486" spans="1:43">
      <c r="A486" s="47">
        <v>484</v>
      </c>
      <c r="B486" s="56">
        <v>4971710487770</v>
      </c>
      <c r="C486" s="57" t="s">
        <v>64</v>
      </c>
      <c r="D486" s="75" t="s">
        <v>884</v>
      </c>
      <c r="E486" s="48" t="s">
        <v>65</v>
      </c>
      <c r="F486" s="65"/>
      <c r="G486" s="66"/>
      <c r="H486" s="65"/>
      <c r="I486" s="66"/>
      <c r="J486" s="65"/>
      <c r="K486" s="66"/>
      <c r="L486" s="49"/>
      <c r="M486" s="50"/>
      <c r="N486" s="49"/>
      <c r="O486" s="50"/>
      <c r="P486" s="49">
        <v>0</v>
      </c>
      <c r="Q486" s="53"/>
      <c r="R486" s="65"/>
      <c r="S486" s="66"/>
      <c r="T486" s="65"/>
      <c r="U486" s="66"/>
      <c r="V486" s="65"/>
      <c r="W486" s="66"/>
      <c r="X486" s="49"/>
      <c r="Y486" s="50"/>
      <c r="Z486" s="49"/>
      <c r="AA486" s="50"/>
      <c r="AB486" s="49"/>
      <c r="AC486" s="53"/>
      <c r="AD486" s="49"/>
      <c r="AE486" s="53"/>
      <c r="AF486" s="49"/>
      <c r="AG486" s="53"/>
      <c r="AH486" s="49"/>
      <c r="AI486" s="53"/>
      <c r="AJ486" s="53"/>
      <c r="AK486" s="53"/>
      <c r="AL486" s="53"/>
      <c r="AM486" s="53"/>
      <c r="AN486" s="53"/>
      <c r="AO486" s="53"/>
      <c r="AP486" s="62">
        <f t="shared" si="14"/>
        <v>0</v>
      </c>
      <c r="AQ486" s="55">
        <f t="shared" si="15"/>
        <v>0</v>
      </c>
    </row>
    <row r="487" spans="1:43">
      <c r="A487" s="47">
        <v>485</v>
      </c>
      <c r="B487" s="56">
        <v>4971710487787</v>
      </c>
      <c r="C487" s="57" t="s">
        <v>66</v>
      </c>
      <c r="D487" s="75" t="s">
        <v>884</v>
      </c>
      <c r="E487" s="48" t="s">
        <v>67</v>
      </c>
      <c r="F487" s="65"/>
      <c r="G487" s="66"/>
      <c r="H487" s="65"/>
      <c r="I487" s="66"/>
      <c r="J487" s="65"/>
      <c r="K487" s="66"/>
      <c r="L487" s="49"/>
      <c r="M487" s="50"/>
      <c r="N487" s="49"/>
      <c r="O487" s="50"/>
      <c r="P487" s="49">
        <v>0</v>
      </c>
      <c r="Q487" s="53"/>
      <c r="R487" s="65"/>
      <c r="S487" s="66"/>
      <c r="T487" s="65"/>
      <c r="U487" s="66"/>
      <c r="V487" s="65"/>
      <c r="W487" s="66"/>
      <c r="X487" s="49"/>
      <c r="Y487" s="50"/>
      <c r="Z487" s="49"/>
      <c r="AA487" s="50"/>
      <c r="AB487" s="49"/>
      <c r="AC487" s="53"/>
      <c r="AD487" s="49"/>
      <c r="AE487" s="53"/>
      <c r="AF487" s="49"/>
      <c r="AG487" s="53"/>
      <c r="AH487" s="49"/>
      <c r="AI487" s="53"/>
      <c r="AJ487" s="53"/>
      <c r="AK487" s="53"/>
      <c r="AL487" s="53"/>
      <c r="AM487" s="53"/>
      <c r="AN487" s="53"/>
      <c r="AO487" s="53"/>
      <c r="AP487" s="62">
        <f t="shared" si="14"/>
        <v>0</v>
      </c>
      <c r="AQ487" s="55">
        <f t="shared" si="15"/>
        <v>0</v>
      </c>
    </row>
    <row r="488" spans="1:43">
      <c r="A488" s="47">
        <v>486</v>
      </c>
      <c r="B488" s="56">
        <v>4971710487800</v>
      </c>
      <c r="C488" s="57" t="s">
        <v>70</v>
      </c>
      <c r="D488" s="75" t="s">
        <v>884</v>
      </c>
      <c r="E488" s="48" t="s">
        <v>71</v>
      </c>
      <c r="F488" s="65"/>
      <c r="G488" s="66"/>
      <c r="H488" s="65"/>
      <c r="I488" s="66"/>
      <c r="J488" s="65"/>
      <c r="K488" s="66"/>
      <c r="L488" s="49"/>
      <c r="M488" s="50"/>
      <c r="N488" s="49"/>
      <c r="O488" s="50"/>
      <c r="P488" s="49">
        <v>0</v>
      </c>
      <c r="Q488" s="53"/>
      <c r="R488" s="65"/>
      <c r="S488" s="66"/>
      <c r="T488" s="65"/>
      <c r="U488" s="66"/>
      <c r="V488" s="65"/>
      <c r="W488" s="66"/>
      <c r="X488" s="49"/>
      <c r="Y488" s="50"/>
      <c r="Z488" s="49"/>
      <c r="AA488" s="50"/>
      <c r="AB488" s="49"/>
      <c r="AC488" s="53"/>
      <c r="AD488" s="49"/>
      <c r="AE488" s="53"/>
      <c r="AF488" s="49"/>
      <c r="AG488" s="53"/>
      <c r="AH488" s="49"/>
      <c r="AI488" s="53"/>
      <c r="AJ488" s="53"/>
      <c r="AK488" s="53"/>
      <c r="AL488" s="53"/>
      <c r="AM488" s="53"/>
      <c r="AN488" s="53"/>
      <c r="AO488" s="53"/>
      <c r="AP488" s="62">
        <f t="shared" si="14"/>
        <v>0</v>
      </c>
      <c r="AQ488" s="55">
        <f t="shared" si="15"/>
        <v>0</v>
      </c>
    </row>
    <row r="489" spans="1:43">
      <c r="A489" s="47">
        <v>487</v>
      </c>
      <c r="B489" s="56">
        <v>4971710487817</v>
      </c>
      <c r="C489" s="57" t="s">
        <v>72</v>
      </c>
      <c r="D489" s="75" t="s">
        <v>884</v>
      </c>
      <c r="E489" s="48" t="s">
        <v>73</v>
      </c>
      <c r="F489" s="65"/>
      <c r="G489" s="66"/>
      <c r="H489" s="65"/>
      <c r="I489" s="66"/>
      <c r="J489" s="65"/>
      <c r="K489" s="66"/>
      <c r="L489" s="49"/>
      <c r="M489" s="50"/>
      <c r="N489" s="49"/>
      <c r="O489" s="50"/>
      <c r="P489" s="49">
        <v>0</v>
      </c>
      <c r="Q489" s="53"/>
      <c r="R489" s="65"/>
      <c r="S489" s="66"/>
      <c r="T489" s="65"/>
      <c r="U489" s="66"/>
      <c r="V489" s="65"/>
      <c r="W489" s="66"/>
      <c r="X489" s="49"/>
      <c r="Y489" s="50"/>
      <c r="Z489" s="49"/>
      <c r="AA489" s="50"/>
      <c r="AB489" s="49"/>
      <c r="AC489" s="53"/>
      <c r="AD489" s="49"/>
      <c r="AE489" s="53"/>
      <c r="AF489" s="49"/>
      <c r="AG489" s="53"/>
      <c r="AH489" s="49"/>
      <c r="AI489" s="53"/>
      <c r="AJ489" s="53"/>
      <c r="AK489" s="53"/>
      <c r="AL489" s="53"/>
      <c r="AM489" s="53"/>
      <c r="AN489" s="53"/>
      <c r="AO489" s="53"/>
      <c r="AP489" s="62">
        <f t="shared" si="14"/>
        <v>0</v>
      </c>
      <c r="AQ489" s="55">
        <f t="shared" si="15"/>
        <v>0</v>
      </c>
    </row>
    <row r="490" spans="1:43">
      <c r="A490" s="47">
        <v>488</v>
      </c>
      <c r="B490" s="56">
        <v>4971710487824</v>
      </c>
      <c r="C490" s="57" t="s">
        <v>74</v>
      </c>
      <c r="D490" s="75" t="s">
        <v>884</v>
      </c>
      <c r="E490" s="48" t="s">
        <v>75</v>
      </c>
      <c r="F490" s="65"/>
      <c r="G490" s="66"/>
      <c r="H490" s="65"/>
      <c r="I490" s="66"/>
      <c r="J490" s="65"/>
      <c r="K490" s="66"/>
      <c r="L490" s="49"/>
      <c r="M490" s="50"/>
      <c r="N490" s="49"/>
      <c r="O490" s="50"/>
      <c r="P490" s="49">
        <v>0</v>
      </c>
      <c r="Q490" s="53"/>
      <c r="R490" s="65"/>
      <c r="S490" s="66"/>
      <c r="T490" s="65"/>
      <c r="U490" s="66"/>
      <c r="V490" s="65"/>
      <c r="W490" s="66"/>
      <c r="X490" s="49"/>
      <c r="Y490" s="50"/>
      <c r="Z490" s="49"/>
      <c r="AA490" s="50"/>
      <c r="AB490" s="49"/>
      <c r="AC490" s="53"/>
      <c r="AD490" s="49"/>
      <c r="AE490" s="53"/>
      <c r="AF490" s="49"/>
      <c r="AG490" s="53"/>
      <c r="AH490" s="49"/>
      <c r="AI490" s="53"/>
      <c r="AJ490" s="53"/>
      <c r="AK490" s="53"/>
      <c r="AL490" s="53"/>
      <c r="AM490" s="53"/>
      <c r="AN490" s="53"/>
      <c r="AO490" s="53"/>
      <c r="AP490" s="62">
        <f t="shared" si="14"/>
        <v>0</v>
      </c>
      <c r="AQ490" s="55">
        <f t="shared" si="15"/>
        <v>0</v>
      </c>
    </row>
    <row r="491" spans="1:43">
      <c r="A491" s="47">
        <v>489</v>
      </c>
      <c r="B491" s="56">
        <v>4971710487848</v>
      </c>
      <c r="C491" s="57" t="s">
        <v>76</v>
      </c>
      <c r="D491" s="75" t="s">
        <v>884</v>
      </c>
      <c r="E491" s="48" t="s">
        <v>77</v>
      </c>
      <c r="F491" s="65"/>
      <c r="G491" s="66"/>
      <c r="H491" s="65"/>
      <c r="I491" s="66"/>
      <c r="J491" s="65"/>
      <c r="K491" s="66"/>
      <c r="L491" s="49"/>
      <c r="M491" s="50"/>
      <c r="N491" s="49"/>
      <c r="O491" s="50"/>
      <c r="P491" s="49">
        <v>0</v>
      </c>
      <c r="Q491" s="53"/>
      <c r="R491" s="65"/>
      <c r="S491" s="66"/>
      <c r="T491" s="65"/>
      <c r="U491" s="66"/>
      <c r="V491" s="65"/>
      <c r="W491" s="66"/>
      <c r="X491" s="49"/>
      <c r="Y491" s="50"/>
      <c r="Z491" s="49"/>
      <c r="AA491" s="50"/>
      <c r="AB491" s="49"/>
      <c r="AC491" s="53"/>
      <c r="AD491" s="49"/>
      <c r="AE491" s="53"/>
      <c r="AF491" s="49"/>
      <c r="AG491" s="53"/>
      <c r="AH491" s="49"/>
      <c r="AI491" s="53"/>
      <c r="AJ491" s="53"/>
      <c r="AK491" s="53"/>
      <c r="AL491" s="53"/>
      <c r="AM491" s="53"/>
      <c r="AN491" s="53"/>
      <c r="AO491" s="53"/>
      <c r="AP491" s="62">
        <f t="shared" si="14"/>
        <v>0</v>
      </c>
      <c r="AQ491" s="55">
        <f t="shared" si="15"/>
        <v>0</v>
      </c>
    </row>
    <row r="492" spans="1:43">
      <c r="A492" s="47">
        <v>490</v>
      </c>
      <c r="B492" s="56">
        <v>4971710487862</v>
      </c>
      <c r="C492" s="57" t="s">
        <v>80</v>
      </c>
      <c r="D492" s="75" t="s">
        <v>884</v>
      </c>
      <c r="E492" s="48" t="s">
        <v>81</v>
      </c>
      <c r="F492" s="65"/>
      <c r="G492" s="66"/>
      <c r="H492" s="65"/>
      <c r="I492" s="66"/>
      <c r="J492" s="65"/>
      <c r="K492" s="66"/>
      <c r="L492" s="49"/>
      <c r="M492" s="50"/>
      <c r="N492" s="49"/>
      <c r="O492" s="50"/>
      <c r="P492" s="49">
        <v>0</v>
      </c>
      <c r="Q492" s="53"/>
      <c r="R492" s="65"/>
      <c r="S492" s="66"/>
      <c r="T492" s="65"/>
      <c r="U492" s="66"/>
      <c r="V492" s="65"/>
      <c r="W492" s="66"/>
      <c r="X492" s="49"/>
      <c r="Y492" s="50"/>
      <c r="Z492" s="49"/>
      <c r="AA492" s="50"/>
      <c r="AB492" s="49"/>
      <c r="AC492" s="53"/>
      <c r="AD492" s="49"/>
      <c r="AE492" s="53"/>
      <c r="AF492" s="49"/>
      <c r="AG492" s="53"/>
      <c r="AH492" s="49"/>
      <c r="AI492" s="53"/>
      <c r="AJ492" s="53"/>
      <c r="AK492" s="53"/>
      <c r="AL492" s="53"/>
      <c r="AM492" s="53"/>
      <c r="AN492" s="53"/>
      <c r="AO492" s="53"/>
      <c r="AP492" s="62">
        <f t="shared" si="14"/>
        <v>0</v>
      </c>
      <c r="AQ492" s="55">
        <f t="shared" si="15"/>
        <v>0</v>
      </c>
    </row>
    <row r="493" spans="1:43">
      <c r="A493" s="47">
        <v>491</v>
      </c>
      <c r="B493" s="56">
        <v>4971710488081</v>
      </c>
      <c r="C493" s="57" t="s">
        <v>82</v>
      </c>
      <c r="D493" s="75" t="s">
        <v>884</v>
      </c>
      <c r="E493" s="48" t="s">
        <v>83</v>
      </c>
      <c r="F493" s="65"/>
      <c r="G493" s="66"/>
      <c r="H493" s="65"/>
      <c r="I493" s="66"/>
      <c r="J493" s="65"/>
      <c r="K493" s="66"/>
      <c r="L493" s="49"/>
      <c r="M493" s="50"/>
      <c r="N493" s="49"/>
      <c r="O493" s="50"/>
      <c r="P493" s="49">
        <v>0</v>
      </c>
      <c r="Q493" s="53"/>
      <c r="R493" s="65"/>
      <c r="S493" s="66"/>
      <c r="T493" s="65"/>
      <c r="U493" s="66"/>
      <c r="V493" s="65"/>
      <c r="W493" s="66"/>
      <c r="X493" s="49"/>
      <c r="Y493" s="50"/>
      <c r="Z493" s="49"/>
      <c r="AA493" s="50"/>
      <c r="AB493" s="49"/>
      <c r="AC493" s="53"/>
      <c r="AD493" s="49"/>
      <c r="AE493" s="53"/>
      <c r="AF493" s="49"/>
      <c r="AG493" s="53"/>
      <c r="AH493" s="49"/>
      <c r="AI493" s="53"/>
      <c r="AJ493" s="53"/>
      <c r="AK493" s="53"/>
      <c r="AL493" s="53"/>
      <c r="AM493" s="53"/>
      <c r="AN493" s="53"/>
      <c r="AO493" s="53"/>
      <c r="AP493" s="62">
        <f t="shared" si="14"/>
        <v>0</v>
      </c>
      <c r="AQ493" s="55">
        <f t="shared" si="15"/>
        <v>0</v>
      </c>
    </row>
    <row r="494" spans="1:43">
      <c r="A494" s="47">
        <v>492</v>
      </c>
      <c r="B494" s="56">
        <v>4971710491135</v>
      </c>
      <c r="C494" s="57" t="s">
        <v>96</v>
      </c>
      <c r="D494" s="75" t="s">
        <v>884</v>
      </c>
      <c r="E494" s="48" t="s">
        <v>97</v>
      </c>
      <c r="F494" s="65"/>
      <c r="G494" s="66"/>
      <c r="H494" s="65"/>
      <c r="I494" s="66"/>
      <c r="J494" s="65"/>
      <c r="K494" s="66"/>
      <c r="L494" s="49"/>
      <c r="M494" s="50"/>
      <c r="N494" s="49"/>
      <c r="O494" s="50"/>
      <c r="P494" s="49">
        <v>0</v>
      </c>
      <c r="Q494" s="53"/>
      <c r="R494" s="65"/>
      <c r="S494" s="66"/>
      <c r="T494" s="65"/>
      <c r="U494" s="66"/>
      <c r="V494" s="65"/>
      <c r="W494" s="66"/>
      <c r="X494" s="49"/>
      <c r="Y494" s="50"/>
      <c r="Z494" s="49"/>
      <c r="AA494" s="50"/>
      <c r="AB494" s="49"/>
      <c r="AC494" s="53"/>
      <c r="AD494" s="49"/>
      <c r="AE494" s="53"/>
      <c r="AF494" s="49"/>
      <c r="AG494" s="53"/>
      <c r="AH494" s="49"/>
      <c r="AI494" s="53"/>
      <c r="AJ494" s="53"/>
      <c r="AK494" s="53"/>
      <c r="AL494" s="53"/>
      <c r="AM494" s="53"/>
      <c r="AN494" s="53"/>
      <c r="AO494" s="53"/>
      <c r="AP494" s="63">
        <f t="shared" si="14"/>
        <v>0</v>
      </c>
      <c r="AQ494" s="55">
        <f t="shared" si="15"/>
        <v>0</v>
      </c>
    </row>
    <row r="495" spans="1:43">
      <c r="A495" s="47">
        <v>493</v>
      </c>
      <c r="B495" s="56">
        <v>4971710491142</v>
      </c>
      <c r="C495" s="57" t="s">
        <v>98</v>
      </c>
      <c r="D495" s="75" t="s">
        <v>884</v>
      </c>
      <c r="E495" s="48" t="s">
        <v>99</v>
      </c>
      <c r="F495" s="65"/>
      <c r="G495" s="66"/>
      <c r="H495" s="65"/>
      <c r="I495" s="66"/>
      <c r="J495" s="65"/>
      <c r="K495" s="66"/>
      <c r="L495" s="49"/>
      <c r="M495" s="50"/>
      <c r="N495" s="49"/>
      <c r="O495" s="50"/>
      <c r="P495" s="49">
        <v>0</v>
      </c>
      <c r="Q495" s="53"/>
      <c r="R495" s="65"/>
      <c r="S495" s="66"/>
      <c r="T495" s="65"/>
      <c r="U495" s="66"/>
      <c r="V495" s="65"/>
      <c r="W495" s="66"/>
      <c r="X495" s="49"/>
      <c r="Y495" s="50"/>
      <c r="Z495" s="49"/>
      <c r="AA495" s="50"/>
      <c r="AB495" s="49"/>
      <c r="AC495" s="53"/>
      <c r="AD495" s="49"/>
      <c r="AE495" s="53"/>
      <c r="AF495" s="49"/>
      <c r="AG495" s="53"/>
      <c r="AH495" s="49"/>
      <c r="AI495" s="53"/>
      <c r="AJ495" s="53"/>
      <c r="AK495" s="53"/>
      <c r="AL495" s="53"/>
      <c r="AM495" s="53"/>
      <c r="AN495" s="53"/>
      <c r="AO495" s="53"/>
      <c r="AP495" s="63">
        <f t="shared" si="14"/>
        <v>0</v>
      </c>
      <c r="AQ495" s="55">
        <f t="shared" si="15"/>
        <v>0</v>
      </c>
    </row>
    <row r="496" spans="1:43">
      <c r="A496" s="47">
        <v>494</v>
      </c>
      <c r="B496" s="56">
        <v>4971710491159</v>
      </c>
      <c r="C496" s="57" t="s">
        <v>100</v>
      </c>
      <c r="D496" s="75" t="s">
        <v>884</v>
      </c>
      <c r="E496" s="48" t="s">
        <v>101</v>
      </c>
      <c r="F496" s="65"/>
      <c r="G496" s="66"/>
      <c r="H496" s="65"/>
      <c r="I496" s="66"/>
      <c r="J496" s="65"/>
      <c r="K496" s="66"/>
      <c r="L496" s="49"/>
      <c r="M496" s="50"/>
      <c r="N496" s="49"/>
      <c r="O496" s="50"/>
      <c r="P496" s="49">
        <v>0</v>
      </c>
      <c r="Q496" s="53"/>
      <c r="R496" s="65"/>
      <c r="S496" s="66"/>
      <c r="T496" s="65"/>
      <c r="U496" s="66"/>
      <c r="V496" s="65"/>
      <c r="W496" s="66"/>
      <c r="X496" s="49"/>
      <c r="Y496" s="50"/>
      <c r="Z496" s="49"/>
      <c r="AA496" s="50"/>
      <c r="AB496" s="49"/>
      <c r="AC496" s="53"/>
      <c r="AD496" s="49"/>
      <c r="AE496" s="53"/>
      <c r="AF496" s="49"/>
      <c r="AG496" s="53"/>
      <c r="AH496" s="49"/>
      <c r="AI496" s="53"/>
      <c r="AJ496" s="53"/>
      <c r="AK496" s="53"/>
      <c r="AL496" s="53"/>
      <c r="AM496" s="53"/>
      <c r="AN496" s="53"/>
      <c r="AO496" s="53"/>
      <c r="AP496" s="62">
        <f t="shared" si="14"/>
        <v>0</v>
      </c>
      <c r="AQ496" s="55">
        <f t="shared" si="15"/>
        <v>0</v>
      </c>
    </row>
    <row r="497" spans="1:43">
      <c r="A497" s="47">
        <v>495</v>
      </c>
      <c r="B497" s="56">
        <v>4971710491166</v>
      </c>
      <c r="C497" s="57" t="s">
        <v>102</v>
      </c>
      <c r="D497" s="75" t="s">
        <v>884</v>
      </c>
      <c r="E497" s="48" t="s">
        <v>103</v>
      </c>
      <c r="F497" s="65"/>
      <c r="G497" s="66"/>
      <c r="H497" s="65"/>
      <c r="I497" s="66"/>
      <c r="J497" s="65"/>
      <c r="K497" s="66"/>
      <c r="L497" s="49"/>
      <c r="M497" s="50"/>
      <c r="N497" s="49"/>
      <c r="O497" s="50"/>
      <c r="P497" s="49">
        <v>0</v>
      </c>
      <c r="Q497" s="53"/>
      <c r="R497" s="65"/>
      <c r="S497" s="66"/>
      <c r="T497" s="65"/>
      <c r="U497" s="66"/>
      <c r="V497" s="65"/>
      <c r="W497" s="66"/>
      <c r="X497" s="49"/>
      <c r="Y497" s="50"/>
      <c r="Z497" s="49"/>
      <c r="AA497" s="50"/>
      <c r="AB497" s="49"/>
      <c r="AC497" s="53"/>
      <c r="AD497" s="49"/>
      <c r="AE497" s="53"/>
      <c r="AF497" s="49"/>
      <c r="AG497" s="53"/>
      <c r="AH497" s="49"/>
      <c r="AI497" s="53"/>
      <c r="AJ497" s="53"/>
      <c r="AK497" s="53"/>
      <c r="AL497" s="53"/>
      <c r="AM497" s="53"/>
      <c r="AN497" s="53"/>
      <c r="AO497" s="53"/>
      <c r="AP497" s="62">
        <f t="shared" si="14"/>
        <v>0</v>
      </c>
      <c r="AQ497" s="55">
        <f t="shared" si="15"/>
        <v>0</v>
      </c>
    </row>
    <row r="498" spans="1:43">
      <c r="A498" s="47">
        <v>496</v>
      </c>
      <c r="B498" s="56">
        <v>4971710491173</v>
      </c>
      <c r="C498" s="57" t="s">
        <v>104</v>
      </c>
      <c r="D498" s="75" t="s">
        <v>884</v>
      </c>
      <c r="E498" s="48" t="s">
        <v>105</v>
      </c>
      <c r="F498" s="65"/>
      <c r="G498" s="66"/>
      <c r="H498" s="65"/>
      <c r="I498" s="66"/>
      <c r="J498" s="65"/>
      <c r="K498" s="66"/>
      <c r="L498" s="49"/>
      <c r="M498" s="50"/>
      <c r="N498" s="49"/>
      <c r="O498" s="50"/>
      <c r="P498" s="49">
        <v>0</v>
      </c>
      <c r="Q498" s="53"/>
      <c r="R498" s="65"/>
      <c r="S498" s="66"/>
      <c r="T498" s="65"/>
      <c r="U498" s="66"/>
      <c r="V498" s="65"/>
      <c r="W498" s="66"/>
      <c r="X498" s="49"/>
      <c r="Y498" s="50"/>
      <c r="Z498" s="49"/>
      <c r="AA498" s="50"/>
      <c r="AB498" s="49"/>
      <c r="AC498" s="53"/>
      <c r="AD498" s="49"/>
      <c r="AE498" s="53"/>
      <c r="AF498" s="49"/>
      <c r="AG498" s="53"/>
      <c r="AH498" s="49"/>
      <c r="AI498" s="53"/>
      <c r="AJ498" s="53"/>
      <c r="AK498" s="53"/>
      <c r="AL498" s="53"/>
      <c r="AM498" s="53"/>
      <c r="AN498" s="53"/>
      <c r="AO498" s="53"/>
      <c r="AP498" s="62">
        <f t="shared" si="14"/>
        <v>0</v>
      </c>
      <c r="AQ498" s="55">
        <f t="shared" si="15"/>
        <v>0</v>
      </c>
    </row>
    <row r="499" spans="1:43">
      <c r="A499" s="47">
        <v>497</v>
      </c>
      <c r="B499" s="56">
        <v>4971710491609</v>
      </c>
      <c r="C499" s="57" t="s">
        <v>106</v>
      </c>
      <c r="D499" s="75" t="s">
        <v>884</v>
      </c>
      <c r="E499" s="48" t="s">
        <v>107</v>
      </c>
      <c r="F499" s="65"/>
      <c r="G499" s="66"/>
      <c r="H499" s="65"/>
      <c r="I499" s="66"/>
      <c r="J499" s="65"/>
      <c r="K499" s="66"/>
      <c r="L499" s="49"/>
      <c r="M499" s="50"/>
      <c r="N499" s="49"/>
      <c r="O499" s="50"/>
      <c r="P499" s="49">
        <v>0</v>
      </c>
      <c r="Q499" s="53"/>
      <c r="R499" s="65"/>
      <c r="S499" s="66"/>
      <c r="T499" s="65"/>
      <c r="U499" s="66"/>
      <c r="V499" s="65"/>
      <c r="W499" s="66"/>
      <c r="X499" s="49"/>
      <c r="Y499" s="50"/>
      <c r="Z499" s="49"/>
      <c r="AA499" s="50"/>
      <c r="AB499" s="49"/>
      <c r="AC499" s="53"/>
      <c r="AD499" s="49"/>
      <c r="AE499" s="53"/>
      <c r="AF499" s="49"/>
      <c r="AG499" s="53"/>
      <c r="AH499" s="49"/>
      <c r="AI499" s="53"/>
      <c r="AJ499" s="53"/>
      <c r="AK499" s="53"/>
      <c r="AL499" s="53"/>
      <c r="AM499" s="53"/>
      <c r="AN499" s="53"/>
      <c r="AO499" s="53"/>
      <c r="AP499" s="62">
        <f t="shared" si="14"/>
        <v>0</v>
      </c>
      <c r="AQ499" s="55">
        <f t="shared" si="15"/>
        <v>0</v>
      </c>
    </row>
    <row r="500" spans="1:43">
      <c r="A500" s="47">
        <v>498</v>
      </c>
      <c r="B500" s="56">
        <v>4971710494969</v>
      </c>
      <c r="C500" s="57" t="s">
        <v>142</v>
      </c>
      <c r="D500" s="75" t="s">
        <v>884</v>
      </c>
      <c r="E500" s="48" t="s">
        <v>143</v>
      </c>
      <c r="F500" s="65"/>
      <c r="G500" s="66"/>
      <c r="H500" s="65"/>
      <c r="I500" s="66"/>
      <c r="J500" s="65"/>
      <c r="K500" s="66"/>
      <c r="L500" s="49"/>
      <c r="M500" s="50"/>
      <c r="N500" s="49"/>
      <c r="O500" s="50"/>
      <c r="P500" s="49">
        <v>0</v>
      </c>
      <c r="Q500" s="53"/>
      <c r="R500" s="65"/>
      <c r="S500" s="66"/>
      <c r="T500" s="65"/>
      <c r="U500" s="66"/>
      <c r="V500" s="65"/>
      <c r="W500" s="66"/>
      <c r="X500" s="49"/>
      <c r="Y500" s="50"/>
      <c r="Z500" s="49"/>
      <c r="AA500" s="50"/>
      <c r="AB500" s="49"/>
      <c r="AC500" s="53"/>
      <c r="AD500" s="49"/>
      <c r="AE500" s="53"/>
      <c r="AF500" s="49"/>
      <c r="AG500" s="53"/>
      <c r="AH500" s="49"/>
      <c r="AI500" s="53"/>
      <c r="AJ500" s="53"/>
      <c r="AK500" s="53"/>
      <c r="AL500" s="53"/>
      <c r="AM500" s="53"/>
      <c r="AN500" s="53"/>
      <c r="AO500" s="53"/>
      <c r="AP500" s="62">
        <f t="shared" si="14"/>
        <v>0</v>
      </c>
      <c r="AQ500" s="55">
        <f t="shared" si="15"/>
        <v>0</v>
      </c>
    </row>
    <row r="501" spans="1:43">
      <c r="A501" s="47">
        <v>499</v>
      </c>
      <c r="B501" s="56">
        <v>4971710494976</v>
      </c>
      <c r="C501" s="57" t="s">
        <v>144</v>
      </c>
      <c r="D501" s="75" t="s">
        <v>884</v>
      </c>
      <c r="E501" s="48" t="s">
        <v>145</v>
      </c>
      <c r="F501" s="65"/>
      <c r="G501" s="66"/>
      <c r="H501" s="65"/>
      <c r="I501" s="66"/>
      <c r="J501" s="65"/>
      <c r="K501" s="66"/>
      <c r="L501" s="49"/>
      <c r="M501" s="50"/>
      <c r="N501" s="49"/>
      <c r="O501" s="50"/>
      <c r="P501" s="49">
        <v>0</v>
      </c>
      <c r="Q501" s="53"/>
      <c r="R501" s="65"/>
      <c r="S501" s="66"/>
      <c r="T501" s="65"/>
      <c r="U501" s="66"/>
      <c r="V501" s="65"/>
      <c r="W501" s="66"/>
      <c r="X501" s="49"/>
      <c r="Y501" s="50"/>
      <c r="Z501" s="49"/>
      <c r="AA501" s="50"/>
      <c r="AB501" s="49"/>
      <c r="AC501" s="53"/>
      <c r="AD501" s="49"/>
      <c r="AE501" s="53"/>
      <c r="AF501" s="49"/>
      <c r="AG501" s="53"/>
      <c r="AH501" s="49"/>
      <c r="AI501" s="53"/>
      <c r="AJ501" s="53"/>
      <c r="AK501" s="53"/>
      <c r="AL501" s="53"/>
      <c r="AM501" s="53"/>
      <c r="AN501" s="53"/>
      <c r="AO501" s="53"/>
      <c r="AP501" s="62">
        <f t="shared" si="14"/>
        <v>0</v>
      </c>
      <c r="AQ501" s="55">
        <f t="shared" si="15"/>
        <v>0</v>
      </c>
    </row>
    <row r="502" spans="1:43">
      <c r="A502" s="47">
        <v>500</v>
      </c>
      <c r="B502" s="56">
        <v>4971710507706</v>
      </c>
      <c r="C502" s="57" t="s">
        <v>188</v>
      </c>
      <c r="D502" s="75" t="s">
        <v>884</v>
      </c>
      <c r="E502" s="48" t="s">
        <v>189</v>
      </c>
      <c r="F502" s="65"/>
      <c r="G502" s="66"/>
      <c r="H502" s="65"/>
      <c r="I502" s="66"/>
      <c r="J502" s="65"/>
      <c r="K502" s="66"/>
      <c r="L502" s="49"/>
      <c r="M502" s="50"/>
      <c r="N502" s="49"/>
      <c r="O502" s="50"/>
      <c r="P502" s="49">
        <v>0</v>
      </c>
      <c r="Q502" s="53"/>
      <c r="R502" s="65"/>
      <c r="S502" s="66"/>
      <c r="T502" s="65"/>
      <c r="U502" s="66"/>
      <c r="V502" s="65"/>
      <c r="W502" s="66"/>
      <c r="X502" s="49"/>
      <c r="Y502" s="50"/>
      <c r="Z502" s="49"/>
      <c r="AA502" s="50"/>
      <c r="AB502" s="49"/>
      <c r="AC502" s="53"/>
      <c r="AD502" s="49"/>
      <c r="AE502" s="53"/>
      <c r="AF502" s="49"/>
      <c r="AG502" s="53"/>
      <c r="AH502" s="49"/>
      <c r="AI502" s="53"/>
      <c r="AJ502" s="53"/>
      <c r="AK502" s="53"/>
      <c r="AL502" s="53"/>
      <c r="AM502" s="53"/>
      <c r="AN502" s="53"/>
      <c r="AO502" s="53"/>
      <c r="AP502" s="62">
        <f t="shared" si="14"/>
        <v>0</v>
      </c>
      <c r="AQ502" s="55">
        <f t="shared" si="15"/>
        <v>0</v>
      </c>
    </row>
    <row r="503" spans="1:43">
      <c r="A503" s="47">
        <v>501</v>
      </c>
      <c r="B503" s="56">
        <v>4971710507713</v>
      </c>
      <c r="C503" s="57" t="s">
        <v>190</v>
      </c>
      <c r="D503" s="75" t="s">
        <v>884</v>
      </c>
      <c r="E503" s="48" t="s">
        <v>191</v>
      </c>
      <c r="F503" s="65"/>
      <c r="G503" s="66"/>
      <c r="H503" s="65"/>
      <c r="I503" s="66"/>
      <c r="J503" s="65"/>
      <c r="K503" s="66"/>
      <c r="L503" s="49"/>
      <c r="M503" s="50"/>
      <c r="N503" s="49"/>
      <c r="O503" s="50"/>
      <c r="P503" s="49">
        <v>0</v>
      </c>
      <c r="Q503" s="53"/>
      <c r="R503" s="65"/>
      <c r="S503" s="66"/>
      <c r="T503" s="65"/>
      <c r="U503" s="66"/>
      <c r="V503" s="65"/>
      <c r="W503" s="66"/>
      <c r="X503" s="49"/>
      <c r="Y503" s="50"/>
      <c r="Z503" s="49"/>
      <c r="AA503" s="50"/>
      <c r="AB503" s="49"/>
      <c r="AC503" s="53"/>
      <c r="AD503" s="49"/>
      <c r="AE503" s="53"/>
      <c r="AF503" s="49"/>
      <c r="AG503" s="53"/>
      <c r="AH503" s="49"/>
      <c r="AI503" s="53"/>
      <c r="AJ503" s="53"/>
      <c r="AK503" s="53"/>
      <c r="AL503" s="53"/>
      <c r="AM503" s="53"/>
      <c r="AN503" s="53"/>
      <c r="AO503" s="53"/>
      <c r="AP503" s="62">
        <f t="shared" si="14"/>
        <v>0</v>
      </c>
      <c r="AQ503" s="55">
        <f t="shared" si="15"/>
        <v>0</v>
      </c>
    </row>
    <row r="504" spans="1:43">
      <c r="A504" s="47">
        <v>502</v>
      </c>
      <c r="B504" s="56">
        <v>4971710507720</v>
      </c>
      <c r="C504" s="57" t="s">
        <v>192</v>
      </c>
      <c r="D504" s="75" t="s">
        <v>884</v>
      </c>
      <c r="E504" s="48" t="s">
        <v>193</v>
      </c>
      <c r="F504" s="65"/>
      <c r="G504" s="66"/>
      <c r="H504" s="65"/>
      <c r="I504" s="66"/>
      <c r="J504" s="65"/>
      <c r="K504" s="66"/>
      <c r="L504" s="49"/>
      <c r="M504" s="50"/>
      <c r="N504" s="49"/>
      <c r="O504" s="50"/>
      <c r="P504" s="49">
        <v>0</v>
      </c>
      <c r="Q504" s="53"/>
      <c r="R504" s="65"/>
      <c r="S504" s="66"/>
      <c r="T504" s="65"/>
      <c r="U504" s="66"/>
      <c r="V504" s="65"/>
      <c r="W504" s="66"/>
      <c r="X504" s="49"/>
      <c r="Y504" s="50"/>
      <c r="Z504" s="49"/>
      <c r="AA504" s="50"/>
      <c r="AB504" s="49"/>
      <c r="AC504" s="53"/>
      <c r="AD504" s="49"/>
      <c r="AE504" s="53"/>
      <c r="AF504" s="49"/>
      <c r="AG504" s="53"/>
      <c r="AH504" s="49"/>
      <c r="AI504" s="53"/>
      <c r="AJ504" s="53"/>
      <c r="AK504" s="53"/>
      <c r="AL504" s="53"/>
      <c r="AM504" s="53"/>
      <c r="AN504" s="53"/>
      <c r="AO504" s="53"/>
      <c r="AP504" s="63">
        <f t="shared" si="14"/>
        <v>0</v>
      </c>
      <c r="AQ504" s="55">
        <f t="shared" si="15"/>
        <v>0</v>
      </c>
    </row>
    <row r="505" spans="1:43">
      <c r="A505" s="47">
        <v>503</v>
      </c>
      <c r="B505" s="56">
        <v>4971710507737</v>
      </c>
      <c r="C505" s="57" t="s">
        <v>194</v>
      </c>
      <c r="D505" s="75" t="s">
        <v>884</v>
      </c>
      <c r="E505" s="48" t="s">
        <v>195</v>
      </c>
      <c r="F505" s="65"/>
      <c r="G505" s="66"/>
      <c r="H505" s="65"/>
      <c r="I505" s="66"/>
      <c r="J505" s="65"/>
      <c r="K505" s="66"/>
      <c r="L505" s="49"/>
      <c r="M505" s="50"/>
      <c r="N505" s="49"/>
      <c r="O505" s="50"/>
      <c r="P505" s="49">
        <v>0</v>
      </c>
      <c r="Q505" s="53"/>
      <c r="R505" s="65"/>
      <c r="S505" s="66"/>
      <c r="T505" s="65"/>
      <c r="U505" s="66"/>
      <c r="V505" s="65"/>
      <c r="W505" s="66"/>
      <c r="X505" s="49"/>
      <c r="Y505" s="50"/>
      <c r="Z505" s="49"/>
      <c r="AA505" s="50"/>
      <c r="AB505" s="49"/>
      <c r="AC505" s="53"/>
      <c r="AD505" s="49"/>
      <c r="AE505" s="53"/>
      <c r="AF505" s="49"/>
      <c r="AG505" s="53"/>
      <c r="AH505" s="49"/>
      <c r="AI505" s="53"/>
      <c r="AJ505" s="53"/>
      <c r="AK505" s="53"/>
      <c r="AL505" s="53"/>
      <c r="AM505" s="53"/>
      <c r="AN505" s="53"/>
      <c r="AO505" s="53"/>
      <c r="AP505" s="62">
        <f t="shared" si="14"/>
        <v>0</v>
      </c>
      <c r="AQ505" s="55">
        <f t="shared" si="15"/>
        <v>0</v>
      </c>
    </row>
    <row r="506" spans="1:43">
      <c r="A506" s="47">
        <v>504</v>
      </c>
      <c r="B506" s="56">
        <v>4971710507744</v>
      </c>
      <c r="C506" s="57" t="s">
        <v>196</v>
      </c>
      <c r="D506" s="75" t="s">
        <v>884</v>
      </c>
      <c r="E506" s="48" t="s">
        <v>197</v>
      </c>
      <c r="F506" s="65"/>
      <c r="G506" s="66"/>
      <c r="H506" s="65"/>
      <c r="I506" s="66"/>
      <c r="J506" s="65"/>
      <c r="K506" s="66"/>
      <c r="L506" s="49"/>
      <c r="M506" s="50"/>
      <c r="N506" s="49"/>
      <c r="O506" s="50"/>
      <c r="P506" s="49">
        <v>0</v>
      </c>
      <c r="Q506" s="53"/>
      <c r="R506" s="65"/>
      <c r="S506" s="66"/>
      <c r="T506" s="65"/>
      <c r="U506" s="66"/>
      <c r="V506" s="65"/>
      <c r="W506" s="66"/>
      <c r="X506" s="49"/>
      <c r="Y506" s="50"/>
      <c r="Z506" s="49"/>
      <c r="AA506" s="50"/>
      <c r="AB506" s="49"/>
      <c r="AC506" s="53"/>
      <c r="AD506" s="49"/>
      <c r="AE506" s="53"/>
      <c r="AF506" s="49"/>
      <c r="AG506" s="53"/>
      <c r="AH506" s="49"/>
      <c r="AI506" s="53"/>
      <c r="AJ506" s="53"/>
      <c r="AK506" s="53"/>
      <c r="AL506" s="53"/>
      <c r="AM506" s="53"/>
      <c r="AN506" s="53"/>
      <c r="AO506" s="53"/>
      <c r="AP506" s="62">
        <f t="shared" si="14"/>
        <v>0</v>
      </c>
      <c r="AQ506" s="55">
        <f t="shared" si="15"/>
        <v>0</v>
      </c>
    </row>
    <row r="507" spans="1:43">
      <c r="A507" s="47">
        <v>505</v>
      </c>
      <c r="B507" s="56">
        <v>4971710510225</v>
      </c>
      <c r="C507" s="57" t="s">
        <v>208</v>
      </c>
      <c r="D507" s="75" t="s">
        <v>884</v>
      </c>
      <c r="E507" s="48" t="s">
        <v>209</v>
      </c>
      <c r="F507" s="65"/>
      <c r="G507" s="66"/>
      <c r="H507" s="65"/>
      <c r="I507" s="66"/>
      <c r="J507" s="65"/>
      <c r="K507" s="66"/>
      <c r="L507" s="49"/>
      <c r="M507" s="50"/>
      <c r="N507" s="49"/>
      <c r="O507" s="50"/>
      <c r="P507" s="49">
        <v>0</v>
      </c>
      <c r="Q507" s="53"/>
      <c r="R507" s="65"/>
      <c r="S507" s="66"/>
      <c r="T507" s="65"/>
      <c r="U507" s="66"/>
      <c r="V507" s="65"/>
      <c r="W507" s="66"/>
      <c r="X507" s="49"/>
      <c r="Y507" s="50"/>
      <c r="Z507" s="49"/>
      <c r="AA507" s="50"/>
      <c r="AB507" s="49"/>
      <c r="AC507" s="53"/>
      <c r="AD507" s="49"/>
      <c r="AE507" s="53"/>
      <c r="AF507" s="49"/>
      <c r="AG507" s="53"/>
      <c r="AH507" s="49"/>
      <c r="AI507" s="53"/>
      <c r="AJ507" s="53"/>
      <c r="AK507" s="53"/>
      <c r="AL507" s="53"/>
      <c r="AM507" s="53"/>
      <c r="AN507" s="53"/>
      <c r="AO507" s="53"/>
      <c r="AP507" s="62">
        <f t="shared" si="14"/>
        <v>0</v>
      </c>
      <c r="AQ507" s="55">
        <f t="shared" si="15"/>
        <v>0</v>
      </c>
    </row>
    <row r="508" spans="1:43">
      <c r="A508" s="47">
        <v>506</v>
      </c>
      <c r="B508" s="56">
        <v>4971710510232</v>
      </c>
      <c r="C508" s="57" t="s">
        <v>210</v>
      </c>
      <c r="D508" s="75" t="s">
        <v>884</v>
      </c>
      <c r="E508" s="48" t="s">
        <v>211</v>
      </c>
      <c r="F508" s="65"/>
      <c r="G508" s="66"/>
      <c r="H508" s="65"/>
      <c r="I508" s="66"/>
      <c r="J508" s="65"/>
      <c r="K508" s="66"/>
      <c r="L508" s="49"/>
      <c r="M508" s="50"/>
      <c r="N508" s="49"/>
      <c r="O508" s="50"/>
      <c r="P508" s="49">
        <v>0</v>
      </c>
      <c r="Q508" s="53"/>
      <c r="R508" s="65"/>
      <c r="S508" s="66"/>
      <c r="T508" s="65"/>
      <c r="U508" s="66"/>
      <c r="V508" s="65"/>
      <c r="W508" s="66"/>
      <c r="X508" s="49"/>
      <c r="Y508" s="50"/>
      <c r="Z508" s="49"/>
      <c r="AA508" s="50"/>
      <c r="AB508" s="49"/>
      <c r="AC508" s="53"/>
      <c r="AD508" s="49"/>
      <c r="AE508" s="53"/>
      <c r="AF508" s="49"/>
      <c r="AG508" s="53"/>
      <c r="AH508" s="49"/>
      <c r="AI508" s="53"/>
      <c r="AJ508" s="53"/>
      <c r="AK508" s="53"/>
      <c r="AL508" s="53"/>
      <c r="AM508" s="53"/>
      <c r="AN508" s="53"/>
      <c r="AO508" s="53"/>
      <c r="AP508" s="62">
        <f t="shared" si="14"/>
        <v>0</v>
      </c>
      <c r="AQ508" s="55">
        <f t="shared" si="15"/>
        <v>0</v>
      </c>
    </row>
    <row r="509" spans="1:43">
      <c r="A509" s="47">
        <v>507</v>
      </c>
      <c r="B509" s="56">
        <v>4971710511802</v>
      </c>
      <c r="C509" s="57" t="s">
        <v>216</v>
      </c>
      <c r="D509" s="75" t="s">
        <v>884</v>
      </c>
      <c r="E509" s="48" t="s">
        <v>217</v>
      </c>
      <c r="F509" s="65"/>
      <c r="G509" s="66"/>
      <c r="H509" s="65"/>
      <c r="I509" s="66"/>
      <c r="J509" s="65"/>
      <c r="K509" s="66"/>
      <c r="L509" s="49"/>
      <c r="M509" s="50"/>
      <c r="N509" s="49"/>
      <c r="O509" s="50"/>
      <c r="P509" s="49">
        <v>0</v>
      </c>
      <c r="Q509" s="53"/>
      <c r="R509" s="65"/>
      <c r="S509" s="66"/>
      <c r="T509" s="65"/>
      <c r="U509" s="66"/>
      <c r="V509" s="65"/>
      <c r="W509" s="66"/>
      <c r="X509" s="49"/>
      <c r="Y509" s="50"/>
      <c r="Z509" s="49"/>
      <c r="AA509" s="50"/>
      <c r="AB509" s="49"/>
      <c r="AC509" s="53"/>
      <c r="AD509" s="49"/>
      <c r="AE509" s="53"/>
      <c r="AF509" s="49"/>
      <c r="AG509" s="53"/>
      <c r="AH509" s="49"/>
      <c r="AI509" s="53"/>
      <c r="AJ509" s="53"/>
      <c r="AK509" s="53"/>
      <c r="AL509" s="53"/>
      <c r="AM509" s="53"/>
      <c r="AN509" s="53"/>
      <c r="AO509" s="53"/>
      <c r="AP509" s="62">
        <f t="shared" si="14"/>
        <v>0</v>
      </c>
      <c r="AQ509" s="55">
        <f t="shared" si="15"/>
        <v>0</v>
      </c>
    </row>
    <row r="510" spans="1:43">
      <c r="A510" s="47">
        <v>508</v>
      </c>
      <c r="B510" s="56">
        <v>4971710511819</v>
      </c>
      <c r="C510" s="57" t="s">
        <v>218</v>
      </c>
      <c r="D510" s="75" t="s">
        <v>884</v>
      </c>
      <c r="E510" s="48" t="s">
        <v>219</v>
      </c>
      <c r="F510" s="65"/>
      <c r="G510" s="66"/>
      <c r="H510" s="65"/>
      <c r="I510" s="66"/>
      <c r="J510" s="65"/>
      <c r="K510" s="66"/>
      <c r="L510" s="49"/>
      <c r="M510" s="50"/>
      <c r="N510" s="49"/>
      <c r="O510" s="50"/>
      <c r="P510" s="49">
        <v>0</v>
      </c>
      <c r="Q510" s="53"/>
      <c r="R510" s="65"/>
      <c r="S510" s="66"/>
      <c r="T510" s="65"/>
      <c r="U510" s="66"/>
      <c r="V510" s="65"/>
      <c r="W510" s="66"/>
      <c r="X510" s="49"/>
      <c r="Y510" s="50"/>
      <c r="Z510" s="49"/>
      <c r="AA510" s="50"/>
      <c r="AB510" s="49"/>
      <c r="AC510" s="53"/>
      <c r="AD510" s="49"/>
      <c r="AE510" s="53"/>
      <c r="AF510" s="49"/>
      <c r="AG510" s="53"/>
      <c r="AH510" s="49"/>
      <c r="AI510" s="53"/>
      <c r="AJ510" s="53"/>
      <c r="AK510" s="53"/>
      <c r="AL510" s="53"/>
      <c r="AM510" s="53"/>
      <c r="AN510" s="53"/>
      <c r="AO510" s="53"/>
      <c r="AP510" s="62">
        <f t="shared" si="14"/>
        <v>0</v>
      </c>
      <c r="AQ510" s="55">
        <f t="shared" si="15"/>
        <v>0</v>
      </c>
    </row>
    <row r="511" spans="1:43">
      <c r="A511" s="47">
        <v>509</v>
      </c>
      <c r="B511" s="56">
        <v>4971710511826</v>
      </c>
      <c r="C511" s="57" t="s">
        <v>220</v>
      </c>
      <c r="D511" s="75" t="s">
        <v>884</v>
      </c>
      <c r="E511" s="48" t="s">
        <v>221</v>
      </c>
      <c r="F511" s="65"/>
      <c r="G511" s="66"/>
      <c r="H511" s="65"/>
      <c r="I511" s="66"/>
      <c r="J511" s="65"/>
      <c r="K511" s="66"/>
      <c r="L511" s="49"/>
      <c r="M511" s="50"/>
      <c r="N511" s="49"/>
      <c r="O511" s="50"/>
      <c r="P511" s="49">
        <v>0</v>
      </c>
      <c r="Q511" s="53"/>
      <c r="R511" s="65"/>
      <c r="S511" s="66"/>
      <c r="T511" s="65"/>
      <c r="U511" s="66"/>
      <c r="V511" s="65"/>
      <c r="W511" s="66"/>
      <c r="X511" s="49"/>
      <c r="Y511" s="50"/>
      <c r="Z511" s="49"/>
      <c r="AA511" s="50"/>
      <c r="AB511" s="49"/>
      <c r="AC511" s="53"/>
      <c r="AD511" s="49"/>
      <c r="AE511" s="53"/>
      <c r="AF511" s="49"/>
      <c r="AG511" s="53"/>
      <c r="AH511" s="49"/>
      <c r="AI511" s="53"/>
      <c r="AJ511" s="53"/>
      <c r="AK511" s="53"/>
      <c r="AL511" s="53"/>
      <c r="AM511" s="53"/>
      <c r="AN511" s="53"/>
      <c r="AO511" s="53"/>
      <c r="AP511" s="62">
        <f t="shared" si="14"/>
        <v>0</v>
      </c>
      <c r="AQ511" s="55">
        <f t="shared" si="15"/>
        <v>0</v>
      </c>
    </row>
    <row r="512" spans="1:43">
      <c r="A512" s="47">
        <v>510</v>
      </c>
      <c r="B512" s="56">
        <v>4971710511888</v>
      </c>
      <c r="C512" s="57" t="s">
        <v>228</v>
      </c>
      <c r="D512" s="75" t="s">
        <v>884</v>
      </c>
      <c r="E512" s="48" t="s">
        <v>229</v>
      </c>
      <c r="F512" s="65"/>
      <c r="G512" s="66"/>
      <c r="H512" s="65"/>
      <c r="I512" s="66"/>
      <c r="J512" s="65"/>
      <c r="K512" s="66"/>
      <c r="L512" s="49"/>
      <c r="M512" s="50"/>
      <c r="N512" s="49"/>
      <c r="O512" s="50"/>
      <c r="P512" s="49">
        <v>0</v>
      </c>
      <c r="Q512" s="53"/>
      <c r="R512" s="65"/>
      <c r="S512" s="66"/>
      <c r="T512" s="65"/>
      <c r="U512" s="66"/>
      <c r="V512" s="65"/>
      <c r="W512" s="66"/>
      <c r="X512" s="49"/>
      <c r="Y512" s="50"/>
      <c r="Z512" s="49"/>
      <c r="AA512" s="50"/>
      <c r="AB512" s="49"/>
      <c r="AC512" s="53"/>
      <c r="AD512" s="49"/>
      <c r="AE512" s="53"/>
      <c r="AF512" s="49"/>
      <c r="AG512" s="53"/>
      <c r="AH512" s="49"/>
      <c r="AI512" s="53"/>
      <c r="AJ512" s="53"/>
      <c r="AK512" s="53"/>
      <c r="AL512" s="53"/>
      <c r="AM512" s="53"/>
      <c r="AN512" s="53"/>
      <c r="AO512" s="53"/>
      <c r="AP512" s="62">
        <f t="shared" si="14"/>
        <v>0</v>
      </c>
      <c r="AQ512" s="55">
        <f t="shared" si="15"/>
        <v>0</v>
      </c>
    </row>
    <row r="513" spans="1:43">
      <c r="A513" s="47">
        <v>511</v>
      </c>
      <c r="B513" s="56">
        <v>4971710511901</v>
      </c>
      <c r="C513" s="57" t="s">
        <v>232</v>
      </c>
      <c r="D513" s="75" t="s">
        <v>884</v>
      </c>
      <c r="E513" s="48" t="s">
        <v>233</v>
      </c>
      <c r="F513" s="65"/>
      <c r="G513" s="66"/>
      <c r="H513" s="65"/>
      <c r="I513" s="66"/>
      <c r="J513" s="65"/>
      <c r="K513" s="66"/>
      <c r="L513" s="49"/>
      <c r="M513" s="50"/>
      <c r="N513" s="49"/>
      <c r="O513" s="50"/>
      <c r="P513" s="49">
        <v>0</v>
      </c>
      <c r="Q513" s="53"/>
      <c r="R513" s="65"/>
      <c r="S513" s="66"/>
      <c r="T513" s="65"/>
      <c r="U513" s="66"/>
      <c r="V513" s="65"/>
      <c r="W513" s="66"/>
      <c r="X513" s="49"/>
      <c r="Y513" s="50"/>
      <c r="Z513" s="49"/>
      <c r="AA513" s="50"/>
      <c r="AB513" s="49"/>
      <c r="AC513" s="53"/>
      <c r="AD513" s="49"/>
      <c r="AE513" s="53"/>
      <c r="AF513" s="49"/>
      <c r="AG513" s="53"/>
      <c r="AH513" s="49"/>
      <c r="AI513" s="53"/>
      <c r="AJ513" s="53"/>
      <c r="AK513" s="53"/>
      <c r="AL513" s="53"/>
      <c r="AM513" s="53"/>
      <c r="AN513" s="53"/>
      <c r="AO513" s="53"/>
      <c r="AP513" s="62">
        <f t="shared" si="14"/>
        <v>0</v>
      </c>
      <c r="AQ513" s="55">
        <f t="shared" si="15"/>
        <v>0</v>
      </c>
    </row>
    <row r="514" spans="1:43">
      <c r="A514" s="47">
        <v>512</v>
      </c>
      <c r="B514" s="56">
        <v>4971710511925</v>
      </c>
      <c r="C514" s="57" t="s">
        <v>236</v>
      </c>
      <c r="D514" s="75" t="s">
        <v>884</v>
      </c>
      <c r="E514" s="48" t="s">
        <v>237</v>
      </c>
      <c r="F514" s="65"/>
      <c r="G514" s="66"/>
      <c r="H514" s="65"/>
      <c r="I514" s="66"/>
      <c r="J514" s="65"/>
      <c r="K514" s="66"/>
      <c r="L514" s="49"/>
      <c r="M514" s="50"/>
      <c r="N514" s="49"/>
      <c r="O514" s="50"/>
      <c r="P514" s="49">
        <v>0</v>
      </c>
      <c r="Q514" s="53"/>
      <c r="R514" s="65"/>
      <c r="S514" s="66"/>
      <c r="T514" s="65"/>
      <c r="U514" s="66"/>
      <c r="V514" s="65"/>
      <c r="W514" s="66"/>
      <c r="X514" s="49"/>
      <c r="Y514" s="50"/>
      <c r="Z514" s="49"/>
      <c r="AA514" s="50"/>
      <c r="AB514" s="49"/>
      <c r="AC514" s="53"/>
      <c r="AD514" s="49"/>
      <c r="AE514" s="53"/>
      <c r="AF514" s="49"/>
      <c r="AG514" s="53"/>
      <c r="AH514" s="49"/>
      <c r="AI514" s="53"/>
      <c r="AJ514" s="53"/>
      <c r="AK514" s="53"/>
      <c r="AL514" s="53"/>
      <c r="AM514" s="53"/>
      <c r="AN514" s="53"/>
      <c r="AO514" s="53"/>
      <c r="AP514" s="62">
        <f t="shared" si="14"/>
        <v>0</v>
      </c>
      <c r="AQ514" s="55">
        <f t="shared" si="15"/>
        <v>0</v>
      </c>
    </row>
    <row r="515" spans="1:43">
      <c r="A515" s="47">
        <v>513</v>
      </c>
      <c r="B515" s="56">
        <v>4971710511949</v>
      </c>
      <c r="C515" s="57" t="s">
        <v>240</v>
      </c>
      <c r="D515" s="75" t="s">
        <v>884</v>
      </c>
      <c r="E515" s="48" t="s">
        <v>241</v>
      </c>
      <c r="F515" s="65"/>
      <c r="G515" s="66"/>
      <c r="H515" s="65"/>
      <c r="I515" s="66"/>
      <c r="J515" s="65"/>
      <c r="K515" s="66"/>
      <c r="L515" s="49"/>
      <c r="M515" s="50"/>
      <c r="N515" s="49"/>
      <c r="O515" s="50"/>
      <c r="P515" s="49">
        <v>0</v>
      </c>
      <c r="Q515" s="53"/>
      <c r="R515" s="65"/>
      <c r="S515" s="66"/>
      <c r="T515" s="65"/>
      <c r="U515" s="66"/>
      <c r="V515" s="65"/>
      <c r="W515" s="66"/>
      <c r="X515" s="49"/>
      <c r="Y515" s="50"/>
      <c r="Z515" s="49"/>
      <c r="AA515" s="50"/>
      <c r="AB515" s="49"/>
      <c r="AC515" s="53"/>
      <c r="AD515" s="49"/>
      <c r="AE515" s="53"/>
      <c r="AF515" s="49"/>
      <c r="AG515" s="53"/>
      <c r="AH515" s="49"/>
      <c r="AI515" s="53"/>
      <c r="AJ515" s="53"/>
      <c r="AK515" s="53"/>
      <c r="AL515" s="53"/>
      <c r="AM515" s="53"/>
      <c r="AN515" s="53"/>
      <c r="AO515" s="53"/>
      <c r="AP515" s="62">
        <f t="shared" ref="AP515:AP547" si="16">F515+H515+J515+L515+N515+P515+R515+T515+V515+X515+Z515+AB515+AD515+AF515+AH515+AJ515+AL515+AN515</f>
        <v>0</v>
      </c>
      <c r="AQ515" s="55">
        <f t="shared" ref="AQ515:AQ547" si="17">G515+I515+K515+M515+O515+Q515+S515+U515+W515+Y515+AA515+AC515+AE515+AG515+AI515+AK515+AM515+AO515</f>
        <v>0</v>
      </c>
    </row>
    <row r="516" spans="1:43">
      <c r="A516" s="47">
        <v>514</v>
      </c>
      <c r="B516" s="56">
        <v>4971710514681</v>
      </c>
      <c r="C516" s="57" t="s">
        <v>308</v>
      </c>
      <c r="D516" s="75" t="s">
        <v>884</v>
      </c>
      <c r="E516" s="48" t="s">
        <v>309</v>
      </c>
      <c r="F516" s="65"/>
      <c r="G516" s="66"/>
      <c r="H516" s="65"/>
      <c r="I516" s="66"/>
      <c r="J516" s="65"/>
      <c r="K516" s="66"/>
      <c r="L516" s="49"/>
      <c r="M516" s="50"/>
      <c r="N516" s="49"/>
      <c r="O516" s="50"/>
      <c r="P516" s="49">
        <v>0</v>
      </c>
      <c r="Q516" s="53"/>
      <c r="R516" s="65"/>
      <c r="S516" s="66"/>
      <c r="T516" s="65"/>
      <c r="U516" s="66"/>
      <c r="V516" s="65"/>
      <c r="W516" s="66"/>
      <c r="X516" s="49"/>
      <c r="Y516" s="50"/>
      <c r="Z516" s="49"/>
      <c r="AA516" s="50"/>
      <c r="AB516" s="49"/>
      <c r="AC516" s="53"/>
      <c r="AD516" s="49"/>
      <c r="AE516" s="53"/>
      <c r="AF516" s="49"/>
      <c r="AG516" s="53"/>
      <c r="AH516" s="49"/>
      <c r="AI516" s="53"/>
      <c r="AJ516" s="53"/>
      <c r="AK516" s="53"/>
      <c r="AL516" s="53"/>
      <c r="AM516" s="53"/>
      <c r="AN516" s="53"/>
      <c r="AO516" s="53"/>
      <c r="AP516" s="62">
        <f t="shared" si="16"/>
        <v>0</v>
      </c>
      <c r="AQ516" s="55">
        <f t="shared" si="17"/>
        <v>0</v>
      </c>
    </row>
    <row r="517" spans="1:43">
      <c r="A517" s="47">
        <v>515</v>
      </c>
      <c r="B517" s="56">
        <v>4971710519143</v>
      </c>
      <c r="C517" s="57" t="s">
        <v>340</v>
      </c>
      <c r="D517" s="75" t="s">
        <v>884</v>
      </c>
      <c r="E517" s="48" t="s">
        <v>341</v>
      </c>
      <c r="F517" s="65"/>
      <c r="G517" s="66"/>
      <c r="H517" s="65"/>
      <c r="I517" s="66"/>
      <c r="J517" s="65"/>
      <c r="K517" s="66"/>
      <c r="L517" s="49"/>
      <c r="M517" s="50"/>
      <c r="N517" s="49"/>
      <c r="O517" s="50"/>
      <c r="P517" s="49">
        <v>0</v>
      </c>
      <c r="Q517" s="53"/>
      <c r="R517" s="65"/>
      <c r="S517" s="66"/>
      <c r="T517" s="65"/>
      <c r="U517" s="66"/>
      <c r="V517" s="65"/>
      <c r="W517" s="66"/>
      <c r="X517" s="49"/>
      <c r="Y517" s="50"/>
      <c r="Z517" s="49"/>
      <c r="AA517" s="50"/>
      <c r="AB517" s="49"/>
      <c r="AC517" s="53"/>
      <c r="AD517" s="49"/>
      <c r="AE517" s="53"/>
      <c r="AF517" s="49"/>
      <c r="AG517" s="53"/>
      <c r="AH517" s="49"/>
      <c r="AI517" s="53"/>
      <c r="AJ517" s="53"/>
      <c r="AK517" s="53"/>
      <c r="AL517" s="53"/>
      <c r="AM517" s="53"/>
      <c r="AN517" s="53"/>
      <c r="AO517" s="53"/>
      <c r="AP517" s="62">
        <f t="shared" si="16"/>
        <v>0</v>
      </c>
      <c r="AQ517" s="55">
        <f t="shared" si="17"/>
        <v>0</v>
      </c>
    </row>
    <row r="518" spans="1:43">
      <c r="A518" s="47">
        <v>516</v>
      </c>
      <c r="B518" s="56">
        <v>4971710522457</v>
      </c>
      <c r="C518" s="57" t="s">
        <v>386</v>
      </c>
      <c r="D518" s="75" t="s">
        <v>884</v>
      </c>
      <c r="E518" s="48" t="s">
        <v>387</v>
      </c>
      <c r="F518" s="65"/>
      <c r="G518" s="66"/>
      <c r="H518" s="65"/>
      <c r="I518" s="66"/>
      <c r="J518" s="65"/>
      <c r="K518" s="66"/>
      <c r="L518" s="49"/>
      <c r="M518" s="50"/>
      <c r="N518" s="49"/>
      <c r="O518" s="50"/>
      <c r="P518" s="49">
        <v>0</v>
      </c>
      <c r="Q518" s="53"/>
      <c r="R518" s="65"/>
      <c r="S518" s="66"/>
      <c r="T518" s="65"/>
      <c r="U518" s="66"/>
      <c r="V518" s="65"/>
      <c r="W518" s="66"/>
      <c r="X518" s="49"/>
      <c r="Y518" s="50"/>
      <c r="Z518" s="49"/>
      <c r="AA518" s="50"/>
      <c r="AB518" s="49"/>
      <c r="AC518" s="53"/>
      <c r="AD518" s="49"/>
      <c r="AE518" s="53"/>
      <c r="AF518" s="49"/>
      <c r="AG518" s="53"/>
      <c r="AH518" s="49"/>
      <c r="AI518" s="53"/>
      <c r="AJ518" s="53"/>
      <c r="AK518" s="53"/>
      <c r="AL518" s="53"/>
      <c r="AM518" s="53"/>
      <c r="AN518" s="53"/>
      <c r="AO518" s="53"/>
      <c r="AP518" s="62">
        <f t="shared" si="16"/>
        <v>0</v>
      </c>
      <c r="AQ518" s="55">
        <f t="shared" si="17"/>
        <v>0</v>
      </c>
    </row>
    <row r="519" spans="1:43">
      <c r="A519" s="47">
        <v>517</v>
      </c>
      <c r="B519" s="56">
        <v>4971710524871</v>
      </c>
      <c r="C519" s="57" t="s">
        <v>404</v>
      </c>
      <c r="D519" s="75" t="s">
        <v>884</v>
      </c>
      <c r="E519" s="48" t="s">
        <v>405</v>
      </c>
      <c r="F519" s="65"/>
      <c r="G519" s="66"/>
      <c r="H519" s="65"/>
      <c r="I519" s="66"/>
      <c r="J519" s="65"/>
      <c r="K519" s="66"/>
      <c r="L519" s="49"/>
      <c r="M519" s="50"/>
      <c r="N519" s="49"/>
      <c r="O519" s="50"/>
      <c r="P519" s="49">
        <v>0</v>
      </c>
      <c r="Q519" s="53"/>
      <c r="R519" s="65"/>
      <c r="S519" s="66"/>
      <c r="T519" s="65"/>
      <c r="U519" s="66"/>
      <c r="V519" s="65"/>
      <c r="W519" s="66"/>
      <c r="X519" s="49"/>
      <c r="Y519" s="50"/>
      <c r="Z519" s="49"/>
      <c r="AA519" s="50"/>
      <c r="AB519" s="49"/>
      <c r="AC519" s="53"/>
      <c r="AD519" s="49"/>
      <c r="AE519" s="53"/>
      <c r="AF519" s="49"/>
      <c r="AG519" s="53"/>
      <c r="AH519" s="49"/>
      <c r="AI519" s="53"/>
      <c r="AJ519" s="53"/>
      <c r="AK519" s="53"/>
      <c r="AL519" s="53"/>
      <c r="AM519" s="53"/>
      <c r="AN519" s="53"/>
      <c r="AO519" s="53"/>
      <c r="AP519" s="62">
        <f t="shared" si="16"/>
        <v>0</v>
      </c>
      <c r="AQ519" s="55">
        <f t="shared" si="17"/>
        <v>0</v>
      </c>
    </row>
    <row r="520" spans="1:43">
      <c r="A520" s="47">
        <v>518</v>
      </c>
      <c r="B520" s="56">
        <v>4971710524888</v>
      </c>
      <c r="C520" s="57" t="s">
        <v>406</v>
      </c>
      <c r="D520" s="75" t="s">
        <v>884</v>
      </c>
      <c r="E520" s="48" t="s">
        <v>407</v>
      </c>
      <c r="F520" s="65"/>
      <c r="G520" s="66"/>
      <c r="H520" s="65"/>
      <c r="I520" s="66"/>
      <c r="J520" s="65"/>
      <c r="K520" s="66"/>
      <c r="L520" s="49"/>
      <c r="M520" s="50"/>
      <c r="N520" s="49"/>
      <c r="O520" s="50"/>
      <c r="P520" s="49">
        <v>0</v>
      </c>
      <c r="Q520" s="53"/>
      <c r="R520" s="65"/>
      <c r="S520" s="66"/>
      <c r="T520" s="65"/>
      <c r="U520" s="66"/>
      <c r="V520" s="65"/>
      <c r="W520" s="66"/>
      <c r="X520" s="49"/>
      <c r="Y520" s="50"/>
      <c r="Z520" s="49"/>
      <c r="AA520" s="50"/>
      <c r="AB520" s="49"/>
      <c r="AC520" s="53"/>
      <c r="AD520" s="49"/>
      <c r="AE520" s="53"/>
      <c r="AF520" s="49"/>
      <c r="AG520" s="53"/>
      <c r="AH520" s="49"/>
      <c r="AI520" s="53"/>
      <c r="AJ520" s="53"/>
      <c r="AK520" s="53"/>
      <c r="AL520" s="53"/>
      <c r="AM520" s="53"/>
      <c r="AN520" s="53"/>
      <c r="AO520" s="53"/>
      <c r="AP520" s="62">
        <f t="shared" si="16"/>
        <v>0</v>
      </c>
      <c r="AQ520" s="55">
        <f t="shared" si="17"/>
        <v>0</v>
      </c>
    </row>
    <row r="521" spans="1:43">
      <c r="A521" s="47">
        <v>519</v>
      </c>
      <c r="B521" s="56">
        <v>4971710561319</v>
      </c>
      <c r="C521" s="57" t="s">
        <v>475</v>
      </c>
      <c r="D521" s="75" t="s">
        <v>884</v>
      </c>
      <c r="E521" s="48" t="s">
        <v>476</v>
      </c>
      <c r="F521" s="65"/>
      <c r="G521" s="66"/>
      <c r="H521" s="65"/>
      <c r="I521" s="66"/>
      <c r="J521" s="65"/>
      <c r="K521" s="66"/>
      <c r="L521" s="49"/>
      <c r="M521" s="50"/>
      <c r="N521" s="49"/>
      <c r="O521" s="50"/>
      <c r="P521" s="49">
        <v>0</v>
      </c>
      <c r="Q521" s="53"/>
      <c r="R521" s="65"/>
      <c r="S521" s="66"/>
      <c r="T521" s="65"/>
      <c r="U521" s="66"/>
      <c r="V521" s="65"/>
      <c r="W521" s="66"/>
      <c r="X521" s="49"/>
      <c r="Y521" s="50"/>
      <c r="Z521" s="49"/>
      <c r="AA521" s="50"/>
      <c r="AB521" s="49"/>
      <c r="AC521" s="53"/>
      <c r="AD521" s="49"/>
      <c r="AE521" s="53"/>
      <c r="AF521" s="49"/>
      <c r="AG521" s="53"/>
      <c r="AH521" s="49"/>
      <c r="AI521" s="53"/>
      <c r="AJ521" s="53"/>
      <c r="AK521" s="53"/>
      <c r="AL521" s="53"/>
      <c r="AM521" s="53"/>
      <c r="AN521" s="53"/>
      <c r="AO521" s="53"/>
      <c r="AP521" s="62">
        <f t="shared" si="16"/>
        <v>0</v>
      </c>
      <c r="AQ521" s="55">
        <f t="shared" si="17"/>
        <v>0</v>
      </c>
    </row>
    <row r="522" spans="1:43">
      <c r="A522" s="47">
        <v>520</v>
      </c>
      <c r="B522" s="56">
        <v>4971710564792</v>
      </c>
      <c r="C522" s="57" t="s">
        <v>493</v>
      </c>
      <c r="D522" s="75" t="s">
        <v>884</v>
      </c>
      <c r="E522" s="48" t="s">
        <v>494</v>
      </c>
      <c r="F522" s="65"/>
      <c r="G522" s="66"/>
      <c r="H522" s="65"/>
      <c r="I522" s="66"/>
      <c r="J522" s="65"/>
      <c r="K522" s="66"/>
      <c r="L522" s="49"/>
      <c r="M522" s="50"/>
      <c r="N522" s="49"/>
      <c r="O522" s="50"/>
      <c r="P522" s="49">
        <v>0</v>
      </c>
      <c r="Q522" s="53"/>
      <c r="R522" s="65"/>
      <c r="S522" s="66"/>
      <c r="T522" s="65"/>
      <c r="U522" s="66"/>
      <c r="V522" s="65"/>
      <c r="W522" s="66"/>
      <c r="X522" s="49"/>
      <c r="Y522" s="50"/>
      <c r="Z522" s="49"/>
      <c r="AA522" s="50"/>
      <c r="AB522" s="49"/>
      <c r="AC522" s="53"/>
      <c r="AD522" s="49"/>
      <c r="AE522" s="53"/>
      <c r="AF522" s="49"/>
      <c r="AG522" s="53"/>
      <c r="AH522" s="49"/>
      <c r="AI522" s="53"/>
      <c r="AJ522" s="53"/>
      <c r="AK522" s="53"/>
      <c r="AL522" s="53"/>
      <c r="AM522" s="53"/>
      <c r="AN522" s="53"/>
      <c r="AO522" s="53"/>
      <c r="AP522" s="62">
        <f t="shared" si="16"/>
        <v>0</v>
      </c>
      <c r="AQ522" s="55">
        <f t="shared" si="17"/>
        <v>0</v>
      </c>
    </row>
    <row r="523" spans="1:43">
      <c r="A523" s="47">
        <v>521</v>
      </c>
      <c r="B523" s="56">
        <v>4971710568653</v>
      </c>
      <c r="C523" s="57" t="s">
        <v>527</v>
      </c>
      <c r="D523" s="75" t="s">
        <v>884</v>
      </c>
      <c r="E523" s="48" t="s">
        <v>528</v>
      </c>
      <c r="F523" s="65"/>
      <c r="G523" s="66"/>
      <c r="H523" s="65"/>
      <c r="I523" s="66"/>
      <c r="J523" s="65"/>
      <c r="K523" s="66"/>
      <c r="L523" s="49"/>
      <c r="M523" s="50"/>
      <c r="N523" s="49"/>
      <c r="O523" s="50"/>
      <c r="P523" s="49">
        <v>0</v>
      </c>
      <c r="Q523" s="53"/>
      <c r="R523" s="65"/>
      <c r="S523" s="66"/>
      <c r="T523" s="65"/>
      <c r="U523" s="66"/>
      <c r="V523" s="65"/>
      <c r="W523" s="66"/>
      <c r="X523" s="49"/>
      <c r="Y523" s="50"/>
      <c r="Z523" s="49"/>
      <c r="AA523" s="50"/>
      <c r="AB523" s="49"/>
      <c r="AC523" s="53"/>
      <c r="AD523" s="49"/>
      <c r="AE523" s="53"/>
      <c r="AF523" s="49"/>
      <c r="AG523" s="53"/>
      <c r="AH523" s="49"/>
      <c r="AI523" s="53"/>
      <c r="AJ523" s="53"/>
      <c r="AK523" s="53"/>
      <c r="AL523" s="53"/>
      <c r="AM523" s="53"/>
      <c r="AN523" s="53"/>
      <c r="AO523" s="53"/>
      <c r="AP523" s="62">
        <f t="shared" si="16"/>
        <v>0</v>
      </c>
      <c r="AQ523" s="55">
        <f t="shared" si="17"/>
        <v>0</v>
      </c>
    </row>
    <row r="524" spans="1:43">
      <c r="A524" s="47">
        <v>522</v>
      </c>
      <c r="B524" s="56">
        <v>4971710570717</v>
      </c>
      <c r="C524" s="57" t="s">
        <v>545</v>
      </c>
      <c r="D524" s="75" t="s">
        <v>884</v>
      </c>
      <c r="E524" s="48" t="s">
        <v>546</v>
      </c>
      <c r="F524" s="65"/>
      <c r="G524" s="66"/>
      <c r="H524" s="65"/>
      <c r="I524" s="66"/>
      <c r="J524" s="65"/>
      <c r="K524" s="66"/>
      <c r="L524" s="49"/>
      <c r="M524" s="50"/>
      <c r="N524" s="49"/>
      <c r="O524" s="50"/>
      <c r="P524" s="49">
        <v>0</v>
      </c>
      <c r="Q524" s="53"/>
      <c r="R524" s="65"/>
      <c r="S524" s="66"/>
      <c r="T524" s="65"/>
      <c r="U524" s="66"/>
      <c r="V524" s="65"/>
      <c r="W524" s="66"/>
      <c r="X524" s="49"/>
      <c r="Y524" s="50"/>
      <c r="Z524" s="49"/>
      <c r="AA524" s="50"/>
      <c r="AB524" s="49"/>
      <c r="AC524" s="53"/>
      <c r="AD524" s="49"/>
      <c r="AE524" s="53"/>
      <c r="AF524" s="49"/>
      <c r="AG524" s="53"/>
      <c r="AH524" s="49"/>
      <c r="AI524" s="53"/>
      <c r="AJ524" s="53"/>
      <c r="AK524" s="53"/>
      <c r="AL524" s="53"/>
      <c r="AM524" s="53"/>
      <c r="AN524" s="53"/>
      <c r="AO524" s="53"/>
      <c r="AP524" s="62">
        <f t="shared" si="16"/>
        <v>0</v>
      </c>
      <c r="AQ524" s="55">
        <f t="shared" si="17"/>
        <v>0</v>
      </c>
    </row>
    <row r="525" spans="1:43">
      <c r="A525" s="47">
        <v>523</v>
      </c>
      <c r="B525" s="56">
        <v>4971710570724</v>
      </c>
      <c r="C525" s="57" t="s">
        <v>547</v>
      </c>
      <c r="D525" s="75" t="s">
        <v>884</v>
      </c>
      <c r="E525" s="48" t="s">
        <v>548</v>
      </c>
      <c r="F525" s="65"/>
      <c r="G525" s="66"/>
      <c r="H525" s="65"/>
      <c r="I525" s="66"/>
      <c r="J525" s="65"/>
      <c r="K525" s="66"/>
      <c r="L525" s="49"/>
      <c r="M525" s="50"/>
      <c r="N525" s="49"/>
      <c r="O525" s="50"/>
      <c r="P525" s="49">
        <v>0</v>
      </c>
      <c r="Q525" s="53"/>
      <c r="R525" s="65"/>
      <c r="S525" s="66"/>
      <c r="T525" s="65"/>
      <c r="U525" s="66"/>
      <c r="V525" s="65"/>
      <c r="W525" s="66"/>
      <c r="X525" s="49"/>
      <c r="Y525" s="50"/>
      <c r="Z525" s="49"/>
      <c r="AA525" s="50"/>
      <c r="AB525" s="49"/>
      <c r="AC525" s="53"/>
      <c r="AD525" s="49"/>
      <c r="AE525" s="53"/>
      <c r="AF525" s="49"/>
      <c r="AG525" s="53"/>
      <c r="AH525" s="49"/>
      <c r="AI525" s="53"/>
      <c r="AJ525" s="53"/>
      <c r="AK525" s="53"/>
      <c r="AL525" s="53"/>
      <c r="AM525" s="53"/>
      <c r="AN525" s="53"/>
      <c r="AO525" s="53"/>
      <c r="AP525" s="62">
        <f t="shared" si="16"/>
        <v>0</v>
      </c>
      <c r="AQ525" s="55">
        <f t="shared" si="17"/>
        <v>0</v>
      </c>
    </row>
    <row r="526" spans="1:43">
      <c r="A526" s="47">
        <v>524</v>
      </c>
      <c r="B526" s="56">
        <v>4971710573954</v>
      </c>
      <c r="C526" s="57" t="s">
        <v>577</v>
      </c>
      <c r="D526" s="75" t="s">
        <v>884</v>
      </c>
      <c r="E526" s="48" t="s">
        <v>578</v>
      </c>
      <c r="F526" s="65"/>
      <c r="G526" s="66"/>
      <c r="H526" s="65"/>
      <c r="I526" s="66"/>
      <c r="J526" s="65"/>
      <c r="K526" s="66"/>
      <c r="L526" s="49"/>
      <c r="M526" s="50"/>
      <c r="N526" s="49"/>
      <c r="O526" s="50"/>
      <c r="P526" s="49">
        <v>0</v>
      </c>
      <c r="Q526" s="53"/>
      <c r="R526" s="65"/>
      <c r="S526" s="66"/>
      <c r="T526" s="65"/>
      <c r="U526" s="66"/>
      <c r="V526" s="65"/>
      <c r="W526" s="66"/>
      <c r="X526" s="49"/>
      <c r="Y526" s="50"/>
      <c r="Z526" s="49"/>
      <c r="AA526" s="50"/>
      <c r="AB526" s="49"/>
      <c r="AC526" s="53"/>
      <c r="AD526" s="49"/>
      <c r="AE526" s="53"/>
      <c r="AF526" s="49"/>
      <c r="AG526" s="53"/>
      <c r="AH526" s="49"/>
      <c r="AI526" s="53"/>
      <c r="AJ526" s="53"/>
      <c r="AK526" s="53"/>
      <c r="AL526" s="53"/>
      <c r="AM526" s="53"/>
      <c r="AN526" s="53"/>
      <c r="AO526" s="53"/>
      <c r="AP526" s="62">
        <f t="shared" si="16"/>
        <v>0</v>
      </c>
      <c r="AQ526" s="55">
        <f t="shared" si="17"/>
        <v>0</v>
      </c>
    </row>
    <row r="527" spans="1:43">
      <c r="A527" s="47">
        <v>525</v>
      </c>
      <c r="B527" s="56">
        <v>4971710573961</v>
      </c>
      <c r="C527" s="57" t="s">
        <v>579</v>
      </c>
      <c r="D527" s="75" t="s">
        <v>884</v>
      </c>
      <c r="E527" s="48" t="s">
        <v>580</v>
      </c>
      <c r="F527" s="65"/>
      <c r="G527" s="66"/>
      <c r="H527" s="65"/>
      <c r="I527" s="66"/>
      <c r="J527" s="65"/>
      <c r="K527" s="66"/>
      <c r="L527" s="49"/>
      <c r="M527" s="50"/>
      <c r="N527" s="49"/>
      <c r="O527" s="50"/>
      <c r="P527" s="49">
        <v>0</v>
      </c>
      <c r="Q527" s="53"/>
      <c r="R527" s="65"/>
      <c r="S527" s="66"/>
      <c r="T527" s="65"/>
      <c r="U527" s="66"/>
      <c r="V527" s="65"/>
      <c r="W527" s="66"/>
      <c r="X527" s="49"/>
      <c r="Y527" s="50"/>
      <c r="Z527" s="49"/>
      <c r="AA527" s="50"/>
      <c r="AB527" s="49"/>
      <c r="AC527" s="53"/>
      <c r="AD527" s="49"/>
      <c r="AE527" s="53"/>
      <c r="AF527" s="49"/>
      <c r="AG527" s="53"/>
      <c r="AH527" s="49"/>
      <c r="AI527" s="53"/>
      <c r="AJ527" s="53"/>
      <c r="AK527" s="53"/>
      <c r="AL527" s="53"/>
      <c r="AM527" s="53"/>
      <c r="AN527" s="53"/>
      <c r="AO527" s="53"/>
      <c r="AP527" s="62">
        <f t="shared" si="16"/>
        <v>0</v>
      </c>
      <c r="AQ527" s="55">
        <f t="shared" si="17"/>
        <v>0</v>
      </c>
    </row>
    <row r="528" spans="1:43">
      <c r="A528" s="47">
        <v>526</v>
      </c>
      <c r="B528" s="56">
        <v>4971710577358</v>
      </c>
      <c r="C528" s="57" t="s">
        <v>620</v>
      </c>
      <c r="D528" s="75" t="s">
        <v>884</v>
      </c>
      <c r="E528" s="48" t="s">
        <v>621</v>
      </c>
      <c r="F528" s="65"/>
      <c r="G528" s="66"/>
      <c r="H528" s="65"/>
      <c r="I528" s="66"/>
      <c r="J528" s="65"/>
      <c r="K528" s="66"/>
      <c r="L528" s="49"/>
      <c r="M528" s="50"/>
      <c r="N528" s="49"/>
      <c r="O528" s="50"/>
      <c r="P528" s="49">
        <v>0</v>
      </c>
      <c r="Q528" s="53"/>
      <c r="R528" s="65"/>
      <c r="S528" s="66"/>
      <c r="T528" s="65"/>
      <c r="U528" s="66"/>
      <c r="V528" s="65"/>
      <c r="W528" s="66"/>
      <c r="X528" s="49"/>
      <c r="Y528" s="50"/>
      <c r="Z528" s="49"/>
      <c r="AA528" s="50"/>
      <c r="AB528" s="49"/>
      <c r="AC528" s="53"/>
      <c r="AD528" s="49"/>
      <c r="AE528" s="53"/>
      <c r="AF528" s="49"/>
      <c r="AG528" s="53"/>
      <c r="AH528" s="49"/>
      <c r="AI528" s="53"/>
      <c r="AJ528" s="53"/>
      <c r="AK528" s="53"/>
      <c r="AL528" s="53"/>
      <c r="AM528" s="53"/>
      <c r="AN528" s="53"/>
      <c r="AO528" s="53"/>
      <c r="AP528" s="63">
        <f t="shared" si="16"/>
        <v>0</v>
      </c>
      <c r="AQ528" s="55">
        <f t="shared" si="17"/>
        <v>0</v>
      </c>
    </row>
    <row r="529" spans="1:43">
      <c r="A529" s="47">
        <v>527</v>
      </c>
      <c r="B529" s="56">
        <v>4971710487794</v>
      </c>
      <c r="C529" s="57" t="s">
        <v>68</v>
      </c>
      <c r="D529" s="75" t="s">
        <v>884</v>
      </c>
      <c r="E529" s="48" t="s">
        <v>69</v>
      </c>
      <c r="F529" s="65"/>
      <c r="G529" s="66"/>
      <c r="H529" s="65"/>
      <c r="I529" s="66"/>
      <c r="J529" s="65">
        <v>0</v>
      </c>
      <c r="K529" s="66">
        <v>0</v>
      </c>
      <c r="L529" s="49"/>
      <c r="M529" s="50"/>
      <c r="N529" s="49"/>
      <c r="O529" s="50"/>
      <c r="P529" s="49">
        <v>0</v>
      </c>
      <c r="Q529" s="53"/>
      <c r="R529" s="65"/>
      <c r="S529" s="66"/>
      <c r="T529" s="65"/>
      <c r="U529" s="66"/>
      <c r="V529" s="65"/>
      <c r="W529" s="66"/>
      <c r="X529" s="49"/>
      <c r="Y529" s="50"/>
      <c r="Z529" s="49"/>
      <c r="AA529" s="50"/>
      <c r="AB529" s="49"/>
      <c r="AC529" s="53"/>
      <c r="AD529" s="49"/>
      <c r="AE529" s="53"/>
      <c r="AF529" s="49"/>
      <c r="AG529" s="53"/>
      <c r="AH529" s="49"/>
      <c r="AI529" s="53"/>
      <c r="AJ529" s="53"/>
      <c r="AK529" s="53"/>
      <c r="AL529" s="53"/>
      <c r="AM529" s="53"/>
      <c r="AN529" s="53"/>
      <c r="AO529" s="53"/>
      <c r="AP529" s="62">
        <f t="shared" si="16"/>
        <v>0</v>
      </c>
      <c r="AQ529" s="55">
        <f t="shared" si="17"/>
        <v>0</v>
      </c>
    </row>
    <row r="530" spans="1:43">
      <c r="A530" s="47">
        <v>528</v>
      </c>
      <c r="B530" s="56">
        <v>4971710491647</v>
      </c>
      <c r="C530" s="57" t="s">
        <v>108</v>
      </c>
      <c r="D530" s="75" t="s">
        <v>884</v>
      </c>
      <c r="E530" s="48" t="s">
        <v>109</v>
      </c>
      <c r="F530" s="65"/>
      <c r="G530" s="66"/>
      <c r="H530" s="65"/>
      <c r="I530" s="66"/>
      <c r="J530" s="65">
        <v>0</v>
      </c>
      <c r="K530" s="66">
        <v>0</v>
      </c>
      <c r="L530" s="49"/>
      <c r="M530" s="50"/>
      <c r="N530" s="49"/>
      <c r="O530" s="50"/>
      <c r="P530" s="49">
        <v>0</v>
      </c>
      <c r="Q530" s="53"/>
      <c r="R530" s="65"/>
      <c r="S530" s="66"/>
      <c r="T530" s="65"/>
      <c r="U530" s="66"/>
      <c r="V530" s="65"/>
      <c r="W530" s="66"/>
      <c r="X530" s="49"/>
      <c r="Y530" s="50"/>
      <c r="Z530" s="49"/>
      <c r="AA530" s="50"/>
      <c r="AB530" s="49"/>
      <c r="AC530" s="53"/>
      <c r="AD530" s="49"/>
      <c r="AE530" s="53"/>
      <c r="AF530" s="49"/>
      <c r="AG530" s="53"/>
      <c r="AH530" s="49"/>
      <c r="AI530" s="53"/>
      <c r="AJ530" s="53"/>
      <c r="AK530" s="53"/>
      <c r="AL530" s="53"/>
      <c r="AM530" s="53"/>
      <c r="AN530" s="53"/>
      <c r="AO530" s="53"/>
      <c r="AP530" s="62">
        <f t="shared" si="16"/>
        <v>0</v>
      </c>
      <c r="AQ530" s="55">
        <f t="shared" si="17"/>
        <v>0</v>
      </c>
    </row>
    <row r="531" spans="1:43">
      <c r="A531" s="47">
        <v>529</v>
      </c>
      <c r="B531" s="56">
        <v>4971710511864</v>
      </c>
      <c r="C531" s="57" t="s">
        <v>224</v>
      </c>
      <c r="D531" s="75" t="s">
        <v>884</v>
      </c>
      <c r="E531" s="48" t="s">
        <v>225</v>
      </c>
      <c r="F531" s="65"/>
      <c r="G531" s="66"/>
      <c r="H531" s="65"/>
      <c r="I531" s="66"/>
      <c r="J531" s="65">
        <v>0</v>
      </c>
      <c r="K531" s="66">
        <v>0</v>
      </c>
      <c r="L531" s="49"/>
      <c r="M531" s="50"/>
      <c r="N531" s="49"/>
      <c r="O531" s="50"/>
      <c r="P531" s="49">
        <v>0</v>
      </c>
      <c r="Q531" s="53"/>
      <c r="R531" s="65"/>
      <c r="S531" s="66"/>
      <c r="T531" s="65"/>
      <c r="U531" s="66"/>
      <c r="V531" s="65"/>
      <c r="W531" s="66"/>
      <c r="X531" s="49"/>
      <c r="Y531" s="50"/>
      <c r="Z531" s="49"/>
      <c r="AA531" s="50"/>
      <c r="AB531" s="49"/>
      <c r="AC531" s="53"/>
      <c r="AD531" s="49"/>
      <c r="AE531" s="53"/>
      <c r="AF531" s="49"/>
      <c r="AG531" s="53"/>
      <c r="AH531" s="49"/>
      <c r="AI531" s="53"/>
      <c r="AJ531" s="53"/>
      <c r="AK531" s="53"/>
      <c r="AL531" s="53"/>
      <c r="AM531" s="53"/>
      <c r="AN531" s="53"/>
      <c r="AO531" s="53"/>
      <c r="AP531" s="62">
        <f t="shared" si="16"/>
        <v>0</v>
      </c>
      <c r="AQ531" s="55">
        <f t="shared" si="17"/>
        <v>0</v>
      </c>
    </row>
    <row r="532" spans="1:43">
      <c r="A532" s="47">
        <v>530</v>
      </c>
      <c r="B532" s="56">
        <v>4971710573220</v>
      </c>
      <c r="C532" s="57" t="s">
        <v>569</v>
      </c>
      <c r="D532" s="75" t="s">
        <v>879</v>
      </c>
      <c r="E532" s="48" t="s">
        <v>570</v>
      </c>
      <c r="F532" s="65"/>
      <c r="G532" s="66"/>
      <c r="H532" s="65"/>
      <c r="I532" s="66"/>
      <c r="J532" s="65"/>
      <c r="K532" s="66"/>
      <c r="L532" s="49"/>
      <c r="M532" s="50"/>
      <c r="N532" s="49"/>
      <c r="O532" s="50"/>
      <c r="P532" s="49"/>
      <c r="Q532" s="53"/>
      <c r="R532" s="65"/>
      <c r="S532" s="66"/>
      <c r="T532" s="65"/>
      <c r="U532" s="66"/>
      <c r="V532" s="65"/>
      <c r="W532" s="66"/>
      <c r="X532" s="49"/>
      <c r="Y532" s="50"/>
      <c r="Z532" s="49"/>
      <c r="AA532" s="50"/>
      <c r="AB532" s="49"/>
      <c r="AC532" s="53"/>
      <c r="AD532" s="49"/>
      <c r="AE532" s="53"/>
      <c r="AF532" s="49"/>
      <c r="AG532" s="53"/>
      <c r="AH532" s="49"/>
      <c r="AI532" s="53"/>
      <c r="AJ532" s="53"/>
      <c r="AK532" s="53"/>
      <c r="AL532" s="53"/>
      <c r="AM532" s="53"/>
      <c r="AN532" s="53"/>
      <c r="AO532" s="53"/>
      <c r="AP532" s="62">
        <f t="shared" si="16"/>
        <v>0</v>
      </c>
      <c r="AQ532" s="55">
        <f t="shared" si="17"/>
        <v>0</v>
      </c>
    </row>
    <row r="533" spans="1:43">
      <c r="A533" s="47">
        <v>531</v>
      </c>
      <c r="B533" s="56"/>
      <c r="C533" s="57"/>
      <c r="D533" s="75"/>
      <c r="E533" s="48"/>
      <c r="F533" s="65"/>
      <c r="G533" s="66"/>
      <c r="H533" s="65"/>
      <c r="I533" s="66"/>
      <c r="J533" s="65"/>
      <c r="K533" s="66"/>
      <c r="L533" s="49"/>
      <c r="M533" s="50"/>
      <c r="N533" s="49"/>
      <c r="O533" s="50"/>
      <c r="P533" s="49"/>
      <c r="Q533" s="53"/>
      <c r="R533" s="65"/>
      <c r="S533" s="66"/>
      <c r="T533" s="65"/>
      <c r="U533" s="66"/>
      <c r="V533" s="65"/>
      <c r="W533" s="66"/>
      <c r="X533" s="49"/>
      <c r="Y533" s="50"/>
      <c r="Z533" s="49"/>
      <c r="AA533" s="50"/>
      <c r="AB533" s="49"/>
      <c r="AC533" s="53"/>
      <c r="AD533" s="49"/>
      <c r="AE533" s="53"/>
      <c r="AF533" s="49"/>
      <c r="AG533" s="53"/>
      <c r="AH533" s="49"/>
      <c r="AI533" s="53"/>
      <c r="AJ533" s="53"/>
      <c r="AK533" s="53"/>
      <c r="AL533" s="53"/>
      <c r="AM533" s="53"/>
      <c r="AN533" s="53"/>
      <c r="AO533" s="53"/>
      <c r="AP533" s="62">
        <f t="shared" si="16"/>
        <v>0</v>
      </c>
      <c r="AQ533" s="55">
        <f t="shared" si="17"/>
        <v>0</v>
      </c>
    </row>
    <row r="534" spans="1:43">
      <c r="A534" s="47">
        <v>532</v>
      </c>
      <c r="B534" s="56"/>
      <c r="C534" s="57"/>
      <c r="D534" s="75"/>
      <c r="E534" s="48"/>
      <c r="F534" s="65"/>
      <c r="G534" s="66"/>
      <c r="H534" s="65"/>
      <c r="I534" s="66"/>
      <c r="J534" s="65"/>
      <c r="K534" s="66"/>
      <c r="L534" s="49"/>
      <c r="M534" s="50"/>
      <c r="N534" s="49"/>
      <c r="O534" s="50"/>
      <c r="P534" s="49"/>
      <c r="Q534" s="53"/>
      <c r="R534" s="65"/>
      <c r="S534" s="66"/>
      <c r="T534" s="65"/>
      <c r="U534" s="66"/>
      <c r="V534" s="65"/>
      <c r="W534" s="66"/>
      <c r="X534" s="49"/>
      <c r="Y534" s="50"/>
      <c r="Z534" s="49"/>
      <c r="AA534" s="50"/>
      <c r="AB534" s="49"/>
      <c r="AC534" s="53"/>
      <c r="AD534" s="49"/>
      <c r="AE534" s="53"/>
      <c r="AF534" s="49"/>
      <c r="AG534" s="53"/>
      <c r="AH534" s="49"/>
      <c r="AI534" s="53"/>
      <c r="AJ534" s="53"/>
      <c r="AK534" s="53"/>
      <c r="AL534" s="53"/>
      <c r="AM534" s="53"/>
      <c r="AN534" s="53"/>
      <c r="AO534" s="53"/>
      <c r="AP534" s="62">
        <f t="shared" si="16"/>
        <v>0</v>
      </c>
      <c r="AQ534" s="55">
        <f t="shared" si="17"/>
        <v>0</v>
      </c>
    </row>
    <row r="535" spans="1:43">
      <c r="A535" s="47">
        <v>533</v>
      </c>
      <c r="B535" s="56"/>
      <c r="C535" s="57"/>
      <c r="D535" s="75"/>
      <c r="E535" s="48"/>
      <c r="F535" s="65"/>
      <c r="G535" s="66"/>
      <c r="H535" s="65"/>
      <c r="I535" s="66"/>
      <c r="J535" s="65"/>
      <c r="K535" s="66"/>
      <c r="L535" s="49"/>
      <c r="M535" s="50"/>
      <c r="N535" s="49"/>
      <c r="O535" s="50"/>
      <c r="P535" s="49"/>
      <c r="Q535" s="53"/>
      <c r="R535" s="65"/>
      <c r="S535" s="66"/>
      <c r="T535" s="65"/>
      <c r="U535" s="66"/>
      <c r="V535" s="65"/>
      <c r="W535" s="66"/>
      <c r="X535" s="49"/>
      <c r="Y535" s="50"/>
      <c r="Z535" s="49"/>
      <c r="AA535" s="50"/>
      <c r="AB535" s="49"/>
      <c r="AC535" s="53"/>
      <c r="AD535" s="49"/>
      <c r="AE535" s="53"/>
      <c r="AF535" s="49"/>
      <c r="AG535" s="53"/>
      <c r="AH535" s="49"/>
      <c r="AI535" s="53"/>
      <c r="AJ535" s="53"/>
      <c r="AK535" s="53"/>
      <c r="AL535" s="53"/>
      <c r="AM535" s="53"/>
      <c r="AN535" s="53"/>
      <c r="AO535" s="53"/>
      <c r="AP535" s="62">
        <f t="shared" si="16"/>
        <v>0</v>
      </c>
      <c r="AQ535" s="55">
        <f t="shared" si="17"/>
        <v>0</v>
      </c>
    </row>
    <row r="536" spans="1:43">
      <c r="A536" s="47">
        <v>534</v>
      </c>
      <c r="B536" s="56"/>
      <c r="C536" s="57"/>
      <c r="D536" s="75"/>
      <c r="E536" s="48"/>
      <c r="F536" s="65"/>
      <c r="G536" s="66"/>
      <c r="H536" s="65"/>
      <c r="I536" s="66"/>
      <c r="J536" s="65"/>
      <c r="K536" s="66"/>
      <c r="L536" s="49"/>
      <c r="M536" s="50"/>
      <c r="N536" s="49"/>
      <c r="O536" s="50"/>
      <c r="P536" s="49"/>
      <c r="Q536" s="53"/>
      <c r="R536" s="65"/>
      <c r="S536" s="66"/>
      <c r="T536" s="65"/>
      <c r="U536" s="66"/>
      <c r="V536" s="65"/>
      <c r="W536" s="66"/>
      <c r="X536" s="49"/>
      <c r="Y536" s="50"/>
      <c r="Z536" s="49"/>
      <c r="AA536" s="50"/>
      <c r="AB536" s="49"/>
      <c r="AC536" s="53"/>
      <c r="AD536" s="49"/>
      <c r="AE536" s="53"/>
      <c r="AF536" s="49"/>
      <c r="AG536" s="53"/>
      <c r="AH536" s="49"/>
      <c r="AI536" s="53"/>
      <c r="AJ536" s="53"/>
      <c r="AK536" s="53"/>
      <c r="AL536" s="53"/>
      <c r="AM536" s="53"/>
      <c r="AN536" s="53"/>
      <c r="AO536" s="53"/>
      <c r="AP536" s="62">
        <f t="shared" si="16"/>
        <v>0</v>
      </c>
      <c r="AQ536" s="55">
        <f t="shared" si="17"/>
        <v>0</v>
      </c>
    </row>
    <row r="537" spans="1:43">
      <c r="A537" s="47">
        <v>535</v>
      </c>
      <c r="B537" s="56"/>
      <c r="C537" s="57"/>
      <c r="D537" s="75"/>
      <c r="E537" s="48"/>
      <c r="F537" s="65"/>
      <c r="G537" s="66"/>
      <c r="H537" s="65"/>
      <c r="I537" s="66"/>
      <c r="J537" s="65"/>
      <c r="K537" s="66"/>
      <c r="L537" s="49"/>
      <c r="M537" s="50"/>
      <c r="N537" s="49"/>
      <c r="O537" s="50"/>
      <c r="P537" s="49"/>
      <c r="Q537" s="53"/>
      <c r="R537" s="65"/>
      <c r="S537" s="66"/>
      <c r="T537" s="65"/>
      <c r="U537" s="66"/>
      <c r="V537" s="65"/>
      <c r="W537" s="66"/>
      <c r="X537" s="49"/>
      <c r="Y537" s="50"/>
      <c r="Z537" s="49"/>
      <c r="AA537" s="50"/>
      <c r="AB537" s="49"/>
      <c r="AC537" s="53"/>
      <c r="AD537" s="49"/>
      <c r="AE537" s="53"/>
      <c r="AF537" s="49"/>
      <c r="AG537" s="53"/>
      <c r="AH537" s="49"/>
      <c r="AI537" s="53"/>
      <c r="AJ537" s="53"/>
      <c r="AK537" s="53"/>
      <c r="AL537" s="53"/>
      <c r="AM537" s="53"/>
      <c r="AN537" s="53"/>
      <c r="AO537" s="53"/>
      <c r="AP537" s="62">
        <f t="shared" si="16"/>
        <v>0</v>
      </c>
      <c r="AQ537" s="55">
        <f t="shared" si="17"/>
        <v>0</v>
      </c>
    </row>
    <row r="538" spans="1:43">
      <c r="A538" s="47">
        <v>536</v>
      </c>
      <c r="B538" s="56"/>
      <c r="C538" s="57"/>
      <c r="D538" s="75"/>
      <c r="E538" s="48"/>
      <c r="F538" s="65"/>
      <c r="G538" s="66"/>
      <c r="H538" s="65"/>
      <c r="I538" s="66"/>
      <c r="J538" s="65"/>
      <c r="K538" s="66"/>
      <c r="L538" s="49"/>
      <c r="M538" s="50"/>
      <c r="N538" s="49"/>
      <c r="O538" s="50"/>
      <c r="P538" s="49"/>
      <c r="Q538" s="53"/>
      <c r="R538" s="65"/>
      <c r="S538" s="66"/>
      <c r="T538" s="65"/>
      <c r="U538" s="66"/>
      <c r="V538" s="65"/>
      <c r="W538" s="66"/>
      <c r="X538" s="49"/>
      <c r="Y538" s="50"/>
      <c r="Z538" s="49"/>
      <c r="AA538" s="50"/>
      <c r="AB538" s="49"/>
      <c r="AC538" s="53"/>
      <c r="AD538" s="49"/>
      <c r="AE538" s="53"/>
      <c r="AF538" s="49"/>
      <c r="AG538" s="53"/>
      <c r="AH538" s="49"/>
      <c r="AI538" s="53"/>
      <c r="AJ538" s="53"/>
      <c r="AK538" s="53"/>
      <c r="AL538" s="53"/>
      <c r="AM538" s="53"/>
      <c r="AN538" s="53"/>
      <c r="AO538" s="53"/>
      <c r="AP538" s="63">
        <f t="shared" si="16"/>
        <v>0</v>
      </c>
      <c r="AQ538" s="55">
        <f t="shared" si="17"/>
        <v>0</v>
      </c>
    </row>
    <row r="539" spans="1:43">
      <c r="A539" s="47">
        <v>537</v>
      </c>
      <c r="B539" s="56"/>
      <c r="C539" s="57"/>
      <c r="D539" s="75"/>
      <c r="E539" s="48"/>
      <c r="F539" s="65"/>
      <c r="G539" s="66"/>
      <c r="H539" s="65"/>
      <c r="I539" s="66"/>
      <c r="J539" s="65"/>
      <c r="K539" s="66"/>
      <c r="L539" s="49"/>
      <c r="M539" s="50"/>
      <c r="N539" s="49"/>
      <c r="O539" s="50"/>
      <c r="P539" s="49"/>
      <c r="Q539" s="53"/>
      <c r="R539" s="65"/>
      <c r="S539" s="66"/>
      <c r="T539" s="65"/>
      <c r="U539" s="66"/>
      <c r="V539" s="65"/>
      <c r="W539" s="66"/>
      <c r="X539" s="49"/>
      <c r="Y539" s="50"/>
      <c r="Z539" s="49"/>
      <c r="AA539" s="50"/>
      <c r="AB539" s="49"/>
      <c r="AC539" s="53"/>
      <c r="AD539" s="49"/>
      <c r="AE539" s="53"/>
      <c r="AF539" s="49"/>
      <c r="AG539" s="53"/>
      <c r="AH539" s="49"/>
      <c r="AI539" s="53"/>
      <c r="AJ539" s="53"/>
      <c r="AK539" s="53"/>
      <c r="AL539" s="53"/>
      <c r="AM539" s="53"/>
      <c r="AN539" s="53"/>
      <c r="AO539" s="53"/>
      <c r="AP539" s="63">
        <f t="shared" si="16"/>
        <v>0</v>
      </c>
      <c r="AQ539" s="55">
        <f t="shared" si="17"/>
        <v>0</v>
      </c>
    </row>
    <row r="540" spans="1:43">
      <c r="A540" s="47">
        <v>538</v>
      </c>
      <c r="B540" s="56"/>
      <c r="C540" s="57"/>
      <c r="D540" s="75"/>
      <c r="E540" s="48"/>
      <c r="F540" s="65"/>
      <c r="G540" s="66"/>
      <c r="H540" s="65"/>
      <c r="I540" s="66"/>
      <c r="J540" s="65"/>
      <c r="K540" s="66"/>
      <c r="L540" s="49"/>
      <c r="M540" s="50"/>
      <c r="N540" s="49"/>
      <c r="O540" s="50"/>
      <c r="P540" s="49"/>
      <c r="Q540" s="53"/>
      <c r="R540" s="65"/>
      <c r="S540" s="66"/>
      <c r="T540" s="65"/>
      <c r="U540" s="66"/>
      <c r="V540" s="65"/>
      <c r="W540" s="66"/>
      <c r="X540" s="49"/>
      <c r="Y540" s="50"/>
      <c r="Z540" s="49"/>
      <c r="AA540" s="50"/>
      <c r="AB540" s="49"/>
      <c r="AC540" s="53"/>
      <c r="AD540" s="49"/>
      <c r="AE540" s="53"/>
      <c r="AF540" s="49"/>
      <c r="AG540" s="53"/>
      <c r="AH540" s="49"/>
      <c r="AI540" s="53"/>
      <c r="AJ540" s="53"/>
      <c r="AK540" s="53"/>
      <c r="AL540" s="53"/>
      <c r="AM540" s="53"/>
      <c r="AN540" s="53"/>
      <c r="AO540" s="53"/>
      <c r="AP540" s="63">
        <f t="shared" si="16"/>
        <v>0</v>
      </c>
      <c r="AQ540" s="55">
        <f t="shared" si="17"/>
        <v>0</v>
      </c>
    </row>
    <row r="541" spans="1:43">
      <c r="A541" s="47">
        <v>539</v>
      </c>
      <c r="B541" s="56"/>
      <c r="C541" s="57"/>
      <c r="D541" s="75"/>
      <c r="E541" s="48"/>
      <c r="F541" s="65"/>
      <c r="G541" s="66"/>
      <c r="H541" s="65"/>
      <c r="I541" s="66"/>
      <c r="J541" s="65"/>
      <c r="K541" s="66"/>
      <c r="L541" s="49"/>
      <c r="M541" s="50"/>
      <c r="N541" s="49"/>
      <c r="O541" s="50"/>
      <c r="P541" s="49"/>
      <c r="Q541" s="53"/>
      <c r="R541" s="65"/>
      <c r="S541" s="66"/>
      <c r="T541" s="65"/>
      <c r="U541" s="66"/>
      <c r="V541" s="65"/>
      <c r="W541" s="66"/>
      <c r="X541" s="49"/>
      <c r="Y541" s="50"/>
      <c r="Z541" s="49"/>
      <c r="AA541" s="50"/>
      <c r="AB541" s="49"/>
      <c r="AC541" s="53"/>
      <c r="AD541" s="49"/>
      <c r="AE541" s="53"/>
      <c r="AF541" s="49"/>
      <c r="AG541" s="53"/>
      <c r="AH541" s="49"/>
      <c r="AI541" s="53"/>
      <c r="AJ541" s="53"/>
      <c r="AK541" s="53"/>
      <c r="AL541" s="53"/>
      <c r="AM541" s="53"/>
      <c r="AN541" s="53"/>
      <c r="AO541" s="53"/>
      <c r="AP541" s="62">
        <f t="shared" si="16"/>
        <v>0</v>
      </c>
      <c r="AQ541" s="55">
        <f t="shared" si="17"/>
        <v>0</v>
      </c>
    </row>
    <row r="542" spans="1:43">
      <c r="A542" s="47">
        <v>540</v>
      </c>
      <c r="B542" s="56"/>
      <c r="C542" s="57"/>
      <c r="D542" s="75"/>
      <c r="E542" s="48"/>
      <c r="F542" s="65"/>
      <c r="G542" s="66"/>
      <c r="H542" s="65"/>
      <c r="I542" s="66"/>
      <c r="J542" s="65"/>
      <c r="K542" s="66"/>
      <c r="L542" s="49"/>
      <c r="M542" s="50"/>
      <c r="N542" s="49"/>
      <c r="O542" s="50"/>
      <c r="P542" s="49"/>
      <c r="Q542" s="53"/>
      <c r="R542" s="65"/>
      <c r="S542" s="66"/>
      <c r="T542" s="65"/>
      <c r="U542" s="66"/>
      <c r="V542" s="65"/>
      <c r="W542" s="66"/>
      <c r="X542" s="49"/>
      <c r="Y542" s="50"/>
      <c r="Z542" s="49"/>
      <c r="AA542" s="50"/>
      <c r="AB542" s="49"/>
      <c r="AC542" s="53"/>
      <c r="AD542" s="49"/>
      <c r="AE542" s="53"/>
      <c r="AF542" s="49"/>
      <c r="AG542" s="53"/>
      <c r="AH542" s="49"/>
      <c r="AI542" s="53"/>
      <c r="AJ542" s="53"/>
      <c r="AK542" s="53"/>
      <c r="AL542" s="53"/>
      <c r="AM542" s="53"/>
      <c r="AN542" s="53"/>
      <c r="AO542" s="53"/>
      <c r="AP542" s="62">
        <f t="shared" si="16"/>
        <v>0</v>
      </c>
      <c r="AQ542" s="55">
        <f t="shared" si="17"/>
        <v>0</v>
      </c>
    </row>
    <row r="543" spans="1:43">
      <c r="A543" s="47">
        <v>541</v>
      </c>
      <c r="B543" s="56"/>
      <c r="C543" s="57"/>
      <c r="D543" s="75"/>
      <c r="E543" s="48"/>
      <c r="F543" s="65"/>
      <c r="G543" s="66"/>
      <c r="H543" s="65"/>
      <c r="I543" s="66"/>
      <c r="J543" s="65"/>
      <c r="K543" s="66"/>
      <c r="L543" s="49"/>
      <c r="M543" s="50"/>
      <c r="N543" s="49"/>
      <c r="O543" s="50"/>
      <c r="P543" s="49"/>
      <c r="Q543" s="53"/>
      <c r="R543" s="65"/>
      <c r="S543" s="66"/>
      <c r="T543" s="65"/>
      <c r="U543" s="66"/>
      <c r="V543" s="65"/>
      <c r="W543" s="66"/>
      <c r="X543" s="49"/>
      <c r="Y543" s="50"/>
      <c r="Z543" s="49"/>
      <c r="AA543" s="50"/>
      <c r="AB543" s="49"/>
      <c r="AC543" s="53"/>
      <c r="AD543" s="49"/>
      <c r="AE543" s="53"/>
      <c r="AF543" s="49"/>
      <c r="AG543" s="53"/>
      <c r="AH543" s="49"/>
      <c r="AI543" s="53"/>
      <c r="AJ543" s="53"/>
      <c r="AK543" s="53"/>
      <c r="AL543" s="53"/>
      <c r="AM543" s="53"/>
      <c r="AN543" s="53"/>
      <c r="AO543" s="53"/>
      <c r="AP543" s="62">
        <f t="shared" si="16"/>
        <v>0</v>
      </c>
      <c r="AQ543" s="55">
        <f t="shared" si="17"/>
        <v>0</v>
      </c>
    </row>
    <row r="544" spans="1:43">
      <c r="A544" s="47">
        <v>542</v>
      </c>
      <c r="B544" s="56"/>
      <c r="C544" s="57"/>
      <c r="D544" s="75"/>
      <c r="E544" s="48"/>
      <c r="F544" s="65"/>
      <c r="G544" s="66"/>
      <c r="H544" s="65"/>
      <c r="I544" s="66"/>
      <c r="J544" s="65"/>
      <c r="K544" s="66"/>
      <c r="L544" s="49"/>
      <c r="M544" s="50"/>
      <c r="N544" s="49"/>
      <c r="O544" s="50"/>
      <c r="P544" s="49"/>
      <c r="Q544" s="53"/>
      <c r="R544" s="65"/>
      <c r="S544" s="66"/>
      <c r="T544" s="65"/>
      <c r="U544" s="66"/>
      <c r="V544" s="65"/>
      <c r="W544" s="66"/>
      <c r="X544" s="49"/>
      <c r="Y544" s="50"/>
      <c r="Z544" s="49"/>
      <c r="AA544" s="50"/>
      <c r="AB544" s="49"/>
      <c r="AC544" s="53"/>
      <c r="AD544" s="49"/>
      <c r="AE544" s="53"/>
      <c r="AF544" s="49"/>
      <c r="AG544" s="53"/>
      <c r="AH544" s="49"/>
      <c r="AI544" s="53"/>
      <c r="AJ544" s="53"/>
      <c r="AK544" s="53"/>
      <c r="AL544" s="53"/>
      <c r="AM544" s="53"/>
      <c r="AN544" s="53"/>
      <c r="AO544" s="53"/>
      <c r="AP544" s="62">
        <f t="shared" si="16"/>
        <v>0</v>
      </c>
      <c r="AQ544" s="55">
        <f t="shared" si="17"/>
        <v>0</v>
      </c>
    </row>
    <row r="545" spans="1:43">
      <c r="A545" s="47">
        <v>543</v>
      </c>
      <c r="B545" s="56"/>
      <c r="C545" s="57"/>
      <c r="D545" s="75"/>
      <c r="E545" s="48"/>
      <c r="F545" s="65"/>
      <c r="G545" s="66"/>
      <c r="H545" s="65"/>
      <c r="I545" s="66"/>
      <c r="J545" s="65"/>
      <c r="K545" s="66"/>
      <c r="L545" s="49"/>
      <c r="M545" s="50"/>
      <c r="N545" s="49"/>
      <c r="O545" s="50"/>
      <c r="P545" s="49"/>
      <c r="Q545" s="53"/>
      <c r="R545" s="65"/>
      <c r="S545" s="66"/>
      <c r="T545" s="65"/>
      <c r="U545" s="66"/>
      <c r="V545" s="65"/>
      <c r="W545" s="66"/>
      <c r="X545" s="49"/>
      <c r="Y545" s="50"/>
      <c r="Z545" s="49"/>
      <c r="AA545" s="50"/>
      <c r="AB545" s="49"/>
      <c r="AC545" s="53"/>
      <c r="AD545" s="49"/>
      <c r="AE545" s="53"/>
      <c r="AF545" s="49"/>
      <c r="AG545" s="53"/>
      <c r="AH545" s="49"/>
      <c r="AI545" s="53"/>
      <c r="AJ545" s="53"/>
      <c r="AK545" s="53"/>
      <c r="AL545" s="53"/>
      <c r="AM545" s="53"/>
      <c r="AN545" s="53"/>
      <c r="AO545" s="53"/>
      <c r="AP545" s="62">
        <f t="shared" si="16"/>
        <v>0</v>
      </c>
      <c r="AQ545" s="55">
        <f t="shared" si="17"/>
        <v>0</v>
      </c>
    </row>
    <row r="546" spans="1:43">
      <c r="A546" s="47">
        <v>544</v>
      </c>
      <c r="B546" s="56"/>
      <c r="C546" s="57"/>
      <c r="D546" s="75"/>
      <c r="E546" s="48"/>
      <c r="F546" s="65"/>
      <c r="G546" s="66"/>
      <c r="H546" s="65"/>
      <c r="I546" s="66"/>
      <c r="J546" s="65"/>
      <c r="K546" s="66"/>
      <c r="L546" s="49"/>
      <c r="M546" s="50"/>
      <c r="N546" s="49"/>
      <c r="O546" s="50"/>
      <c r="P546" s="49"/>
      <c r="Q546" s="53"/>
      <c r="R546" s="65"/>
      <c r="S546" s="66"/>
      <c r="T546" s="65"/>
      <c r="U546" s="66"/>
      <c r="V546" s="65"/>
      <c r="W546" s="66"/>
      <c r="X546" s="49"/>
      <c r="Y546" s="50"/>
      <c r="Z546" s="49"/>
      <c r="AA546" s="50"/>
      <c r="AB546" s="49"/>
      <c r="AC546" s="53"/>
      <c r="AD546" s="49"/>
      <c r="AE546" s="53"/>
      <c r="AF546" s="49"/>
      <c r="AG546" s="53"/>
      <c r="AH546" s="49"/>
      <c r="AI546" s="53"/>
      <c r="AJ546" s="53"/>
      <c r="AK546" s="53"/>
      <c r="AL546" s="53"/>
      <c r="AM546" s="53"/>
      <c r="AN546" s="53"/>
      <c r="AO546" s="53"/>
      <c r="AP546" s="62">
        <f t="shared" si="16"/>
        <v>0</v>
      </c>
      <c r="AQ546" s="55">
        <f t="shared" si="17"/>
        <v>0</v>
      </c>
    </row>
    <row r="547" spans="1:43">
      <c r="A547" s="47">
        <v>573</v>
      </c>
      <c r="B547" s="56"/>
      <c r="C547" s="57"/>
      <c r="D547" s="75"/>
      <c r="E547" s="48"/>
      <c r="F547" s="65"/>
      <c r="G547" s="66"/>
      <c r="H547" s="65"/>
      <c r="I547" s="66"/>
      <c r="J547" s="65"/>
      <c r="K547" s="66"/>
      <c r="L547" s="49"/>
      <c r="M547" s="50"/>
      <c r="N547" s="49"/>
      <c r="O547" s="50"/>
      <c r="P547" s="49"/>
      <c r="Q547" s="53"/>
      <c r="R547" s="65"/>
      <c r="S547" s="66"/>
      <c r="T547" s="65"/>
      <c r="U547" s="66"/>
      <c r="V547" s="65"/>
      <c r="W547" s="66"/>
      <c r="X547" s="49"/>
      <c r="Y547" s="50"/>
      <c r="Z547" s="49"/>
      <c r="AA547" s="50"/>
      <c r="AB547" s="49"/>
      <c r="AC547" s="53"/>
      <c r="AD547" s="49"/>
      <c r="AE547" s="53"/>
      <c r="AF547" s="49"/>
      <c r="AG547" s="53"/>
      <c r="AH547" s="49"/>
      <c r="AI547" s="53"/>
      <c r="AJ547" s="53"/>
      <c r="AK547" s="53"/>
      <c r="AL547" s="53"/>
      <c r="AM547" s="53"/>
      <c r="AN547" s="53"/>
      <c r="AO547" s="53"/>
      <c r="AP547" s="63">
        <f t="shared" si="16"/>
        <v>0</v>
      </c>
      <c r="AQ547" s="55">
        <f t="shared" si="17"/>
        <v>0</v>
      </c>
    </row>
    <row r="548" spans="1:43" s="72" customFormat="1">
      <c r="A548" s="145" t="s">
        <v>0</v>
      </c>
      <c r="B548" s="146"/>
      <c r="C548" s="146"/>
      <c r="D548" s="146"/>
      <c r="E548" s="147"/>
      <c r="F548" s="70">
        <f t="shared" ref="F548:O548" si="18">SUM(F3:F532)</f>
        <v>3836</v>
      </c>
      <c r="G548" s="70">
        <f t="shared" si="18"/>
        <v>2958890</v>
      </c>
      <c r="H548" s="70">
        <f t="shared" si="18"/>
        <v>4430</v>
      </c>
      <c r="I548" s="91">
        <f t="shared" si="18"/>
        <v>3926400</v>
      </c>
      <c r="J548" s="70">
        <f t="shared" si="18"/>
        <v>3365</v>
      </c>
      <c r="K548" s="70">
        <f t="shared" si="18"/>
        <v>2963305</v>
      </c>
      <c r="L548" s="70">
        <f t="shared" si="18"/>
        <v>6915</v>
      </c>
      <c r="M548" s="70">
        <f t="shared" si="18"/>
        <v>5776537</v>
      </c>
      <c r="N548" s="70">
        <f t="shared" si="18"/>
        <v>11371</v>
      </c>
      <c r="O548" s="70">
        <f t="shared" si="18"/>
        <v>10656443</v>
      </c>
      <c r="P548" s="70">
        <f>SUM(P3:P546)</f>
        <v>5087</v>
      </c>
      <c r="Q548" s="70">
        <f t="shared" ref="Q548:AO548" si="19">SUM(Q3:Q532)</f>
        <v>7364980</v>
      </c>
      <c r="R548" s="70">
        <f t="shared" si="19"/>
        <v>27168</v>
      </c>
      <c r="S548" s="70">
        <f t="shared" si="19"/>
        <v>30890606</v>
      </c>
      <c r="T548" s="70">
        <f t="shared" si="19"/>
        <v>35859</v>
      </c>
      <c r="U548" s="91">
        <f t="shared" si="19"/>
        <v>20628740</v>
      </c>
      <c r="V548" s="70">
        <f t="shared" si="19"/>
        <v>17318</v>
      </c>
      <c r="W548" s="70">
        <f t="shared" si="19"/>
        <v>17188097</v>
      </c>
      <c r="X548" s="70">
        <f t="shared" si="19"/>
        <v>32169</v>
      </c>
      <c r="Y548" s="70">
        <f t="shared" si="19"/>
        <v>28318053</v>
      </c>
      <c r="Z548" s="70">
        <f t="shared" si="19"/>
        <v>59939</v>
      </c>
      <c r="AA548" s="70">
        <f t="shared" si="19"/>
        <v>66469658</v>
      </c>
      <c r="AB548" s="70">
        <f t="shared" si="19"/>
        <v>24347</v>
      </c>
      <c r="AC548" s="70">
        <f t="shared" si="19"/>
        <v>21138327</v>
      </c>
      <c r="AD548" s="70">
        <f t="shared" si="19"/>
        <v>63276</v>
      </c>
      <c r="AE548" s="70">
        <f t="shared" si="19"/>
        <v>50492853</v>
      </c>
      <c r="AF548" s="70">
        <f t="shared" si="19"/>
        <v>56983</v>
      </c>
      <c r="AG548" s="91">
        <f t="shared" si="19"/>
        <v>50070954</v>
      </c>
      <c r="AH548" s="70">
        <f t="shared" si="19"/>
        <v>144312</v>
      </c>
      <c r="AI548" s="70">
        <f t="shared" si="19"/>
        <v>165876901</v>
      </c>
      <c r="AJ548" s="70">
        <f t="shared" si="19"/>
        <v>0</v>
      </c>
      <c r="AK548" s="70">
        <f t="shared" si="19"/>
        <v>0</v>
      </c>
      <c r="AL548" s="70">
        <f t="shared" si="19"/>
        <v>0</v>
      </c>
      <c r="AM548" s="70">
        <f t="shared" si="19"/>
        <v>0</v>
      </c>
      <c r="AN548" s="70">
        <f t="shared" si="19"/>
        <v>17527</v>
      </c>
      <c r="AO548" s="70">
        <f t="shared" si="19"/>
        <v>19330999</v>
      </c>
      <c r="AP548" s="70">
        <f>SUM(AP3:AP547)</f>
        <v>513902</v>
      </c>
      <c r="AQ548" s="71">
        <f>SUM(AQ3:AQ547)</f>
        <v>504051743</v>
      </c>
    </row>
  </sheetData>
  <autoFilter ref="A1:AQ548" xr:uid="{0E6EAD36-0330-424D-BD24-1A8830AD7783}">
    <filterColumn colId="5" showButton="0"/>
    <filterColumn colId="7" showButton="0"/>
    <filterColumn colId="9" showButton="0"/>
    <filterColumn colId="11" showButton="0"/>
    <filterColumn colId="13" showButton="0"/>
    <filterColumn colId="15" showButton="0"/>
    <filterColumn colId="17" showButton="0"/>
    <filterColumn colId="19" showButton="0"/>
    <filterColumn colId="21" showButton="0"/>
    <filterColumn colId="23" showButton="0"/>
    <filterColumn colId="25" showButton="0"/>
    <filterColumn colId="27" showButton="0"/>
    <filterColumn colId="29" showButton="0"/>
    <filterColumn colId="31" showButton="0"/>
    <filterColumn colId="33" showButton="0"/>
    <filterColumn colId="35" showButton="0"/>
    <filterColumn colId="37" showButton="0"/>
    <filterColumn colId="39" showButton="0"/>
    <filterColumn colId="41" showButton="0"/>
  </autoFilter>
  <sortState ref="A3:AQ547">
    <sortCondition descending="1" ref="AP3:AP547"/>
  </sortState>
  <mergeCells count="25">
    <mergeCell ref="A548:E548"/>
    <mergeCell ref="F1:G1"/>
    <mergeCell ref="H1:I1"/>
    <mergeCell ref="J1:K1"/>
    <mergeCell ref="L1:M1"/>
    <mergeCell ref="A1:A2"/>
    <mergeCell ref="B1:B2"/>
    <mergeCell ref="C1:C2"/>
    <mergeCell ref="D1:D2"/>
    <mergeCell ref="E1:E2"/>
    <mergeCell ref="N1:O1"/>
    <mergeCell ref="P1:Q1"/>
    <mergeCell ref="AF1:AG1"/>
    <mergeCell ref="AH1:AI1"/>
    <mergeCell ref="AJ1:AK1"/>
    <mergeCell ref="R1:S1"/>
    <mergeCell ref="AL1:AM1"/>
    <mergeCell ref="AN1:AO1"/>
    <mergeCell ref="AP1:AQ1"/>
    <mergeCell ref="T1:U1"/>
    <mergeCell ref="V1:W1"/>
    <mergeCell ref="X1:Y1"/>
    <mergeCell ref="Z1:AA1"/>
    <mergeCell ref="AB1:AC1"/>
    <mergeCell ref="AD1:AE1"/>
  </mergeCells>
  <phoneticPr fontId="2"/>
  <conditionalFormatting sqref="R404:R420 T404:T420 V404:V420">
    <cfRule type="top10" dxfId="836" priority="981" rank="10"/>
  </conditionalFormatting>
  <conditionalFormatting sqref="R3:R403">
    <cfRule type="top10" dxfId="835" priority="980" rank="10"/>
  </conditionalFormatting>
  <conditionalFormatting sqref="T3:T403">
    <cfRule type="top10" dxfId="834" priority="979" rank="10"/>
  </conditionalFormatting>
  <conditionalFormatting sqref="V3:V403">
    <cfRule type="top10" dxfId="833" priority="978" rank="10"/>
  </conditionalFormatting>
  <conditionalFormatting sqref="X3:X420">
    <cfRule type="top10" dxfId="832" priority="977" rank="10"/>
  </conditionalFormatting>
  <conditionalFormatting sqref="R421 T421 V421">
    <cfRule type="top10" dxfId="831" priority="976" rank="10"/>
  </conditionalFormatting>
  <conditionalFormatting sqref="X421">
    <cfRule type="top10" dxfId="830" priority="975" rank="10"/>
  </conditionalFormatting>
  <conditionalFormatting sqref="R422 T422 V422">
    <cfRule type="top10" dxfId="829" priority="974" rank="10"/>
  </conditionalFormatting>
  <conditionalFormatting sqref="X422">
    <cfRule type="top10" dxfId="828" priority="973" rank="10"/>
  </conditionalFormatting>
  <conditionalFormatting sqref="R423 T423 V423">
    <cfRule type="top10" dxfId="827" priority="972" rank="10"/>
  </conditionalFormatting>
  <conditionalFormatting sqref="X423">
    <cfRule type="top10" dxfId="826" priority="971" rank="10"/>
  </conditionalFormatting>
  <conditionalFormatting sqref="R424 T424 V424">
    <cfRule type="top10" dxfId="825" priority="970" rank="10"/>
  </conditionalFormatting>
  <conditionalFormatting sqref="X424">
    <cfRule type="top10" dxfId="824" priority="969" rank="10"/>
  </conditionalFormatting>
  <conditionalFormatting sqref="R425 T425 V425">
    <cfRule type="top10" dxfId="823" priority="968" rank="10"/>
  </conditionalFormatting>
  <conditionalFormatting sqref="X425">
    <cfRule type="top10" dxfId="822" priority="967" rank="10"/>
  </conditionalFormatting>
  <conditionalFormatting sqref="B549:B1048576 B1 B3:B426 B547">
    <cfRule type="duplicateValues" dxfId="821" priority="982"/>
  </conditionalFormatting>
  <conditionalFormatting sqref="B549:B1048576">
    <cfRule type="duplicateValues" dxfId="820" priority="983"/>
  </conditionalFormatting>
  <conditionalFormatting sqref="B549:B1048576">
    <cfRule type="duplicateValues" dxfId="819" priority="984"/>
  </conditionalFormatting>
  <conditionalFormatting sqref="B549:B1048576">
    <cfRule type="duplicateValues" dxfId="818" priority="985"/>
  </conditionalFormatting>
  <conditionalFormatting sqref="R547 R426 T426 V426 T547 V547">
    <cfRule type="top10" dxfId="817" priority="986" rank="10"/>
  </conditionalFormatting>
  <conditionalFormatting sqref="X547 X426">
    <cfRule type="top10" dxfId="816" priority="987" rank="10"/>
  </conditionalFormatting>
  <conditionalFormatting sqref="Z547 Z3:Z426">
    <cfRule type="top10" dxfId="815" priority="988" rank="10"/>
  </conditionalFormatting>
  <conditionalFormatting sqref="AP3:AP547">
    <cfRule type="top10" dxfId="814" priority="989" rank="10"/>
  </conditionalFormatting>
  <conditionalFormatting sqref="AB547 AB3:AB426">
    <cfRule type="top10" dxfId="813" priority="990" rank="10"/>
  </conditionalFormatting>
  <conditionalFormatting sqref="AD547 AD3:AD426">
    <cfRule type="top10" dxfId="812" priority="991" rank="10"/>
  </conditionalFormatting>
  <conditionalFormatting sqref="AF547 AF3:AF426">
    <cfRule type="top10" dxfId="811" priority="992" rank="10"/>
  </conditionalFormatting>
  <conditionalFormatting sqref="AH547 AH3:AH426">
    <cfRule type="top10" dxfId="810" priority="993" rank="10"/>
  </conditionalFormatting>
  <conditionalFormatting sqref="AN547 AN3:AN426">
    <cfRule type="top10" dxfId="809" priority="966" rank="10"/>
  </conditionalFormatting>
  <conditionalFormatting sqref="C547:C1048576 C1:C426">
    <cfRule type="duplicateValues" dxfId="808" priority="1552"/>
  </conditionalFormatting>
  <conditionalFormatting sqref="F404:F420">
    <cfRule type="top10" dxfId="807" priority="960" rank="10"/>
  </conditionalFormatting>
  <conditionalFormatting sqref="F3:F403">
    <cfRule type="top10" dxfId="806" priority="959" rank="10"/>
  </conditionalFormatting>
  <conditionalFormatting sqref="H3:H430">
    <cfRule type="top10" dxfId="805" priority="958" rank="10"/>
  </conditionalFormatting>
  <conditionalFormatting sqref="J3:J427">
    <cfRule type="top10" dxfId="804" priority="957" rank="10"/>
  </conditionalFormatting>
  <conditionalFormatting sqref="L3:L426">
    <cfRule type="top10" dxfId="803" priority="956" rank="10"/>
  </conditionalFormatting>
  <conditionalFormatting sqref="F421">
    <cfRule type="top10" dxfId="802" priority="955" rank="10"/>
  </conditionalFormatting>
  <conditionalFormatting sqref="F422">
    <cfRule type="top10" dxfId="801" priority="953" rank="10"/>
  </conditionalFormatting>
  <conditionalFormatting sqref="F423">
    <cfRule type="top10" dxfId="800" priority="951" rank="10"/>
  </conditionalFormatting>
  <conditionalFormatting sqref="F424">
    <cfRule type="top10" dxfId="799" priority="949" rank="10"/>
  </conditionalFormatting>
  <conditionalFormatting sqref="F425">
    <cfRule type="top10" dxfId="798" priority="947" rank="10"/>
  </conditionalFormatting>
  <conditionalFormatting sqref="F547 F426 H547 J547">
    <cfRule type="top10" dxfId="797" priority="961" rank="10"/>
  </conditionalFormatting>
  <conditionalFormatting sqref="L547">
    <cfRule type="top10" dxfId="796" priority="962" rank="10"/>
  </conditionalFormatting>
  <conditionalFormatting sqref="N547 N3:N426">
    <cfRule type="top10" dxfId="795" priority="963" rank="10"/>
  </conditionalFormatting>
  <conditionalFormatting sqref="P547 P3:P531">
    <cfRule type="top10" dxfId="794" priority="964" rank="10"/>
  </conditionalFormatting>
  <conditionalFormatting sqref="B500:B502">
    <cfRule type="duplicateValues" dxfId="793" priority="891"/>
  </conditionalFormatting>
  <conditionalFormatting sqref="V500:V502 T500:T502 R500:R502">
    <cfRule type="top10" dxfId="792" priority="892" rank="10"/>
  </conditionalFormatting>
  <conditionalFormatting sqref="X500:X502">
    <cfRule type="top10" dxfId="791" priority="893" rank="10"/>
  </conditionalFormatting>
  <conditionalFormatting sqref="Z500:Z502">
    <cfRule type="top10" dxfId="790" priority="894" rank="10"/>
  </conditionalFormatting>
  <conditionalFormatting sqref="AB500:AB502">
    <cfRule type="top10" dxfId="789" priority="896" rank="10"/>
  </conditionalFormatting>
  <conditionalFormatting sqref="AD500:AD502">
    <cfRule type="top10" dxfId="788" priority="897" rank="10"/>
  </conditionalFormatting>
  <conditionalFormatting sqref="AF500:AF502">
    <cfRule type="top10" dxfId="787" priority="898" rank="10"/>
  </conditionalFormatting>
  <conditionalFormatting sqref="AH500:AH502">
    <cfRule type="top10" dxfId="786" priority="899" rank="10"/>
  </conditionalFormatting>
  <conditionalFormatting sqref="AN500:AN502">
    <cfRule type="top10" dxfId="785" priority="890" rank="10"/>
  </conditionalFormatting>
  <conditionalFormatting sqref="C500:C502">
    <cfRule type="duplicateValues" dxfId="784" priority="900"/>
  </conditionalFormatting>
  <conditionalFormatting sqref="J500:J502 H500:H502 F500:F502">
    <cfRule type="top10" dxfId="783" priority="886" rank="10"/>
  </conditionalFormatting>
  <conditionalFormatting sqref="L500:L502">
    <cfRule type="top10" dxfId="782" priority="887" rank="10"/>
  </conditionalFormatting>
  <conditionalFormatting sqref="N500:N502">
    <cfRule type="top10" dxfId="781" priority="888" rank="10"/>
  </conditionalFormatting>
  <conditionalFormatting sqref="B497:B499">
    <cfRule type="duplicateValues" dxfId="780" priority="876"/>
  </conditionalFormatting>
  <conditionalFormatting sqref="V497:V499 T497:T499 R497:R499">
    <cfRule type="top10" dxfId="779" priority="877" rank="10"/>
  </conditionalFormatting>
  <conditionalFormatting sqref="X497:X499">
    <cfRule type="top10" dxfId="778" priority="878" rank="10"/>
  </conditionalFormatting>
  <conditionalFormatting sqref="Z497:Z499">
    <cfRule type="top10" dxfId="777" priority="879" rank="10"/>
  </conditionalFormatting>
  <conditionalFormatting sqref="AB497:AB499">
    <cfRule type="top10" dxfId="776" priority="881" rank="10"/>
  </conditionalFormatting>
  <conditionalFormatting sqref="AD497:AD499">
    <cfRule type="top10" dxfId="775" priority="882" rank="10"/>
  </conditionalFormatting>
  <conditionalFormatting sqref="AF497:AF499">
    <cfRule type="top10" dxfId="774" priority="883" rank="10"/>
  </conditionalFormatting>
  <conditionalFormatting sqref="AH497:AH499">
    <cfRule type="top10" dxfId="773" priority="884" rank="10"/>
  </conditionalFormatting>
  <conditionalFormatting sqref="AN497:AN499">
    <cfRule type="top10" dxfId="772" priority="875" rank="10"/>
  </conditionalFormatting>
  <conditionalFormatting sqref="C497:C499">
    <cfRule type="duplicateValues" dxfId="771" priority="885"/>
  </conditionalFormatting>
  <conditionalFormatting sqref="J497:J499 H497:H499 F497:F499">
    <cfRule type="top10" dxfId="770" priority="871" rank="10"/>
  </conditionalFormatting>
  <conditionalFormatting sqref="L497:L499">
    <cfRule type="top10" dxfId="769" priority="872" rank="10"/>
  </conditionalFormatting>
  <conditionalFormatting sqref="N497:N499">
    <cfRule type="top10" dxfId="768" priority="873" rank="10"/>
  </conditionalFormatting>
  <conditionalFormatting sqref="B477 B495:B496">
    <cfRule type="duplicateValues" dxfId="767" priority="861"/>
  </conditionalFormatting>
  <conditionalFormatting sqref="V477 T477 R477 R495:R496 T495:T496 V495:V496">
    <cfRule type="top10" dxfId="766" priority="862" rank="10"/>
  </conditionalFormatting>
  <conditionalFormatting sqref="X477 X495:X496">
    <cfRule type="top10" dxfId="765" priority="863" rank="10"/>
  </conditionalFormatting>
  <conditionalFormatting sqref="Z477 Z495:Z496">
    <cfRule type="top10" dxfId="764" priority="864" rank="10"/>
  </conditionalFormatting>
  <conditionalFormatting sqref="AB477 AB495:AB496">
    <cfRule type="top10" dxfId="763" priority="866" rank="10"/>
  </conditionalFormatting>
  <conditionalFormatting sqref="AD477 AD495:AD496">
    <cfRule type="top10" dxfId="762" priority="867" rank="10"/>
  </conditionalFormatting>
  <conditionalFormatting sqref="AF477 AF495:AF496">
    <cfRule type="top10" dxfId="761" priority="868" rank="10"/>
  </conditionalFormatting>
  <conditionalFormatting sqref="AH477 AH495:AH496">
    <cfRule type="top10" dxfId="760" priority="869" rank="10"/>
  </conditionalFormatting>
  <conditionalFormatting sqref="AN477 AN495:AN496">
    <cfRule type="top10" dxfId="759" priority="860" rank="10"/>
  </conditionalFormatting>
  <conditionalFormatting sqref="C477 C495:C496">
    <cfRule type="duplicateValues" dxfId="758" priority="870"/>
  </conditionalFormatting>
  <conditionalFormatting sqref="J477 H477 F477 F495:F496 H495:H496 J495:J496">
    <cfRule type="top10" dxfId="757" priority="856" rank="10"/>
  </conditionalFormatting>
  <conditionalFormatting sqref="L477 L495:L496">
    <cfRule type="top10" dxfId="756" priority="857" rank="10"/>
  </conditionalFormatting>
  <conditionalFormatting sqref="N477 N495:N496">
    <cfRule type="top10" dxfId="755" priority="858" rank="10"/>
  </conditionalFormatting>
  <conditionalFormatting sqref="B450:B451">
    <cfRule type="duplicateValues" dxfId="754" priority="846"/>
  </conditionalFormatting>
  <conditionalFormatting sqref="R450:R451 T450:T451 V450:V451">
    <cfRule type="top10" dxfId="753" priority="847" rank="10"/>
  </conditionalFormatting>
  <conditionalFormatting sqref="X450:X451">
    <cfRule type="top10" dxfId="752" priority="848" rank="10"/>
  </conditionalFormatting>
  <conditionalFormatting sqref="Z450:Z451">
    <cfRule type="top10" dxfId="751" priority="849" rank="10"/>
  </conditionalFormatting>
  <conditionalFormatting sqref="AB450:AB451">
    <cfRule type="top10" dxfId="750" priority="851" rank="10"/>
  </conditionalFormatting>
  <conditionalFormatting sqref="AD450:AD451">
    <cfRule type="top10" dxfId="749" priority="852" rank="10"/>
  </conditionalFormatting>
  <conditionalFormatting sqref="AF450:AF451">
    <cfRule type="top10" dxfId="748" priority="853" rank="10"/>
  </conditionalFormatting>
  <conditionalFormatting sqref="AH450:AH451">
    <cfRule type="top10" dxfId="747" priority="854" rank="10"/>
  </conditionalFormatting>
  <conditionalFormatting sqref="AN450:AN451">
    <cfRule type="top10" dxfId="746" priority="845" rank="10"/>
  </conditionalFormatting>
  <conditionalFormatting sqref="C450:C451">
    <cfRule type="duplicateValues" dxfId="745" priority="855"/>
  </conditionalFormatting>
  <conditionalFormatting sqref="F450:F451 H450:H451 J450:J451">
    <cfRule type="top10" dxfId="744" priority="841" rank="10"/>
  </conditionalFormatting>
  <conditionalFormatting sqref="L450:L451">
    <cfRule type="top10" dxfId="743" priority="842" rank="10"/>
  </conditionalFormatting>
  <conditionalFormatting sqref="N450:N451">
    <cfRule type="top10" dxfId="742" priority="843" rank="10"/>
  </conditionalFormatting>
  <conditionalFormatting sqref="B447:B449">
    <cfRule type="duplicateValues" dxfId="741" priority="831"/>
  </conditionalFormatting>
  <conditionalFormatting sqref="V447:V449 T447:T449 R447:R449">
    <cfRule type="top10" dxfId="740" priority="832" rank="10"/>
  </conditionalFormatting>
  <conditionalFormatting sqref="X447:X449">
    <cfRule type="top10" dxfId="739" priority="833" rank="10"/>
  </conditionalFormatting>
  <conditionalFormatting sqref="Z447:Z449">
    <cfRule type="top10" dxfId="738" priority="834" rank="10"/>
  </conditionalFormatting>
  <conditionalFormatting sqref="AB447:AB449">
    <cfRule type="top10" dxfId="737" priority="836" rank="10"/>
  </conditionalFormatting>
  <conditionalFormatting sqref="AD447:AD449">
    <cfRule type="top10" dxfId="736" priority="837" rank="10"/>
  </conditionalFormatting>
  <conditionalFormatting sqref="AF447:AF449">
    <cfRule type="top10" dxfId="735" priority="838" rank="10"/>
  </conditionalFormatting>
  <conditionalFormatting sqref="AH447:AH449">
    <cfRule type="top10" dxfId="734" priority="839" rank="10"/>
  </conditionalFormatting>
  <conditionalFormatting sqref="AN447:AN449">
    <cfRule type="top10" dxfId="733" priority="830" rank="10"/>
  </conditionalFormatting>
  <conditionalFormatting sqref="C447:C449">
    <cfRule type="duplicateValues" dxfId="732" priority="840"/>
  </conditionalFormatting>
  <conditionalFormatting sqref="J447:J449 H447:H449 F447:F449">
    <cfRule type="top10" dxfId="731" priority="826" rank="10"/>
  </conditionalFormatting>
  <conditionalFormatting sqref="L447:L449">
    <cfRule type="top10" dxfId="730" priority="827" rank="10"/>
  </conditionalFormatting>
  <conditionalFormatting sqref="N447:N449">
    <cfRule type="top10" dxfId="729" priority="828" rank="10"/>
  </conditionalFormatting>
  <conditionalFormatting sqref="B444:B446">
    <cfRule type="duplicateValues" dxfId="728" priority="816"/>
  </conditionalFormatting>
  <conditionalFormatting sqref="V444:V446 T444:T446 R444:R446">
    <cfRule type="top10" dxfId="727" priority="817" rank="10"/>
  </conditionalFormatting>
  <conditionalFormatting sqref="X444:X446">
    <cfRule type="top10" dxfId="726" priority="818" rank="10"/>
  </conditionalFormatting>
  <conditionalFormatting sqref="Z444:Z446">
    <cfRule type="top10" dxfId="725" priority="819" rank="10"/>
  </conditionalFormatting>
  <conditionalFormatting sqref="AB444:AB446">
    <cfRule type="top10" dxfId="724" priority="821" rank="10"/>
  </conditionalFormatting>
  <conditionalFormatting sqref="AD444:AD446">
    <cfRule type="top10" dxfId="723" priority="822" rank="10"/>
  </conditionalFormatting>
  <conditionalFormatting sqref="AF444:AF446">
    <cfRule type="top10" dxfId="722" priority="823" rank="10"/>
  </conditionalFormatting>
  <conditionalFormatting sqref="AH444:AH446">
    <cfRule type="top10" dxfId="721" priority="824" rank="10"/>
  </conditionalFormatting>
  <conditionalFormatting sqref="AN444:AN446">
    <cfRule type="top10" dxfId="720" priority="815" rank="10"/>
  </conditionalFormatting>
  <conditionalFormatting sqref="C444:C446">
    <cfRule type="duplicateValues" dxfId="719" priority="825"/>
  </conditionalFormatting>
  <conditionalFormatting sqref="J444:J446 H444:H446 F444:F446">
    <cfRule type="top10" dxfId="718" priority="811" rank="10"/>
  </conditionalFormatting>
  <conditionalFormatting sqref="L444:L446">
    <cfRule type="top10" dxfId="717" priority="812" rank="10"/>
  </conditionalFormatting>
  <conditionalFormatting sqref="N444:N446">
    <cfRule type="top10" dxfId="716" priority="813" rank="10"/>
  </conditionalFormatting>
  <conditionalFormatting sqref="B441:B443">
    <cfRule type="duplicateValues" dxfId="715" priority="801"/>
  </conditionalFormatting>
  <conditionalFormatting sqref="V441:V443 T441:T443 R441:R443">
    <cfRule type="top10" dxfId="714" priority="802" rank="10"/>
  </conditionalFormatting>
  <conditionalFormatting sqref="X441:X443">
    <cfRule type="top10" dxfId="713" priority="803" rank="10"/>
  </conditionalFormatting>
  <conditionalFormatting sqref="Z441:Z443">
    <cfRule type="top10" dxfId="712" priority="804" rank="10"/>
  </conditionalFormatting>
  <conditionalFormatting sqref="AB441:AB443">
    <cfRule type="top10" dxfId="711" priority="806" rank="10"/>
  </conditionalFormatting>
  <conditionalFormatting sqref="AD441:AD443">
    <cfRule type="top10" dxfId="710" priority="807" rank="10"/>
  </conditionalFormatting>
  <conditionalFormatting sqref="AF441:AF443">
    <cfRule type="top10" dxfId="709" priority="808" rank="10"/>
  </conditionalFormatting>
  <conditionalFormatting sqref="AH441:AH443">
    <cfRule type="top10" dxfId="708" priority="809" rank="10"/>
  </conditionalFormatting>
  <conditionalFormatting sqref="AN441:AN443">
    <cfRule type="top10" dxfId="707" priority="800" rank="10"/>
  </conditionalFormatting>
  <conditionalFormatting sqref="C441:C443">
    <cfRule type="duplicateValues" dxfId="706" priority="810"/>
  </conditionalFormatting>
  <conditionalFormatting sqref="J441:J443 H441:H443 F441:F443">
    <cfRule type="top10" dxfId="705" priority="796" rank="10"/>
  </conditionalFormatting>
  <conditionalFormatting sqref="L441:L443">
    <cfRule type="top10" dxfId="704" priority="797" rank="10"/>
  </conditionalFormatting>
  <conditionalFormatting sqref="N441:N443">
    <cfRule type="top10" dxfId="703" priority="798" rank="10"/>
  </conditionalFormatting>
  <conditionalFormatting sqref="B439:B440">
    <cfRule type="duplicateValues" dxfId="702" priority="786"/>
  </conditionalFormatting>
  <conditionalFormatting sqref="R439:R440 T439:T440 V439:V440">
    <cfRule type="top10" dxfId="701" priority="787" rank="10"/>
  </conditionalFormatting>
  <conditionalFormatting sqref="X439:X440">
    <cfRule type="top10" dxfId="700" priority="788" rank="10"/>
  </conditionalFormatting>
  <conditionalFormatting sqref="Z439:Z440">
    <cfRule type="top10" dxfId="699" priority="789" rank="10"/>
  </conditionalFormatting>
  <conditionalFormatting sqref="AB439:AB440">
    <cfRule type="top10" dxfId="698" priority="791" rank="10"/>
  </conditionalFormatting>
  <conditionalFormatting sqref="AD439:AD440">
    <cfRule type="top10" dxfId="697" priority="792" rank="10"/>
  </conditionalFormatting>
  <conditionalFormatting sqref="AF439:AF440">
    <cfRule type="top10" dxfId="696" priority="793" rank="10"/>
  </conditionalFormatting>
  <conditionalFormatting sqref="AH439:AH440">
    <cfRule type="top10" dxfId="695" priority="794" rank="10"/>
  </conditionalFormatting>
  <conditionalFormatting sqref="AN439:AN440">
    <cfRule type="top10" dxfId="694" priority="785" rank="10"/>
  </conditionalFormatting>
  <conditionalFormatting sqref="C439:C440">
    <cfRule type="duplicateValues" dxfId="693" priority="795"/>
  </conditionalFormatting>
  <conditionalFormatting sqref="F439:F440 H439:H440 J439:J440">
    <cfRule type="top10" dxfId="692" priority="781" rank="10"/>
  </conditionalFormatting>
  <conditionalFormatting sqref="L439:L440">
    <cfRule type="top10" dxfId="691" priority="782" rank="10"/>
  </conditionalFormatting>
  <conditionalFormatting sqref="N439:N440">
    <cfRule type="top10" dxfId="690" priority="783" rank="10"/>
  </conditionalFormatting>
  <conditionalFormatting sqref="B436:B438">
    <cfRule type="duplicateValues" dxfId="689" priority="771"/>
  </conditionalFormatting>
  <conditionalFormatting sqref="V436:V438 T436:T438 R436:R438">
    <cfRule type="top10" dxfId="688" priority="772" rank="10"/>
  </conditionalFormatting>
  <conditionalFormatting sqref="X436:X438">
    <cfRule type="top10" dxfId="687" priority="773" rank="10"/>
  </conditionalFormatting>
  <conditionalFormatting sqref="Z436:Z438">
    <cfRule type="top10" dxfId="686" priority="774" rank="10"/>
  </conditionalFormatting>
  <conditionalFormatting sqref="AB436:AB438">
    <cfRule type="top10" dxfId="685" priority="776" rank="10"/>
  </conditionalFormatting>
  <conditionalFormatting sqref="AD436:AD438">
    <cfRule type="top10" dxfId="684" priority="777" rank="10"/>
  </conditionalFormatting>
  <conditionalFormatting sqref="AF436:AF438">
    <cfRule type="top10" dxfId="683" priority="778" rank="10"/>
  </conditionalFormatting>
  <conditionalFormatting sqref="AH436:AH438">
    <cfRule type="top10" dxfId="682" priority="779" rank="10"/>
  </conditionalFormatting>
  <conditionalFormatting sqref="AN436:AN438">
    <cfRule type="top10" dxfId="681" priority="770" rank="10"/>
  </conditionalFormatting>
  <conditionalFormatting sqref="C436:C438">
    <cfRule type="duplicateValues" dxfId="680" priority="780"/>
  </conditionalFormatting>
  <conditionalFormatting sqref="J436:J438 H436:H438 F436:F438">
    <cfRule type="top10" dxfId="679" priority="766" rank="10"/>
  </conditionalFormatting>
  <conditionalFormatting sqref="L436:L438">
    <cfRule type="top10" dxfId="678" priority="767" rank="10"/>
  </conditionalFormatting>
  <conditionalFormatting sqref="N436:N438">
    <cfRule type="top10" dxfId="677" priority="768" rank="10"/>
  </conditionalFormatting>
  <conditionalFormatting sqref="B433:B435">
    <cfRule type="duplicateValues" dxfId="676" priority="756"/>
  </conditionalFormatting>
  <conditionalFormatting sqref="V433:V435 T433:T435 R433:R435">
    <cfRule type="top10" dxfId="675" priority="757" rank="10"/>
  </conditionalFormatting>
  <conditionalFormatting sqref="X433:X435">
    <cfRule type="top10" dxfId="674" priority="758" rank="10"/>
  </conditionalFormatting>
  <conditionalFormatting sqref="Z433:Z435">
    <cfRule type="top10" dxfId="673" priority="759" rank="10"/>
  </conditionalFormatting>
  <conditionalFormatting sqref="AB433:AB435">
    <cfRule type="top10" dxfId="672" priority="761" rank="10"/>
  </conditionalFormatting>
  <conditionalFormatting sqref="AD433:AD435">
    <cfRule type="top10" dxfId="671" priority="762" rank="10"/>
  </conditionalFormatting>
  <conditionalFormatting sqref="AF433:AF435">
    <cfRule type="top10" dxfId="670" priority="763" rank="10"/>
  </conditionalFormatting>
  <conditionalFormatting sqref="AH433:AH435">
    <cfRule type="top10" dxfId="669" priority="764" rank="10"/>
  </conditionalFormatting>
  <conditionalFormatting sqref="AN433:AN435">
    <cfRule type="top10" dxfId="668" priority="755" rank="10"/>
  </conditionalFormatting>
  <conditionalFormatting sqref="C433:C435">
    <cfRule type="duplicateValues" dxfId="667" priority="765"/>
  </conditionalFormatting>
  <conditionalFormatting sqref="J433:J435 H433:H435 F433:F435">
    <cfRule type="top10" dxfId="666" priority="751" rank="10"/>
  </conditionalFormatting>
  <conditionalFormatting sqref="L433:L435">
    <cfRule type="top10" dxfId="665" priority="752" rank="10"/>
  </conditionalFormatting>
  <conditionalFormatting sqref="N433:N435">
    <cfRule type="top10" dxfId="664" priority="753" rank="10"/>
  </conditionalFormatting>
  <conditionalFormatting sqref="B430:B432">
    <cfRule type="duplicateValues" dxfId="663" priority="741"/>
  </conditionalFormatting>
  <conditionalFormatting sqref="V430:V432 T430:T432 R430:R432">
    <cfRule type="top10" dxfId="662" priority="742" rank="10"/>
  </conditionalFormatting>
  <conditionalFormatting sqref="X430:X432">
    <cfRule type="top10" dxfId="661" priority="743" rank="10"/>
  </conditionalFormatting>
  <conditionalFormatting sqref="Z430:Z432">
    <cfRule type="top10" dxfId="660" priority="744" rank="10"/>
  </conditionalFormatting>
  <conditionalFormatting sqref="AB430:AB432">
    <cfRule type="top10" dxfId="659" priority="746" rank="10"/>
  </conditionalFormatting>
  <conditionalFormatting sqref="AD430:AD432">
    <cfRule type="top10" dxfId="658" priority="747" rank="10"/>
  </conditionalFormatting>
  <conditionalFormatting sqref="AF430:AF432">
    <cfRule type="top10" dxfId="657" priority="748" rank="10"/>
  </conditionalFormatting>
  <conditionalFormatting sqref="AH430:AH432">
    <cfRule type="top10" dxfId="656" priority="749" rank="10"/>
  </conditionalFormatting>
  <conditionalFormatting sqref="AN430:AN432">
    <cfRule type="top10" dxfId="655" priority="740" rank="10"/>
  </conditionalFormatting>
  <conditionalFormatting sqref="C430:C432">
    <cfRule type="duplicateValues" dxfId="654" priority="750"/>
  </conditionalFormatting>
  <conditionalFormatting sqref="J430:J432 H431:H432 F430:F432">
    <cfRule type="top10" dxfId="653" priority="736" rank="10"/>
  </conditionalFormatting>
  <conditionalFormatting sqref="L430:L432">
    <cfRule type="top10" dxfId="652" priority="737" rank="10"/>
  </conditionalFormatting>
  <conditionalFormatting sqref="N430:N432">
    <cfRule type="top10" dxfId="651" priority="738" rank="10"/>
  </conditionalFormatting>
  <conditionalFormatting sqref="B428:B429">
    <cfRule type="duplicateValues" dxfId="650" priority="726"/>
  </conditionalFormatting>
  <conditionalFormatting sqref="R428:R429 T428:T429 V428:V429">
    <cfRule type="top10" dxfId="649" priority="727" rank="10"/>
  </conditionalFormatting>
  <conditionalFormatting sqref="X428:X429">
    <cfRule type="top10" dxfId="648" priority="728" rank="10"/>
  </conditionalFormatting>
  <conditionalFormatting sqref="Z428:Z429">
    <cfRule type="top10" dxfId="647" priority="729" rank="10"/>
  </conditionalFormatting>
  <conditionalFormatting sqref="AB428:AB429">
    <cfRule type="top10" dxfId="646" priority="731" rank="10"/>
  </conditionalFormatting>
  <conditionalFormatting sqref="AD428:AD429">
    <cfRule type="top10" dxfId="645" priority="732" rank="10"/>
  </conditionalFormatting>
  <conditionalFormatting sqref="AF428:AF429">
    <cfRule type="top10" dxfId="644" priority="733" rank="10"/>
  </conditionalFormatting>
  <conditionalFormatting sqref="AH428:AH429">
    <cfRule type="top10" dxfId="643" priority="734" rank="10"/>
  </conditionalFormatting>
  <conditionalFormatting sqref="AN428:AN429">
    <cfRule type="top10" dxfId="642" priority="725" rank="10"/>
  </conditionalFormatting>
  <conditionalFormatting sqref="C428:C429">
    <cfRule type="duplicateValues" dxfId="641" priority="735"/>
  </conditionalFormatting>
  <conditionalFormatting sqref="F428:F429 J428:J429">
    <cfRule type="top10" dxfId="640" priority="721" rank="10"/>
  </conditionalFormatting>
  <conditionalFormatting sqref="L428:L429">
    <cfRule type="top10" dxfId="639" priority="722" rank="10"/>
  </conditionalFormatting>
  <conditionalFormatting sqref="N428:N429">
    <cfRule type="top10" dxfId="638" priority="723" rank="10"/>
  </conditionalFormatting>
  <conditionalFormatting sqref="B493:B494">
    <cfRule type="duplicateValues" dxfId="637" priority="711"/>
  </conditionalFormatting>
  <conditionalFormatting sqref="V493:V494 T493:T494 R493:R494">
    <cfRule type="top10" dxfId="636" priority="712" rank="10"/>
  </conditionalFormatting>
  <conditionalFormatting sqref="X493:X494">
    <cfRule type="top10" dxfId="635" priority="713" rank="10"/>
  </conditionalFormatting>
  <conditionalFormatting sqref="Z493:Z494">
    <cfRule type="top10" dxfId="634" priority="714" rank="10"/>
  </conditionalFormatting>
  <conditionalFormatting sqref="AB493:AB494">
    <cfRule type="top10" dxfId="633" priority="716" rank="10"/>
  </conditionalFormatting>
  <conditionalFormatting sqref="AD493:AD494">
    <cfRule type="top10" dxfId="632" priority="717" rank="10"/>
  </conditionalFormatting>
  <conditionalFormatting sqref="AF493:AF494">
    <cfRule type="top10" dxfId="631" priority="718" rank="10"/>
  </conditionalFormatting>
  <conditionalFormatting sqref="AH493:AH494">
    <cfRule type="top10" dxfId="630" priority="719" rank="10"/>
  </conditionalFormatting>
  <conditionalFormatting sqref="AN493:AN494">
    <cfRule type="top10" dxfId="629" priority="710" rank="10"/>
  </conditionalFormatting>
  <conditionalFormatting sqref="C493:C494">
    <cfRule type="duplicateValues" dxfId="628" priority="720"/>
  </conditionalFormatting>
  <conditionalFormatting sqref="J493:J494 H493:H494 F493:F494">
    <cfRule type="top10" dxfId="627" priority="706" rank="10"/>
  </conditionalFormatting>
  <conditionalFormatting sqref="L493:L494">
    <cfRule type="top10" dxfId="626" priority="707" rank="10"/>
  </conditionalFormatting>
  <conditionalFormatting sqref="N493:N494">
    <cfRule type="top10" dxfId="625" priority="708" rank="10"/>
  </conditionalFormatting>
  <conditionalFormatting sqref="B490:B492">
    <cfRule type="duplicateValues" dxfId="624" priority="696"/>
  </conditionalFormatting>
  <conditionalFormatting sqref="V490:V492 T490:T492 R490:R492">
    <cfRule type="top10" dxfId="623" priority="697" rank="10"/>
  </conditionalFormatting>
  <conditionalFormatting sqref="X490:X492">
    <cfRule type="top10" dxfId="622" priority="698" rank="10"/>
  </conditionalFormatting>
  <conditionalFormatting sqref="Z490:Z492">
    <cfRule type="top10" dxfId="621" priority="699" rank="10"/>
  </conditionalFormatting>
  <conditionalFormatting sqref="AB490:AB492">
    <cfRule type="top10" dxfId="620" priority="701" rank="10"/>
  </conditionalFormatting>
  <conditionalFormatting sqref="AD490:AD492">
    <cfRule type="top10" dxfId="619" priority="702" rank="10"/>
  </conditionalFormatting>
  <conditionalFormatting sqref="AF490:AF492">
    <cfRule type="top10" dxfId="618" priority="703" rank="10"/>
  </conditionalFormatting>
  <conditionalFormatting sqref="AH490:AH492">
    <cfRule type="top10" dxfId="617" priority="704" rank="10"/>
  </conditionalFormatting>
  <conditionalFormatting sqref="AN490:AN492">
    <cfRule type="top10" dxfId="616" priority="695" rank="10"/>
  </conditionalFormatting>
  <conditionalFormatting sqref="C490:C492">
    <cfRule type="duplicateValues" dxfId="615" priority="705"/>
  </conditionalFormatting>
  <conditionalFormatting sqref="J490:J492 H490:H492 F490:F492">
    <cfRule type="top10" dxfId="614" priority="691" rank="10"/>
  </conditionalFormatting>
  <conditionalFormatting sqref="L490:L492">
    <cfRule type="top10" dxfId="613" priority="692" rank="10"/>
  </conditionalFormatting>
  <conditionalFormatting sqref="N490:N492">
    <cfRule type="top10" dxfId="612" priority="693" rank="10"/>
  </conditionalFormatting>
  <conditionalFormatting sqref="B487:B489">
    <cfRule type="duplicateValues" dxfId="611" priority="681"/>
  </conditionalFormatting>
  <conditionalFormatting sqref="V487:V489 T487:T489 R487:R489">
    <cfRule type="top10" dxfId="610" priority="682" rank="10"/>
  </conditionalFormatting>
  <conditionalFormatting sqref="X487:X489">
    <cfRule type="top10" dxfId="609" priority="683" rank="10"/>
  </conditionalFormatting>
  <conditionalFormatting sqref="Z487:Z489">
    <cfRule type="top10" dxfId="608" priority="684" rank="10"/>
  </conditionalFormatting>
  <conditionalFormatting sqref="AB487:AB489">
    <cfRule type="top10" dxfId="607" priority="686" rank="10"/>
  </conditionalFormatting>
  <conditionalFormatting sqref="AD487:AD489">
    <cfRule type="top10" dxfId="606" priority="687" rank="10"/>
  </conditionalFormatting>
  <conditionalFormatting sqref="AF487:AF489">
    <cfRule type="top10" dxfId="605" priority="688" rank="10"/>
  </conditionalFormatting>
  <conditionalFormatting sqref="AH487:AH489">
    <cfRule type="top10" dxfId="604" priority="689" rank="10"/>
  </conditionalFormatting>
  <conditionalFormatting sqref="AN487:AN489">
    <cfRule type="top10" dxfId="603" priority="680" rank="10"/>
  </conditionalFormatting>
  <conditionalFormatting sqref="C487:C489">
    <cfRule type="duplicateValues" dxfId="602" priority="690"/>
  </conditionalFormatting>
  <conditionalFormatting sqref="J487:J489 H487:H489 F487:F489">
    <cfRule type="top10" dxfId="601" priority="676" rank="10"/>
  </conditionalFormatting>
  <conditionalFormatting sqref="L487:L489">
    <cfRule type="top10" dxfId="600" priority="677" rank="10"/>
  </conditionalFormatting>
  <conditionalFormatting sqref="N487:N489">
    <cfRule type="top10" dxfId="599" priority="678" rank="10"/>
  </conditionalFormatting>
  <conditionalFormatting sqref="B485:B486">
    <cfRule type="duplicateValues" dxfId="598" priority="666"/>
  </conditionalFormatting>
  <conditionalFormatting sqref="R485:R486 T485:T486 V485:V486">
    <cfRule type="top10" dxfId="597" priority="667" rank="10"/>
  </conditionalFormatting>
  <conditionalFormatting sqref="X485:X486">
    <cfRule type="top10" dxfId="596" priority="668" rank="10"/>
  </conditionalFormatting>
  <conditionalFormatting sqref="Z485:Z486">
    <cfRule type="top10" dxfId="595" priority="669" rank="10"/>
  </conditionalFormatting>
  <conditionalFormatting sqref="AB485:AB486">
    <cfRule type="top10" dxfId="594" priority="671" rank="10"/>
  </conditionalFormatting>
  <conditionalFormatting sqref="AD485:AD486">
    <cfRule type="top10" dxfId="593" priority="672" rank="10"/>
  </conditionalFormatting>
  <conditionalFormatting sqref="AF485:AF486">
    <cfRule type="top10" dxfId="592" priority="673" rank="10"/>
  </conditionalFormatting>
  <conditionalFormatting sqref="AH485:AH486">
    <cfRule type="top10" dxfId="591" priority="674" rank="10"/>
  </conditionalFormatting>
  <conditionalFormatting sqref="AN485:AN486">
    <cfRule type="top10" dxfId="590" priority="665" rank="10"/>
  </conditionalFormatting>
  <conditionalFormatting sqref="C485:C486">
    <cfRule type="duplicateValues" dxfId="589" priority="675"/>
  </conditionalFormatting>
  <conditionalFormatting sqref="F485:F486 H485:H486 J485:J486">
    <cfRule type="top10" dxfId="588" priority="661" rank="10"/>
  </conditionalFormatting>
  <conditionalFormatting sqref="L485:L486">
    <cfRule type="top10" dxfId="587" priority="662" rank="10"/>
  </conditionalFormatting>
  <conditionalFormatting sqref="N485:N486">
    <cfRule type="top10" dxfId="586" priority="663" rank="10"/>
  </conditionalFormatting>
  <conditionalFormatting sqref="B482:B484">
    <cfRule type="duplicateValues" dxfId="585" priority="651"/>
  </conditionalFormatting>
  <conditionalFormatting sqref="V482:V484 T482:T484 R482:R484">
    <cfRule type="top10" dxfId="584" priority="652" rank="10"/>
  </conditionalFormatting>
  <conditionalFormatting sqref="X482:X484">
    <cfRule type="top10" dxfId="583" priority="653" rank="10"/>
  </conditionalFormatting>
  <conditionalFormatting sqref="Z482:Z484">
    <cfRule type="top10" dxfId="582" priority="654" rank="10"/>
  </conditionalFormatting>
  <conditionalFormatting sqref="AB482:AB484">
    <cfRule type="top10" dxfId="581" priority="656" rank="10"/>
  </conditionalFormatting>
  <conditionalFormatting sqref="AD482:AD484">
    <cfRule type="top10" dxfId="580" priority="657" rank="10"/>
  </conditionalFormatting>
  <conditionalFormatting sqref="AF482:AF484">
    <cfRule type="top10" dxfId="579" priority="658" rank="10"/>
  </conditionalFormatting>
  <conditionalFormatting sqref="AH482:AH484">
    <cfRule type="top10" dxfId="578" priority="659" rank="10"/>
  </conditionalFormatting>
  <conditionalFormatting sqref="AN482:AN484">
    <cfRule type="top10" dxfId="577" priority="650" rank="10"/>
  </conditionalFormatting>
  <conditionalFormatting sqref="C482:C484">
    <cfRule type="duplicateValues" dxfId="576" priority="660"/>
  </conditionalFormatting>
  <conditionalFormatting sqref="J482:J484 H482:H484 F482:F484">
    <cfRule type="top10" dxfId="575" priority="646" rank="10"/>
  </conditionalFormatting>
  <conditionalFormatting sqref="L482:L484">
    <cfRule type="top10" dxfId="574" priority="647" rank="10"/>
  </conditionalFormatting>
  <conditionalFormatting sqref="N482:N484">
    <cfRule type="top10" dxfId="573" priority="648" rank="10"/>
  </conditionalFormatting>
  <conditionalFormatting sqref="B479:B481">
    <cfRule type="duplicateValues" dxfId="572" priority="636"/>
  </conditionalFormatting>
  <conditionalFormatting sqref="V479:V481 T479:T481 R479:R481">
    <cfRule type="top10" dxfId="571" priority="637" rank="10"/>
  </conditionalFormatting>
  <conditionalFormatting sqref="X479:X481">
    <cfRule type="top10" dxfId="570" priority="638" rank="10"/>
  </conditionalFormatting>
  <conditionalFormatting sqref="Z479:Z481">
    <cfRule type="top10" dxfId="569" priority="639" rank="10"/>
  </conditionalFormatting>
  <conditionalFormatting sqref="AB479:AB481">
    <cfRule type="top10" dxfId="568" priority="641" rank="10"/>
  </conditionalFormatting>
  <conditionalFormatting sqref="AD479:AD481">
    <cfRule type="top10" dxfId="567" priority="642" rank="10"/>
  </conditionalFormatting>
  <conditionalFormatting sqref="AF479:AF481">
    <cfRule type="top10" dxfId="566" priority="643" rank="10"/>
  </conditionalFormatting>
  <conditionalFormatting sqref="AH479:AH481">
    <cfRule type="top10" dxfId="565" priority="644" rank="10"/>
  </conditionalFormatting>
  <conditionalFormatting sqref="AN479:AN481">
    <cfRule type="top10" dxfId="564" priority="635" rank="10"/>
  </conditionalFormatting>
  <conditionalFormatting sqref="C479:C481">
    <cfRule type="duplicateValues" dxfId="563" priority="645"/>
  </conditionalFormatting>
  <conditionalFormatting sqref="J479:J481 H479:H481 F479:F481">
    <cfRule type="top10" dxfId="562" priority="631" rank="10"/>
  </conditionalFormatting>
  <conditionalFormatting sqref="L479:L481">
    <cfRule type="top10" dxfId="561" priority="632" rank="10"/>
  </conditionalFormatting>
  <conditionalFormatting sqref="N479:N481">
    <cfRule type="top10" dxfId="560" priority="633" rank="10"/>
  </conditionalFormatting>
  <conditionalFormatting sqref="B478">
    <cfRule type="duplicateValues" dxfId="559" priority="621"/>
  </conditionalFormatting>
  <conditionalFormatting sqref="R478 T478 V478">
    <cfRule type="top10" dxfId="558" priority="622" rank="10"/>
  </conditionalFormatting>
  <conditionalFormatting sqref="X478">
    <cfRule type="top10" dxfId="557" priority="623" rank="10"/>
  </conditionalFormatting>
  <conditionalFormatting sqref="Z478">
    <cfRule type="top10" dxfId="556" priority="624" rank="10"/>
  </conditionalFormatting>
  <conditionalFormatting sqref="AB478">
    <cfRule type="top10" dxfId="555" priority="626" rank="10"/>
  </conditionalFormatting>
  <conditionalFormatting sqref="AD478">
    <cfRule type="top10" dxfId="554" priority="627" rank="10"/>
  </conditionalFormatting>
  <conditionalFormatting sqref="AF478">
    <cfRule type="top10" dxfId="553" priority="628" rank="10"/>
  </conditionalFormatting>
  <conditionalFormatting sqref="AH478">
    <cfRule type="top10" dxfId="552" priority="629" rank="10"/>
  </conditionalFormatting>
  <conditionalFormatting sqref="AN478">
    <cfRule type="top10" dxfId="551" priority="620" rank="10"/>
  </conditionalFormatting>
  <conditionalFormatting sqref="C478">
    <cfRule type="duplicateValues" dxfId="550" priority="630"/>
  </conditionalFormatting>
  <conditionalFormatting sqref="F478 H478 J478">
    <cfRule type="top10" dxfId="549" priority="616" rank="10"/>
  </conditionalFormatting>
  <conditionalFormatting sqref="L478">
    <cfRule type="top10" dxfId="548" priority="617" rank="10"/>
  </conditionalFormatting>
  <conditionalFormatting sqref="N478">
    <cfRule type="top10" dxfId="547" priority="618" rank="10"/>
  </conditionalFormatting>
  <conditionalFormatting sqref="B452">
    <cfRule type="duplicateValues" dxfId="546" priority="606"/>
  </conditionalFormatting>
  <conditionalFormatting sqref="V452 T452 R452">
    <cfRule type="top10" dxfId="545" priority="607" rank="10"/>
  </conditionalFormatting>
  <conditionalFormatting sqref="X452">
    <cfRule type="top10" dxfId="544" priority="608" rank="10"/>
  </conditionalFormatting>
  <conditionalFormatting sqref="Z452">
    <cfRule type="top10" dxfId="543" priority="609" rank="10"/>
  </conditionalFormatting>
  <conditionalFormatting sqref="AB452">
    <cfRule type="top10" dxfId="542" priority="611" rank="10"/>
  </conditionalFormatting>
  <conditionalFormatting sqref="AD452">
    <cfRule type="top10" dxfId="541" priority="612" rank="10"/>
  </conditionalFormatting>
  <conditionalFormatting sqref="AF452">
    <cfRule type="top10" dxfId="540" priority="613" rank="10"/>
  </conditionalFormatting>
  <conditionalFormatting sqref="AH452">
    <cfRule type="top10" dxfId="539" priority="614" rank="10"/>
  </conditionalFormatting>
  <conditionalFormatting sqref="AN452">
    <cfRule type="top10" dxfId="538" priority="605" rank="10"/>
  </conditionalFormatting>
  <conditionalFormatting sqref="C452">
    <cfRule type="duplicateValues" dxfId="537" priority="615"/>
  </conditionalFormatting>
  <conditionalFormatting sqref="J452 H452 F452">
    <cfRule type="top10" dxfId="536" priority="601" rank="10"/>
  </conditionalFormatting>
  <conditionalFormatting sqref="L452">
    <cfRule type="top10" dxfId="535" priority="602" rank="10"/>
  </conditionalFormatting>
  <conditionalFormatting sqref="N452">
    <cfRule type="top10" dxfId="534" priority="603" rank="10"/>
  </conditionalFormatting>
  <conditionalFormatting sqref="B475:B476">
    <cfRule type="duplicateValues" dxfId="533" priority="591"/>
  </conditionalFormatting>
  <conditionalFormatting sqref="R475:R476 T475:T476 V475:V476">
    <cfRule type="top10" dxfId="532" priority="592" rank="10"/>
  </conditionalFormatting>
  <conditionalFormatting sqref="X475:X476">
    <cfRule type="top10" dxfId="531" priority="593" rank="10"/>
  </conditionalFormatting>
  <conditionalFormatting sqref="Z475:Z476">
    <cfRule type="top10" dxfId="530" priority="594" rank="10"/>
  </conditionalFormatting>
  <conditionalFormatting sqref="AB475:AB476">
    <cfRule type="top10" dxfId="529" priority="596" rank="10"/>
  </conditionalFormatting>
  <conditionalFormatting sqref="AD475:AD476">
    <cfRule type="top10" dxfId="528" priority="597" rank="10"/>
  </conditionalFormatting>
  <conditionalFormatting sqref="AF475:AF476">
    <cfRule type="top10" dxfId="527" priority="598" rank="10"/>
  </conditionalFormatting>
  <conditionalFormatting sqref="AH475:AH476">
    <cfRule type="top10" dxfId="526" priority="599" rank="10"/>
  </conditionalFormatting>
  <conditionalFormatting sqref="AN475:AN476">
    <cfRule type="top10" dxfId="525" priority="590" rank="10"/>
  </conditionalFormatting>
  <conditionalFormatting sqref="C475:C476">
    <cfRule type="duplicateValues" dxfId="524" priority="600"/>
  </conditionalFormatting>
  <conditionalFormatting sqref="F475:F476 H475:H476 J475:J476">
    <cfRule type="top10" dxfId="523" priority="586" rank="10"/>
  </conditionalFormatting>
  <conditionalFormatting sqref="L475:L476">
    <cfRule type="top10" dxfId="522" priority="587" rank="10"/>
  </conditionalFormatting>
  <conditionalFormatting sqref="N475:N476">
    <cfRule type="top10" dxfId="521" priority="588" rank="10"/>
  </conditionalFormatting>
  <conditionalFormatting sqref="B472:B474">
    <cfRule type="duplicateValues" dxfId="520" priority="576"/>
  </conditionalFormatting>
  <conditionalFormatting sqref="V472:V474 T472:T474 R472:R474">
    <cfRule type="top10" dxfId="519" priority="577" rank="10"/>
  </conditionalFormatting>
  <conditionalFormatting sqref="X472:X474">
    <cfRule type="top10" dxfId="518" priority="578" rank="10"/>
  </conditionalFormatting>
  <conditionalFormatting sqref="Z472:Z474">
    <cfRule type="top10" dxfId="517" priority="579" rank="10"/>
  </conditionalFormatting>
  <conditionalFormatting sqref="AB472:AB474">
    <cfRule type="top10" dxfId="516" priority="581" rank="10"/>
  </conditionalFormatting>
  <conditionalFormatting sqref="AD472:AD474">
    <cfRule type="top10" dxfId="515" priority="582" rank="10"/>
  </conditionalFormatting>
  <conditionalFormatting sqref="AF472:AF474">
    <cfRule type="top10" dxfId="514" priority="583" rank="10"/>
  </conditionalFormatting>
  <conditionalFormatting sqref="AH472:AH474">
    <cfRule type="top10" dxfId="513" priority="584" rank="10"/>
  </conditionalFormatting>
  <conditionalFormatting sqref="AN472:AN474">
    <cfRule type="top10" dxfId="512" priority="575" rank="10"/>
  </conditionalFormatting>
  <conditionalFormatting sqref="C472:C474">
    <cfRule type="duplicateValues" dxfId="511" priority="585"/>
  </conditionalFormatting>
  <conditionalFormatting sqref="J472:J474 H472:H474 F472:F474">
    <cfRule type="top10" dxfId="510" priority="571" rank="10"/>
  </conditionalFormatting>
  <conditionalFormatting sqref="L472:L474">
    <cfRule type="top10" dxfId="509" priority="572" rank="10"/>
  </conditionalFormatting>
  <conditionalFormatting sqref="N472:N474">
    <cfRule type="top10" dxfId="508" priority="573" rank="10"/>
  </conditionalFormatting>
  <conditionalFormatting sqref="B469:B471">
    <cfRule type="duplicateValues" dxfId="507" priority="561"/>
  </conditionalFormatting>
  <conditionalFormatting sqref="V469:V471 T469:T471 R469:R471">
    <cfRule type="top10" dxfId="506" priority="562" rank="10"/>
  </conditionalFormatting>
  <conditionalFormatting sqref="X469:X471">
    <cfRule type="top10" dxfId="505" priority="563" rank="10"/>
  </conditionalFormatting>
  <conditionalFormatting sqref="Z469:Z471">
    <cfRule type="top10" dxfId="504" priority="564" rank="10"/>
  </conditionalFormatting>
  <conditionalFormatting sqref="AB469:AB471">
    <cfRule type="top10" dxfId="503" priority="566" rank="10"/>
  </conditionalFormatting>
  <conditionalFormatting sqref="AD469:AD471">
    <cfRule type="top10" dxfId="502" priority="567" rank="10"/>
  </conditionalFormatting>
  <conditionalFormatting sqref="AF469:AF471">
    <cfRule type="top10" dxfId="501" priority="568" rank="10"/>
  </conditionalFormatting>
  <conditionalFormatting sqref="AH469:AH471">
    <cfRule type="top10" dxfId="500" priority="569" rank="10"/>
  </conditionalFormatting>
  <conditionalFormatting sqref="AN469:AN471">
    <cfRule type="top10" dxfId="499" priority="560" rank="10"/>
  </conditionalFormatting>
  <conditionalFormatting sqref="C469:C471">
    <cfRule type="duplicateValues" dxfId="498" priority="570"/>
  </conditionalFormatting>
  <conditionalFormatting sqref="J469:J471 H469:H471 F469:F471">
    <cfRule type="top10" dxfId="497" priority="556" rank="10"/>
  </conditionalFormatting>
  <conditionalFormatting sqref="L469:L471">
    <cfRule type="top10" dxfId="496" priority="557" rank="10"/>
  </conditionalFormatting>
  <conditionalFormatting sqref="N469:N471">
    <cfRule type="top10" dxfId="495" priority="558" rank="10"/>
  </conditionalFormatting>
  <conditionalFormatting sqref="B466:B468">
    <cfRule type="duplicateValues" dxfId="494" priority="546"/>
  </conditionalFormatting>
  <conditionalFormatting sqref="V466:V468 T466:T468 R466:R468">
    <cfRule type="top10" dxfId="493" priority="547" rank="10"/>
  </conditionalFormatting>
  <conditionalFormatting sqref="X466:X468">
    <cfRule type="top10" dxfId="492" priority="548" rank="10"/>
  </conditionalFormatting>
  <conditionalFormatting sqref="Z466:Z468">
    <cfRule type="top10" dxfId="491" priority="549" rank="10"/>
  </conditionalFormatting>
  <conditionalFormatting sqref="AB466:AB468">
    <cfRule type="top10" dxfId="490" priority="551" rank="10"/>
  </conditionalFormatting>
  <conditionalFormatting sqref="AD466:AD468">
    <cfRule type="top10" dxfId="489" priority="552" rank="10"/>
  </conditionalFormatting>
  <conditionalFormatting sqref="AF466:AF468">
    <cfRule type="top10" dxfId="488" priority="553" rank="10"/>
  </conditionalFormatting>
  <conditionalFormatting sqref="AH466:AH468">
    <cfRule type="top10" dxfId="487" priority="554" rank="10"/>
  </conditionalFormatting>
  <conditionalFormatting sqref="AN466:AN468">
    <cfRule type="top10" dxfId="486" priority="545" rank="10"/>
  </conditionalFormatting>
  <conditionalFormatting sqref="C466:C468">
    <cfRule type="duplicateValues" dxfId="485" priority="555"/>
  </conditionalFormatting>
  <conditionalFormatting sqref="J466:J468 H466:H468 F466:F468">
    <cfRule type="top10" dxfId="484" priority="541" rank="10"/>
  </conditionalFormatting>
  <conditionalFormatting sqref="L466:L468">
    <cfRule type="top10" dxfId="483" priority="542" rank="10"/>
  </conditionalFormatting>
  <conditionalFormatting sqref="N466:N468">
    <cfRule type="top10" dxfId="482" priority="543" rank="10"/>
  </conditionalFormatting>
  <conditionalFormatting sqref="B464:B465">
    <cfRule type="duplicateValues" dxfId="481" priority="531"/>
  </conditionalFormatting>
  <conditionalFormatting sqref="R464:R465 T464:T465 V464:V465">
    <cfRule type="top10" dxfId="480" priority="532" rank="10"/>
  </conditionalFormatting>
  <conditionalFormatting sqref="X464:X465">
    <cfRule type="top10" dxfId="479" priority="533" rank="10"/>
  </conditionalFormatting>
  <conditionalFormatting sqref="Z464:Z465">
    <cfRule type="top10" dxfId="478" priority="534" rank="10"/>
  </conditionalFormatting>
  <conditionalFormatting sqref="AB464:AB465">
    <cfRule type="top10" dxfId="477" priority="536" rank="10"/>
  </conditionalFormatting>
  <conditionalFormatting sqref="AD464:AD465">
    <cfRule type="top10" dxfId="476" priority="537" rank="10"/>
  </conditionalFormatting>
  <conditionalFormatting sqref="AF464:AF465">
    <cfRule type="top10" dxfId="475" priority="538" rank="10"/>
  </conditionalFormatting>
  <conditionalFormatting sqref="AH464:AH465">
    <cfRule type="top10" dxfId="474" priority="539" rank="10"/>
  </conditionalFormatting>
  <conditionalFormatting sqref="AN464:AN465">
    <cfRule type="top10" dxfId="473" priority="530" rank="10"/>
  </conditionalFormatting>
  <conditionalFormatting sqref="C464:C465">
    <cfRule type="duplicateValues" dxfId="472" priority="540"/>
  </conditionalFormatting>
  <conditionalFormatting sqref="F464:F465 H464:H465 J464:J465">
    <cfRule type="top10" dxfId="471" priority="526" rank="10"/>
  </conditionalFormatting>
  <conditionalFormatting sqref="L464:L465">
    <cfRule type="top10" dxfId="470" priority="527" rank="10"/>
  </conditionalFormatting>
  <conditionalFormatting sqref="N464:N465">
    <cfRule type="top10" dxfId="469" priority="528" rank="10"/>
  </conditionalFormatting>
  <conditionalFormatting sqref="B461:B463">
    <cfRule type="duplicateValues" dxfId="468" priority="516"/>
  </conditionalFormatting>
  <conditionalFormatting sqref="V461:V463 T461:T463 R461:R463">
    <cfRule type="top10" dxfId="467" priority="517" rank="10"/>
  </conditionalFormatting>
  <conditionalFormatting sqref="X461:X463">
    <cfRule type="top10" dxfId="466" priority="518" rank="10"/>
  </conditionalFormatting>
  <conditionalFormatting sqref="Z461:Z463">
    <cfRule type="top10" dxfId="465" priority="519" rank="10"/>
  </conditionalFormatting>
  <conditionalFormatting sqref="AB461:AB463">
    <cfRule type="top10" dxfId="464" priority="521" rank="10"/>
  </conditionalFormatting>
  <conditionalFormatting sqref="AD461:AD463">
    <cfRule type="top10" dxfId="463" priority="522" rank="10"/>
  </conditionalFormatting>
  <conditionalFormatting sqref="AF461:AF463">
    <cfRule type="top10" dxfId="462" priority="523" rank="10"/>
  </conditionalFormatting>
  <conditionalFormatting sqref="AH461:AH463">
    <cfRule type="top10" dxfId="461" priority="524" rank="10"/>
  </conditionalFormatting>
  <conditionalFormatting sqref="AN461:AN463">
    <cfRule type="top10" dxfId="460" priority="515" rank="10"/>
  </conditionalFormatting>
  <conditionalFormatting sqref="C461:C463">
    <cfRule type="duplicateValues" dxfId="459" priority="525"/>
  </conditionalFormatting>
  <conditionalFormatting sqref="J461:J463 H461:H463 F461:F463">
    <cfRule type="top10" dxfId="458" priority="511" rank="10"/>
  </conditionalFormatting>
  <conditionalFormatting sqref="L461:L463">
    <cfRule type="top10" dxfId="457" priority="512" rank="10"/>
  </conditionalFormatting>
  <conditionalFormatting sqref="N461:N463">
    <cfRule type="top10" dxfId="456" priority="513" rank="10"/>
  </conditionalFormatting>
  <conditionalFormatting sqref="B458:B460">
    <cfRule type="duplicateValues" dxfId="455" priority="501"/>
  </conditionalFormatting>
  <conditionalFormatting sqref="V458:V460 T458:T460 R458:R460">
    <cfRule type="top10" dxfId="454" priority="502" rank="10"/>
  </conditionalFormatting>
  <conditionalFormatting sqref="X458:X460">
    <cfRule type="top10" dxfId="453" priority="503" rank="10"/>
  </conditionalFormatting>
  <conditionalFormatting sqref="Z458:Z460">
    <cfRule type="top10" dxfId="452" priority="504" rank="10"/>
  </conditionalFormatting>
  <conditionalFormatting sqref="AB458:AB460">
    <cfRule type="top10" dxfId="451" priority="506" rank="10"/>
  </conditionalFormatting>
  <conditionalFormatting sqref="AD458:AD460">
    <cfRule type="top10" dxfId="450" priority="507" rank="10"/>
  </conditionalFormatting>
  <conditionalFormatting sqref="AF458:AF460">
    <cfRule type="top10" dxfId="449" priority="508" rank="10"/>
  </conditionalFormatting>
  <conditionalFormatting sqref="AH458:AH460">
    <cfRule type="top10" dxfId="448" priority="509" rank="10"/>
  </conditionalFormatting>
  <conditionalFormatting sqref="AN458:AN460">
    <cfRule type="top10" dxfId="447" priority="500" rank="10"/>
  </conditionalFormatting>
  <conditionalFormatting sqref="C458:C460">
    <cfRule type="duplicateValues" dxfId="446" priority="510"/>
  </conditionalFormatting>
  <conditionalFormatting sqref="J458:J460 H458:H460 F458:F460">
    <cfRule type="top10" dxfId="445" priority="496" rank="10"/>
  </conditionalFormatting>
  <conditionalFormatting sqref="L458:L460">
    <cfRule type="top10" dxfId="444" priority="497" rank="10"/>
  </conditionalFormatting>
  <conditionalFormatting sqref="N458:N460">
    <cfRule type="top10" dxfId="443" priority="498" rank="10"/>
  </conditionalFormatting>
  <conditionalFormatting sqref="B455:B457">
    <cfRule type="duplicateValues" dxfId="442" priority="486"/>
  </conditionalFormatting>
  <conditionalFormatting sqref="V455:V457 T455:T457 R455:R457">
    <cfRule type="top10" dxfId="441" priority="487" rank="10"/>
  </conditionalFormatting>
  <conditionalFormatting sqref="X455:X457">
    <cfRule type="top10" dxfId="440" priority="488" rank="10"/>
  </conditionalFormatting>
  <conditionalFormatting sqref="Z455:Z457">
    <cfRule type="top10" dxfId="439" priority="489" rank="10"/>
  </conditionalFormatting>
  <conditionalFormatting sqref="AB455:AB457">
    <cfRule type="top10" dxfId="438" priority="491" rank="10"/>
  </conditionalFormatting>
  <conditionalFormatting sqref="AD455:AD457">
    <cfRule type="top10" dxfId="437" priority="492" rank="10"/>
  </conditionalFormatting>
  <conditionalFormatting sqref="AF455:AF457">
    <cfRule type="top10" dxfId="436" priority="493" rank="10"/>
  </conditionalFormatting>
  <conditionalFormatting sqref="AH455:AH457">
    <cfRule type="top10" dxfId="435" priority="494" rank="10"/>
  </conditionalFormatting>
  <conditionalFormatting sqref="AN455:AN457">
    <cfRule type="top10" dxfId="434" priority="485" rank="10"/>
  </conditionalFormatting>
  <conditionalFormatting sqref="C455:C457">
    <cfRule type="duplicateValues" dxfId="433" priority="495"/>
  </conditionalFormatting>
  <conditionalFormatting sqref="J455:J457 H455:H457 F455:F457">
    <cfRule type="top10" dxfId="432" priority="481" rank="10"/>
  </conditionalFormatting>
  <conditionalFormatting sqref="L455:L457">
    <cfRule type="top10" dxfId="431" priority="482" rank="10"/>
  </conditionalFormatting>
  <conditionalFormatting sqref="N455:N457">
    <cfRule type="top10" dxfId="430" priority="483" rank="10"/>
  </conditionalFormatting>
  <conditionalFormatting sqref="B453:B454">
    <cfRule type="duplicateValues" dxfId="429" priority="471"/>
  </conditionalFormatting>
  <conditionalFormatting sqref="R453:R454 T453:T454 V453:V454">
    <cfRule type="top10" dxfId="428" priority="472" rank="10"/>
  </conditionalFormatting>
  <conditionalFormatting sqref="X453:X454">
    <cfRule type="top10" dxfId="427" priority="473" rank="10"/>
  </conditionalFormatting>
  <conditionalFormatting sqref="Z453:Z454">
    <cfRule type="top10" dxfId="426" priority="474" rank="10"/>
  </conditionalFormatting>
  <conditionalFormatting sqref="AB453:AB454">
    <cfRule type="top10" dxfId="425" priority="476" rank="10"/>
  </conditionalFormatting>
  <conditionalFormatting sqref="AD453:AD454">
    <cfRule type="top10" dxfId="424" priority="477" rank="10"/>
  </conditionalFormatting>
  <conditionalFormatting sqref="AF453:AF454">
    <cfRule type="top10" dxfId="423" priority="478" rank="10"/>
  </conditionalFormatting>
  <conditionalFormatting sqref="AH453:AH454">
    <cfRule type="top10" dxfId="422" priority="479" rank="10"/>
  </conditionalFormatting>
  <conditionalFormatting sqref="AN453:AN454">
    <cfRule type="top10" dxfId="421" priority="470" rank="10"/>
  </conditionalFormatting>
  <conditionalFormatting sqref="C453:C454">
    <cfRule type="duplicateValues" dxfId="420" priority="480"/>
  </conditionalFormatting>
  <conditionalFormatting sqref="F453:F454 H453:H454 J453:J454">
    <cfRule type="top10" dxfId="419" priority="466" rank="10"/>
  </conditionalFormatting>
  <conditionalFormatting sqref="L453:L454">
    <cfRule type="top10" dxfId="418" priority="467" rank="10"/>
  </conditionalFormatting>
  <conditionalFormatting sqref="N453:N454">
    <cfRule type="top10" dxfId="417" priority="468" rank="10"/>
  </conditionalFormatting>
  <conditionalFormatting sqref="B503:B505">
    <cfRule type="duplicateValues" dxfId="416" priority="366"/>
  </conditionalFormatting>
  <conditionalFormatting sqref="V503:V505 T503:T505 R503:R505">
    <cfRule type="top10" dxfId="415" priority="367" rank="10"/>
  </conditionalFormatting>
  <conditionalFormatting sqref="X503:X505">
    <cfRule type="top10" dxfId="414" priority="368" rank="10"/>
  </conditionalFormatting>
  <conditionalFormatting sqref="Z503:Z505">
    <cfRule type="top10" dxfId="413" priority="369" rank="10"/>
  </conditionalFormatting>
  <conditionalFormatting sqref="AB503:AB505">
    <cfRule type="top10" dxfId="412" priority="371" rank="10"/>
  </conditionalFormatting>
  <conditionalFormatting sqref="AD503:AD505">
    <cfRule type="top10" dxfId="411" priority="372" rank="10"/>
  </conditionalFormatting>
  <conditionalFormatting sqref="AF503:AF505">
    <cfRule type="top10" dxfId="410" priority="373" rank="10"/>
  </conditionalFormatting>
  <conditionalFormatting sqref="AH503:AH505">
    <cfRule type="top10" dxfId="409" priority="374" rank="10"/>
  </conditionalFormatting>
  <conditionalFormatting sqref="AN503:AN505">
    <cfRule type="top10" dxfId="408" priority="365" rank="10"/>
  </conditionalFormatting>
  <conditionalFormatting sqref="C503:C505">
    <cfRule type="duplicateValues" dxfId="407" priority="375"/>
  </conditionalFormatting>
  <conditionalFormatting sqref="J503:J505 H503:H505 F503:F505">
    <cfRule type="top10" dxfId="406" priority="361" rank="10"/>
  </conditionalFormatting>
  <conditionalFormatting sqref="L503:L505">
    <cfRule type="top10" dxfId="405" priority="362" rank="10"/>
  </conditionalFormatting>
  <conditionalFormatting sqref="N503:N505">
    <cfRule type="top10" dxfId="404" priority="363" rank="10"/>
  </conditionalFormatting>
  <conditionalFormatting sqref="B541:B542">
    <cfRule type="duplicateValues" dxfId="403" priority="321"/>
  </conditionalFormatting>
  <conditionalFormatting sqref="V541:V542 T541:T542 R541:R542">
    <cfRule type="top10" dxfId="402" priority="322" rank="10"/>
  </conditionalFormatting>
  <conditionalFormatting sqref="X541:X542">
    <cfRule type="top10" dxfId="401" priority="323" rank="10"/>
  </conditionalFormatting>
  <conditionalFormatting sqref="Z541:Z542">
    <cfRule type="top10" dxfId="400" priority="324" rank="10"/>
  </conditionalFormatting>
  <conditionalFormatting sqref="AB541:AB542">
    <cfRule type="top10" dxfId="399" priority="326" rank="10"/>
  </conditionalFormatting>
  <conditionalFormatting sqref="AD541:AD542">
    <cfRule type="top10" dxfId="398" priority="327" rank="10"/>
  </conditionalFormatting>
  <conditionalFormatting sqref="AF541:AF542">
    <cfRule type="top10" dxfId="397" priority="328" rank="10"/>
  </conditionalFormatting>
  <conditionalFormatting sqref="AH541:AH542">
    <cfRule type="top10" dxfId="396" priority="329" rank="10"/>
  </conditionalFormatting>
  <conditionalFormatting sqref="AN541:AN542">
    <cfRule type="top10" dxfId="395" priority="320" rank="10"/>
  </conditionalFormatting>
  <conditionalFormatting sqref="C541:C542">
    <cfRule type="duplicateValues" dxfId="394" priority="330"/>
  </conditionalFormatting>
  <conditionalFormatting sqref="J541:J542 H541:H542 F541:F542">
    <cfRule type="top10" dxfId="393" priority="316" rank="10"/>
  </conditionalFormatting>
  <conditionalFormatting sqref="L541:L542">
    <cfRule type="top10" dxfId="392" priority="317" rank="10"/>
  </conditionalFormatting>
  <conditionalFormatting sqref="N541:N542">
    <cfRule type="top10" dxfId="391" priority="318" rank="10"/>
  </conditionalFormatting>
  <conditionalFormatting sqref="P541:P542">
    <cfRule type="top10" dxfId="390" priority="319" rank="10"/>
  </conditionalFormatting>
  <conditionalFormatting sqref="B538:B540">
    <cfRule type="duplicateValues" dxfId="389" priority="306"/>
  </conditionalFormatting>
  <conditionalFormatting sqref="V538:V540 T538:T540 R538:R540">
    <cfRule type="top10" dxfId="388" priority="307" rank="10"/>
  </conditionalFormatting>
  <conditionalFormatting sqref="X538:X540">
    <cfRule type="top10" dxfId="387" priority="308" rank="10"/>
  </conditionalFormatting>
  <conditionalFormatting sqref="Z538:Z540">
    <cfRule type="top10" dxfId="386" priority="309" rank="10"/>
  </conditionalFormatting>
  <conditionalFormatting sqref="AB538:AB540">
    <cfRule type="top10" dxfId="385" priority="311" rank="10"/>
  </conditionalFormatting>
  <conditionalFormatting sqref="AD538:AD540">
    <cfRule type="top10" dxfId="384" priority="312" rank="10"/>
  </conditionalFormatting>
  <conditionalFormatting sqref="AF538:AF540">
    <cfRule type="top10" dxfId="383" priority="313" rank="10"/>
  </conditionalFormatting>
  <conditionalFormatting sqref="AH538:AH540">
    <cfRule type="top10" dxfId="382" priority="314" rank="10"/>
  </conditionalFormatting>
  <conditionalFormatting sqref="AN538:AN540">
    <cfRule type="top10" dxfId="381" priority="305" rank="10"/>
  </conditionalFormatting>
  <conditionalFormatting sqref="C538:C540">
    <cfRule type="duplicateValues" dxfId="380" priority="315"/>
  </conditionalFormatting>
  <conditionalFormatting sqref="J538:J540 H538:H540 F538:F540">
    <cfRule type="top10" dxfId="379" priority="301" rank="10"/>
  </conditionalFormatting>
  <conditionalFormatting sqref="L538:L540">
    <cfRule type="top10" dxfId="378" priority="302" rank="10"/>
  </conditionalFormatting>
  <conditionalFormatting sqref="N538:N540">
    <cfRule type="top10" dxfId="377" priority="303" rank="10"/>
  </conditionalFormatting>
  <conditionalFormatting sqref="P538:P540">
    <cfRule type="top10" dxfId="376" priority="304" rank="10"/>
  </conditionalFormatting>
  <conditionalFormatting sqref="B535:B537">
    <cfRule type="duplicateValues" dxfId="375" priority="291"/>
  </conditionalFormatting>
  <conditionalFormatting sqref="V535:V537 T535:T537 R535:R537">
    <cfRule type="top10" dxfId="374" priority="292" rank="10"/>
  </conditionalFormatting>
  <conditionalFormatting sqref="X535:X537">
    <cfRule type="top10" dxfId="373" priority="293" rank="10"/>
  </conditionalFormatting>
  <conditionalFormatting sqref="Z535:Z537">
    <cfRule type="top10" dxfId="372" priority="294" rank="10"/>
  </conditionalFormatting>
  <conditionalFormatting sqref="AB535:AB537">
    <cfRule type="top10" dxfId="371" priority="296" rank="10"/>
  </conditionalFormatting>
  <conditionalFormatting sqref="AD535:AD537">
    <cfRule type="top10" dxfId="370" priority="297" rank="10"/>
  </conditionalFormatting>
  <conditionalFormatting sqref="AF535:AF537">
    <cfRule type="top10" dxfId="369" priority="298" rank="10"/>
  </conditionalFormatting>
  <conditionalFormatting sqref="AH535:AH537">
    <cfRule type="top10" dxfId="368" priority="299" rank="10"/>
  </conditionalFormatting>
  <conditionalFormatting sqref="AN535:AN537">
    <cfRule type="top10" dxfId="367" priority="290" rank="10"/>
  </conditionalFormatting>
  <conditionalFormatting sqref="C535:C537">
    <cfRule type="duplicateValues" dxfId="366" priority="300"/>
  </conditionalFormatting>
  <conditionalFormatting sqref="J535:J537 H535:H537 F535:F537">
    <cfRule type="top10" dxfId="365" priority="286" rank="10"/>
  </conditionalFormatting>
  <conditionalFormatting sqref="L535:L537">
    <cfRule type="top10" dxfId="364" priority="287" rank="10"/>
  </conditionalFormatting>
  <conditionalFormatting sqref="N535:N537">
    <cfRule type="top10" dxfId="363" priority="288" rank="10"/>
  </conditionalFormatting>
  <conditionalFormatting sqref="P535:P537">
    <cfRule type="top10" dxfId="362" priority="289" rank="10"/>
  </conditionalFormatting>
  <conditionalFormatting sqref="B533:B534">
    <cfRule type="duplicateValues" dxfId="361" priority="276"/>
  </conditionalFormatting>
  <conditionalFormatting sqref="R533:R534 T533:T534 V533:V534">
    <cfRule type="top10" dxfId="360" priority="277" rank="10"/>
  </conditionalFormatting>
  <conditionalFormatting sqref="X533:X534">
    <cfRule type="top10" dxfId="359" priority="278" rank="10"/>
  </conditionalFormatting>
  <conditionalFormatting sqref="Z533:Z534">
    <cfRule type="top10" dxfId="358" priority="279" rank="10"/>
  </conditionalFormatting>
  <conditionalFormatting sqref="AB533:AB534">
    <cfRule type="top10" dxfId="357" priority="281" rank="10"/>
  </conditionalFormatting>
  <conditionalFormatting sqref="AD533:AD534">
    <cfRule type="top10" dxfId="356" priority="282" rank="10"/>
  </conditionalFormatting>
  <conditionalFormatting sqref="AF533:AF534">
    <cfRule type="top10" dxfId="355" priority="283" rank="10"/>
  </conditionalFormatting>
  <conditionalFormatting sqref="AH533:AH534">
    <cfRule type="top10" dxfId="354" priority="284" rank="10"/>
  </conditionalFormatting>
  <conditionalFormatting sqref="AN533:AN534">
    <cfRule type="top10" dxfId="353" priority="275" rank="10"/>
  </conditionalFormatting>
  <conditionalFormatting sqref="C533:C534">
    <cfRule type="duplicateValues" dxfId="352" priority="285"/>
  </conditionalFormatting>
  <conditionalFormatting sqref="F533:F534 H533:H534 J533:J534">
    <cfRule type="top10" dxfId="351" priority="271" rank="10"/>
  </conditionalFormatting>
  <conditionalFormatting sqref="L533:L534">
    <cfRule type="top10" dxfId="350" priority="272" rank="10"/>
  </conditionalFormatting>
  <conditionalFormatting sqref="N533:N534">
    <cfRule type="top10" dxfId="349" priority="273" rank="10"/>
  </conditionalFormatting>
  <conditionalFormatting sqref="P533:P534">
    <cfRule type="top10" dxfId="348" priority="274" rank="10"/>
  </conditionalFormatting>
  <conditionalFormatting sqref="B544:B546">
    <cfRule type="duplicateValues" dxfId="347" priority="231"/>
  </conditionalFormatting>
  <conditionalFormatting sqref="V544:V546 T544:T546 R544:R546">
    <cfRule type="top10" dxfId="346" priority="232" rank="10"/>
  </conditionalFormatting>
  <conditionalFormatting sqref="X544:X546">
    <cfRule type="top10" dxfId="345" priority="233" rank="10"/>
  </conditionalFormatting>
  <conditionalFormatting sqref="Z544:Z546">
    <cfRule type="top10" dxfId="344" priority="234" rank="10"/>
  </conditionalFormatting>
  <conditionalFormatting sqref="AB544:AB546">
    <cfRule type="top10" dxfId="343" priority="236" rank="10"/>
  </conditionalFormatting>
  <conditionalFormatting sqref="AD544:AD546">
    <cfRule type="top10" dxfId="342" priority="237" rank="10"/>
  </conditionalFormatting>
  <conditionalFormatting sqref="AF544:AF546">
    <cfRule type="top10" dxfId="341" priority="238" rank="10"/>
  </conditionalFormatting>
  <conditionalFormatting sqref="AH544:AH546">
    <cfRule type="top10" dxfId="340" priority="239" rank="10"/>
  </conditionalFormatting>
  <conditionalFormatting sqref="AN544:AN546">
    <cfRule type="top10" dxfId="339" priority="230" rank="10"/>
  </conditionalFormatting>
  <conditionalFormatting sqref="C544:C546">
    <cfRule type="duplicateValues" dxfId="338" priority="240"/>
  </conditionalFormatting>
  <conditionalFormatting sqref="J544:J546 H544:H546 F544:F546">
    <cfRule type="top10" dxfId="337" priority="226" rank="10"/>
  </conditionalFormatting>
  <conditionalFormatting sqref="L544:L546">
    <cfRule type="top10" dxfId="336" priority="227" rank="10"/>
  </conditionalFormatting>
  <conditionalFormatting sqref="N544:N546">
    <cfRule type="top10" dxfId="335" priority="228" rank="10"/>
  </conditionalFormatting>
  <conditionalFormatting sqref="P544:P546">
    <cfRule type="top10" dxfId="334" priority="229" rank="10"/>
  </conditionalFormatting>
  <conditionalFormatting sqref="B543">
    <cfRule type="duplicateValues" dxfId="333" priority="216"/>
  </conditionalFormatting>
  <conditionalFormatting sqref="R543 T543 V543">
    <cfRule type="top10" dxfId="332" priority="217" rank="10"/>
  </conditionalFormatting>
  <conditionalFormatting sqref="X543">
    <cfRule type="top10" dxfId="331" priority="218" rank="10"/>
  </conditionalFormatting>
  <conditionalFormatting sqref="Z543">
    <cfRule type="top10" dxfId="330" priority="219" rank="10"/>
  </conditionalFormatting>
  <conditionalFormatting sqref="AB543">
    <cfRule type="top10" dxfId="329" priority="221" rank="10"/>
  </conditionalFormatting>
  <conditionalFormatting sqref="AD543">
    <cfRule type="top10" dxfId="328" priority="222" rank="10"/>
  </conditionalFormatting>
  <conditionalFormatting sqref="AF543">
    <cfRule type="top10" dxfId="327" priority="223" rank="10"/>
  </conditionalFormatting>
  <conditionalFormatting sqref="AH543">
    <cfRule type="top10" dxfId="326" priority="224" rank="10"/>
  </conditionalFormatting>
  <conditionalFormatting sqref="AN543">
    <cfRule type="top10" dxfId="325" priority="215" rank="10"/>
  </conditionalFormatting>
  <conditionalFormatting sqref="C543">
    <cfRule type="duplicateValues" dxfId="324" priority="225"/>
  </conditionalFormatting>
  <conditionalFormatting sqref="F543 H543 J543">
    <cfRule type="top10" dxfId="323" priority="211" rank="10"/>
  </conditionalFormatting>
  <conditionalFormatting sqref="L543">
    <cfRule type="top10" dxfId="322" priority="212" rank="10"/>
  </conditionalFormatting>
  <conditionalFormatting sqref="N543">
    <cfRule type="top10" dxfId="321" priority="213" rank="10"/>
  </conditionalFormatting>
  <conditionalFormatting sqref="P543">
    <cfRule type="top10" dxfId="320" priority="214" rank="10"/>
  </conditionalFormatting>
  <conditionalFormatting sqref="B529:B530">
    <cfRule type="duplicateValues" dxfId="319" priority="201"/>
  </conditionalFormatting>
  <conditionalFormatting sqref="V529:V530 T529:T530 R529:R530">
    <cfRule type="top10" dxfId="318" priority="202" rank="10"/>
  </conditionalFormatting>
  <conditionalFormatting sqref="X529:X530">
    <cfRule type="top10" dxfId="317" priority="203" rank="10"/>
  </conditionalFormatting>
  <conditionalFormatting sqref="Z529:Z530">
    <cfRule type="top10" dxfId="316" priority="204" rank="10"/>
  </conditionalFormatting>
  <conditionalFormatting sqref="AB529:AB530">
    <cfRule type="top10" dxfId="315" priority="206" rank="10"/>
  </conditionalFormatting>
  <conditionalFormatting sqref="AD529:AD530">
    <cfRule type="top10" dxfId="314" priority="207" rank="10"/>
  </conditionalFormatting>
  <conditionalFormatting sqref="AF529:AF530">
    <cfRule type="top10" dxfId="313" priority="208" rank="10"/>
  </conditionalFormatting>
  <conditionalFormatting sqref="AH529:AH530">
    <cfRule type="top10" dxfId="312" priority="209" rank="10"/>
  </conditionalFormatting>
  <conditionalFormatting sqref="AN529:AN530">
    <cfRule type="top10" dxfId="311" priority="200" rank="10"/>
  </conditionalFormatting>
  <conditionalFormatting sqref="C529:C530">
    <cfRule type="duplicateValues" dxfId="310" priority="210"/>
  </conditionalFormatting>
  <conditionalFormatting sqref="J529:J530 H529:H530 F529:F530">
    <cfRule type="top10" dxfId="309" priority="196" rank="10"/>
  </conditionalFormatting>
  <conditionalFormatting sqref="L529:L530">
    <cfRule type="top10" dxfId="308" priority="197" rank="10"/>
  </conditionalFormatting>
  <conditionalFormatting sqref="N529:N530">
    <cfRule type="top10" dxfId="307" priority="198" rank="10"/>
  </conditionalFormatting>
  <conditionalFormatting sqref="B532">
    <cfRule type="duplicateValues" dxfId="306" priority="186"/>
  </conditionalFormatting>
  <conditionalFormatting sqref="V532 T532 R532">
    <cfRule type="top10" dxfId="305" priority="187" rank="10"/>
  </conditionalFormatting>
  <conditionalFormatting sqref="X532">
    <cfRule type="top10" dxfId="304" priority="188" rank="10"/>
  </conditionalFormatting>
  <conditionalFormatting sqref="Z532">
    <cfRule type="top10" dxfId="303" priority="189" rank="10"/>
  </conditionalFormatting>
  <conditionalFormatting sqref="AB532">
    <cfRule type="top10" dxfId="302" priority="191" rank="10"/>
  </conditionalFormatting>
  <conditionalFormatting sqref="AD532">
    <cfRule type="top10" dxfId="301" priority="192" rank="10"/>
  </conditionalFormatting>
  <conditionalFormatting sqref="AF532">
    <cfRule type="top10" dxfId="300" priority="193" rank="10"/>
  </conditionalFormatting>
  <conditionalFormatting sqref="AH532">
    <cfRule type="top10" dxfId="299" priority="194" rank="10"/>
  </conditionalFormatting>
  <conditionalFormatting sqref="AN532">
    <cfRule type="top10" dxfId="298" priority="185" rank="10"/>
  </conditionalFormatting>
  <conditionalFormatting sqref="C532">
    <cfRule type="duplicateValues" dxfId="297" priority="195"/>
  </conditionalFormatting>
  <conditionalFormatting sqref="J532 H532 F532">
    <cfRule type="top10" dxfId="296" priority="181" rank="10"/>
  </conditionalFormatting>
  <conditionalFormatting sqref="L532">
    <cfRule type="top10" dxfId="295" priority="182" rank="10"/>
  </conditionalFormatting>
  <conditionalFormatting sqref="N532">
    <cfRule type="top10" dxfId="294" priority="183" rank="10"/>
  </conditionalFormatting>
  <conditionalFormatting sqref="P532">
    <cfRule type="top10" dxfId="293" priority="184" rank="10"/>
  </conditionalFormatting>
  <conditionalFormatting sqref="B531">
    <cfRule type="duplicateValues" dxfId="292" priority="171"/>
  </conditionalFormatting>
  <conditionalFormatting sqref="R531 T531 V531">
    <cfRule type="top10" dxfId="291" priority="172" rank="10"/>
  </conditionalFormatting>
  <conditionalFormatting sqref="X531">
    <cfRule type="top10" dxfId="290" priority="173" rank="10"/>
  </conditionalFormatting>
  <conditionalFormatting sqref="Z531">
    <cfRule type="top10" dxfId="289" priority="174" rank="10"/>
  </conditionalFormatting>
  <conditionalFormatting sqref="AB531">
    <cfRule type="top10" dxfId="288" priority="176" rank="10"/>
  </conditionalFormatting>
  <conditionalFormatting sqref="AD531">
    <cfRule type="top10" dxfId="287" priority="177" rank="10"/>
  </conditionalFormatting>
  <conditionalFormatting sqref="AF531">
    <cfRule type="top10" dxfId="286" priority="178" rank="10"/>
  </conditionalFormatting>
  <conditionalFormatting sqref="AH531">
    <cfRule type="top10" dxfId="285" priority="179" rank="10"/>
  </conditionalFormatting>
  <conditionalFormatting sqref="AN531">
    <cfRule type="top10" dxfId="284" priority="170" rank="10"/>
  </conditionalFormatting>
  <conditionalFormatting sqref="C531">
    <cfRule type="duplicateValues" dxfId="283" priority="180"/>
  </conditionalFormatting>
  <conditionalFormatting sqref="F531 H531 J531">
    <cfRule type="top10" dxfId="282" priority="166" rank="10"/>
  </conditionalFormatting>
  <conditionalFormatting sqref="L531">
    <cfRule type="top10" dxfId="281" priority="167" rank="10"/>
  </conditionalFormatting>
  <conditionalFormatting sqref="N531">
    <cfRule type="top10" dxfId="280" priority="168" rank="10"/>
  </conditionalFormatting>
  <conditionalFormatting sqref="B519:B520">
    <cfRule type="duplicateValues" dxfId="279" priority="156"/>
  </conditionalFormatting>
  <conditionalFormatting sqref="V519:V520 T519:T520 R519:R520">
    <cfRule type="top10" dxfId="278" priority="157" rank="10"/>
  </conditionalFormatting>
  <conditionalFormatting sqref="X519:X520">
    <cfRule type="top10" dxfId="277" priority="158" rank="10"/>
  </conditionalFormatting>
  <conditionalFormatting sqref="Z519:Z520">
    <cfRule type="top10" dxfId="276" priority="159" rank="10"/>
  </conditionalFormatting>
  <conditionalFormatting sqref="AB519:AB520">
    <cfRule type="top10" dxfId="275" priority="161" rank="10"/>
  </conditionalFormatting>
  <conditionalFormatting sqref="AD519:AD520">
    <cfRule type="top10" dxfId="274" priority="162" rank="10"/>
  </conditionalFormatting>
  <conditionalFormatting sqref="AF519:AF520">
    <cfRule type="top10" dxfId="273" priority="163" rank="10"/>
  </conditionalFormatting>
  <conditionalFormatting sqref="AH519:AH520">
    <cfRule type="top10" dxfId="272" priority="164" rank="10"/>
  </conditionalFormatting>
  <conditionalFormatting sqref="AN519:AN520">
    <cfRule type="top10" dxfId="271" priority="155" rank="10"/>
  </conditionalFormatting>
  <conditionalFormatting sqref="C519:C520">
    <cfRule type="duplicateValues" dxfId="270" priority="165"/>
  </conditionalFormatting>
  <conditionalFormatting sqref="J519:J520 H519:H520 F519:F520">
    <cfRule type="top10" dxfId="269" priority="151" rank="10"/>
  </conditionalFormatting>
  <conditionalFormatting sqref="L519:L520">
    <cfRule type="top10" dxfId="268" priority="152" rank="10"/>
  </conditionalFormatting>
  <conditionalFormatting sqref="N519:N520">
    <cfRule type="top10" dxfId="267" priority="153" rank="10"/>
  </conditionalFormatting>
  <conditionalFormatting sqref="B516:B518">
    <cfRule type="duplicateValues" dxfId="266" priority="141"/>
  </conditionalFormatting>
  <conditionalFormatting sqref="V516:V518 T516:T518 R516:R518">
    <cfRule type="top10" dxfId="265" priority="142" rank="10"/>
  </conditionalFormatting>
  <conditionalFormatting sqref="X516:X518">
    <cfRule type="top10" dxfId="264" priority="143" rank="10"/>
  </conditionalFormatting>
  <conditionalFormatting sqref="Z516:Z518">
    <cfRule type="top10" dxfId="263" priority="144" rank="10"/>
  </conditionalFormatting>
  <conditionalFormatting sqref="AB516:AB518">
    <cfRule type="top10" dxfId="262" priority="146" rank="10"/>
  </conditionalFormatting>
  <conditionalFormatting sqref="AD516:AD518">
    <cfRule type="top10" dxfId="261" priority="147" rank="10"/>
  </conditionalFormatting>
  <conditionalFormatting sqref="AF516:AF518">
    <cfRule type="top10" dxfId="260" priority="148" rank="10"/>
  </conditionalFormatting>
  <conditionalFormatting sqref="AH516:AH518">
    <cfRule type="top10" dxfId="259" priority="149" rank="10"/>
  </conditionalFormatting>
  <conditionalFormatting sqref="AN516:AN518">
    <cfRule type="top10" dxfId="258" priority="140" rank="10"/>
  </conditionalFormatting>
  <conditionalFormatting sqref="C516:C518">
    <cfRule type="duplicateValues" dxfId="257" priority="150"/>
  </conditionalFormatting>
  <conditionalFormatting sqref="J516:J518 H516:H518 F516:F518">
    <cfRule type="top10" dxfId="256" priority="136" rank="10"/>
  </conditionalFormatting>
  <conditionalFormatting sqref="L516:L518">
    <cfRule type="top10" dxfId="255" priority="137" rank="10"/>
  </conditionalFormatting>
  <conditionalFormatting sqref="N516:N518">
    <cfRule type="top10" dxfId="254" priority="138" rank="10"/>
  </conditionalFormatting>
  <conditionalFormatting sqref="B513:B515">
    <cfRule type="duplicateValues" dxfId="253" priority="126"/>
  </conditionalFormatting>
  <conditionalFormatting sqref="V513:V515 T513:T515 R513:R515">
    <cfRule type="top10" dxfId="252" priority="127" rank="10"/>
  </conditionalFormatting>
  <conditionalFormatting sqref="X513:X515">
    <cfRule type="top10" dxfId="251" priority="128" rank="10"/>
  </conditionalFormatting>
  <conditionalFormatting sqref="Z513:Z515">
    <cfRule type="top10" dxfId="250" priority="129" rank="10"/>
  </conditionalFormatting>
  <conditionalFormatting sqref="AB513:AB515">
    <cfRule type="top10" dxfId="249" priority="131" rank="10"/>
  </conditionalFormatting>
  <conditionalFormatting sqref="AD513:AD515">
    <cfRule type="top10" dxfId="248" priority="132" rank="10"/>
  </conditionalFormatting>
  <conditionalFormatting sqref="AF513:AF515">
    <cfRule type="top10" dxfId="247" priority="133" rank="10"/>
  </conditionalFormatting>
  <conditionalFormatting sqref="AH513:AH515">
    <cfRule type="top10" dxfId="246" priority="134" rank="10"/>
  </conditionalFormatting>
  <conditionalFormatting sqref="AN513:AN515">
    <cfRule type="top10" dxfId="245" priority="125" rank="10"/>
  </conditionalFormatting>
  <conditionalFormatting sqref="C513:C515">
    <cfRule type="duplicateValues" dxfId="244" priority="135"/>
  </conditionalFormatting>
  <conditionalFormatting sqref="J513:J515 H513:H515 F513:F515">
    <cfRule type="top10" dxfId="243" priority="121" rank="10"/>
  </conditionalFormatting>
  <conditionalFormatting sqref="L513:L515">
    <cfRule type="top10" dxfId="242" priority="122" rank="10"/>
  </conditionalFormatting>
  <conditionalFormatting sqref="N513:N515">
    <cfRule type="top10" dxfId="241" priority="123" rank="10"/>
  </conditionalFormatting>
  <conditionalFormatting sqref="B511:B512">
    <cfRule type="duplicateValues" dxfId="240" priority="111"/>
  </conditionalFormatting>
  <conditionalFormatting sqref="R511:R512 T511:T512 V511:V512">
    <cfRule type="top10" dxfId="239" priority="112" rank="10"/>
  </conditionalFormatting>
  <conditionalFormatting sqref="X511:X512">
    <cfRule type="top10" dxfId="238" priority="113" rank="10"/>
  </conditionalFormatting>
  <conditionalFormatting sqref="Z511:Z512">
    <cfRule type="top10" dxfId="237" priority="114" rank="10"/>
  </conditionalFormatting>
  <conditionalFormatting sqref="AB511:AB512">
    <cfRule type="top10" dxfId="236" priority="116" rank="10"/>
  </conditionalFormatting>
  <conditionalFormatting sqref="AD511:AD512">
    <cfRule type="top10" dxfId="235" priority="117" rank="10"/>
  </conditionalFormatting>
  <conditionalFormatting sqref="AF511:AF512">
    <cfRule type="top10" dxfId="234" priority="118" rank="10"/>
  </conditionalFormatting>
  <conditionalFormatting sqref="AH511:AH512">
    <cfRule type="top10" dxfId="233" priority="119" rank="10"/>
  </conditionalFormatting>
  <conditionalFormatting sqref="AN511:AN512">
    <cfRule type="top10" dxfId="232" priority="110" rank="10"/>
  </conditionalFormatting>
  <conditionalFormatting sqref="C511:C512">
    <cfRule type="duplicateValues" dxfId="231" priority="120"/>
  </conditionalFormatting>
  <conditionalFormatting sqref="F511:F512 H511:H512 J511:J512">
    <cfRule type="top10" dxfId="230" priority="106" rank="10"/>
  </conditionalFormatting>
  <conditionalFormatting sqref="L511:L512">
    <cfRule type="top10" dxfId="229" priority="107" rank="10"/>
  </conditionalFormatting>
  <conditionalFormatting sqref="N511:N512">
    <cfRule type="top10" dxfId="228" priority="108" rank="10"/>
  </conditionalFormatting>
  <conditionalFormatting sqref="B528">
    <cfRule type="duplicateValues" dxfId="227" priority="96"/>
  </conditionalFormatting>
  <conditionalFormatting sqref="V528 T528 R528">
    <cfRule type="top10" dxfId="226" priority="97" rank="10"/>
  </conditionalFormatting>
  <conditionalFormatting sqref="X528">
    <cfRule type="top10" dxfId="225" priority="98" rank="10"/>
  </conditionalFormatting>
  <conditionalFormatting sqref="Z528">
    <cfRule type="top10" dxfId="224" priority="99" rank="10"/>
  </conditionalFormatting>
  <conditionalFormatting sqref="AB528">
    <cfRule type="top10" dxfId="223" priority="101" rank="10"/>
  </conditionalFormatting>
  <conditionalFormatting sqref="AD528">
    <cfRule type="top10" dxfId="222" priority="102" rank="10"/>
  </conditionalFormatting>
  <conditionalFormatting sqref="AF528">
    <cfRule type="top10" dxfId="221" priority="103" rank="10"/>
  </conditionalFormatting>
  <conditionalFormatting sqref="AH528">
    <cfRule type="top10" dxfId="220" priority="104" rank="10"/>
  </conditionalFormatting>
  <conditionalFormatting sqref="AN528">
    <cfRule type="top10" dxfId="219" priority="95" rank="10"/>
  </conditionalFormatting>
  <conditionalFormatting sqref="C528">
    <cfRule type="duplicateValues" dxfId="218" priority="105"/>
  </conditionalFormatting>
  <conditionalFormatting sqref="J528 H528 F528">
    <cfRule type="top10" dxfId="217" priority="91" rank="10"/>
  </conditionalFormatting>
  <conditionalFormatting sqref="L528">
    <cfRule type="top10" dxfId="216" priority="92" rank="10"/>
  </conditionalFormatting>
  <conditionalFormatting sqref="N528">
    <cfRule type="top10" dxfId="215" priority="93" rank="10"/>
  </conditionalFormatting>
  <conditionalFormatting sqref="B525:B527">
    <cfRule type="duplicateValues" dxfId="214" priority="81"/>
  </conditionalFormatting>
  <conditionalFormatting sqref="V525:V527 T525:T527 R525:R527">
    <cfRule type="top10" dxfId="213" priority="82" rank="10"/>
  </conditionalFormatting>
  <conditionalFormatting sqref="X525:X527">
    <cfRule type="top10" dxfId="212" priority="83" rank="10"/>
  </conditionalFormatting>
  <conditionalFormatting sqref="Z525:Z527">
    <cfRule type="top10" dxfId="211" priority="84" rank="10"/>
  </conditionalFormatting>
  <conditionalFormatting sqref="AB525:AB527">
    <cfRule type="top10" dxfId="210" priority="86" rank="10"/>
  </conditionalFormatting>
  <conditionalFormatting sqref="AD525:AD527">
    <cfRule type="top10" dxfId="209" priority="87" rank="10"/>
  </conditionalFormatting>
  <conditionalFormatting sqref="AF525:AF527">
    <cfRule type="top10" dxfId="208" priority="88" rank="10"/>
  </conditionalFormatting>
  <conditionalFormatting sqref="AH525:AH527">
    <cfRule type="top10" dxfId="207" priority="89" rank="10"/>
  </conditionalFormatting>
  <conditionalFormatting sqref="AN525:AN527">
    <cfRule type="top10" dxfId="206" priority="80" rank="10"/>
  </conditionalFormatting>
  <conditionalFormatting sqref="C525:C527">
    <cfRule type="duplicateValues" dxfId="205" priority="90"/>
  </conditionalFormatting>
  <conditionalFormatting sqref="J525:J527 H525:H527 F525:F527">
    <cfRule type="top10" dxfId="204" priority="76" rank="10"/>
  </conditionalFormatting>
  <conditionalFormatting sqref="L525:L527">
    <cfRule type="top10" dxfId="203" priority="77" rank="10"/>
  </conditionalFormatting>
  <conditionalFormatting sqref="N525:N527">
    <cfRule type="top10" dxfId="202" priority="78" rank="10"/>
  </conditionalFormatting>
  <conditionalFormatting sqref="B522:B524">
    <cfRule type="duplicateValues" dxfId="201" priority="66"/>
  </conditionalFormatting>
  <conditionalFormatting sqref="V522:V524 T522:T524 R522:R524">
    <cfRule type="top10" dxfId="200" priority="67" rank="10"/>
  </conditionalFormatting>
  <conditionalFormatting sqref="X522:X524">
    <cfRule type="top10" dxfId="199" priority="68" rank="10"/>
  </conditionalFormatting>
  <conditionalFormatting sqref="Z522:Z524">
    <cfRule type="top10" dxfId="198" priority="69" rank="10"/>
  </conditionalFormatting>
  <conditionalFormatting sqref="AB522:AB524">
    <cfRule type="top10" dxfId="197" priority="71" rank="10"/>
  </conditionalFormatting>
  <conditionalFormatting sqref="AD522:AD524">
    <cfRule type="top10" dxfId="196" priority="72" rank="10"/>
  </conditionalFormatting>
  <conditionalFormatting sqref="AF522:AF524">
    <cfRule type="top10" dxfId="195" priority="73" rank="10"/>
  </conditionalFormatting>
  <conditionalFormatting sqref="AH522:AH524">
    <cfRule type="top10" dxfId="194" priority="74" rank="10"/>
  </conditionalFormatting>
  <conditionalFormatting sqref="AN522:AN524">
    <cfRule type="top10" dxfId="193" priority="65" rank="10"/>
  </conditionalFormatting>
  <conditionalFormatting sqref="C522:C524">
    <cfRule type="duplicateValues" dxfId="192" priority="75"/>
  </conditionalFormatting>
  <conditionalFormatting sqref="J522:J524 H522:H524 F522:F524">
    <cfRule type="top10" dxfId="191" priority="61" rank="10"/>
  </conditionalFormatting>
  <conditionalFormatting sqref="L522:L524">
    <cfRule type="top10" dxfId="190" priority="62" rank="10"/>
  </conditionalFormatting>
  <conditionalFormatting sqref="N522:N524">
    <cfRule type="top10" dxfId="189" priority="63" rank="10"/>
  </conditionalFormatting>
  <conditionalFormatting sqref="B521">
    <cfRule type="duplicateValues" dxfId="188" priority="51"/>
  </conditionalFormatting>
  <conditionalFormatting sqref="R521 T521 V521">
    <cfRule type="top10" dxfId="187" priority="52" rank="10"/>
  </conditionalFormatting>
  <conditionalFormatting sqref="X521">
    <cfRule type="top10" dxfId="186" priority="53" rank="10"/>
  </conditionalFormatting>
  <conditionalFormatting sqref="Z521">
    <cfRule type="top10" dxfId="185" priority="54" rank="10"/>
  </conditionalFormatting>
  <conditionalFormatting sqref="AB521">
    <cfRule type="top10" dxfId="184" priority="56" rank="10"/>
  </conditionalFormatting>
  <conditionalFormatting sqref="AD521">
    <cfRule type="top10" dxfId="183" priority="57" rank="10"/>
  </conditionalFormatting>
  <conditionalFormatting sqref="AF521">
    <cfRule type="top10" dxfId="182" priority="58" rank="10"/>
  </conditionalFormatting>
  <conditionalFormatting sqref="AH521">
    <cfRule type="top10" dxfId="181" priority="59" rank="10"/>
  </conditionalFormatting>
  <conditionalFormatting sqref="AN521">
    <cfRule type="top10" dxfId="180" priority="50" rank="10"/>
  </conditionalFormatting>
  <conditionalFormatting sqref="C521">
    <cfRule type="duplicateValues" dxfId="179" priority="60"/>
  </conditionalFormatting>
  <conditionalFormatting sqref="F521 H521 J521">
    <cfRule type="top10" dxfId="178" priority="46" rank="10"/>
  </conditionalFormatting>
  <conditionalFormatting sqref="L521">
    <cfRule type="top10" dxfId="177" priority="47" rank="10"/>
  </conditionalFormatting>
  <conditionalFormatting sqref="N521">
    <cfRule type="top10" dxfId="176" priority="48" rank="10"/>
  </conditionalFormatting>
  <conditionalFormatting sqref="B507:B508">
    <cfRule type="duplicateValues" dxfId="175" priority="36"/>
  </conditionalFormatting>
  <conditionalFormatting sqref="V507:V508 T507:T508 R507:R508">
    <cfRule type="top10" dxfId="174" priority="37" rank="10"/>
  </conditionalFormatting>
  <conditionalFormatting sqref="X507:X508">
    <cfRule type="top10" dxfId="173" priority="38" rank="10"/>
  </conditionalFormatting>
  <conditionalFormatting sqref="Z507:Z508">
    <cfRule type="top10" dxfId="172" priority="39" rank="10"/>
  </conditionalFormatting>
  <conditionalFormatting sqref="AB507:AB508">
    <cfRule type="top10" dxfId="171" priority="41" rank="10"/>
  </conditionalFormatting>
  <conditionalFormatting sqref="AD507:AD508">
    <cfRule type="top10" dxfId="170" priority="42" rank="10"/>
  </conditionalFormatting>
  <conditionalFormatting sqref="AF507:AF508">
    <cfRule type="top10" dxfId="169" priority="43" rank="10"/>
  </conditionalFormatting>
  <conditionalFormatting sqref="AH507:AH508">
    <cfRule type="top10" dxfId="168" priority="44" rank="10"/>
  </conditionalFormatting>
  <conditionalFormatting sqref="AN507:AN508">
    <cfRule type="top10" dxfId="167" priority="35" rank="10"/>
  </conditionalFormatting>
  <conditionalFormatting sqref="C507:C508">
    <cfRule type="duplicateValues" dxfId="166" priority="45"/>
  </conditionalFormatting>
  <conditionalFormatting sqref="J507:J508 H507:H508 F507:F508">
    <cfRule type="top10" dxfId="165" priority="31" rank="10"/>
  </conditionalFormatting>
  <conditionalFormatting sqref="L507:L508">
    <cfRule type="top10" dxfId="164" priority="32" rank="10"/>
  </conditionalFormatting>
  <conditionalFormatting sqref="N507:N508">
    <cfRule type="top10" dxfId="163" priority="33" rank="10"/>
  </conditionalFormatting>
  <conditionalFormatting sqref="B510">
    <cfRule type="duplicateValues" dxfId="162" priority="21"/>
  </conditionalFormatting>
  <conditionalFormatting sqref="V510 T510 R510">
    <cfRule type="top10" dxfId="161" priority="22" rank="10"/>
  </conditionalFormatting>
  <conditionalFormatting sqref="X510">
    <cfRule type="top10" dxfId="160" priority="23" rank="10"/>
  </conditionalFormatting>
  <conditionalFormatting sqref="Z510">
    <cfRule type="top10" dxfId="159" priority="24" rank="10"/>
  </conditionalFormatting>
  <conditionalFormatting sqref="AB510">
    <cfRule type="top10" dxfId="158" priority="26" rank="10"/>
  </conditionalFormatting>
  <conditionalFormatting sqref="AD510">
    <cfRule type="top10" dxfId="157" priority="27" rank="10"/>
  </conditionalFormatting>
  <conditionalFormatting sqref="AF510">
    <cfRule type="top10" dxfId="156" priority="28" rank="10"/>
  </conditionalFormatting>
  <conditionalFormatting sqref="AH510">
    <cfRule type="top10" dxfId="155" priority="29" rank="10"/>
  </conditionalFormatting>
  <conditionalFormatting sqref="AN510">
    <cfRule type="top10" dxfId="154" priority="20" rank="10"/>
  </conditionalFormatting>
  <conditionalFormatting sqref="C510">
    <cfRule type="duplicateValues" dxfId="153" priority="30"/>
  </conditionalFormatting>
  <conditionalFormatting sqref="J510 H510 F510">
    <cfRule type="top10" dxfId="152" priority="16" rank="10"/>
  </conditionalFormatting>
  <conditionalFormatting sqref="L510">
    <cfRule type="top10" dxfId="151" priority="17" rank="10"/>
  </conditionalFormatting>
  <conditionalFormatting sqref="N510">
    <cfRule type="top10" dxfId="150" priority="18" rank="10"/>
  </conditionalFormatting>
  <conditionalFormatting sqref="B509">
    <cfRule type="duplicateValues" dxfId="149" priority="6"/>
  </conditionalFormatting>
  <conditionalFormatting sqref="R509 T509 V509">
    <cfRule type="top10" dxfId="148" priority="7" rank="10"/>
  </conditionalFormatting>
  <conditionalFormatting sqref="X509">
    <cfRule type="top10" dxfId="147" priority="8" rank="10"/>
  </conditionalFormatting>
  <conditionalFormatting sqref="Z509">
    <cfRule type="top10" dxfId="146" priority="9" rank="10"/>
  </conditionalFormatting>
  <conditionalFormatting sqref="AB509">
    <cfRule type="top10" dxfId="145" priority="11" rank="10"/>
  </conditionalFormatting>
  <conditionalFormatting sqref="AD509">
    <cfRule type="top10" dxfId="144" priority="12" rank="10"/>
  </conditionalFormatting>
  <conditionalFormatting sqref="AF509">
    <cfRule type="top10" dxfId="143" priority="13" rank="10"/>
  </conditionalFormatting>
  <conditionalFormatting sqref="AH509">
    <cfRule type="top10" dxfId="142" priority="14" rank="10"/>
  </conditionalFormatting>
  <conditionalFormatting sqref="AN509">
    <cfRule type="top10" dxfId="141" priority="5" rank="10"/>
  </conditionalFormatting>
  <conditionalFormatting sqref="C509">
    <cfRule type="duplicateValues" dxfId="140" priority="15"/>
  </conditionalFormatting>
  <conditionalFormatting sqref="F509 H509 J509">
    <cfRule type="top10" dxfId="139" priority="1" rank="10"/>
  </conditionalFormatting>
  <conditionalFormatting sqref="L509">
    <cfRule type="top10" dxfId="138" priority="2" rank="10"/>
  </conditionalFormatting>
  <conditionalFormatting sqref="N509">
    <cfRule type="top10" dxfId="137" priority="3" rank="10"/>
  </conditionalFormatting>
  <conditionalFormatting sqref="B427">
    <cfRule type="duplicateValues" dxfId="136" priority="1575"/>
  </conditionalFormatting>
  <conditionalFormatting sqref="V427 T427 R427">
    <cfRule type="top10" dxfId="135" priority="1576" rank="10"/>
  </conditionalFormatting>
  <conditionalFormatting sqref="X427">
    <cfRule type="top10" dxfId="134" priority="1579" rank="10"/>
  </conditionalFormatting>
  <conditionalFormatting sqref="Z427">
    <cfRule type="top10" dxfId="133" priority="1580" rank="10"/>
  </conditionalFormatting>
  <conditionalFormatting sqref="AB427">
    <cfRule type="top10" dxfId="132" priority="1582" rank="10"/>
  </conditionalFormatting>
  <conditionalFormatting sqref="AD427">
    <cfRule type="top10" dxfId="131" priority="1583" rank="10"/>
  </conditionalFormatting>
  <conditionalFormatting sqref="AF427">
    <cfRule type="top10" dxfId="130" priority="1584" rank="10"/>
  </conditionalFormatting>
  <conditionalFormatting sqref="AH427">
    <cfRule type="top10" dxfId="129" priority="1585" rank="10"/>
  </conditionalFormatting>
  <conditionalFormatting sqref="AN427">
    <cfRule type="top10" dxfId="128" priority="1586" rank="10"/>
  </conditionalFormatting>
  <conditionalFormatting sqref="C427">
    <cfRule type="duplicateValues" dxfId="127" priority="1587"/>
  </conditionalFormatting>
  <conditionalFormatting sqref="F427">
    <cfRule type="top10" dxfId="126" priority="1588" rank="10"/>
  </conditionalFormatting>
  <conditionalFormatting sqref="L427">
    <cfRule type="top10" dxfId="125" priority="1589" rank="10"/>
  </conditionalFormatting>
  <conditionalFormatting sqref="N427">
    <cfRule type="top10" dxfId="124" priority="1590" rank="10"/>
  </conditionalFormatting>
  <conditionalFormatting sqref="B506">
    <cfRule type="duplicateValues" dxfId="123" priority="1592"/>
  </conditionalFormatting>
  <conditionalFormatting sqref="V506 T506 R506">
    <cfRule type="top10" dxfId="122" priority="1593" rank="10"/>
  </conditionalFormatting>
  <conditionalFormatting sqref="X506">
    <cfRule type="top10" dxfId="121" priority="1596" rank="10"/>
  </conditionalFormatting>
  <conditionalFormatting sqref="Z506">
    <cfRule type="top10" dxfId="120" priority="1597" rank="10"/>
  </conditionalFormatting>
  <conditionalFormatting sqref="AB506">
    <cfRule type="top10" dxfId="119" priority="1599" rank="10"/>
  </conditionalFormatting>
  <conditionalFormatting sqref="AD506">
    <cfRule type="top10" dxfId="118" priority="1600" rank="10"/>
  </conditionalFormatting>
  <conditionalFormatting sqref="AF506">
    <cfRule type="top10" dxfId="117" priority="1601" rank="10"/>
  </conditionalFormatting>
  <conditionalFormatting sqref="AH506">
    <cfRule type="top10" dxfId="116" priority="1602" rank="10"/>
  </conditionalFormatting>
  <conditionalFormatting sqref="AN506">
    <cfRule type="top10" dxfId="115" priority="1603" rank="10"/>
  </conditionalFormatting>
  <conditionalFormatting sqref="C506">
    <cfRule type="duplicateValues" dxfId="114" priority="1604"/>
  </conditionalFormatting>
  <conditionalFormatting sqref="J506 H506 F506">
    <cfRule type="top10" dxfId="113" priority="1605" rank="10"/>
  </conditionalFormatting>
  <conditionalFormatting sqref="L506">
    <cfRule type="top10" dxfId="112" priority="1608" rank="10"/>
  </conditionalFormatting>
  <conditionalFormatting sqref="N506">
    <cfRule type="top10" dxfId="111" priority="1609" rank="1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W548"/>
  <sheetViews>
    <sheetView topLeftCell="H349" zoomScale="70" zoomScaleNormal="70" workbookViewId="0">
      <selection activeCell="F548" sqref="F548:W548"/>
    </sheetView>
  </sheetViews>
  <sheetFormatPr defaultRowHeight="13.5"/>
  <cols>
    <col min="1" max="1" width="6.81640625" style="38" customWidth="1"/>
    <col min="2" max="2" width="19.7265625" style="38" customWidth="1"/>
    <col min="3" max="3" width="10.7265625" style="38" customWidth="1"/>
    <col min="4" max="4" width="16.90625" style="38" customWidth="1"/>
    <col min="5" max="5" width="52.36328125" style="38" customWidth="1"/>
    <col min="6" max="19" width="13.26953125" style="73" customWidth="1"/>
    <col min="20" max="23" width="15.453125" style="73" customWidth="1"/>
    <col min="24" max="16384" width="8.7265625" style="38"/>
  </cols>
  <sheetData>
    <row r="1" spans="1:23" ht="14.5" customHeight="1">
      <c r="A1" s="143" t="s">
        <v>781</v>
      </c>
      <c r="B1" s="143" t="s">
        <v>782</v>
      </c>
      <c r="C1" s="143" t="s">
        <v>3</v>
      </c>
      <c r="D1" s="143" t="s">
        <v>883</v>
      </c>
      <c r="E1" s="143" t="s">
        <v>4</v>
      </c>
      <c r="F1" s="106">
        <v>2407</v>
      </c>
      <c r="G1" s="106">
        <v>2408</v>
      </c>
      <c r="H1" s="106">
        <v>2409</v>
      </c>
      <c r="I1" s="106">
        <v>2410</v>
      </c>
      <c r="J1" s="106">
        <v>2411</v>
      </c>
      <c r="K1" s="106">
        <v>2412</v>
      </c>
      <c r="L1" s="106">
        <v>2501</v>
      </c>
      <c r="M1" s="106">
        <v>2502</v>
      </c>
      <c r="N1" s="106">
        <v>2503</v>
      </c>
      <c r="O1" s="106">
        <v>2504</v>
      </c>
      <c r="P1" s="106">
        <v>2505</v>
      </c>
      <c r="Q1" s="106">
        <v>2506</v>
      </c>
      <c r="R1" s="106">
        <v>2507</v>
      </c>
      <c r="S1" s="106">
        <v>2508</v>
      </c>
      <c r="T1" s="106">
        <v>2509</v>
      </c>
      <c r="U1" s="106">
        <v>2510</v>
      </c>
      <c r="V1" s="106">
        <v>2511</v>
      </c>
      <c r="W1" s="106">
        <v>2512</v>
      </c>
    </row>
    <row r="2" spans="1:23">
      <c r="A2" s="144"/>
      <c r="B2" s="144"/>
      <c r="C2" s="144"/>
      <c r="D2" s="144"/>
      <c r="E2" s="144"/>
      <c r="F2" s="40" t="s">
        <v>2</v>
      </c>
      <c r="G2" s="42" t="s">
        <v>2</v>
      </c>
      <c r="H2" s="40" t="s">
        <v>2</v>
      </c>
      <c r="I2" s="40" t="s">
        <v>2</v>
      </c>
      <c r="J2" s="40" t="s">
        <v>2</v>
      </c>
      <c r="K2" s="40" t="s">
        <v>2</v>
      </c>
      <c r="L2" s="40" t="s">
        <v>2</v>
      </c>
      <c r="M2" s="42" t="s">
        <v>2</v>
      </c>
      <c r="N2" s="40" t="s">
        <v>2</v>
      </c>
      <c r="O2" s="40" t="s">
        <v>2</v>
      </c>
      <c r="P2" s="40" t="s">
        <v>2</v>
      </c>
      <c r="Q2" s="40" t="s">
        <v>2</v>
      </c>
      <c r="R2" s="40" t="s">
        <v>2</v>
      </c>
      <c r="S2" s="40" t="s">
        <v>2</v>
      </c>
      <c r="T2" s="40" t="s">
        <v>2</v>
      </c>
      <c r="U2" s="40" t="s">
        <v>2</v>
      </c>
      <c r="V2" s="40" t="s">
        <v>2</v>
      </c>
      <c r="W2" s="40" t="s">
        <v>2</v>
      </c>
    </row>
    <row r="3" spans="1:23" hidden="1">
      <c r="A3" s="45">
        <v>1</v>
      </c>
      <c r="B3" s="46">
        <v>4971710576306</v>
      </c>
      <c r="C3" s="47" t="s">
        <v>608</v>
      </c>
      <c r="D3" s="75" t="s">
        <v>896</v>
      </c>
      <c r="E3" s="48" t="s">
        <v>609</v>
      </c>
      <c r="F3" s="50">
        <v>0</v>
      </c>
      <c r="G3" s="52">
        <v>85800</v>
      </c>
      <c r="H3" s="50">
        <v>26400</v>
      </c>
      <c r="I3" s="50">
        <v>93720</v>
      </c>
      <c r="J3" s="50">
        <v>209880</v>
      </c>
      <c r="K3" s="53">
        <v>0</v>
      </c>
      <c r="L3" s="50">
        <v>1333200</v>
      </c>
      <c r="M3" s="52">
        <v>1631520</v>
      </c>
      <c r="N3" s="50">
        <v>5488560</v>
      </c>
      <c r="O3" s="50">
        <v>8102160</v>
      </c>
      <c r="P3" s="50">
        <v>13332660</v>
      </c>
      <c r="Q3" s="53">
        <v>9139680</v>
      </c>
      <c r="R3" s="53">
        <v>20606520</v>
      </c>
      <c r="S3" s="53">
        <v>17160000</v>
      </c>
      <c r="T3" s="53">
        <v>42472320</v>
      </c>
      <c r="U3" s="53"/>
      <c r="V3" s="53"/>
      <c r="W3" s="53"/>
    </row>
    <row r="4" spans="1:23" hidden="1">
      <c r="A4" s="47">
        <v>2</v>
      </c>
      <c r="B4" s="56">
        <v>4971710565065</v>
      </c>
      <c r="C4" s="57" t="s">
        <v>503</v>
      </c>
      <c r="D4" s="75" t="s">
        <v>882</v>
      </c>
      <c r="E4" s="48" t="s">
        <v>1079</v>
      </c>
      <c r="F4" s="50">
        <v>110000</v>
      </c>
      <c r="G4" s="52">
        <v>453750</v>
      </c>
      <c r="H4" s="50">
        <v>82500</v>
      </c>
      <c r="I4" s="50">
        <v>522500</v>
      </c>
      <c r="J4" s="50">
        <v>2483250</v>
      </c>
      <c r="K4" s="53">
        <v>3080000</v>
      </c>
      <c r="L4" s="59">
        <v>9190500</v>
      </c>
      <c r="M4" s="61">
        <v>5714500</v>
      </c>
      <c r="N4" s="59">
        <v>2546500</v>
      </c>
      <c r="O4" s="50">
        <v>6083000</v>
      </c>
      <c r="P4" s="50">
        <v>16464250</v>
      </c>
      <c r="Q4" s="53">
        <v>3080000</v>
      </c>
      <c r="R4" s="53">
        <v>7144500</v>
      </c>
      <c r="S4" s="53">
        <v>4675000</v>
      </c>
      <c r="T4" s="53">
        <v>45254000</v>
      </c>
      <c r="U4" s="53"/>
      <c r="V4" s="53"/>
      <c r="W4" s="53"/>
    </row>
    <row r="5" spans="1:23" hidden="1">
      <c r="A5" s="47">
        <v>3</v>
      </c>
      <c r="B5" s="56">
        <v>4971710574852</v>
      </c>
      <c r="C5" s="57" t="s">
        <v>583</v>
      </c>
      <c r="D5" s="75" t="s">
        <v>882</v>
      </c>
      <c r="E5" s="48" t="s">
        <v>888</v>
      </c>
      <c r="F5" s="50">
        <v>0</v>
      </c>
      <c r="G5" s="52">
        <v>49500</v>
      </c>
      <c r="H5" s="50">
        <v>0</v>
      </c>
      <c r="I5" s="50">
        <v>37125</v>
      </c>
      <c r="J5" s="50">
        <v>264000</v>
      </c>
      <c r="K5" s="53">
        <v>561000</v>
      </c>
      <c r="L5" s="59">
        <v>503250</v>
      </c>
      <c r="M5" s="61">
        <v>740850</v>
      </c>
      <c r="N5" s="59">
        <v>394350</v>
      </c>
      <c r="O5" s="50">
        <v>2103750</v>
      </c>
      <c r="P5" s="50">
        <v>3836250</v>
      </c>
      <c r="Q5" s="53">
        <v>297000</v>
      </c>
      <c r="R5" s="53">
        <v>3387450</v>
      </c>
      <c r="S5" s="53">
        <v>3048375</v>
      </c>
      <c r="T5" s="53">
        <v>14012625</v>
      </c>
      <c r="U5" s="53"/>
      <c r="V5" s="53"/>
      <c r="W5" s="53"/>
    </row>
    <row r="6" spans="1:23">
      <c r="A6" s="47">
        <v>4</v>
      </c>
      <c r="B6" s="56">
        <v>4971710598711</v>
      </c>
      <c r="C6" s="57" t="s">
        <v>810</v>
      </c>
      <c r="D6" s="75" t="s">
        <v>896</v>
      </c>
      <c r="E6" s="48" t="s">
        <v>980</v>
      </c>
      <c r="F6" s="50">
        <v>0</v>
      </c>
      <c r="G6" s="52">
        <v>0</v>
      </c>
      <c r="H6" s="50">
        <v>0</v>
      </c>
      <c r="I6" s="50">
        <v>0</v>
      </c>
      <c r="J6" s="50">
        <v>0</v>
      </c>
      <c r="K6" s="53">
        <v>0</v>
      </c>
      <c r="L6" s="59"/>
      <c r="M6" s="61"/>
      <c r="N6" s="59"/>
      <c r="O6" s="50"/>
      <c r="P6" s="50"/>
      <c r="Q6" s="53">
        <v>798336</v>
      </c>
      <c r="R6" s="53">
        <v>5345802</v>
      </c>
      <c r="S6" s="53">
        <v>8052660</v>
      </c>
      <c r="T6" s="53">
        <v>2062368</v>
      </c>
      <c r="U6" s="53"/>
      <c r="V6" s="53"/>
      <c r="W6" s="53">
        <v>66528</v>
      </c>
    </row>
    <row r="7" spans="1:23" hidden="1">
      <c r="A7" s="47">
        <v>5</v>
      </c>
      <c r="B7" s="56">
        <v>4971710511505</v>
      </c>
      <c r="C7" s="57" t="s">
        <v>212</v>
      </c>
      <c r="D7" s="75" t="s">
        <v>1095</v>
      </c>
      <c r="E7" s="48" t="s">
        <v>213</v>
      </c>
      <c r="F7" s="50">
        <v>0</v>
      </c>
      <c r="G7" s="52">
        <v>4950</v>
      </c>
      <c r="H7" s="50">
        <v>14850</v>
      </c>
      <c r="I7" s="50">
        <v>0</v>
      </c>
      <c r="J7" s="50">
        <v>178200</v>
      </c>
      <c r="K7" s="53">
        <v>0</v>
      </c>
      <c r="L7" s="59">
        <v>1386000</v>
      </c>
      <c r="M7" s="61">
        <v>1485000</v>
      </c>
      <c r="N7" s="59"/>
      <c r="O7" s="50">
        <v>990000</v>
      </c>
      <c r="P7" s="50">
        <v>24750</v>
      </c>
      <c r="Q7" s="53"/>
      <c r="R7" s="53">
        <v>1757250</v>
      </c>
      <c r="S7" s="53">
        <v>990000</v>
      </c>
      <c r="T7" s="53">
        <v>2475000</v>
      </c>
      <c r="U7" s="53"/>
      <c r="V7" s="53"/>
      <c r="W7" s="53"/>
    </row>
    <row r="8" spans="1:23" hidden="1">
      <c r="A8" s="47">
        <v>6</v>
      </c>
      <c r="B8" s="56">
        <v>4971710580044</v>
      </c>
      <c r="C8" s="57" t="s">
        <v>674</v>
      </c>
      <c r="D8" s="75" t="s">
        <v>896</v>
      </c>
      <c r="E8" s="48" t="s">
        <v>675</v>
      </c>
      <c r="F8" s="50">
        <v>0</v>
      </c>
      <c r="G8" s="52">
        <v>9900</v>
      </c>
      <c r="H8" s="50">
        <v>0</v>
      </c>
      <c r="I8" s="50">
        <v>0</v>
      </c>
      <c r="J8" s="50">
        <v>0</v>
      </c>
      <c r="K8" s="53">
        <v>0</v>
      </c>
      <c r="L8" s="59"/>
      <c r="M8" s="61"/>
      <c r="N8" s="59"/>
      <c r="O8" s="50"/>
      <c r="P8" s="50">
        <v>39600</v>
      </c>
      <c r="Q8" s="53">
        <v>818400</v>
      </c>
      <c r="R8" s="53">
        <v>2640000</v>
      </c>
      <c r="S8" s="53">
        <v>1650000</v>
      </c>
      <c r="T8" s="53"/>
      <c r="U8" s="53"/>
      <c r="V8" s="53"/>
      <c r="W8" s="53"/>
    </row>
    <row r="9" spans="1:23" hidden="1">
      <c r="A9" s="47">
        <v>7</v>
      </c>
      <c r="B9" s="56">
        <v>4971710590500</v>
      </c>
      <c r="C9" s="57" t="s">
        <v>783</v>
      </c>
      <c r="D9" s="75" t="s">
        <v>896</v>
      </c>
      <c r="E9" s="48" t="s">
        <v>891</v>
      </c>
      <c r="F9" s="50">
        <v>0</v>
      </c>
      <c r="G9" s="52">
        <v>0</v>
      </c>
      <c r="H9" s="50">
        <v>0</v>
      </c>
      <c r="I9" s="50">
        <v>0</v>
      </c>
      <c r="J9" s="50">
        <v>0</v>
      </c>
      <c r="K9" s="53">
        <v>0</v>
      </c>
      <c r="L9" s="59"/>
      <c r="M9" s="61"/>
      <c r="N9" s="59"/>
      <c r="O9" s="50">
        <v>2376000</v>
      </c>
      <c r="P9" s="50">
        <v>1980000</v>
      </c>
      <c r="Q9" s="53"/>
      <c r="R9" s="53">
        <v>66000</v>
      </c>
      <c r="S9" s="53"/>
      <c r="T9" s="53"/>
      <c r="U9" s="53"/>
      <c r="V9" s="53"/>
      <c r="W9" s="53"/>
    </row>
    <row r="10" spans="1:23" hidden="1">
      <c r="A10" s="47">
        <v>8</v>
      </c>
      <c r="B10" s="56">
        <v>4971710579291</v>
      </c>
      <c r="C10" s="57" t="s">
        <v>808</v>
      </c>
      <c r="D10" s="75" t="s">
        <v>896</v>
      </c>
      <c r="E10" s="48" t="s">
        <v>893</v>
      </c>
      <c r="F10" s="50">
        <v>0</v>
      </c>
      <c r="G10" s="52">
        <v>0</v>
      </c>
      <c r="H10" s="50">
        <v>0</v>
      </c>
      <c r="I10" s="50">
        <v>0</v>
      </c>
      <c r="J10" s="50">
        <v>0</v>
      </c>
      <c r="K10" s="53">
        <v>0</v>
      </c>
      <c r="L10" s="59"/>
      <c r="M10" s="61"/>
      <c r="N10" s="59"/>
      <c r="O10" s="50"/>
      <c r="P10" s="50">
        <v>3769920</v>
      </c>
      <c r="Q10" s="53">
        <v>491040</v>
      </c>
      <c r="R10" s="53"/>
      <c r="S10" s="53"/>
      <c r="T10" s="53"/>
      <c r="U10" s="53"/>
      <c r="V10" s="53"/>
      <c r="W10" s="53"/>
    </row>
    <row r="11" spans="1:23" hidden="1">
      <c r="A11" s="47">
        <v>9</v>
      </c>
      <c r="B11" s="56">
        <v>4971710551006</v>
      </c>
      <c r="C11" s="57" t="s">
        <v>442</v>
      </c>
      <c r="D11" s="75" t="s">
        <v>884</v>
      </c>
      <c r="E11" s="48" t="s">
        <v>1081</v>
      </c>
      <c r="F11" s="50">
        <v>1079650</v>
      </c>
      <c r="G11" s="52">
        <v>38610</v>
      </c>
      <c r="H11" s="50">
        <v>17160</v>
      </c>
      <c r="I11" s="50">
        <v>47190</v>
      </c>
      <c r="J11" s="50">
        <v>579150</v>
      </c>
      <c r="K11" s="53">
        <v>64350</v>
      </c>
      <c r="L11" s="59">
        <v>926640</v>
      </c>
      <c r="M11" s="61">
        <v>447590</v>
      </c>
      <c r="N11" s="59">
        <v>602030</v>
      </c>
      <c r="O11" s="50">
        <v>25740</v>
      </c>
      <c r="P11" s="50">
        <v>370370</v>
      </c>
      <c r="Q11" s="53">
        <v>51480</v>
      </c>
      <c r="R11" s="53">
        <v>253110</v>
      </c>
      <c r="S11" s="53">
        <v>429000</v>
      </c>
      <c r="T11" s="53">
        <v>1411410</v>
      </c>
      <c r="U11" s="53"/>
      <c r="V11" s="53"/>
      <c r="W11" s="53"/>
    </row>
    <row r="12" spans="1:23" hidden="1">
      <c r="A12" s="47">
        <v>10</v>
      </c>
      <c r="B12" s="56">
        <v>4971710595789</v>
      </c>
      <c r="C12" s="57" t="s">
        <v>806</v>
      </c>
      <c r="D12" s="75" t="s">
        <v>882</v>
      </c>
      <c r="E12" s="48" t="s">
        <v>982</v>
      </c>
      <c r="F12" s="50">
        <v>0</v>
      </c>
      <c r="G12" s="52">
        <v>0</v>
      </c>
      <c r="H12" s="50">
        <v>0</v>
      </c>
      <c r="I12" s="50">
        <v>0</v>
      </c>
      <c r="J12" s="50">
        <v>0</v>
      </c>
      <c r="K12" s="53">
        <v>0</v>
      </c>
      <c r="L12" s="59"/>
      <c r="M12" s="61"/>
      <c r="N12" s="59"/>
      <c r="O12" s="50"/>
      <c r="P12" s="50">
        <v>740520</v>
      </c>
      <c r="Q12" s="53"/>
      <c r="R12" s="53">
        <v>1138500</v>
      </c>
      <c r="S12" s="53"/>
      <c r="T12" s="53">
        <v>3762000</v>
      </c>
      <c r="U12" s="53"/>
      <c r="V12" s="53"/>
      <c r="W12" s="53"/>
    </row>
    <row r="13" spans="1:23">
      <c r="A13" s="47">
        <v>11</v>
      </c>
      <c r="B13" s="56">
        <v>4971710571837</v>
      </c>
      <c r="C13" s="57" t="s">
        <v>897</v>
      </c>
      <c r="D13" s="75" t="s">
        <v>884</v>
      </c>
      <c r="E13" s="48" t="s">
        <v>564</v>
      </c>
      <c r="F13" s="50">
        <v>364650</v>
      </c>
      <c r="G13" s="52">
        <v>24310</v>
      </c>
      <c r="H13" s="50">
        <v>17160</v>
      </c>
      <c r="I13" s="50">
        <v>329615</v>
      </c>
      <c r="J13" s="50">
        <v>193050</v>
      </c>
      <c r="K13" s="53">
        <v>135850</v>
      </c>
      <c r="L13" s="59">
        <v>657800</v>
      </c>
      <c r="M13" s="61">
        <v>592020</v>
      </c>
      <c r="N13" s="59">
        <v>530530</v>
      </c>
      <c r="O13" s="50">
        <v>17160</v>
      </c>
      <c r="P13" s="50"/>
      <c r="Q13" s="53">
        <v>35750</v>
      </c>
      <c r="R13" s="53">
        <v>8580</v>
      </c>
      <c r="S13" s="53">
        <v>30030</v>
      </c>
      <c r="T13" s="53">
        <v>570570</v>
      </c>
      <c r="U13" s="53"/>
      <c r="V13" s="53"/>
      <c r="W13" s="53">
        <v>396825</v>
      </c>
    </row>
    <row r="14" spans="1:23">
      <c r="A14" s="47">
        <v>12</v>
      </c>
      <c r="B14" s="56">
        <v>4971710580600</v>
      </c>
      <c r="C14" s="57" t="s">
        <v>910</v>
      </c>
      <c r="D14" s="75" t="s">
        <v>1085</v>
      </c>
      <c r="E14" s="48" t="s">
        <v>1084</v>
      </c>
      <c r="F14" s="50">
        <v>0</v>
      </c>
      <c r="G14" s="52">
        <v>0</v>
      </c>
      <c r="H14" s="50">
        <v>0</v>
      </c>
      <c r="I14" s="50">
        <v>0</v>
      </c>
      <c r="J14" s="50">
        <v>0</v>
      </c>
      <c r="K14" s="53">
        <v>0</v>
      </c>
      <c r="L14" s="59"/>
      <c r="M14" s="61"/>
      <c r="N14" s="59"/>
      <c r="O14" s="50"/>
      <c r="P14" s="50">
        <v>1706100</v>
      </c>
      <c r="Q14" s="53"/>
      <c r="R14" s="53">
        <v>780670</v>
      </c>
      <c r="S14" s="53">
        <v>2217930</v>
      </c>
      <c r="T14" s="53">
        <v>3903350</v>
      </c>
      <c r="U14" s="53"/>
      <c r="V14" s="53"/>
      <c r="W14" s="53">
        <v>1670900</v>
      </c>
    </row>
    <row r="15" spans="1:23" hidden="1">
      <c r="A15" s="47">
        <v>13</v>
      </c>
      <c r="B15" s="56">
        <v>4971710590524</v>
      </c>
      <c r="C15" s="57" t="s">
        <v>784</v>
      </c>
      <c r="D15" s="75" t="s">
        <v>896</v>
      </c>
      <c r="E15" s="48" t="s">
        <v>894</v>
      </c>
      <c r="F15" s="50">
        <v>0</v>
      </c>
      <c r="G15" s="52">
        <v>0</v>
      </c>
      <c r="H15" s="50">
        <v>0</v>
      </c>
      <c r="I15" s="50">
        <v>0</v>
      </c>
      <c r="J15" s="50">
        <v>0</v>
      </c>
      <c r="K15" s="53">
        <v>0</v>
      </c>
      <c r="L15" s="59"/>
      <c r="M15" s="61"/>
      <c r="N15" s="59"/>
      <c r="O15" s="50">
        <v>234960</v>
      </c>
      <c r="P15" s="50">
        <v>1782000</v>
      </c>
      <c r="Q15" s="53"/>
      <c r="R15" s="53">
        <v>462000</v>
      </c>
      <c r="S15" s="53"/>
      <c r="T15" s="53"/>
      <c r="U15" s="53"/>
      <c r="V15" s="53"/>
      <c r="W15" s="53"/>
    </row>
    <row r="16" spans="1:23">
      <c r="A16" s="47">
        <v>14</v>
      </c>
      <c r="B16" s="56">
        <v>4971710577341</v>
      </c>
      <c r="C16" s="57" t="s">
        <v>618</v>
      </c>
      <c r="D16" s="75" t="s">
        <v>882</v>
      </c>
      <c r="E16" s="48" t="s">
        <v>619</v>
      </c>
      <c r="F16" s="50">
        <v>0</v>
      </c>
      <c r="G16" s="52">
        <v>0</v>
      </c>
      <c r="H16" s="50">
        <v>27500</v>
      </c>
      <c r="I16" s="50">
        <v>13750</v>
      </c>
      <c r="J16" s="50">
        <v>82500</v>
      </c>
      <c r="K16" s="53">
        <v>0</v>
      </c>
      <c r="L16" s="59">
        <v>1067000</v>
      </c>
      <c r="M16" s="61">
        <v>574750</v>
      </c>
      <c r="N16" s="59">
        <v>544500</v>
      </c>
      <c r="O16" s="50">
        <v>220000</v>
      </c>
      <c r="P16" s="50">
        <v>2128500</v>
      </c>
      <c r="Q16" s="53">
        <v>148500</v>
      </c>
      <c r="R16" s="53">
        <v>121000</v>
      </c>
      <c r="S16" s="53">
        <v>687500</v>
      </c>
      <c r="T16" s="53">
        <v>1864500</v>
      </c>
      <c r="U16" s="53"/>
      <c r="V16" s="53"/>
      <c r="W16" s="53">
        <v>1425600</v>
      </c>
    </row>
    <row r="17" spans="1:23">
      <c r="A17" s="47">
        <v>15</v>
      </c>
      <c r="B17" s="56">
        <v>4971710546071</v>
      </c>
      <c r="C17" s="57" t="s">
        <v>983</v>
      </c>
      <c r="D17" s="75" t="s">
        <v>882</v>
      </c>
      <c r="E17" s="48" t="s">
        <v>855</v>
      </c>
      <c r="F17" s="50">
        <v>0</v>
      </c>
      <c r="G17" s="52">
        <v>63800</v>
      </c>
      <c r="H17" s="50">
        <v>0</v>
      </c>
      <c r="I17" s="50">
        <v>79750</v>
      </c>
      <c r="J17" s="50">
        <v>47850</v>
      </c>
      <c r="K17" s="53">
        <v>162690</v>
      </c>
      <c r="L17" s="59">
        <v>778360</v>
      </c>
      <c r="M17" s="61">
        <v>236060</v>
      </c>
      <c r="N17" s="59">
        <v>245630</v>
      </c>
      <c r="O17" s="50">
        <v>194590</v>
      </c>
      <c r="P17" s="50">
        <v>957000</v>
      </c>
      <c r="Q17" s="53">
        <v>47850</v>
      </c>
      <c r="R17" s="53">
        <v>9570</v>
      </c>
      <c r="S17" s="53">
        <v>462550</v>
      </c>
      <c r="T17" s="53">
        <v>1518440</v>
      </c>
      <c r="U17" s="53"/>
      <c r="V17" s="53"/>
      <c r="W17" s="53">
        <v>382800</v>
      </c>
    </row>
    <row r="18" spans="1:23">
      <c r="A18" s="47">
        <v>16</v>
      </c>
      <c r="B18" s="56">
        <v>4971710580396</v>
      </c>
      <c r="C18" s="57" t="s">
        <v>677</v>
      </c>
      <c r="D18" s="75" t="s">
        <v>882</v>
      </c>
      <c r="E18" s="48" t="s">
        <v>619</v>
      </c>
      <c r="F18" s="50">
        <v>0</v>
      </c>
      <c r="G18" s="52">
        <v>91300</v>
      </c>
      <c r="H18" s="50">
        <v>45650</v>
      </c>
      <c r="I18" s="50">
        <v>159775</v>
      </c>
      <c r="J18" s="50">
        <v>136950</v>
      </c>
      <c r="K18" s="53">
        <v>0</v>
      </c>
      <c r="L18" s="59">
        <v>1460800</v>
      </c>
      <c r="M18" s="61">
        <v>1168640</v>
      </c>
      <c r="N18" s="59">
        <v>1415150</v>
      </c>
      <c r="O18" s="50">
        <v>547800</v>
      </c>
      <c r="P18" s="50">
        <v>2424015</v>
      </c>
      <c r="Q18" s="53">
        <v>365200</v>
      </c>
      <c r="R18" s="53">
        <v>27390</v>
      </c>
      <c r="S18" s="53">
        <v>913000</v>
      </c>
      <c r="T18" s="53">
        <v>5030630</v>
      </c>
      <c r="U18" s="53"/>
      <c r="V18" s="53"/>
      <c r="W18" s="53">
        <v>237600</v>
      </c>
    </row>
    <row r="19" spans="1:23" hidden="1">
      <c r="A19" s="47">
        <v>17</v>
      </c>
      <c r="B19" s="56">
        <v>4971710539189</v>
      </c>
      <c r="C19" s="57" t="s">
        <v>408</v>
      </c>
      <c r="D19" s="75" t="s">
        <v>884</v>
      </c>
      <c r="E19" s="48" t="s">
        <v>409</v>
      </c>
      <c r="F19" s="50">
        <v>441650</v>
      </c>
      <c r="G19" s="52">
        <v>180895</v>
      </c>
      <c r="H19" s="50">
        <v>14520</v>
      </c>
      <c r="I19" s="50">
        <v>7260</v>
      </c>
      <c r="J19" s="50">
        <v>235950</v>
      </c>
      <c r="K19" s="53">
        <v>142175</v>
      </c>
      <c r="L19" s="59">
        <v>804045</v>
      </c>
      <c r="M19" s="61">
        <v>273460</v>
      </c>
      <c r="N19" s="59">
        <v>182710</v>
      </c>
      <c r="O19" s="50">
        <v>14520</v>
      </c>
      <c r="P19" s="50">
        <v>485210</v>
      </c>
      <c r="Q19" s="53">
        <v>32065</v>
      </c>
      <c r="R19" s="53"/>
      <c r="S19" s="53"/>
      <c r="T19" s="53"/>
      <c r="U19" s="53"/>
      <c r="V19" s="53"/>
      <c r="W19" s="53"/>
    </row>
    <row r="20" spans="1:23">
      <c r="A20" s="47">
        <v>18</v>
      </c>
      <c r="B20" s="56">
        <v>4971710576573</v>
      </c>
      <c r="C20" s="57" t="s">
        <v>610</v>
      </c>
      <c r="D20" s="75" t="s">
        <v>896</v>
      </c>
      <c r="E20" s="48" t="s">
        <v>981</v>
      </c>
      <c r="F20" s="50">
        <v>0</v>
      </c>
      <c r="G20" s="52">
        <v>165000</v>
      </c>
      <c r="H20" s="50">
        <v>13200</v>
      </c>
      <c r="I20" s="50">
        <v>0</v>
      </c>
      <c r="J20" s="50">
        <v>31680</v>
      </c>
      <c r="K20" s="53">
        <v>4400</v>
      </c>
      <c r="L20" s="59">
        <v>388080</v>
      </c>
      <c r="M20" s="61">
        <v>51040</v>
      </c>
      <c r="N20" s="59">
        <v>4840</v>
      </c>
      <c r="O20" s="50">
        <v>220880</v>
      </c>
      <c r="P20" s="50">
        <v>12320</v>
      </c>
      <c r="Q20" s="53">
        <v>73920</v>
      </c>
      <c r="R20" s="53">
        <v>66880</v>
      </c>
      <c r="S20" s="53">
        <v>84480</v>
      </c>
      <c r="T20" s="53">
        <v>356400</v>
      </c>
      <c r="U20" s="53"/>
      <c r="V20" s="53"/>
      <c r="W20" s="53">
        <v>39259</v>
      </c>
    </row>
    <row r="21" spans="1:23">
      <c r="A21" s="47">
        <v>19</v>
      </c>
      <c r="B21" s="56">
        <v>4971710588163</v>
      </c>
      <c r="C21" s="57" t="s">
        <v>788</v>
      </c>
      <c r="D21" s="75" t="s">
        <v>1095</v>
      </c>
      <c r="E21" s="48" t="s">
        <v>988</v>
      </c>
      <c r="F21" s="50">
        <v>0</v>
      </c>
      <c r="G21" s="52">
        <v>0</v>
      </c>
      <c r="H21" s="50">
        <v>0</v>
      </c>
      <c r="I21" s="50">
        <v>0</v>
      </c>
      <c r="J21" s="50">
        <v>0</v>
      </c>
      <c r="K21" s="53">
        <v>0</v>
      </c>
      <c r="L21" s="59"/>
      <c r="M21" s="61"/>
      <c r="N21" s="59"/>
      <c r="O21" s="50">
        <v>22880</v>
      </c>
      <c r="P21" s="50"/>
      <c r="Q21" s="53">
        <v>87230</v>
      </c>
      <c r="R21" s="53">
        <v>143000</v>
      </c>
      <c r="S21" s="53">
        <v>14300</v>
      </c>
      <c r="T21" s="53">
        <v>1775345</v>
      </c>
      <c r="U21" s="53"/>
      <c r="V21" s="53"/>
      <c r="W21" s="53">
        <v>21450</v>
      </c>
    </row>
    <row r="22" spans="1:23">
      <c r="A22" s="47">
        <v>20</v>
      </c>
      <c r="B22" s="56">
        <v>4971710595543</v>
      </c>
      <c r="C22" s="57" t="s">
        <v>768</v>
      </c>
      <c r="D22" s="75" t="s">
        <v>884</v>
      </c>
      <c r="E22" s="48" t="s">
        <v>769</v>
      </c>
      <c r="F22" s="50">
        <v>0</v>
      </c>
      <c r="G22" s="52">
        <v>0</v>
      </c>
      <c r="H22" s="50">
        <v>0</v>
      </c>
      <c r="I22" s="50">
        <v>0</v>
      </c>
      <c r="J22" s="50">
        <v>0</v>
      </c>
      <c r="K22" s="53">
        <v>0</v>
      </c>
      <c r="L22" s="59"/>
      <c r="M22" s="61">
        <v>415800</v>
      </c>
      <c r="N22" s="59">
        <v>308000</v>
      </c>
      <c r="O22" s="50">
        <v>377300</v>
      </c>
      <c r="P22" s="50">
        <v>281050</v>
      </c>
      <c r="Q22" s="53">
        <v>275660</v>
      </c>
      <c r="R22" s="53">
        <v>69300</v>
      </c>
      <c r="S22" s="53">
        <v>38500</v>
      </c>
      <c r="T22" s="53">
        <v>161700</v>
      </c>
      <c r="U22" s="53"/>
      <c r="V22" s="53"/>
      <c r="W22" s="53">
        <v>92400</v>
      </c>
    </row>
    <row r="23" spans="1:23" hidden="1">
      <c r="A23" s="47">
        <v>21</v>
      </c>
      <c r="B23" s="56">
        <v>4971710576641</v>
      </c>
      <c r="C23" s="57" t="s">
        <v>617</v>
      </c>
      <c r="D23" s="75" t="s">
        <v>882</v>
      </c>
      <c r="E23" s="48" t="s">
        <v>616</v>
      </c>
      <c r="F23" s="50">
        <v>36300</v>
      </c>
      <c r="G23" s="52">
        <v>81675</v>
      </c>
      <c r="H23" s="50">
        <v>72600</v>
      </c>
      <c r="I23" s="50">
        <v>45375</v>
      </c>
      <c r="J23" s="50">
        <v>181500</v>
      </c>
      <c r="K23" s="53">
        <v>87120</v>
      </c>
      <c r="L23" s="59">
        <v>235950</v>
      </c>
      <c r="M23" s="61">
        <v>123420</v>
      </c>
      <c r="N23" s="59">
        <v>134310</v>
      </c>
      <c r="O23" s="50">
        <v>245025</v>
      </c>
      <c r="P23" s="50">
        <v>1150710</v>
      </c>
      <c r="Q23" s="53">
        <v>145200</v>
      </c>
      <c r="R23" s="53">
        <v>3630</v>
      </c>
      <c r="S23" s="53">
        <v>228690</v>
      </c>
      <c r="T23" s="53">
        <v>2326830</v>
      </c>
      <c r="U23" s="53"/>
      <c r="V23" s="53"/>
      <c r="W23" s="53"/>
    </row>
    <row r="24" spans="1:23" hidden="1">
      <c r="A24" s="47">
        <v>22</v>
      </c>
      <c r="B24" s="56">
        <v>4971710549812</v>
      </c>
      <c r="C24" s="57" t="s">
        <v>437</v>
      </c>
      <c r="D24" s="75" t="s">
        <v>884</v>
      </c>
      <c r="E24" s="48" t="s">
        <v>435</v>
      </c>
      <c r="F24" s="50">
        <v>75900</v>
      </c>
      <c r="G24" s="52">
        <v>0</v>
      </c>
      <c r="H24" s="50">
        <v>189750</v>
      </c>
      <c r="I24" s="50">
        <v>113850</v>
      </c>
      <c r="J24" s="50">
        <v>75900</v>
      </c>
      <c r="K24" s="53">
        <v>478170</v>
      </c>
      <c r="L24" s="59">
        <v>455400</v>
      </c>
      <c r="M24" s="61">
        <v>409860</v>
      </c>
      <c r="N24" s="59">
        <v>527505</v>
      </c>
      <c r="O24" s="50">
        <v>645150</v>
      </c>
      <c r="P24" s="50">
        <v>595815</v>
      </c>
      <c r="Q24" s="53">
        <v>394680</v>
      </c>
      <c r="R24" s="53">
        <v>721050</v>
      </c>
      <c r="S24" s="53">
        <v>986700</v>
      </c>
      <c r="T24" s="53">
        <v>4538820</v>
      </c>
      <c r="U24" s="53"/>
      <c r="V24" s="53"/>
      <c r="W24" s="53"/>
    </row>
    <row r="25" spans="1:23">
      <c r="A25" s="47">
        <v>23</v>
      </c>
      <c r="B25" s="56">
        <v>4971710580372</v>
      </c>
      <c r="C25" s="57" t="s">
        <v>676</v>
      </c>
      <c r="D25" s="75" t="s">
        <v>882</v>
      </c>
      <c r="E25" s="48" t="s">
        <v>619</v>
      </c>
      <c r="F25" s="50">
        <v>0</v>
      </c>
      <c r="G25" s="52">
        <v>0</v>
      </c>
      <c r="H25" s="50">
        <v>26400</v>
      </c>
      <c r="I25" s="50">
        <v>13200</v>
      </c>
      <c r="J25" s="50">
        <v>26400</v>
      </c>
      <c r="K25" s="53">
        <v>0</v>
      </c>
      <c r="L25" s="59">
        <v>844800</v>
      </c>
      <c r="M25" s="61">
        <v>359040</v>
      </c>
      <c r="N25" s="59">
        <v>179520</v>
      </c>
      <c r="O25" s="50">
        <v>132000</v>
      </c>
      <c r="P25" s="50"/>
      <c r="Q25" s="53">
        <v>1657920</v>
      </c>
      <c r="R25" s="53">
        <v>179520</v>
      </c>
      <c r="S25" s="53">
        <v>316800</v>
      </c>
      <c r="T25" s="53">
        <v>2238720</v>
      </c>
      <c r="U25" s="53"/>
      <c r="V25" s="53"/>
      <c r="W25" s="53">
        <v>171600</v>
      </c>
    </row>
    <row r="26" spans="1:23">
      <c r="A26" s="47">
        <v>24</v>
      </c>
      <c r="B26" s="56">
        <v>4971710557787</v>
      </c>
      <c r="C26" s="57" t="s">
        <v>462</v>
      </c>
      <c r="D26" s="75" t="s">
        <v>880</v>
      </c>
      <c r="E26" s="48" t="s">
        <v>1077</v>
      </c>
      <c r="F26" s="50">
        <v>0</v>
      </c>
      <c r="G26" s="52">
        <v>14850</v>
      </c>
      <c r="H26" s="50">
        <v>14850</v>
      </c>
      <c r="I26" s="50">
        <v>9900</v>
      </c>
      <c r="J26" s="50">
        <v>42570</v>
      </c>
      <c r="K26" s="53">
        <v>49500</v>
      </c>
      <c r="L26" s="59">
        <v>110880</v>
      </c>
      <c r="M26" s="61">
        <v>2970</v>
      </c>
      <c r="N26" s="59">
        <v>74250</v>
      </c>
      <c r="O26" s="50">
        <v>139590</v>
      </c>
      <c r="P26" s="50">
        <v>74250</v>
      </c>
      <c r="Q26" s="53">
        <v>30690</v>
      </c>
      <c r="R26" s="53">
        <v>111870</v>
      </c>
      <c r="S26" s="53">
        <v>149490</v>
      </c>
      <c r="T26" s="53">
        <v>271260</v>
      </c>
      <c r="U26" s="53"/>
      <c r="V26" s="53"/>
      <c r="W26" s="53">
        <v>154440</v>
      </c>
    </row>
    <row r="27" spans="1:23" hidden="1">
      <c r="A27" s="47">
        <v>25</v>
      </c>
      <c r="B27" s="56">
        <v>4971710549782</v>
      </c>
      <c r="C27" s="57" t="s">
        <v>434</v>
      </c>
      <c r="D27" s="75" t="s">
        <v>882</v>
      </c>
      <c r="E27" s="48" t="s">
        <v>1083</v>
      </c>
      <c r="F27" s="50">
        <v>87450</v>
      </c>
      <c r="G27" s="52">
        <v>174900</v>
      </c>
      <c r="H27" s="50">
        <v>72875</v>
      </c>
      <c r="I27" s="50">
        <v>87450</v>
      </c>
      <c r="J27" s="50">
        <v>122430</v>
      </c>
      <c r="K27" s="53">
        <v>227370</v>
      </c>
      <c r="L27" s="59">
        <v>670450</v>
      </c>
      <c r="M27" s="61">
        <v>145750</v>
      </c>
      <c r="N27" s="59">
        <v>343970</v>
      </c>
      <c r="O27" s="50">
        <v>291500</v>
      </c>
      <c r="P27" s="50">
        <v>174900</v>
      </c>
      <c r="Q27" s="53">
        <v>256520</v>
      </c>
      <c r="R27" s="53">
        <v>574255</v>
      </c>
      <c r="S27" s="53">
        <v>685025</v>
      </c>
      <c r="T27" s="53">
        <v>3413465</v>
      </c>
      <c r="U27" s="53"/>
      <c r="V27" s="53"/>
      <c r="W27" s="53"/>
    </row>
    <row r="28" spans="1:23" hidden="1">
      <c r="A28" s="47">
        <v>26</v>
      </c>
      <c r="B28" s="56">
        <v>4971710522839</v>
      </c>
      <c r="C28" s="57" t="s">
        <v>390</v>
      </c>
      <c r="D28" s="75" t="s">
        <v>1095</v>
      </c>
      <c r="E28" s="48" t="s">
        <v>391</v>
      </c>
      <c r="F28" s="50">
        <v>0</v>
      </c>
      <c r="G28" s="52">
        <v>15400</v>
      </c>
      <c r="H28" s="50">
        <v>0</v>
      </c>
      <c r="I28" s="50">
        <v>0</v>
      </c>
      <c r="J28" s="50">
        <v>95040</v>
      </c>
      <c r="K28" s="53">
        <v>0</v>
      </c>
      <c r="L28" s="59">
        <v>52800</v>
      </c>
      <c r="M28" s="61"/>
      <c r="N28" s="59">
        <v>70400</v>
      </c>
      <c r="O28" s="50">
        <v>88000</v>
      </c>
      <c r="P28" s="50"/>
      <c r="Q28" s="53"/>
      <c r="R28" s="53">
        <v>132000</v>
      </c>
      <c r="S28" s="53">
        <v>132000</v>
      </c>
      <c r="T28" s="53">
        <v>484000</v>
      </c>
      <c r="U28" s="53"/>
      <c r="V28" s="53"/>
      <c r="W28" s="53"/>
    </row>
    <row r="29" spans="1:23">
      <c r="A29" s="47">
        <v>27</v>
      </c>
      <c r="B29" s="56">
        <v>4971710592955</v>
      </c>
      <c r="C29" s="57" t="s">
        <v>738</v>
      </c>
      <c r="D29" s="75" t="s">
        <v>884</v>
      </c>
      <c r="E29" s="48" t="s">
        <v>739</v>
      </c>
      <c r="F29" s="50">
        <v>0</v>
      </c>
      <c r="G29" s="52">
        <v>0</v>
      </c>
      <c r="H29" s="50">
        <v>0</v>
      </c>
      <c r="I29" s="50">
        <v>0</v>
      </c>
      <c r="J29" s="50">
        <v>0</v>
      </c>
      <c r="K29" s="53">
        <v>0</v>
      </c>
      <c r="L29" s="59">
        <v>39325</v>
      </c>
      <c r="M29" s="61">
        <v>196625</v>
      </c>
      <c r="N29" s="59">
        <v>23595</v>
      </c>
      <c r="O29" s="50">
        <v>206305</v>
      </c>
      <c r="P29" s="50">
        <v>19360</v>
      </c>
      <c r="Q29" s="53"/>
      <c r="R29" s="53">
        <v>263780</v>
      </c>
      <c r="S29" s="53">
        <v>18150</v>
      </c>
      <c r="T29" s="53"/>
      <c r="U29" s="53"/>
      <c r="V29" s="53"/>
      <c r="W29" s="53">
        <v>475530</v>
      </c>
    </row>
    <row r="30" spans="1:23">
      <c r="A30" s="47">
        <v>28</v>
      </c>
      <c r="B30" s="56">
        <v>4971710573992</v>
      </c>
      <c r="C30" s="57" t="s">
        <v>911</v>
      </c>
      <c r="D30" s="75" t="s">
        <v>1085</v>
      </c>
      <c r="E30" s="48" t="s">
        <v>861</v>
      </c>
      <c r="F30" s="50">
        <v>0</v>
      </c>
      <c r="G30" s="52">
        <v>0</v>
      </c>
      <c r="H30" s="50">
        <v>0</v>
      </c>
      <c r="I30" s="50">
        <v>0</v>
      </c>
      <c r="J30" s="50">
        <v>0</v>
      </c>
      <c r="K30" s="53">
        <v>0</v>
      </c>
      <c r="L30" s="59"/>
      <c r="M30" s="61"/>
      <c r="N30" s="59"/>
      <c r="O30" s="50"/>
      <c r="P30" s="50">
        <v>703890</v>
      </c>
      <c r="Q30" s="53">
        <v>59400</v>
      </c>
      <c r="R30" s="53">
        <v>445500</v>
      </c>
      <c r="S30" s="53">
        <v>1885950</v>
      </c>
      <c r="T30" s="53">
        <v>2681910</v>
      </c>
      <c r="U30" s="53"/>
      <c r="V30" s="53"/>
      <c r="W30" s="53">
        <v>252010</v>
      </c>
    </row>
    <row r="31" spans="1:23">
      <c r="A31" s="47">
        <v>29</v>
      </c>
      <c r="B31" s="56">
        <v>4971710573855</v>
      </c>
      <c r="C31" s="57" t="s">
        <v>985</v>
      </c>
      <c r="D31" s="75" t="s">
        <v>1085</v>
      </c>
      <c r="E31" s="48" t="s">
        <v>858</v>
      </c>
      <c r="F31" s="50">
        <v>0</v>
      </c>
      <c r="G31" s="52">
        <v>0</v>
      </c>
      <c r="H31" s="50">
        <v>0</v>
      </c>
      <c r="I31" s="50">
        <v>0</v>
      </c>
      <c r="J31" s="50">
        <v>0</v>
      </c>
      <c r="K31" s="53">
        <v>0</v>
      </c>
      <c r="L31" s="59"/>
      <c r="M31" s="61"/>
      <c r="N31" s="59"/>
      <c r="O31" s="50"/>
      <c r="P31" s="50">
        <v>519750</v>
      </c>
      <c r="Q31" s="53"/>
      <c r="R31" s="53">
        <v>311850</v>
      </c>
      <c r="S31" s="53">
        <v>716100</v>
      </c>
      <c r="T31" s="53">
        <v>1761375</v>
      </c>
      <c r="U31" s="53"/>
      <c r="V31" s="53"/>
      <c r="W31" s="53">
        <v>269610</v>
      </c>
    </row>
    <row r="32" spans="1:23">
      <c r="A32" s="47">
        <v>30</v>
      </c>
      <c r="B32" s="56">
        <v>4971710576634</v>
      </c>
      <c r="C32" s="57" t="s">
        <v>615</v>
      </c>
      <c r="D32" s="75" t="s">
        <v>882</v>
      </c>
      <c r="E32" s="48" t="s">
        <v>616</v>
      </c>
      <c r="F32" s="50">
        <v>57750</v>
      </c>
      <c r="G32" s="52">
        <v>115500</v>
      </c>
      <c r="H32" s="50">
        <v>279125</v>
      </c>
      <c r="I32" s="50">
        <v>21175</v>
      </c>
      <c r="J32" s="50">
        <v>96250</v>
      </c>
      <c r="K32" s="53">
        <v>9625</v>
      </c>
      <c r="L32" s="59">
        <v>375375</v>
      </c>
      <c r="M32" s="61">
        <v>157850</v>
      </c>
      <c r="N32" s="59">
        <v>11550</v>
      </c>
      <c r="O32" s="50">
        <v>134750</v>
      </c>
      <c r="P32" s="50">
        <v>1149225</v>
      </c>
      <c r="Q32" s="53">
        <v>34650</v>
      </c>
      <c r="R32" s="53">
        <v>30800</v>
      </c>
      <c r="S32" s="53">
        <v>231000</v>
      </c>
      <c r="T32" s="53">
        <v>1262800</v>
      </c>
      <c r="U32" s="53"/>
      <c r="V32" s="53"/>
      <c r="W32" s="53">
        <v>117425</v>
      </c>
    </row>
    <row r="33" spans="1:23">
      <c r="A33" s="47">
        <v>31</v>
      </c>
      <c r="B33" s="56">
        <v>4971710571868</v>
      </c>
      <c r="C33" s="57" t="s">
        <v>912</v>
      </c>
      <c r="D33" s="75" t="s">
        <v>1085</v>
      </c>
      <c r="E33" s="48" t="s">
        <v>857</v>
      </c>
      <c r="F33" s="50">
        <v>0</v>
      </c>
      <c r="G33" s="52">
        <v>0</v>
      </c>
      <c r="H33" s="50">
        <v>0</v>
      </c>
      <c r="I33" s="50">
        <v>0</v>
      </c>
      <c r="J33" s="50">
        <v>0</v>
      </c>
      <c r="K33" s="53">
        <v>0</v>
      </c>
      <c r="L33" s="59"/>
      <c r="M33" s="61"/>
      <c r="N33" s="59"/>
      <c r="O33" s="50"/>
      <c r="P33" s="50">
        <v>572660</v>
      </c>
      <c r="Q33" s="53">
        <v>41800</v>
      </c>
      <c r="R33" s="53">
        <v>12540</v>
      </c>
      <c r="S33" s="53">
        <v>1254000</v>
      </c>
      <c r="T33" s="53">
        <v>1427470</v>
      </c>
      <c r="U33" s="53"/>
      <c r="V33" s="53"/>
      <c r="W33" s="53">
        <v>462275</v>
      </c>
    </row>
    <row r="34" spans="1:23" hidden="1">
      <c r="A34" s="47">
        <v>32</v>
      </c>
      <c r="B34" s="56">
        <v>4971710561395</v>
      </c>
      <c r="C34" s="57" t="s">
        <v>477</v>
      </c>
      <c r="D34" s="75" t="s">
        <v>882</v>
      </c>
      <c r="E34" s="48" t="s">
        <v>478</v>
      </c>
      <c r="F34" s="50">
        <v>19800</v>
      </c>
      <c r="G34" s="52">
        <v>297000</v>
      </c>
      <c r="H34" s="50">
        <v>39600</v>
      </c>
      <c r="I34" s="50">
        <v>118800</v>
      </c>
      <c r="J34" s="50">
        <v>49500</v>
      </c>
      <c r="K34" s="53">
        <v>59400</v>
      </c>
      <c r="L34" s="59">
        <v>390060</v>
      </c>
      <c r="M34" s="61">
        <v>249480</v>
      </c>
      <c r="N34" s="59">
        <v>247500</v>
      </c>
      <c r="O34" s="50">
        <v>669240</v>
      </c>
      <c r="P34" s="50"/>
      <c r="Q34" s="53">
        <v>129690</v>
      </c>
      <c r="R34" s="53"/>
      <c r="S34" s="53">
        <v>5940</v>
      </c>
      <c r="T34" s="53">
        <v>5940</v>
      </c>
      <c r="U34" s="53"/>
      <c r="V34" s="53"/>
      <c r="W34" s="53"/>
    </row>
    <row r="35" spans="1:23">
      <c r="A35" s="47">
        <v>33</v>
      </c>
      <c r="B35" s="56">
        <v>4971710568899</v>
      </c>
      <c r="C35" s="57" t="s">
        <v>537</v>
      </c>
      <c r="D35" s="75" t="s">
        <v>882</v>
      </c>
      <c r="E35" s="48" t="s">
        <v>538</v>
      </c>
      <c r="F35" s="50">
        <v>29700</v>
      </c>
      <c r="G35" s="52">
        <v>14850</v>
      </c>
      <c r="H35" s="50">
        <v>14850</v>
      </c>
      <c r="I35" s="50">
        <v>7425</v>
      </c>
      <c r="J35" s="50">
        <v>170775</v>
      </c>
      <c r="K35" s="53">
        <v>0</v>
      </c>
      <c r="L35" s="59">
        <v>44550</v>
      </c>
      <c r="M35" s="61">
        <v>124740</v>
      </c>
      <c r="N35" s="59">
        <v>166320</v>
      </c>
      <c r="O35" s="50">
        <v>68310</v>
      </c>
      <c r="P35" s="50">
        <v>929610</v>
      </c>
      <c r="Q35" s="53">
        <v>89100</v>
      </c>
      <c r="R35" s="53">
        <v>2970</v>
      </c>
      <c r="S35" s="53">
        <v>71280</v>
      </c>
      <c r="T35" s="53">
        <v>959310</v>
      </c>
      <c r="U35" s="53"/>
      <c r="V35" s="53"/>
      <c r="W35" s="53">
        <v>148500</v>
      </c>
    </row>
    <row r="36" spans="1:23" hidden="1">
      <c r="A36" s="47">
        <v>34</v>
      </c>
      <c r="B36" s="56">
        <v>4971710549805</v>
      </c>
      <c r="C36" s="57" t="s">
        <v>436</v>
      </c>
      <c r="D36" s="75" t="s">
        <v>882</v>
      </c>
      <c r="E36" s="48" t="s">
        <v>435</v>
      </c>
      <c r="F36" s="50">
        <v>0</v>
      </c>
      <c r="G36" s="52">
        <v>192500</v>
      </c>
      <c r="H36" s="50">
        <v>55000</v>
      </c>
      <c r="I36" s="50">
        <v>68750</v>
      </c>
      <c r="J36" s="50">
        <v>68750</v>
      </c>
      <c r="K36" s="53">
        <v>198000</v>
      </c>
      <c r="L36" s="59">
        <v>871750</v>
      </c>
      <c r="M36" s="61">
        <v>203500</v>
      </c>
      <c r="N36" s="59">
        <v>192500</v>
      </c>
      <c r="O36" s="50">
        <v>82500</v>
      </c>
      <c r="P36" s="50">
        <v>855250</v>
      </c>
      <c r="Q36" s="53">
        <v>16500</v>
      </c>
      <c r="R36" s="53">
        <v>129250</v>
      </c>
      <c r="S36" s="53"/>
      <c r="T36" s="53">
        <v>1784750</v>
      </c>
      <c r="U36" s="53"/>
      <c r="V36" s="53"/>
      <c r="W36" s="53"/>
    </row>
    <row r="37" spans="1:23">
      <c r="A37" s="47">
        <v>35</v>
      </c>
      <c r="B37" s="56">
        <v>4971710581928</v>
      </c>
      <c r="C37" s="57" t="s">
        <v>984</v>
      </c>
      <c r="D37" s="75" t="s">
        <v>1085</v>
      </c>
      <c r="E37" s="48" t="s">
        <v>857</v>
      </c>
      <c r="F37" s="50">
        <v>0</v>
      </c>
      <c r="G37" s="52">
        <v>0</v>
      </c>
      <c r="H37" s="50">
        <v>0</v>
      </c>
      <c r="I37" s="50">
        <v>0</v>
      </c>
      <c r="J37" s="50">
        <v>0</v>
      </c>
      <c r="K37" s="53">
        <v>0</v>
      </c>
      <c r="L37" s="59"/>
      <c r="M37" s="61"/>
      <c r="N37" s="59"/>
      <c r="O37" s="50"/>
      <c r="P37" s="50">
        <v>813120</v>
      </c>
      <c r="Q37" s="53">
        <v>35200</v>
      </c>
      <c r="R37" s="53">
        <v>21120</v>
      </c>
      <c r="S37" s="53">
        <v>563200</v>
      </c>
      <c r="T37" s="53">
        <v>894080</v>
      </c>
      <c r="U37" s="53"/>
      <c r="V37" s="53"/>
      <c r="W37" s="53">
        <v>330990</v>
      </c>
    </row>
    <row r="38" spans="1:23">
      <c r="A38" s="47">
        <v>36</v>
      </c>
      <c r="B38" s="56">
        <v>4971710556827</v>
      </c>
      <c r="C38" s="57" t="s">
        <v>446</v>
      </c>
      <c r="D38" s="75" t="s">
        <v>884</v>
      </c>
      <c r="E38" s="48" t="s">
        <v>447</v>
      </c>
      <c r="F38" s="50">
        <v>0</v>
      </c>
      <c r="G38" s="52">
        <v>0</v>
      </c>
      <c r="H38" s="50">
        <v>94050</v>
      </c>
      <c r="I38" s="50">
        <v>128700</v>
      </c>
      <c r="J38" s="50">
        <v>59400</v>
      </c>
      <c r="K38" s="53">
        <v>74250</v>
      </c>
      <c r="L38" s="59">
        <v>64350</v>
      </c>
      <c r="M38" s="61">
        <v>100980</v>
      </c>
      <c r="N38" s="59">
        <v>227700</v>
      </c>
      <c r="O38" s="50">
        <v>29700</v>
      </c>
      <c r="P38" s="50">
        <v>61380</v>
      </c>
      <c r="Q38" s="53">
        <v>8910</v>
      </c>
      <c r="R38" s="53">
        <v>3960</v>
      </c>
      <c r="S38" s="53">
        <v>59400</v>
      </c>
      <c r="T38" s="53">
        <v>470250</v>
      </c>
      <c r="U38" s="53"/>
      <c r="V38" s="53"/>
      <c r="W38" s="53">
        <v>152460</v>
      </c>
    </row>
    <row r="39" spans="1:23">
      <c r="A39" s="47">
        <v>37</v>
      </c>
      <c r="B39" s="56">
        <v>4971710524055</v>
      </c>
      <c r="C39" s="57" t="s">
        <v>398</v>
      </c>
      <c r="D39" s="75" t="s">
        <v>884</v>
      </c>
      <c r="E39" s="48" t="s">
        <v>399</v>
      </c>
      <c r="F39" s="50">
        <v>0</v>
      </c>
      <c r="G39" s="52">
        <v>0</v>
      </c>
      <c r="H39" s="50">
        <v>0</v>
      </c>
      <c r="I39" s="50">
        <v>60500</v>
      </c>
      <c r="J39" s="50">
        <v>9075</v>
      </c>
      <c r="K39" s="53">
        <v>72600</v>
      </c>
      <c r="L39" s="59">
        <v>176055</v>
      </c>
      <c r="M39" s="61">
        <v>73810</v>
      </c>
      <c r="N39" s="59">
        <v>151250</v>
      </c>
      <c r="O39" s="50">
        <v>3630</v>
      </c>
      <c r="P39" s="50">
        <v>24200</v>
      </c>
      <c r="Q39" s="53">
        <v>60500</v>
      </c>
      <c r="R39" s="53">
        <v>24200</v>
      </c>
      <c r="S39" s="53">
        <v>60500</v>
      </c>
      <c r="T39" s="53">
        <v>121000</v>
      </c>
      <c r="U39" s="53"/>
      <c r="V39" s="53"/>
      <c r="W39" s="53">
        <v>84700</v>
      </c>
    </row>
    <row r="40" spans="1:23">
      <c r="A40" s="47">
        <v>38</v>
      </c>
      <c r="B40" s="56">
        <v>4971710595529</v>
      </c>
      <c r="C40" s="57" t="s">
        <v>764</v>
      </c>
      <c r="D40" s="75" t="s">
        <v>884</v>
      </c>
      <c r="E40" s="48" t="s">
        <v>765</v>
      </c>
      <c r="F40" s="50">
        <v>0</v>
      </c>
      <c r="G40" s="52">
        <v>0</v>
      </c>
      <c r="H40" s="50">
        <v>0</v>
      </c>
      <c r="I40" s="50">
        <v>0</v>
      </c>
      <c r="J40" s="50">
        <v>0</v>
      </c>
      <c r="K40" s="53">
        <v>0</v>
      </c>
      <c r="L40" s="59"/>
      <c r="M40" s="61">
        <v>22330</v>
      </c>
      <c r="N40" s="59">
        <v>104720</v>
      </c>
      <c r="O40" s="50">
        <v>133980</v>
      </c>
      <c r="P40" s="50">
        <v>127050</v>
      </c>
      <c r="Q40" s="53">
        <v>186340</v>
      </c>
      <c r="R40" s="53">
        <v>149380</v>
      </c>
      <c r="S40" s="53"/>
      <c r="T40" s="53">
        <v>158620</v>
      </c>
      <c r="U40" s="53"/>
      <c r="V40" s="53"/>
      <c r="W40" s="53">
        <v>97020</v>
      </c>
    </row>
    <row r="41" spans="1:23">
      <c r="A41" s="47">
        <v>39</v>
      </c>
      <c r="B41" s="56">
        <v>4971710556865</v>
      </c>
      <c r="C41" s="57" t="s">
        <v>454</v>
      </c>
      <c r="D41" s="75" t="s">
        <v>884</v>
      </c>
      <c r="E41" s="48" t="s">
        <v>455</v>
      </c>
      <c r="F41" s="50">
        <v>70400</v>
      </c>
      <c r="G41" s="52">
        <v>30800</v>
      </c>
      <c r="H41" s="50">
        <v>18480</v>
      </c>
      <c r="I41" s="50">
        <v>44000</v>
      </c>
      <c r="J41" s="50">
        <v>58960</v>
      </c>
      <c r="K41" s="53">
        <v>0</v>
      </c>
      <c r="L41" s="59">
        <v>151360</v>
      </c>
      <c r="M41" s="61">
        <v>200640</v>
      </c>
      <c r="N41" s="59">
        <v>52800</v>
      </c>
      <c r="O41" s="50">
        <v>59840</v>
      </c>
      <c r="P41" s="50">
        <v>63360</v>
      </c>
      <c r="Q41" s="53">
        <v>13200</v>
      </c>
      <c r="R41" s="53">
        <v>95040</v>
      </c>
      <c r="S41" s="53">
        <v>17600</v>
      </c>
      <c r="T41" s="53">
        <v>274560</v>
      </c>
      <c r="U41" s="53"/>
      <c r="V41" s="53"/>
      <c r="W41" s="53">
        <v>158400</v>
      </c>
    </row>
    <row r="42" spans="1:23">
      <c r="A42" s="47">
        <v>40</v>
      </c>
      <c r="B42" s="56">
        <v>4971710571790</v>
      </c>
      <c r="C42" s="57" t="s">
        <v>555</v>
      </c>
      <c r="D42" s="75" t="s">
        <v>884</v>
      </c>
      <c r="E42" s="48" t="s">
        <v>556</v>
      </c>
      <c r="F42" s="50">
        <v>0</v>
      </c>
      <c r="G42" s="52">
        <v>15840</v>
      </c>
      <c r="H42" s="50">
        <v>15840</v>
      </c>
      <c r="I42" s="50">
        <v>106920</v>
      </c>
      <c r="J42" s="50">
        <v>0</v>
      </c>
      <c r="K42" s="53">
        <v>16500</v>
      </c>
      <c r="L42" s="59">
        <v>9900</v>
      </c>
      <c r="M42" s="61">
        <v>205920</v>
      </c>
      <c r="N42" s="59">
        <v>99000</v>
      </c>
      <c r="O42" s="50">
        <v>91080</v>
      </c>
      <c r="P42" s="50"/>
      <c r="Q42" s="53"/>
      <c r="R42" s="53">
        <v>5280</v>
      </c>
      <c r="S42" s="53"/>
      <c r="T42" s="53">
        <v>366960</v>
      </c>
      <c r="U42" s="53"/>
      <c r="V42" s="53"/>
      <c r="W42" s="53">
        <v>15840</v>
      </c>
    </row>
    <row r="43" spans="1:23">
      <c r="A43" s="47">
        <v>41</v>
      </c>
      <c r="B43" s="56">
        <v>4971710556841</v>
      </c>
      <c r="C43" s="57" t="s">
        <v>450</v>
      </c>
      <c r="D43" s="75" t="s">
        <v>884</v>
      </c>
      <c r="E43" s="48" t="s">
        <v>451</v>
      </c>
      <c r="F43" s="50">
        <v>0</v>
      </c>
      <c r="G43" s="52">
        <v>0</v>
      </c>
      <c r="H43" s="50">
        <v>34650</v>
      </c>
      <c r="I43" s="50">
        <v>29700</v>
      </c>
      <c r="J43" s="50">
        <v>24750</v>
      </c>
      <c r="K43" s="53">
        <v>69300</v>
      </c>
      <c r="L43" s="59">
        <v>168300</v>
      </c>
      <c r="M43" s="61">
        <v>128700</v>
      </c>
      <c r="N43" s="59">
        <v>71280</v>
      </c>
      <c r="O43" s="50">
        <v>29700</v>
      </c>
      <c r="P43" s="50">
        <v>37620</v>
      </c>
      <c r="Q43" s="53">
        <v>9900</v>
      </c>
      <c r="R43" s="53">
        <v>1980</v>
      </c>
      <c r="S43" s="53">
        <v>29700</v>
      </c>
      <c r="T43" s="53">
        <v>514800</v>
      </c>
      <c r="U43" s="53"/>
      <c r="V43" s="53"/>
      <c r="W43" s="53">
        <v>49500</v>
      </c>
    </row>
    <row r="44" spans="1:23">
      <c r="A44" s="47">
        <v>42</v>
      </c>
      <c r="B44" s="56">
        <v>4971710278521</v>
      </c>
      <c r="C44" s="57" t="s">
        <v>5</v>
      </c>
      <c r="D44" s="75" t="s">
        <v>882</v>
      </c>
      <c r="E44" s="48" t="s">
        <v>6</v>
      </c>
      <c r="F44" s="50">
        <v>49500</v>
      </c>
      <c r="G44" s="52">
        <v>24750</v>
      </c>
      <c r="H44" s="50">
        <v>0</v>
      </c>
      <c r="I44" s="50">
        <v>49500</v>
      </c>
      <c r="J44" s="50">
        <v>79200</v>
      </c>
      <c r="K44" s="53">
        <v>237600</v>
      </c>
      <c r="L44" s="59"/>
      <c r="M44" s="61"/>
      <c r="N44" s="59">
        <v>148500</v>
      </c>
      <c r="O44" s="50"/>
      <c r="P44" s="50">
        <v>952875</v>
      </c>
      <c r="Q44" s="53"/>
      <c r="R44" s="53">
        <v>79200</v>
      </c>
      <c r="S44" s="53">
        <v>207900</v>
      </c>
      <c r="T44" s="53">
        <v>1009800</v>
      </c>
      <c r="U44" s="53"/>
      <c r="V44" s="53"/>
      <c r="W44" s="53">
        <v>297000</v>
      </c>
    </row>
    <row r="45" spans="1:23">
      <c r="A45" s="47">
        <v>43</v>
      </c>
      <c r="B45" s="56">
        <v>4971710557718</v>
      </c>
      <c r="C45" s="57" t="s">
        <v>456</v>
      </c>
      <c r="D45" s="75" t="s">
        <v>880</v>
      </c>
      <c r="E45" s="48" t="s">
        <v>457</v>
      </c>
      <c r="F45" s="50">
        <v>6600</v>
      </c>
      <c r="G45" s="52">
        <v>23100</v>
      </c>
      <c r="H45" s="50">
        <v>23100</v>
      </c>
      <c r="I45" s="50">
        <v>3300</v>
      </c>
      <c r="J45" s="50">
        <v>39600</v>
      </c>
      <c r="K45" s="53">
        <v>3300</v>
      </c>
      <c r="L45" s="59">
        <v>93720</v>
      </c>
      <c r="M45" s="61">
        <v>22440</v>
      </c>
      <c r="N45" s="59">
        <v>15840</v>
      </c>
      <c r="O45" s="50">
        <v>113520</v>
      </c>
      <c r="P45" s="50">
        <v>73920</v>
      </c>
      <c r="Q45" s="53"/>
      <c r="R45" s="53">
        <v>155760</v>
      </c>
      <c r="S45" s="53">
        <v>66000</v>
      </c>
      <c r="T45" s="53">
        <v>21120</v>
      </c>
      <c r="U45" s="53"/>
      <c r="V45" s="53"/>
      <c r="W45" s="53">
        <v>68640</v>
      </c>
    </row>
    <row r="46" spans="1:23" hidden="1">
      <c r="A46" s="47">
        <v>44</v>
      </c>
      <c r="B46" s="56">
        <v>4971710568103</v>
      </c>
      <c r="C46" s="57" t="s">
        <v>1013</v>
      </c>
      <c r="D46" s="75" t="s">
        <v>882</v>
      </c>
      <c r="E46" s="48" t="s">
        <v>863</v>
      </c>
      <c r="F46" s="50">
        <v>0</v>
      </c>
      <c r="G46" s="52">
        <v>0</v>
      </c>
      <c r="H46" s="50">
        <v>0</v>
      </c>
      <c r="I46" s="50">
        <v>13750</v>
      </c>
      <c r="J46" s="50">
        <v>0</v>
      </c>
      <c r="K46" s="53">
        <v>0</v>
      </c>
      <c r="L46" s="59"/>
      <c r="M46" s="61">
        <v>82500</v>
      </c>
      <c r="N46" s="59"/>
      <c r="O46" s="50"/>
      <c r="P46" s="50">
        <v>60500</v>
      </c>
      <c r="Q46" s="53"/>
      <c r="R46" s="53">
        <v>5500</v>
      </c>
      <c r="S46" s="53"/>
      <c r="T46" s="53">
        <v>2772000</v>
      </c>
      <c r="U46" s="53"/>
      <c r="V46" s="53"/>
      <c r="W46" s="53"/>
    </row>
    <row r="47" spans="1:23">
      <c r="A47" s="47">
        <v>45</v>
      </c>
      <c r="B47" s="56">
        <v>4971710593037</v>
      </c>
      <c r="C47" s="57" t="s">
        <v>754</v>
      </c>
      <c r="D47" s="75" t="s">
        <v>884</v>
      </c>
      <c r="E47" s="48" t="s">
        <v>755</v>
      </c>
      <c r="F47" s="50">
        <v>0</v>
      </c>
      <c r="G47" s="52">
        <v>0</v>
      </c>
      <c r="H47" s="50">
        <v>0</v>
      </c>
      <c r="I47" s="50">
        <v>0</v>
      </c>
      <c r="J47" s="50">
        <v>0</v>
      </c>
      <c r="K47" s="53">
        <v>0</v>
      </c>
      <c r="L47" s="59">
        <v>112200</v>
      </c>
      <c r="M47" s="61">
        <v>181390</v>
      </c>
      <c r="N47" s="59">
        <v>46750</v>
      </c>
      <c r="O47" s="50">
        <v>39270</v>
      </c>
      <c r="P47" s="50">
        <v>116875</v>
      </c>
      <c r="Q47" s="53"/>
      <c r="R47" s="53">
        <v>160820</v>
      </c>
      <c r="S47" s="53">
        <v>28050</v>
      </c>
      <c r="T47" s="53">
        <v>18700</v>
      </c>
      <c r="U47" s="53"/>
      <c r="V47" s="53"/>
      <c r="W47" s="53">
        <v>226270</v>
      </c>
    </row>
    <row r="48" spans="1:23">
      <c r="A48" s="47">
        <v>46</v>
      </c>
      <c r="B48" s="56">
        <v>4971710563238</v>
      </c>
      <c r="C48" s="57" t="s">
        <v>479</v>
      </c>
      <c r="D48" s="75" t="s">
        <v>896</v>
      </c>
      <c r="E48" s="48" t="s">
        <v>480</v>
      </c>
      <c r="F48" s="50">
        <v>0</v>
      </c>
      <c r="G48" s="52">
        <v>19800</v>
      </c>
      <c r="H48" s="50">
        <v>0</v>
      </c>
      <c r="I48" s="50">
        <v>0</v>
      </c>
      <c r="J48" s="50">
        <v>110880</v>
      </c>
      <c r="K48" s="53">
        <v>42900</v>
      </c>
      <c r="L48" s="59">
        <v>79200</v>
      </c>
      <c r="M48" s="61"/>
      <c r="N48" s="59">
        <v>158400</v>
      </c>
      <c r="O48" s="50">
        <v>52800</v>
      </c>
      <c r="P48" s="50">
        <v>118800</v>
      </c>
      <c r="Q48" s="53"/>
      <c r="R48" s="53">
        <v>29700</v>
      </c>
      <c r="S48" s="53">
        <v>16500</v>
      </c>
      <c r="T48" s="53">
        <v>63360</v>
      </c>
      <c r="U48" s="53"/>
      <c r="V48" s="53"/>
      <c r="W48" s="53">
        <v>132000</v>
      </c>
    </row>
    <row r="49" spans="1:23">
      <c r="A49" s="47">
        <v>47</v>
      </c>
      <c r="B49" s="56">
        <v>4971710570250</v>
      </c>
      <c r="C49" s="57" t="s">
        <v>994</v>
      </c>
      <c r="D49" s="75" t="s">
        <v>1085</v>
      </c>
      <c r="E49" s="48" t="s">
        <v>860</v>
      </c>
      <c r="F49" s="50">
        <v>0</v>
      </c>
      <c r="G49" s="52">
        <v>0</v>
      </c>
      <c r="H49" s="50">
        <v>0</v>
      </c>
      <c r="I49" s="50">
        <v>0</v>
      </c>
      <c r="J49" s="50">
        <v>0</v>
      </c>
      <c r="K49" s="53">
        <v>0</v>
      </c>
      <c r="L49" s="59"/>
      <c r="M49" s="61"/>
      <c r="N49" s="59"/>
      <c r="O49" s="50"/>
      <c r="P49" s="50">
        <v>514800</v>
      </c>
      <c r="Q49" s="53"/>
      <c r="R49" s="53"/>
      <c r="S49" s="53"/>
      <c r="T49" s="53">
        <v>695200</v>
      </c>
      <c r="U49" s="53"/>
      <c r="V49" s="53"/>
      <c r="W49" s="53">
        <v>759165</v>
      </c>
    </row>
    <row r="50" spans="1:23">
      <c r="A50" s="47">
        <v>48</v>
      </c>
      <c r="B50" s="56">
        <v>4971710489194</v>
      </c>
      <c r="C50" s="57" t="s">
        <v>88</v>
      </c>
      <c r="D50" s="75" t="s">
        <v>884</v>
      </c>
      <c r="E50" s="48" t="s">
        <v>89</v>
      </c>
      <c r="F50" s="50">
        <v>0</v>
      </c>
      <c r="G50" s="52">
        <v>0</v>
      </c>
      <c r="H50" s="50">
        <v>0</v>
      </c>
      <c r="I50" s="50">
        <v>27500</v>
      </c>
      <c r="J50" s="50">
        <v>60500</v>
      </c>
      <c r="K50" s="53">
        <v>5500</v>
      </c>
      <c r="L50" s="59">
        <v>38500</v>
      </c>
      <c r="M50" s="61">
        <v>49500</v>
      </c>
      <c r="N50" s="59"/>
      <c r="O50" s="50"/>
      <c r="P50" s="50">
        <v>143000</v>
      </c>
      <c r="Q50" s="53">
        <v>88000</v>
      </c>
      <c r="R50" s="53">
        <v>8250</v>
      </c>
      <c r="S50" s="53">
        <v>16500</v>
      </c>
      <c r="T50" s="53">
        <v>90750</v>
      </c>
      <c r="U50" s="53"/>
      <c r="V50" s="53"/>
      <c r="W50" s="53">
        <v>44000</v>
      </c>
    </row>
    <row r="51" spans="1:23">
      <c r="A51" s="47">
        <v>49</v>
      </c>
      <c r="B51" s="56">
        <v>4971710585278</v>
      </c>
      <c r="C51" s="57" t="s">
        <v>991</v>
      </c>
      <c r="D51" s="75" t="s">
        <v>1085</v>
      </c>
      <c r="E51" s="48" t="s">
        <v>862</v>
      </c>
      <c r="F51" s="50">
        <v>0</v>
      </c>
      <c r="G51" s="52">
        <v>0</v>
      </c>
      <c r="H51" s="50">
        <v>0</v>
      </c>
      <c r="I51" s="50">
        <v>0</v>
      </c>
      <c r="J51" s="50">
        <v>0</v>
      </c>
      <c r="K51" s="53">
        <v>0</v>
      </c>
      <c r="L51" s="59"/>
      <c r="M51" s="61"/>
      <c r="N51" s="59"/>
      <c r="O51" s="50"/>
      <c r="P51" s="50">
        <v>211200</v>
      </c>
      <c r="Q51" s="53"/>
      <c r="R51" s="53">
        <v>110000</v>
      </c>
      <c r="S51" s="53"/>
      <c r="T51" s="53">
        <v>389400</v>
      </c>
      <c r="U51" s="53"/>
      <c r="V51" s="53"/>
      <c r="W51" s="53">
        <v>255530</v>
      </c>
    </row>
    <row r="52" spans="1:23" hidden="1">
      <c r="A52" s="47">
        <v>50</v>
      </c>
      <c r="B52" s="56">
        <v>4971710295818</v>
      </c>
      <c r="C52" s="57" t="s">
        <v>986</v>
      </c>
      <c r="D52" s="75" t="s">
        <v>882</v>
      </c>
      <c r="E52" s="48" t="s">
        <v>13</v>
      </c>
      <c r="F52" s="50">
        <v>0</v>
      </c>
      <c r="G52" s="52">
        <v>40700</v>
      </c>
      <c r="H52" s="50">
        <v>0</v>
      </c>
      <c r="I52" s="50">
        <v>20350</v>
      </c>
      <c r="J52" s="50">
        <v>40700</v>
      </c>
      <c r="K52" s="53">
        <v>97680</v>
      </c>
      <c r="L52" s="59">
        <v>496540</v>
      </c>
      <c r="M52" s="61">
        <v>463980</v>
      </c>
      <c r="N52" s="59">
        <v>427350</v>
      </c>
      <c r="O52" s="50">
        <v>268620</v>
      </c>
      <c r="P52" s="50">
        <v>602360</v>
      </c>
      <c r="Q52" s="53">
        <v>203500</v>
      </c>
      <c r="R52" s="53">
        <v>179080</v>
      </c>
      <c r="S52" s="53"/>
      <c r="T52" s="53">
        <v>691900</v>
      </c>
      <c r="U52" s="53"/>
      <c r="V52" s="53"/>
      <c r="W52" s="53"/>
    </row>
    <row r="53" spans="1:23" hidden="1">
      <c r="A53" s="47">
        <v>51</v>
      </c>
      <c r="B53" s="56">
        <v>4971710557732</v>
      </c>
      <c r="C53" s="57" t="s">
        <v>460</v>
      </c>
      <c r="D53" s="75" t="s">
        <v>880</v>
      </c>
      <c r="E53" s="48" t="s">
        <v>461</v>
      </c>
      <c r="F53" s="50">
        <v>6600</v>
      </c>
      <c r="G53" s="52">
        <v>33000</v>
      </c>
      <c r="H53" s="50">
        <v>26400</v>
      </c>
      <c r="I53" s="50">
        <v>3300</v>
      </c>
      <c r="J53" s="50">
        <v>6600</v>
      </c>
      <c r="K53" s="53">
        <v>3300</v>
      </c>
      <c r="L53" s="59">
        <v>87120</v>
      </c>
      <c r="M53" s="61">
        <v>22440</v>
      </c>
      <c r="N53" s="59">
        <v>3960</v>
      </c>
      <c r="O53" s="50">
        <v>43560</v>
      </c>
      <c r="P53" s="50">
        <v>73920</v>
      </c>
      <c r="Q53" s="53"/>
      <c r="R53" s="53">
        <v>124080</v>
      </c>
      <c r="S53" s="53">
        <v>69960</v>
      </c>
      <c r="T53" s="53">
        <v>6600</v>
      </c>
      <c r="U53" s="53"/>
      <c r="V53" s="53"/>
      <c r="W53" s="53"/>
    </row>
    <row r="54" spans="1:23">
      <c r="A54" s="47">
        <v>52</v>
      </c>
      <c r="B54" s="56">
        <v>4971710557725</v>
      </c>
      <c r="C54" s="57" t="s">
        <v>458</v>
      </c>
      <c r="D54" s="75" t="s">
        <v>880</v>
      </c>
      <c r="E54" s="48" t="s">
        <v>459</v>
      </c>
      <c r="F54" s="50">
        <v>6600</v>
      </c>
      <c r="G54" s="52">
        <v>36300</v>
      </c>
      <c r="H54" s="50">
        <v>0</v>
      </c>
      <c r="I54" s="50">
        <v>0</v>
      </c>
      <c r="J54" s="50">
        <v>19800</v>
      </c>
      <c r="K54" s="53">
        <v>0</v>
      </c>
      <c r="L54" s="59">
        <v>82500</v>
      </c>
      <c r="M54" s="61">
        <v>23760</v>
      </c>
      <c r="N54" s="59">
        <v>26400</v>
      </c>
      <c r="O54" s="50">
        <v>79200</v>
      </c>
      <c r="P54" s="50">
        <v>73920</v>
      </c>
      <c r="Q54" s="53"/>
      <c r="R54" s="53">
        <v>47520</v>
      </c>
      <c r="S54" s="53">
        <v>68640</v>
      </c>
      <c r="T54" s="53">
        <v>19800</v>
      </c>
      <c r="U54" s="53"/>
      <c r="V54" s="53"/>
      <c r="W54" s="53">
        <v>81180</v>
      </c>
    </row>
    <row r="55" spans="1:23">
      <c r="A55" s="47">
        <v>53</v>
      </c>
      <c r="B55" s="56">
        <v>4971710595499</v>
      </c>
      <c r="C55" s="57" t="s">
        <v>758</v>
      </c>
      <c r="D55" s="75" t="s">
        <v>884</v>
      </c>
      <c r="E55" s="48" t="s">
        <v>759</v>
      </c>
      <c r="F55" s="50">
        <v>0</v>
      </c>
      <c r="G55" s="52">
        <v>0</v>
      </c>
      <c r="H55" s="50">
        <v>0</v>
      </c>
      <c r="I55" s="50">
        <v>0</v>
      </c>
      <c r="J55" s="50">
        <v>0</v>
      </c>
      <c r="K55" s="53">
        <v>0</v>
      </c>
      <c r="L55" s="59"/>
      <c r="M55" s="61">
        <v>47740</v>
      </c>
      <c r="N55" s="59">
        <v>169400</v>
      </c>
      <c r="O55" s="50">
        <v>84700</v>
      </c>
      <c r="P55" s="50">
        <v>29260</v>
      </c>
      <c r="Q55" s="53">
        <v>166320</v>
      </c>
      <c r="R55" s="53"/>
      <c r="S55" s="53">
        <v>15400</v>
      </c>
      <c r="T55" s="53">
        <v>50050</v>
      </c>
      <c r="U55" s="53"/>
      <c r="V55" s="53"/>
      <c r="W55" s="53">
        <v>23100</v>
      </c>
    </row>
    <row r="56" spans="1:23">
      <c r="A56" s="47">
        <v>54</v>
      </c>
      <c r="B56" s="56">
        <v>4971710576627</v>
      </c>
      <c r="C56" s="57" t="s">
        <v>613</v>
      </c>
      <c r="D56" s="75" t="s">
        <v>884</v>
      </c>
      <c r="E56" s="48" t="s">
        <v>614</v>
      </c>
      <c r="F56" s="50">
        <v>0</v>
      </c>
      <c r="G56" s="52">
        <v>0</v>
      </c>
      <c r="H56" s="50">
        <v>18480</v>
      </c>
      <c r="I56" s="50">
        <v>154000</v>
      </c>
      <c r="J56" s="50">
        <v>0</v>
      </c>
      <c r="K56" s="53">
        <v>0</v>
      </c>
      <c r="L56" s="59">
        <v>7700</v>
      </c>
      <c r="M56" s="61">
        <v>232540</v>
      </c>
      <c r="N56" s="59">
        <v>23100</v>
      </c>
      <c r="O56" s="50">
        <v>9240</v>
      </c>
      <c r="P56" s="50">
        <v>23100</v>
      </c>
      <c r="Q56" s="53"/>
      <c r="R56" s="53">
        <v>73920</v>
      </c>
      <c r="S56" s="53">
        <v>27720</v>
      </c>
      <c r="T56" s="53">
        <v>15400</v>
      </c>
      <c r="U56" s="53"/>
      <c r="V56" s="53"/>
      <c r="W56" s="53">
        <v>154000</v>
      </c>
    </row>
    <row r="57" spans="1:23" hidden="1">
      <c r="A57" s="47">
        <v>55</v>
      </c>
      <c r="B57" s="56">
        <v>4971710582864</v>
      </c>
      <c r="C57" s="57" t="s">
        <v>694</v>
      </c>
      <c r="D57" s="75" t="s">
        <v>884</v>
      </c>
      <c r="E57" s="48" t="s">
        <v>695</v>
      </c>
      <c r="F57" s="50">
        <v>0</v>
      </c>
      <c r="G57" s="52">
        <v>35750</v>
      </c>
      <c r="H57" s="50">
        <v>7150</v>
      </c>
      <c r="I57" s="50">
        <v>30030</v>
      </c>
      <c r="J57" s="50">
        <v>114400</v>
      </c>
      <c r="K57" s="53">
        <v>14300</v>
      </c>
      <c r="L57" s="59"/>
      <c r="M57" s="61">
        <v>225940</v>
      </c>
      <c r="N57" s="59">
        <v>5720</v>
      </c>
      <c r="O57" s="50">
        <v>4290</v>
      </c>
      <c r="P57" s="50">
        <v>30030</v>
      </c>
      <c r="Q57" s="53"/>
      <c r="R57" s="53">
        <v>1430</v>
      </c>
      <c r="S57" s="53"/>
      <c r="T57" s="53">
        <v>253110</v>
      </c>
      <c r="U57" s="53"/>
      <c r="V57" s="53"/>
      <c r="W57" s="53"/>
    </row>
    <row r="58" spans="1:23">
      <c r="A58" s="47">
        <v>56</v>
      </c>
      <c r="B58" s="56">
        <v>4971710561210</v>
      </c>
      <c r="C58" s="57" t="s">
        <v>463</v>
      </c>
      <c r="D58" s="75" t="s">
        <v>884</v>
      </c>
      <c r="E58" s="48" t="s">
        <v>464</v>
      </c>
      <c r="F58" s="50">
        <v>0</v>
      </c>
      <c r="G58" s="52">
        <v>23100</v>
      </c>
      <c r="H58" s="50">
        <v>3850</v>
      </c>
      <c r="I58" s="50">
        <v>77000</v>
      </c>
      <c r="J58" s="50">
        <v>30800</v>
      </c>
      <c r="K58" s="53">
        <v>0</v>
      </c>
      <c r="L58" s="59">
        <v>70070</v>
      </c>
      <c r="M58" s="61">
        <v>61600</v>
      </c>
      <c r="N58" s="59">
        <v>1540</v>
      </c>
      <c r="O58" s="50">
        <v>64680</v>
      </c>
      <c r="P58" s="50">
        <v>83160</v>
      </c>
      <c r="Q58" s="53">
        <v>3850</v>
      </c>
      <c r="R58" s="53">
        <v>50820</v>
      </c>
      <c r="S58" s="53">
        <v>30800</v>
      </c>
      <c r="T58" s="53">
        <v>66990</v>
      </c>
      <c r="U58" s="53"/>
      <c r="V58" s="53"/>
      <c r="W58" s="53">
        <v>113960</v>
      </c>
    </row>
    <row r="59" spans="1:23">
      <c r="A59" s="47">
        <v>57</v>
      </c>
      <c r="B59" s="56">
        <v>4971710599923</v>
      </c>
      <c r="C59" s="57" t="s">
        <v>973</v>
      </c>
      <c r="D59" s="75" t="s">
        <v>882</v>
      </c>
      <c r="E59" s="48" t="s">
        <v>974</v>
      </c>
      <c r="F59" s="50"/>
      <c r="G59" s="52"/>
      <c r="H59" s="50"/>
      <c r="I59" s="50"/>
      <c r="J59" s="50"/>
      <c r="K59" s="53"/>
      <c r="L59" s="59"/>
      <c r="M59" s="61"/>
      <c r="N59" s="59"/>
      <c r="O59" s="50"/>
      <c r="P59" s="50"/>
      <c r="Q59" s="53"/>
      <c r="R59" s="53"/>
      <c r="S59" s="53"/>
      <c r="T59" s="53">
        <v>297000</v>
      </c>
      <c r="U59" s="53"/>
      <c r="V59" s="53"/>
      <c r="W59" s="53">
        <v>853050</v>
      </c>
    </row>
    <row r="60" spans="1:23" hidden="1">
      <c r="A60" s="47">
        <v>58</v>
      </c>
      <c r="B60" s="56">
        <v>4971710556766</v>
      </c>
      <c r="C60" s="57" t="s">
        <v>444</v>
      </c>
      <c r="D60" s="75" t="s">
        <v>896</v>
      </c>
      <c r="E60" s="48" t="s">
        <v>445</v>
      </c>
      <c r="F60" s="50">
        <v>0</v>
      </c>
      <c r="G60" s="52">
        <v>221100</v>
      </c>
      <c r="H60" s="50">
        <v>75900</v>
      </c>
      <c r="I60" s="50">
        <v>21120</v>
      </c>
      <c r="J60" s="50">
        <v>377520</v>
      </c>
      <c r="K60" s="53">
        <v>79200</v>
      </c>
      <c r="L60" s="59">
        <v>270600</v>
      </c>
      <c r="M60" s="61">
        <v>91080</v>
      </c>
      <c r="N60" s="59">
        <v>11880</v>
      </c>
      <c r="O60" s="50">
        <v>79200</v>
      </c>
      <c r="P60" s="50"/>
      <c r="Q60" s="53"/>
      <c r="R60" s="53"/>
      <c r="S60" s="53"/>
      <c r="T60" s="53"/>
      <c r="U60" s="53"/>
      <c r="V60" s="53"/>
      <c r="W60" s="53"/>
    </row>
    <row r="61" spans="1:23">
      <c r="A61" s="47">
        <v>59</v>
      </c>
      <c r="B61" s="56">
        <v>4971710494211</v>
      </c>
      <c r="C61" s="57" t="s">
        <v>122</v>
      </c>
      <c r="D61" s="75" t="s">
        <v>884</v>
      </c>
      <c r="E61" s="48" t="s">
        <v>123</v>
      </c>
      <c r="F61" s="50">
        <v>38610</v>
      </c>
      <c r="G61" s="52">
        <v>1485</v>
      </c>
      <c r="H61" s="50">
        <v>0</v>
      </c>
      <c r="I61" s="50">
        <v>16632</v>
      </c>
      <c r="J61" s="50">
        <v>0</v>
      </c>
      <c r="K61" s="53">
        <v>10395</v>
      </c>
      <c r="L61" s="59">
        <v>7721</v>
      </c>
      <c r="M61" s="61">
        <v>3564</v>
      </c>
      <c r="N61" s="59">
        <v>2970</v>
      </c>
      <c r="O61" s="50">
        <v>20196</v>
      </c>
      <c r="P61" s="50">
        <v>11880</v>
      </c>
      <c r="Q61" s="53">
        <v>3564</v>
      </c>
      <c r="R61" s="53">
        <v>60588</v>
      </c>
      <c r="S61" s="53">
        <v>30888</v>
      </c>
      <c r="T61" s="53">
        <v>22572</v>
      </c>
      <c r="U61" s="53"/>
      <c r="V61" s="53"/>
      <c r="W61" s="53">
        <v>37422</v>
      </c>
    </row>
    <row r="62" spans="1:23" hidden="1">
      <c r="A62" s="47">
        <v>60</v>
      </c>
      <c r="B62" s="56">
        <v>4971710541212</v>
      </c>
      <c r="C62" s="57" t="s">
        <v>432</v>
      </c>
      <c r="D62" s="75" t="s">
        <v>882</v>
      </c>
      <c r="E62" s="48" t="s">
        <v>433</v>
      </c>
      <c r="F62" s="50">
        <v>0</v>
      </c>
      <c r="G62" s="52">
        <v>17600</v>
      </c>
      <c r="H62" s="50">
        <v>0</v>
      </c>
      <c r="I62" s="50">
        <v>17600</v>
      </c>
      <c r="J62" s="50">
        <v>17600</v>
      </c>
      <c r="K62" s="53">
        <v>0</v>
      </c>
      <c r="L62" s="59">
        <v>242880</v>
      </c>
      <c r="M62" s="61">
        <v>28160</v>
      </c>
      <c r="N62" s="59"/>
      <c r="O62" s="50">
        <v>75680</v>
      </c>
      <c r="P62" s="50">
        <v>561440</v>
      </c>
      <c r="Q62" s="53"/>
      <c r="R62" s="53">
        <v>1760</v>
      </c>
      <c r="S62" s="53"/>
      <c r="T62" s="53">
        <v>274560</v>
      </c>
      <c r="U62" s="53"/>
      <c r="V62" s="53"/>
      <c r="W62" s="53"/>
    </row>
    <row r="63" spans="1:23">
      <c r="A63" s="47">
        <v>61</v>
      </c>
      <c r="B63" s="56">
        <v>4971710592993</v>
      </c>
      <c r="C63" s="57" t="s">
        <v>746</v>
      </c>
      <c r="D63" s="75" t="s">
        <v>884</v>
      </c>
      <c r="E63" s="48" t="s">
        <v>747</v>
      </c>
      <c r="F63" s="50">
        <v>0</v>
      </c>
      <c r="G63" s="52">
        <v>0</v>
      </c>
      <c r="H63" s="50">
        <v>0</v>
      </c>
      <c r="I63" s="50">
        <v>0</v>
      </c>
      <c r="J63" s="50">
        <v>0</v>
      </c>
      <c r="K63" s="53">
        <v>0</v>
      </c>
      <c r="L63" s="59">
        <v>39325</v>
      </c>
      <c r="M63" s="61"/>
      <c r="N63" s="59"/>
      <c r="O63" s="50"/>
      <c r="P63" s="50"/>
      <c r="Q63" s="53"/>
      <c r="R63" s="53">
        <v>140360</v>
      </c>
      <c r="S63" s="53">
        <v>18150</v>
      </c>
      <c r="T63" s="53">
        <v>4840</v>
      </c>
      <c r="U63" s="53"/>
      <c r="V63" s="53"/>
      <c r="W63" s="53">
        <v>199650</v>
      </c>
    </row>
    <row r="64" spans="1:23">
      <c r="A64" s="47">
        <v>62</v>
      </c>
      <c r="B64" s="56">
        <v>4971710593044</v>
      </c>
      <c r="C64" s="57" t="s">
        <v>756</v>
      </c>
      <c r="D64" s="75" t="s">
        <v>884</v>
      </c>
      <c r="E64" s="48" t="s">
        <v>757</v>
      </c>
      <c r="F64" s="50">
        <v>0</v>
      </c>
      <c r="G64" s="52">
        <v>0</v>
      </c>
      <c r="H64" s="50">
        <v>0</v>
      </c>
      <c r="I64" s="50">
        <v>0</v>
      </c>
      <c r="J64" s="50">
        <v>0</v>
      </c>
      <c r="K64" s="53">
        <v>0</v>
      </c>
      <c r="L64" s="59">
        <v>112200</v>
      </c>
      <c r="M64" s="61">
        <v>184195</v>
      </c>
      <c r="N64" s="59">
        <v>11220</v>
      </c>
      <c r="O64" s="50">
        <v>33660</v>
      </c>
      <c r="P64" s="50">
        <v>93500</v>
      </c>
      <c r="Q64" s="53"/>
      <c r="R64" s="53">
        <v>95370</v>
      </c>
      <c r="S64" s="53"/>
      <c r="T64" s="53">
        <v>14025</v>
      </c>
      <c r="U64" s="53"/>
      <c r="V64" s="53"/>
      <c r="W64" s="53">
        <v>76670</v>
      </c>
    </row>
    <row r="65" spans="1:23">
      <c r="A65" s="47">
        <v>63</v>
      </c>
      <c r="B65" s="56">
        <v>4971710582857</v>
      </c>
      <c r="C65" s="57" t="s">
        <v>692</v>
      </c>
      <c r="D65" s="75" t="s">
        <v>884</v>
      </c>
      <c r="E65" s="48" t="s">
        <v>693</v>
      </c>
      <c r="F65" s="50">
        <v>0</v>
      </c>
      <c r="G65" s="52">
        <v>35750</v>
      </c>
      <c r="H65" s="50">
        <v>7150</v>
      </c>
      <c r="I65" s="50">
        <v>29315</v>
      </c>
      <c r="J65" s="50">
        <v>715</v>
      </c>
      <c r="K65" s="53">
        <v>0</v>
      </c>
      <c r="L65" s="59">
        <v>107250</v>
      </c>
      <c r="M65" s="61">
        <v>54340</v>
      </c>
      <c r="N65" s="59">
        <v>5720</v>
      </c>
      <c r="O65" s="50">
        <v>4290</v>
      </c>
      <c r="P65" s="50">
        <v>1430</v>
      </c>
      <c r="Q65" s="53"/>
      <c r="R65" s="53">
        <v>1430</v>
      </c>
      <c r="S65" s="53">
        <v>7150</v>
      </c>
      <c r="T65" s="53">
        <v>214500</v>
      </c>
      <c r="U65" s="53"/>
      <c r="V65" s="53"/>
      <c r="W65" s="53">
        <v>58630</v>
      </c>
    </row>
    <row r="66" spans="1:23">
      <c r="A66" s="47">
        <v>64</v>
      </c>
      <c r="B66" s="56">
        <v>4971710508833</v>
      </c>
      <c r="C66" s="57" t="s">
        <v>200</v>
      </c>
      <c r="D66" s="75" t="s">
        <v>884</v>
      </c>
      <c r="E66" s="48" t="s">
        <v>201</v>
      </c>
      <c r="F66" s="50">
        <v>0</v>
      </c>
      <c r="G66" s="52">
        <v>0</v>
      </c>
      <c r="H66" s="50">
        <v>0</v>
      </c>
      <c r="I66" s="50">
        <v>0</v>
      </c>
      <c r="J66" s="50">
        <v>0</v>
      </c>
      <c r="K66" s="53">
        <v>0</v>
      </c>
      <c r="L66" s="59">
        <v>5280</v>
      </c>
      <c r="M66" s="61"/>
      <c r="N66" s="59"/>
      <c r="O66" s="50">
        <v>44000</v>
      </c>
      <c r="P66" s="50"/>
      <c r="Q66" s="53"/>
      <c r="R66" s="53">
        <v>30800</v>
      </c>
      <c r="S66" s="53">
        <v>17600</v>
      </c>
      <c r="T66" s="53">
        <v>220000</v>
      </c>
      <c r="U66" s="53"/>
      <c r="V66" s="53"/>
      <c r="W66" s="53">
        <v>228800</v>
      </c>
    </row>
    <row r="67" spans="1:23">
      <c r="A67" s="47">
        <v>65</v>
      </c>
      <c r="B67" s="56">
        <v>4971710580471</v>
      </c>
      <c r="C67" s="57" t="s">
        <v>682</v>
      </c>
      <c r="D67" s="75" t="s">
        <v>880</v>
      </c>
      <c r="E67" s="48" t="s">
        <v>683</v>
      </c>
      <c r="F67" s="50">
        <v>0</v>
      </c>
      <c r="G67" s="52">
        <v>0</v>
      </c>
      <c r="H67" s="50">
        <v>0</v>
      </c>
      <c r="I67" s="50">
        <v>0</v>
      </c>
      <c r="J67" s="50">
        <v>19800</v>
      </c>
      <c r="K67" s="53">
        <v>0</v>
      </c>
      <c r="L67" s="59">
        <v>79200</v>
      </c>
      <c r="M67" s="61">
        <v>1320</v>
      </c>
      <c r="N67" s="59">
        <v>21120</v>
      </c>
      <c r="O67" s="50">
        <v>7920</v>
      </c>
      <c r="P67" s="50">
        <v>39600</v>
      </c>
      <c r="Q67" s="53">
        <v>3960</v>
      </c>
      <c r="R67" s="53">
        <v>69300</v>
      </c>
      <c r="S67" s="53">
        <v>101640</v>
      </c>
      <c r="T67" s="53">
        <v>3960</v>
      </c>
      <c r="U67" s="53"/>
      <c r="V67" s="53"/>
      <c r="W67" s="53">
        <v>79200</v>
      </c>
    </row>
    <row r="68" spans="1:23">
      <c r="A68" s="47">
        <v>66</v>
      </c>
      <c r="B68" s="56">
        <v>4971710523065</v>
      </c>
      <c r="C68" s="57" t="s">
        <v>394</v>
      </c>
      <c r="D68" s="75" t="s">
        <v>880</v>
      </c>
      <c r="E68" s="48" t="s">
        <v>395</v>
      </c>
      <c r="F68" s="50">
        <v>5280</v>
      </c>
      <c r="G68" s="52">
        <v>4400</v>
      </c>
      <c r="H68" s="50">
        <v>0</v>
      </c>
      <c r="I68" s="50">
        <v>3520</v>
      </c>
      <c r="J68" s="50">
        <v>44880</v>
      </c>
      <c r="K68" s="53">
        <v>0</v>
      </c>
      <c r="L68" s="59">
        <v>84480</v>
      </c>
      <c r="M68" s="61">
        <v>5280</v>
      </c>
      <c r="N68" s="59">
        <v>68640</v>
      </c>
      <c r="O68" s="50">
        <v>9680</v>
      </c>
      <c r="P68" s="50">
        <v>70400</v>
      </c>
      <c r="Q68" s="53"/>
      <c r="R68" s="53">
        <v>86240</v>
      </c>
      <c r="S68" s="53">
        <v>58080</v>
      </c>
      <c r="T68" s="53">
        <v>79200</v>
      </c>
      <c r="U68" s="53"/>
      <c r="V68" s="53"/>
      <c r="W68" s="53">
        <v>79200</v>
      </c>
    </row>
    <row r="69" spans="1:23">
      <c r="A69" s="47">
        <v>67</v>
      </c>
      <c r="B69" s="56">
        <v>4971710582338</v>
      </c>
      <c r="C69" s="57" t="s">
        <v>993</v>
      </c>
      <c r="D69" s="75" t="s">
        <v>1085</v>
      </c>
      <c r="E69" s="48" t="s">
        <v>860</v>
      </c>
      <c r="F69" s="50">
        <v>0</v>
      </c>
      <c r="G69" s="52">
        <v>0</v>
      </c>
      <c r="H69" s="50">
        <v>0</v>
      </c>
      <c r="I69" s="50">
        <v>0</v>
      </c>
      <c r="J69" s="50">
        <v>0</v>
      </c>
      <c r="K69" s="53">
        <v>0</v>
      </c>
      <c r="L69" s="59"/>
      <c r="M69" s="61"/>
      <c r="N69" s="59"/>
      <c r="O69" s="50"/>
      <c r="P69" s="50">
        <v>526680</v>
      </c>
      <c r="Q69" s="53"/>
      <c r="R69" s="53"/>
      <c r="S69" s="53"/>
      <c r="T69" s="53">
        <v>257400</v>
      </c>
      <c r="U69" s="53"/>
      <c r="V69" s="53"/>
      <c r="W69" s="53">
        <v>463320</v>
      </c>
    </row>
    <row r="70" spans="1:23" hidden="1">
      <c r="A70" s="47">
        <v>68</v>
      </c>
      <c r="B70" s="56">
        <v>4971710599954</v>
      </c>
      <c r="C70" s="57" t="s">
        <v>975</v>
      </c>
      <c r="D70" s="75" t="s">
        <v>882</v>
      </c>
      <c r="E70" s="48" t="s">
        <v>976</v>
      </c>
      <c r="F70" s="50"/>
      <c r="G70" s="52"/>
      <c r="H70" s="50"/>
      <c r="I70" s="50"/>
      <c r="J70" s="50"/>
      <c r="K70" s="53"/>
      <c r="L70" s="59"/>
      <c r="M70" s="61"/>
      <c r="N70" s="59"/>
      <c r="O70" s="50"/>
      <c r="P70" s="50"/>
      <c r="Q70" s="53"/>
      <c r="R70" s="53"/>
      <c r="S70" s="53"/>
      <c r="T70" s="53">
        <v>858000</v>
      </c>
      <c r="U70" s="53"/>
      <c r="V70" s="53"/>
      <c r="W70" s="53"/>
    </row>
    <row r="71" spans="1:23">
      <c r="A71" s="47">
        <v>69</v>
      </c>
      <c r="B71" s="56">
        <v>4971710585254</v>
      </c>
      <c r="C71" s="57" t="s">
        <v>997</v>
      </c>
      <c r="D71" s="75" t="s">
        <v>1085</v>
      </c>
      <c r="E71" s="48" t="s">
        <v>859</v>
      </c>
      <c r="F71" s="50">
        <v>0</v>
      </c>
      <c r="G71" s="52">
        <v>0</v>
      </c>
      <c r="H71" s="50">
        <v>0</v>
      </c>
      <c r="I71" s="50">
        <v>0</v>
      </c>
      <c r="J71" s="50">
        <v>0</v>
      </c>
      <c r="K71" s="53">
        <v>0</v>
      </c>
      <c r="L71" s="59"/>
      <c r="M71" s="61"/>
      <c r="N71" s="59"/>
      <c r="O71" s="50"/>
      <c r="P71" s="50">
        <v>264000</v>
      </c>
      <c r="Q71" s="53"/>
      <c r="R71" s="53"/>
      <c r="S71" s="53">
        <v>27500</v>
      </c>
      <c r="T71" s="53">
        <v>378125</v>
      </c>
      <c r="U71" s="53"/>
      <c r="V71" s="53"/>
      <c r="W71" s="53">
        <v>147015</v>
      </c>
    </row>
    <row r="72" spans="1:23">
      <c r="A72" s="47">
        <v>70</v>
      </c>
      <c r="B72" s="56">
        <v>4971710494914</v>
      </c>
      <c r="C72" s="57" t="s">
        <v>132</v>
      </c>
      <c r="D72" s="75" t="s">
        <v>884</v>
      </c>
      <c r="E72" s="48" t="s">
        <v>133</v>
      </c>
      <c r="F72" s="50">
        <v>0</v>
      </c>
      <c r="G72" s="52">
        <v>0</v>
      </c>
      <c r="H72" s="50">
        <v>0</v>
      </c>
      <c r="I72" s="50">
        <v>0</v>
      </c>
      <c r="J72" s="50">
        <v>6600</v>
      </c>
      <c r="K72" s="53">
        <v>0</v>
      </c>
      <c r="L72" s="59"/>
      <c r="M72" s="61">
        <v>13200</v>
      </c>
      <c r="N72" s="59">
        <v>13200</v>
      </c>
      <c r="O72" s="50">
        <v>85800</v>
      </c>
      <c r="P72" s="50">
        <v>33000</v>
      </c>
      <c r="Q72" s="53">
        <v>66000</v>
      </c>
      <c r="R72" s="53">
        <v>66000</v>
      </c>
      <c r="S72" s="53"/>
      <c r="T72" s="53"/>
      <c r="U72" s="53"/>
      <c r="V72" s="53"/>
      <c r="W72" s="53">
        <v>99000</v>
      </c>
    </row>
    <row r="73" spans="1:23" hidden="1">
      <c r="A73" s="47">
        <v>71</v>
      </c>
      <c r="B73" s="56">
        <v>4971710299212</v>
      </c>
      <c r="C73" s="57" t="s">
        <v>14</v>
      </c>
      <c r="D73" s="75" t="s">
        <v>882</v>
      </c>
      <c r="E73" s="48" t="s">
        <v>15</v>
      </c>
      <c r="F73" s="50">
        <v>29700</v>
      </c>
      <c r="G73" s="52">
        <v>59400</v>
      </c>
      <c r="H73" s="50">
        <v>19800</v>
      </c>
      <c r="I73" s="50">
        <v>34650</v>
      </c>
      <c r="J73" s="50">
        <v>29700</v>
      </c>
      <c r="K73" s="53">
        <v>0</v>
      </c>
      <c r="L73" s="59">
        <v>556380</v>
      </c>
      <c r="M73" s="61"/>
      <c r="N73" s="59"/>
      <c r="O73" s="50"/>
      <c r="P73" s="50"/>
      <c r="Q73" s="53"/>
      <c r="R73" s="53"/>
      <c r="S73" s="53"/>
      <c r="T73" s="53"/>
      <c r="U73" s="53"/>
      <c r="V73" s="53"/>
      <c r="W73" s="53"/>
    </row>
    <row r="74" spans="1:23" hidden="1">
      <c r="A74" s="47">
        <v>72</v>
      </c>
      <c r="B74" s="56">
        <v>4971710595536</v>
      </c>
      <c r="C74" s="57" t="s">
        <v>766</v>
      </c>
      <c r="D74" s="75" t="s">
        <v>884</v>
      </c>
      <c r="E74" s="48" t="s">
        <v>767</v>
      </c>
      <c r="F74" s="50">
        <v>0</v>
      </c>
      <c r="G74" s="52">
        <v>0</v>
      </c>
      <c r="H74" s="50">
        <v>0</v>
      </c>
      <c r="I74" s="50">
        <v>0</v>
      </c>
      <c r="J74" s="50">
        <v>0</v>
      </c>
      <c r="K74" s="53">
        <v>0</v>
      </c>
      <c r="L74" s="59"/>
      <c r="M74" s="61">
        <v>49280</v>
      </c>
      <c r="N74" s="59">
        <v>104720</v>
      </c>
      <c r="O74" s="50">
        <v>135520</v>
      </c>
      <c r="P74" s="50">
        <v>23100</v>
      </c>
      <c r="Q74" s="53">
        <v>66220</v>
      </c>
      <c r="R74" s="53"/>
      <c r="S74" s="53"/>
      <c r="T74" s="53">
        <v>50050</v>
      </c>
      <c r="U74" s="53"/>
      <c r="V74" s="53"/>
      <c r="W74" s="53"/>
    </row>
    <row r="75" spans="1:23">
      <c r="A75" s="47">
        <v>73</v>
      </c>
      <c r="B75" s="56">
        <v>4971710494204</v>
      </c>
      <c r="C75" s="57" t="s">
        <v>120</v>
      </c>
      <c r="D75" s="75" t="s">
        <v>884</v>
      </c>
      <c r="E75" s="48" t="s">
        <v>121</v>
      </c>
      <c r="F75" s="50">
        <v>0</v>
      </c>
      <c r="G75" s="52">
        <v>1485</v>
      </c>
      <c r="H75" s="50">
        <v>14850</v>
      </c>
      <c r="I75" s="50">
        <v>25245</v>
      </c>
      <c r="J75" s="50">
        <v>0</v>
      </c>
      <c r="K75" s="53">
        <v>0</v>
      </c>
      <c r="L75" s="59">
        <v>23760</v>
      </c>
      <c r="M75" s="61">
        <v>45144</v>
      </c>
      <c r="N75" s="59">
        <v>1782</v>
      </c>
      <c r="O75" s="50">
        <v>16632</v>
      </c>
      <c r="P75" s="50">
        <v>31482</v>
      </c>
      <c r="Q75" s="53">
        <v>1782</v>
      </c>
      <c r="R75" s="53">
        <v>4752</v>
      </c>
      <c r="S75" s="53">
        <v>1782</v>
      </c>
      <c r="T75" s="53">
        <v>2970</v>
      </c>
      <c r="U75" s="53"/>
      <c r="V75" s="53"/>
      <c r="W75" s="53">
        <v>33858</v>
      </c>
    </row>
    <row r="76" spans="1:23">
      <c r="A76" s="47">
        <v>74</v>
      </c>
      <c r="B76" s="56">
        <v>4971710494167</v>
      </c>
      <c r="C76" s="57" t="s">
        <v>112</v>
      </c>
      <c r="D76" s="75" t="s">
        <v>884</v>
      </c>
      <c r="E76" s="48" t="s">
        <v>113</v>
      </c>
      <c r="F76" s="50">
        <v>0</v>
      </c>
      <c r="G76" s="52">
        <v>2970</v>
      </c>
      <c r="H76" s="50">
        <v>0</v>
      </c>
      <c r="I76" s="50">
        <v>8910</v>
      </c>
      <c r="J76" s="50">
        <v>0</v>
      </c>
      <c r="K76" s="53">
        <v>2970</v>
      </c>
      <c r="L76" s="59">
        <v>18413</v>
      </c>
      <c r="M76" s="61">
        <v>27918</v>
      </c>
      <c r="N76" s="59"/>
      <c r="O76" s="50">
        <v>20196</v>
      </c>
      <c r="P76" s="50">
        <v>31482</v>
      </c>
      <c r="Q76" s="53">
        <v>5346</v>
      </c>
      <c r="R76" s="53">
        <v>1782</v>
      </c>
      <c r="S76" s="53">
        <v>3564</v>
      </c>
      <c r="T76" s="53">
        <v>16038</v>
      </c>
      <c r="U76" s="53"/>
      <c r="V76" s="53"/>
      <c r="W76" s="53">
        <v>32076</v>
      </c>
    </row>
    <row r="77" spans="1:23" hidden="1">
      <c r="A77" s="47">
        <v>75</v>
      </c>
      <c r="B77" s="56">
        <v>4971710295252</v>
      </c>
      <c r="C77" s="57" t="s">
        <v>987</v>
      </c>
      <c r="D77" s="75" t="s">
        <v>882</v>
      </c>
      <c r="E77" s="48" t="s">
        <v>856</v>
      </c>
      <c r="F77" s="50">
        <v>0</v>
      </c>
      <c r="G77" s="52">
        <v>34650</v>
      </c>
      <c r="H77" s="50">
        <v>0</v>
      </c>
      <c r="I77" s="50">
        <v>17325</v>
      </c>
      <c r="J77" s="50">
        <v>173250</v>
      </c>
      <c r="K77" s="53">
        <v>265650</v>
      </c>
      <c r="L77" s="59">
        <v>138600</v>
      </c>
      <c r="M77" s="61">
        <v>106260</v>
      </c>
      <c r="N77" s="59">
        <v>71610</v>
      </c>
      <c r="O77" s="50">
        <v>99330</v>
      </c>
      <c r="P77" s="50">
        <v>184800</v>
      </c>
      <c r="Q77" s="53"/>
      <c r="R77" s="53"/>
      <c r="S77" s="53"/>
      <c r="T77" s="53"/>
      <c r="U77" s="53"/>
      <c r="V77" s="53"/>
      <c r="W77" s="53"/>
    </row>
    <row r="78" spans="1:23">
      <c r="A78" s="47">
        <v>76</v>
      </c>
      <c r="B78" s="56">
        <v>4971710513622</v>
      </c>
      <c r="C78" s="57" t="s">
        <v>260</v>
      </c>
      <c r="D78" s="75" t="s">
        <v>880</v>
      </c>
      <c r="E78" s="48" t="s">
        <v>261</v>
      </c>
      <c r="F78" s="50">
        <v>0</v>
      </c>
      <c r="G78" s="52">
        <v>9060</v>
      </c>
      <c r="H78" s="50">
        <v>0</v>
      </c>
      <c r="I78" s="50">
        <v>15100</v>
      </c>
      <c r="J78" s="50">
        <v>9060</v>
      </c>
      <c r="K78" s="53">
        <v>0</v>
      </c>
      <c r="L78" s="59">
        <v>74291</v>
      </c>
      <c r="M78" s="61"/>
      <c r="N78" s="59"/>
      <c r="O78" s="50">
        <v>1812</v>
      </c>
      <c r="P78" s="50">
        <v>18120</v>
      </c>
      <c r="Q78" s="53">
        <v>7248</v>
      </c>
      <c r="R78" s="53">
        <v>19328</v>
      </c>
      <c r="S78" s="53">
        <v>9060</v>
      </c>
      <c r="T78" s="53">
        <v>7550</v>
      </c>
      <c r="U78" s="53"/>
      <c r="V78" s="53"/>
      <c r="W78" s="53">
        <v>15100</v>
      </c>
    </row>
    <row r="79" spans="1:23">
      <c r="A79" s="47">
        <v>77</v>
      </c>
      <c r="B79" s="56">
        <v>4971710595512</v>
      </c>
      <c r="C79" s="57" t="s">
        <v>762</v>
      </c>
      <c r="D79" s="75" t="s">
        <v>884</v>
      </c>
      <c r="E79" s="48" t="s">
        <v>763</v>
      </c>
      <c r="F79" s="50">
        <v>0</v>
      </c>
      <c r="G79" s="52">
        <v>0</v>
      </c>
      <c r="H79" s="50">
        <v>0</v>
      </c>
      <c r="I79" s="50">
        <v>0</v>
      </c>
      <c r="J79" s="50">
        <v>0</v>
      </c>
      <c r="K79" s="53">
        <v>0</v>
      </c>
      <c r="L79" s="59"/>
      <c r="M79" s="61">
        <v>37730</v>
      </c>
      <c r="N79" s="59">
        <v>51590</v>
      </c>
      <c r="O79" s="50">
        <v>77000</v>
      </c>
      <c r="P79" s="50">
        <v>46200</v>
      </c>
      <c r="Q79" s="53">
        <v>46200</v>
      </c>
      <c r="R79" s="53"/>
      <c r="S79" s="53"/>
      <c r="T79" s="53">
        <v>73150</v>
      </c>
      <c r="U79" s="53"/>
      <c r="V79" s="53"/>
      <c r="W79" s="53">
        <v>53900</v>
      </c>
    </row>
    <row r="80" spans="1:23" hidden="1">
      <c r="A80" s="47">
        <v>78</v>
      </c>
      <c r="B80" s="56">
        <v>4971710599985</v>
      </c>
      <c r="C80" s="57" t="s">
        <v>979</v>
      </c>
      <c r="D80" s="75" t="s">
        <v>882</v>
      </c>
      <c r="E80" s="48" t="s">
        <v>978</v>
      </c>
      <c r="F80" s="50"/>
      <c r="G80" s="52"/>
      <c r="H80" s="50"/>
      <c r="I80" s="50"/>
      <c r="J80" s="50"/>
      <c r="K80" s="53"/>
      <c r="L80" s="59"/>
      <c r="M80" s="61"/>
      <c r="N80" s="59"/>
      <c r="O80" s="50"/>
      <c r="P80" s="50"/>
      <c r="Q80" s="53"/>
      <c r="R80" s="53"/>
      <c r="S80" s="53"/>
      <c r="T80" s="53">
        <v>797500</v>
      </c>
      <c r="U80" s="53"/>
      <c r="V80" s="53"/>
      <c r="W80" s="53"/>
    </row>
    <row r="81" spans="1:23">
      <c r="A81" s="47">
        <v>79</v>
      </c>
      <c r="B81" s="56">
        <v>4971710585261</v>
      </c>
      <c r="C81" s="57" t="s">
        <v>992</v>
      </c>
      <c r="D81" s="75" t="s">
        <v>1085</v>
      </c>
      <c r="E81" s="48" t="s">
        <v>859</v>
      </c>
      <c r="F81" s="50">
        <v>0</v>
      </c>
      <c r="G81" s="52">
        <v>0</v>
      </c>
      <c r="H81" s="50">
        <v>0</v>
      </c>
      <c r="I81" s="50">
        <v>0</v>
      </c>
      <c r="J81" s="50">
        <v>0</v>
      </c>
      <c r="K81" s="53">
        <v>0</v>
      </c>
      <c r="L81" s="59"/>
      <c r="M81" s="61"/>
      <c r="N81" s="59"/>
      <c r="O81" s="50"/>
      <c r="P81" s="50">
        <v>294800</v>
      </c>
      <c r="Q81" s="53"/>
      <c r="R81" s="53"/>
      <c r="S81" s="53"/>
      <c r="T81" s="53">
        <v>44000</v>
      </c>
      <c r="U81" s="53"/>
      <c r="V81" s="53"/>
      <c r="W81" s="53">
        <v>196020</v>
      </c>
    </row>
    <row r="82" spans="1:23">
      <c r="A82" s="47">
        <v>80</v>
      </c>
      <c r="B82" s="56">
        <v>4971710561227</v>
      </c>
      <c r="C82" s="57" t="s">
        <v>465</v>
      </c>
      <c r="D82" s="75" t="s">
        <v>884</v>
      </c>
      <c r="E82" s="48" t="s">
        <v>466</v>
      </c>
      <c r="F82" s="50">
        <v>0</v>
      </c>
      <c r="G82" s="52">
        <v>18480</v>
      </c>
      <c r="H82" s="50">
        <v>18480</v>
      </c>
      <c r="I82" s="50">
        <v>40040</v>
      </c>
      <c r="J82" s="50">
        <v>7700</v>
      </c>
      <c r="K82" s="53">
        <v>0</v>
      </c>
      <c r="L82" s="59">
        <v>51590</v>
      </c>
      <c r="M82" s="61">
        <v>30800</v>
      </c>
      <c r="N82" s="59">
        <v>9240</v>
      </c>
      <c r="O82" s="50">
        <v>32340</v>
      </c>
      <c r="P82" s="50">
        <v>50820</v>
      </c>
      <c r="Q82" s="53">
        <v>5390</v>
      </c>
      <c r="R82" s="53">
        <v>23100</v>
      </c>
      <c r="S82" s="53">
        <v>24640</v>
      </c>
      <c r="T82" s="53">
        <v>15400</v>
      </c>
      <c r="U82" s="53"/>
      <c r="V82" s="53"/>
      <c r="W82" s="53">
        <v>114730</v>
      </c>
    </row>
    <row r="83" spans="1:23">
      <c r="A83" s="47">
        <v>81</v>
      </c>
      <c r="B83" s="56">
        <v>4971710569193</v>
      </c>
      <c r="C83" s="57" t="s">
        <v>541</v>
      </c>
      <c r="D83" s="75" t="s">
        <v>880</v>
      </c>
      <c r="E83" s="48" t="s">
        <v>542</v>
      </c>
      <c r="F83" s="50">
        <v>6600</v>
      </c>
      <c r="G83" s="52">
        <v>19800</v>
      </c>
      <c r="H83" s="50">
        <v>3300</v>
      </c>
      <c r="I83" s="50">
        <v>26400</v>
      </c>
      <c r="J83" s="50">
        <v>6600</v>
      </c>
      <c r="K83" s="53">
        <v>0</v>
      </c>
      <c r="L83" s="59">
        <v>90420</v>
      </c>
      <c r="M83" s="61">
        <v>3960</v>
      </c>
      <c r="N83" s="59"/>
      <c r="O83" s="50">
        <v>40920</v>
      </c>
      <c r="P83" s="50">
        <v>33000</v>
      </c>
      <c r="Q83" s="53">
        <v>7920</v>
      </c>
      <c r="R83" s="53"/>
      <c r="S83" s="53">
        <v>3960</v>
      </c>
      <c r="T83" s="53">
        <v>35640</v>
      </c>
      <c r="U83" s="53"/>
      <c r="V83" s="53"/>
      <c r="W83" s="53">
        <v>33000</v>
      </c>
    </row>
    <row r="84" spans="1:23">
      <c r="A84" s="47">
        <v>82</v>
      </c>
      <c r="B84" s="56">
        <v>4971710595475</v>
      </c>
      <c r="C84" s="57" t="s">
        <v>786</v>
      </c>
      <c r="D84" s="75" t="s">
        <v>884</v>
      </c>
      <c r="E84" s="48" t="s">
        <v>998</v>
      </c>
      <c r="F84" s="50">
        <v>0</v>
      </c>
      <c r="G84" s="52">
        <v>0</v>
      </c>
      <c r="H84" s="50">
        <v>0</v>
      </c>
      <c r="I84" s="50">
        <v>0</v>
      </c>
      <c r="J84" s="50">
        <v>0</v>
      </c>
      <c r="K84" s="53">
        <v>0</v>
      </c>
      <c r="L84" s="59"/>
      <c r="M84" s="61"/>
      <c r="N84" s="59"/>
      <c r="O84" s="50">
        <v>165000</v>
      </c>
      <c r="P84" s="50"/>
      <c r="Q84" s="53"/>
      <c r="R84" s="53"/>
      <c r="S84" s="53"/>
      <c r="T84" s="53"/>
      <c r="U84" s="53"/>
      <c r="V84" s="53"/>
      <c r="W84" s="53">
        <v>207075</v>
      </c>
    </row>
    <row r="85" spans="1:23">
      <c r="A85" s="47">
        <v>83</v>
      </c>
      <c r="B85" s="56">
        <v>4971710490756</v>
      </c>
      <c r="C85" s="57" t="s">
        <v>94</v>
      </c>
      <c r="D85" s="75" t="s">
        <v>884</v>
      </c>
      <c r="E85" s="48" t="s">
        <v>95</v>
      </c>
      <c r="F85" s="50">
        <v>0</v>
      </c>
      <c r="G85" s="52">
        <v>0</v>
      </c>
      <c r="H85" s="50">
        <v>0</v>
      </c>
      <c r="I85" s="50">
        <v>33000</v>
      </c>
      <c r="J85" s="50">
        <v>5500</v>
      </c>
      <c r="K85" s="53">
        <v>0</v>
      </c>
      <c r="L85" s="59">
        <v>82500</v>
      </c>
      <c r="M85" s="61">
        <v>99000</v>
      </c>
      <c r="N85" s="59"/>
      <c r="O85" s="50">
        <v>16500</v>
      </c>
      <c r="P85" s="50"/>
      <c r="Q85" s="53"/>
      <c r="R85" s="53">
        <v>16500</v>
      </c>
      <c r="S85" s="53"/>
      <c r="T85" s="53"/>
      <c r="U85" s="53"/>
      <c r="V85" s="53"/>
      <c r="W85" s="53">
        <v>33000</v>
      </c>
    </row>
    <row r="86" spans="1:23">
      <c r="A86" s="47">
        <v>84</v>
      </c>
      <c r="B86" s="56">
        <v>4971710523058</v>
      </c>
      <c r="C86" s="57" t="s">
        <v>392</v>
      </c>
      <c r="D86" s="75" t="s">
        <v>880</v>
      </c>
      <c r="E86" s="48" t="s">
        <v>393</v>
      </c>
      <c r="F86" s="50">
        <v>5280</v>
      </c>
      <c r="G86" s="52">
        <v>4400</v>
      </c>
      <c r="H86" s="50">
        <v>0</v>
      </c>
      <c r="I86" s="50">
        <v>3520</v>
      </c>
      <c r="J86" s="50">
        <v>13200</v>
      </c>
      <c r="K86" s="53">
        <v>26400</v>
      </c>
      <c r="L86" s="59">
        <v>41360</v>
      </c>
      <c r="M86" s="61">
        <v>5280</v>
      </c>
      <c r="N86" s="59">
        <v>42240</v>
      </c>
      <c r="O86" s="50">
        <v>22000</v>
      </c>
      <c r="P86" s="50">
        <v>47520</v>
      </c>
      <c r="Q86" s="53"/>
      <c r="R86" s="53">
        <v>56320</v>
      </c>
      <c r="S86" s="53">
        <v>47520</v>
      </c>
      <c r="T86" s="53">
        <v>70400</v>
      </c>
      <c r="U86" s="53"/>
      <c r="V86" s="53"/>
      <c r="W86" s="53">
        <v>61600</v>
      </c>
    </row>
    <row r="87" spans="1:23" hidden="1">
      <c r="A87" s="47">
        <v>85</v>
      </c>
      <c r="B87" s="56">
        <v>4971710593020</v>
      </c>
      <c r="C87" s="57" t="s">
        <v>752</v>
      </c>
      <c r="D87" s="75" t="s">
        <v>884</v>
      </c>
      <c r="E87" s="48" t="s">
        <v>753</v>
      </c>
      <c r="F87" s="50">
        <v>0</v>
      </c>
      <c r="G87" s="52">
        <v>0</v>
      </c>
      <c r="H87" s="50">
        <v>0</v>
      </c>
      <c r="I87" s="50">
        <v>0</v>
      </c>
      <c r="J87" s="50">
        <v>0</v>
      </c>
      <c r="K87" s="53">
        <v>0</v>
      </c>
      <c r="L87" s="59">
        <v>39325</v>
      </c>
      <c r="M87" s="61">
        <v>68365</v>
      </c>
      <c r="N87" s="59">
        <v>14520</v>
      </c>
      <c r="O87" s="50">
        <v>24200</v>
      </c>
      <c r="P87" s="50">
        <v>7260</v>
      </c>
      <c r="Q87" s="53">
        <v>102850</v>
      </c>
      <c r="R87" s="53">
        <v>1210</v>
      </c>
      <c r="S87" s="53">
        <v>12100</v>
      </c>
      <c r="T87" s="53">
        <v>1210</v>
      </c>
      <c r="U87" s="53"/>
      <c r="V87" s="53"/>
      <c r="W87" s="53"/>
    </row>
    <row r="88" spans="1:23">
      <c r="A88" s="47">
        <v>86</v>
      </c>
      <c r="B88" s="56">
        <v>4971710592962</v>
      </c>
      <c r="C88" s="57" t="s">
        <v>740</v>
      </c>
      <c r="D88" s="75" t="s">
        <v>884</v>
      </c>
      <c r="E88" s="48" t="s">
        <v>741</v>
      </c>
      <c r="F88" s="50">
        <v>0</v>
      </c>
      <c r="G88" s="52">
        <v>0</v>
      </c>
      <c r="H88" s="50">
        <v>0</v>
      </c>
      <c r="I88" s="50">
        <v>0</v>
      </c>
      <c r="J88" s="50">
        <v>0</v>
      </c>
      <c r="K88" s="53">
        <v>0</v>
      </c>
      <c r="L88" s="59">
        <v>39325</v>
      </c>
      <c r="M88" s="61">
        <v>81675</v>
      </c>
      <c r="N88" s="59">
        <v>38720</v>
      </c>
      <c r="O88" s="50">
        <v>7260</v>
      </c>
      <c r="P88" s="50">
        <v>21175</v>
      </c>
      <c r="Q88" s="53">
        <v>8470</v>
      </c>
      <c r="R88" s="53">
        <v>1210</v>
      </c>
      <c r="S88" s="53"/>
      <c r="T88" s="53">
        <v>15125</v>
      </c>
      <c r="U88" s="53"/>
      <c r="V88" s="53"/>
      <c r="W88" s="53">
        <v>55660</v>
      </c>
    </row>
    <row r="89" spans="1:23">
      <c r="A89" s="47">
        <v>87</v>
      </c>
      <c r="B89" s="56">
        <v>4971710561258</v>
      </c>
      <c r="C89" s="57" t="s">
        <v>471</v>
      </c>
      <c r="D89" s="75" t="s">
        <v>884</v>
      </c>
      <c r="E89" s="48" t="s">
        <v>472</v>
      </c>
      <c r="F89" s="50">
        <v>0</v>
      </c>
      <c r="G89" s="52">
        <v>18480</v>
      </c>
      <c r="H89" s="50">
        <v>18480</v>
      </c>
      <c r="I89" s="50">
        <v>1540</v>
      </c>
      <c r="J89" s="50">
        <v>30800</v>
      </c>
      <c r="K89" s="53">
        <v>24640</v>
      </c>
      <c r="L89" s="59">
        <v>63910</v>
      </c>
      <c r="M89" s="61">
        <v>10780</v>
      </c>
      <c r="N89" s="59">
        <v>6160</v>
      </c>
      <c r="O89" s="50">
        <v>27720</v>
      </c>
      <c r="P89" s="50">
        <v>63140</v>
      </c>
      <c r="Q89" s="53">
        <v>3850</v>
      </c>
      <c r="R89" s="53">
        <v>1540</v>
      </c>
      <c r="S89" s="53">
        <v>1540</v>
      </c>
      <c r="T89" s="53">
        <v>41580</v>
      </c>
      <c r="U89" s="53"/>
      <c r="V89" s="53"/>
      <c r="W89" s="53">
        <v>118580</v>
      </c>
    </row>
    <row r="90" spans="1:23" hidden="1">
      <c r="A90" s="47">
        <v>88</v>
      </c>
      <c r="B90" s="56">
        <v>4971710588132</v>
      </c>
      <c r="C90" s="57" t="s">
        <v>718</v>
      </c>
      <c r="D90" s="75" t="s">
        <v>884</v>
      </c>
      <c r="E90" s="48" t="s">
        <v>719</v>
      </c>
      <c r="F90" s="50">
        <v>0</v>
      </c>
      <c r="G90" s="52">
        <v>0</v>
      </c>
      <c r="H90" s="50">
        <v>0</v>
      </c>
      <c r="I90" s="50">
        <v>0</v>
      </c>
      <c r="J90" s="50">
        <v>0</v>
      </c>
      <c r="K90" s="53">
        <v>0</v>
      </c>
      <c r="L90" s="59"/>
      <c r="M90" s="61">
        <v>214500</v>
      </c>
      <c r="N90" s="59"/>
      <c r="O90" s="50"/>
      <c r="P90" s="50"/>
      <c r="Q90" s="53">
        <v>14300</v>
      </c>
      <c r="R90" s="53"/>
      <c r="S90" s="53"/>
      <c r="T90" s="53">
        <v>84370</v>
      </c>
      <c r="U90" s="53"/>
      <c r="V90" s="53"/>
      <c r="W90" s="53"/>
    </row>
    <row r="91" spans="1:23">
      <c r="A91" s="47">
        <v>89</v>
      </c>
      <c r="B91" s="56">
        <v>4971710593013</v>
      </c>
      <c r="C91" s="57" t="s">
        <v>750</v>
      </c>
      <c r="D91" s="75" t="s">
        <v>884</v>
      </c>
      <c r="E91" s="48" t="s">
        <v>751</v>
      </c>
      <c r="F91" s="50">
        <v>0</v>
      </c>
      <c r="G91" s="52">
        <v>0</v>
      </c>
      <c r="H91" s="50">
        <v>0</v>
      </c>
      <c r="I91" s="50">
        <v>0</v>
      </c>
      <c r="J91" s="50">
        <v>0</v>
      </c>
      <c r="K91" s="53">
        <v>0</v>
      </c>
      <c r="L91" s="59">
        <v>39325</v>
      </c>
      <c r="M91" s="61">
        <v>65340</v>
      </c>
      <c r="N91" s="59">
        <v>21175</v>
      </c>
      <c r="O91" s="50">
        <v>1210</v>
      </c>
      <c r="P91" s="50">
        <v>36300</v>
      </c>
      <c r="Q91" s="53">
        <v>8470</v>
      </c>
      <c r="R91" s="53"/>
      <c r="S91" s="53"/>
      <c r="T91" s="53">
        <v>18150</v>
      </c>
      <c r="U91" s="53"/>
      <c r="V91" s="53"/>
      <c r="W91" s="53">
        <v>73810</v>
      </c>
    </row>
    <row r="92" spans="1:23">
      <c r="A92" s="47">
        <v>90</v>
      </c>
      <c r="B92" s="56">
        <v>4971710593006</v>
      </c>
      <c r="C92" s="57" t="s">
        <v>748</v>
      </c>
      <c r="D92" s="75" t="s">
        <v>884</v>
      </c>
      <c r="E92" s="48" t="s">
        <v>749</v>
      </c>
      <c r="F92" s="50">
        <v>0</v>
      </c>
      <c r="G92" s="52">
        <v>0</v>
      </c>
      <c r="H92" s="50">
        <v>0</v>
      </c>
      <c r="I92" s="50">
        <v>0</v>
      </c>
      <c r="J92" s="50">
        <v>0</v>
      </c>
      <c r="K92" s="53">
        <v>0</v>
      </c>
      <c r="L92" s="59">
        <v>39325</v>
      </c>
      <c r="M92" s="61">
        <v>71995</v>
      </c>
      <c r="N92" s="59">
        <v>23595</v>
      </c>
      <c r="O92" s="50">
        <v>3630</v>
      </c>
      <c r="P92" s="50"/>
      <c r="Q92" s="53"/>
      <c r="R92" s="53">
        <v>28435</v>
      </c>
      <c r="S92" s="53">
        <v>18150</v>
      </c>
      <c r="T92" s="53">
        <v>1210</v>
      </c>
      <c r="U92" s="53"/>
      <c r="V92" s="53"/>
      <c r="W92" s="53">
        <v>72600</v>
      </c>
    </row>
    <row r="93" spans="1:23">
      <c r="A93" s="47">
        <v>91</v>
      </c>
      <c r="B93" s="56">
        <v>4971710566147</v>
      </c>
      <c r="C93" s="57" t="s">
        <v>517</v>
      </c>
      <c r="D93" s="75" t="s">
        <v>880</v>
      </c>
      <c r="E93" s="48" t="s">
        <v>518</v>
      </c>
      <c r="F93" s="50">
        <v>0</v>
      </c>
      <c r="G93" s="52">
        <v>16500</v>
      </c>
      <c r="H93" s="50">
        <v>5500</v>
      </c>
      <c r="I93" s="50">
        <v>0</v>
      </c>
      <c r="J93" s="50">
        <v>16500</v>
      </c>
      <c r="K93" s="53">
        <v>0</v>
      </c>
      <c r="L93" s="59">
        <v>83600</v>
      </c>
      <c r="M93" s="61"/>
      <c r="N93" s="59">
        <v>1100</v>
      </c>
      <c r="O93" s="50">
        <v>550</v>
      </c>
      <c r="P93" s="50">
        <v>44000</v>
      </c>
      <c r="Q93" s="53">
        <v>3300</v>
      </c>
      <c r="R93" s="53">
        <v>24200</v>
      </c>
      <c r="S93" s="53">
        <v>3300</v>
      </c>
      <c r="T93" s="53">
        <v>36300</v>
      </c>
      <c r="U93" s="53"/>
      <c r="V93" s="53"/>
      <c r="W93" s="53">
        <v>27500</v>
      </c>
    </row>
    <row r="94" spans="1:23">
      <c r="A94" s="47">
        <v>92</v>
      </c>
      <c r="B94" s="56">
        <v>4971710556834</v>
      </c>
      <c r="C94" s="57" t="s">
        <v>448</v>
      </c>
      <c r="D94" s="75" t="s">
        <v>884</v>
      </c>
      <c r="E94" s="48" t="s">
        <v>449</v>
      </c>
      <c r="F94" s="50">
        <v>0</v>
      </c>
      <c r="G94" s="52">
        <v>4950</v>
      </c>
      <c r="H94" s="50">
        <v>14850</v>
      </c>
      <c r="I94" s="50">
        <v>54450</v>
      </c>
      <c r="J94" s="50">
        <v>14850</v>
      </c>
      <c r="K94" s="53">
        <v>64350</v>
      </c>
      <c r="L94" s="59">
        <v>49500</v>
      </c>
      <c r="M94" s="61">
        <v>18810</v>
      </c>
      <c r="N94" s="59">
        <v>1980</v>
      </c>
      <c r="O94" s="50">
        <v>31680</v>
      </c>
      <c r="P94" s="50">
        <v>54450</v>
      </c>
      <c r="Q94" s="53">
        <v>6930</v>
      </c>
      <c r="R94" s="53">
        <v>3960</v>
      </c>
      <c r="S94" s="53">
        <v>29700</v>
      </c>
      <c r="T94" s="53">
        <v>118800</v>
      </c>
      <c r="U94" s="53"/>
      <c r="V94" s="53"/>
      <c r="W94" s="53">
        <v>81180</v>
      </c>
    </row>
    <row r="95" spans="1:23">
      <c r="A95" s="47">
        <v>93</v>
      </c>
      <c r="B95" s="56">
        <v>4971710513615</v>
      </c>
      <c r="C95" s="57" t="s">
        <v>258</v>
      </c>
      <c r="D95" s="75" t="s">
        <v>880</v>
      </c>
      <c r="E95" s="48" t="s">
        <v>259</v>
      </c>
      <c r="F95" s="50">
        <v>0</v>
      </c>
      <c r="G95" s="52">
        <v>9060</v>
      </c>
      <c r="H95" s="50">
        <v>0</v>
      </c>
      <c r="I95" s="50">
        <v>0</v>
      </c>
      <c r="J95" s="50">
        <v>9060</v>
      </c>
      <c r="K95" s="53">
        <v>0</v>
      </c>
      <c r="L95" s="59">
        <v>35031</v>
      </c>
      <c r="M95" s="61"/>
      <c r="N95" s="59"/>
      <c r="O95" s="50">
        <v>1812</v>
      </c>
      <c r="P95" s="50"/>
      <c r="Q95" s="53">
        <v>21744</v>
      </c>
      <c r="R95" s="53">
        <v>28388</v>
      </c>
      <c r="S95" s="53">
        <v>9060</v>
      </c>
      <c r="T95" s="53">
        <v>7550</v>
      </c>
      <c r="U95" s="53"/>
      <c r="V95" s="53"/>
      <c r="W95" s="53">
        <v>15100</v>
      </c>
    </row>
    <row r="96" spans="1:23">
      <c r="A96" s="47">
        <v>94</v>
      </c>
      <c r="B96" s="56">
        <v>4971710513684</v>
      </c>
      <c r="C96" s="57" t="s">
        <v>272</v>
      </c>
      <c r="D96" s="75" t="s">
        <v>880</v>
      </c>
      <c r="E96" s="48" t="s">
        <v>273</v>
      </c>
      <c r="F96" s="50">
        <v>0</v>
      </c>
      <c r="G96" s="52">
        <v>16500</v>
      </c>
      <c r="H96" s="50">
        <v>0</v>
      </c>
      <c r="I96" s="50">
        <v>0</v>
      </c>
      <c r="J96" s="50">
        <v>16500</v>
      </c>
      <c r="K96" s="53">
        <v>0</v>
      </c>
      <c r="L96" s="59">
        <v>66000</v>
      </c>
      <c r="M96" s="61">
        <v>11000</v>
      </c>
      <c r="N96" s="59"/>
      <c r="O96" s="50">
        <v>3300</v>
      </c>
      <c r="P96" s="50">
        <v>33000</v>
      </c>
      <c r="Q96" s="53"/>
      <c r="R96" s="53">
        <v>35200</v>
      </c>
      <c r="S96" s="53">
        <v>16500</v>
      </c>
      <c r="T96" s="53">
        <v>5500</v>
      </c>
      <c r="U96" s="53"/>
      <c r="V96" s="53"/>
      <c r="W96" s="53">
        <v>27500</v>
      </c>
    </row>
    <row r="97" spans="1:23" hidden="1">
      <c r="A97" s="47">
        <v>95</v>
      </c>
      <c r="B97" s="56">
        <v>4971710595505</v>
      </c>
      <c r="C97" s="57" t="s">
        <v>760</v>
      </c>
      <c r="D97" s="75" t="s">
        <v>884</v>
      </c>
      <c r="E97" s="48" t="s">
        <v>761</v>
      </c>
      <c r="F97" s="50">
        <v>0</v>
      </c>
      <c r="G97" s="52">
        <v>0</v>
      </c>
      <c r="H97" s="50">
        <v>0</v>
      </c>
      <c r="I97" s="50">
        <v>0</v>
      </c>
      <c r="J97" s="50">
        <v>0</v>
      </c>
      <c r="K97" s="53">
        <v>0</v>
      </c>
      <c r="L97" s="59"/>
      <c r="M97" s="61">
        <v>30030</v>
      </c>
      <c r="N97" s="59">
        <v>88550</v>
      </c>
      <c r="O97" s="50">
        <v>61600</v>
      </c>
      <c r="P97" s="50">
        <v>46200</v>
      </c>
      <c r="Q97" s="53">
        <v>15400</v>
      </c>
      <c r="R97" s="53"/>
      <c r="S97" s="53"/>
      <c r="T97" s="53">
        <v>34650</v>
      </c>
      <c r="U97" s="53"/>
      <c r="V97" s="53"/>
      <c r="W97" s="53"/>
    </row>
    <row r="98" spans="1:23">
      <c r="A98" s="47">
        <v>96</v>
      </c>
      <c r="B98" s="56">
        <v>4971710576610</v>
      </c>
      <c r="C98" s="57" t="s">
        <v>611</v>
      </c>
      <c r="D98" s="75" t="s">
        <v>884</v>
      </c>
      <c r="E98" s="48" t="s">
        <v>612</v>
      </c>
      <c r="F98" s="50">
        <v>0</v>
      </c>
      <c r="G98" s="52">
        <v>0</v>
      </c>
      <c r="H98" s="50">
        <v>18480</v>
      </c>
      <c r="I98" s="50">
        <v>154000</v>
      </c>
      <c r="J98" s="50">
        <v>0</v>
      </c>
      <c r="K98" s="53">
        <v>0</v>
      </c>
      <c r="L98" s="59">
        <v>7700</v>
      </c>
      <c r="M98" s="61">
        <v>117040</v>
      </c>
      <c r="N98" s="59">
        <v>23100</v>
      </c>
      <c r="O98" s="50">
        <v>4620</v>
      </c>
      <c r="P98" s="50"/>
      <c r="Q98" s="53"/>
      <c r="R98" s="53">
        <v>23100</v>
      </c>
      <c r="S98" s="53">
        <v>26180</v>
      </c>
      <c r="T98" s="53">
        <v>6160</v>
      </c>
      <c r="U98" s="53"/>
      <c r="V98" s="53"/>
      <c r="W98" s="53">
        <v>66220</v>
      </c>
    </row>
    <row r="99" spans="1:23" hidden="1">
      <c r="A99" s="47">
        <v>97</v>
      </c>
      <c r="B99" s="56">
        <v>4971710571844</v>
      </c>
      <c r="C99" s="57" t="s">
        <v>565</v>
      </c>
      <c r="D99" s="75" t="s">
        <v>884</v>
      </c>
      <c r="E99" s="48" t="s">
        <v>566</v>
      </c>
      <c r="F99" s="50">
        <v>143000</v>
      </c>
      <c r="G99" s="52">
        <v>0</v>
      </c>
      <c r="H99" s="50">
        <v>0</v>
      </c>
      <c r="I99" s="50">
        <v>0</v>
      </c>
      <c r="J99" s="50">
        <v>197340</v>
      </c>
      <c r="K99" s="53">
        <v>0</v>
      </c>
      <c r="L99" s="59">
        <v>71500</v>
      </c>
      <c r="M99" s="61">
        <v>78650</v>
      </c>
      <c r="N99" s="59">
        <v>21450</v>
      </c>
      <c r="O99" s="50"/>
      <c r="P99" s="50">
        <v>82225</v>
      </c>
      <c r="Q99" s="53"/>
      <c r="R99" s="53"/>
      <c r="S99" s="53"/>
      <c r="T99" s="53"/>
      <c r="U99" s="53"/>
      <c r="V99" s="53"/>
      <c r="W99" s="53"/>
    </row>
    <row r="100" spans="1:23">
      <c r="A100" s="47">
        <v>98</v>
      </c>
      <c r="B100" s="56">
        <v>4971710561234</v>
      </c>
      <c r="C100" s="57" t="s">
        <v>467</v>
      </c>
      <c r="D100" s="75" t="s">
        <v>884</v>
      </c>
      <c r="E100" s="48" t="s">
        <v>468</v>
      </c>
      <c r="F100" s="50">
        <v>0</v>
      </c>
      <c r="G100" s="52">
        <v>0</v>
      </c>
      <c r="H100" s="50">
        <v>3850</v>
      </c>
      <c r="I100" s="50">
        <v>38500</v>
      </c>
      <c r="J100" s="50">
        <v>8470</v>
      </c>
      <c r="K100" s="53">
        <v>1540</v>
      </c>
      <c r="L100" s="59">
        <v>74690</v>
      </c>
      <c r="M100" s="61">
        <v>10780</v>
      </c>
      <c r="N100" s="59">
        <v>9240</v>
      </c>
      <c r="O100" s="50">
        <v>32340</v>
      </c>
      <c r="P100" s="50">
        <v>1540</v>
      </c>
      <c r="Q100" s="53">
        <v>3850</v>
      </c>
      <c r="R100" s="53">
        <v>3850</v>
      </c>
      <c r="S100" s="53">
        <v>23100</v>
      </c>
      <c r="T100" s="53"/>
      <c r="U100" s="53"/>
      <c r="V100" s="53"/>
      <c r="W100" s="53">
        <v>110880</v>
      </c>
    </row>
    <row r="101" spans="1:23">
      <c r="A101" s="47">
        <v>99</v>
      </c>
      <c r="B101" s="56">
        <v>4971710513714</v>
      </c>
      <c r="C101" s="57" t="s">
        <v>278</v>
      </c>
      <c r="D101" s="75" t="s">
        <v>880</v>
      </c>
      <c r="E101" s="48" t="s">
        <v>279</v>
      </c>
      <c r="F101" s="50">
        <v>0</v>
      </c>
      <c r="G101" s="52">
        <v>16500</v>
      </c>
      <c r="H101" s="50">
        <v>0</v>
      </c>
      <c r="I101" s="50">
        <v>27500</v>
      </c>
      <c r="J101" s="50">
        <v>27500</v>
      </c>
      <c r="K101" s="53">
        <v>0</v>
      </c>
      <c r="L101" s="59">
        <v>85800</v>
      </c>
      <c r="M101" s="61"/>
      <c r="N101" s="59"/>
      <c r="O101" s="50">
        <v>16500</v>
      </c>
      <c r="P101" s="50">
        <v>16500</v>
      </c>
      <c r="Q101" s="53"/>
      <c r="R101" s="53">
        <v>16500</v>
      </c>
      <c r="S101" s="53">
        <v>16500</v>
      </c>
      <c r="T101" s="53">
        <v>5500</v>
      </c>
      <c r="U101" s="53"/>
      <c r="V101" s="53"/>
      <c r="W101" s="53">
        <v>33000</v>
      </c>
    </row>
    <row r="102" spans="1:23">
      <c r="A102" s="47">
        <v>100</v>
      </c>
      <c r="B102" s="56">
        <v>4971710564907</v>
      </c>
      <c r="C102" s="57" t="s">
        <v>499</v>
      </c>
      <c r="D102" s="75" t="s">
        <v>880</v>
      </c>
      <c r="E102" s="48" t="s">
        <v>500</v>
      </c>
      <c r="F102" s="50">
        <v>0</v>
      </c>
      <c r="G102" s="52">
        <v>0</v>
      </c>
      <c r="H102" s="50">
        <v>13750</v>
      </c>
      <c r="I102" s="50">
        <v>0</v>
      </c>
      <c r="J102" s="50">
        <v>3300</v>
      </c>
      <c r="K102" s="53">
        <v>16500</v>
      </c>
      <c r="L102" s="59">
        <v>47300</v>
      </c>
      <c r="M102" s="61">
        <v>2200</v>
      </c>
      <c r="N102" s="59"/>
      <c r="O102" s="50">
        <v>16500</v>
      </c>
      <c r="P102" s="50">
        <v>27500</v>
      </c>
      <c r="Q102" s="53">
        <v>3300</v>
      </c>
      <c r="R102" s="53">
        <v>24200</v>
      </c>
      <c r="S102" s="53">
        <v>28600</v>
      </c>
      <c r="T102" s="53">
        <v>9900</v>
      </c>
      <c r="U102" s="53"/>
      <c r="V102" s="53"/>
      <c r="W102" s="53">
        <v>27500</v>
      </c>
    </row>
    <row r="103" spans="1:23" hidden="1">
      <c r="A103" s="47">
        <v>101</v>
      </c>
      <c r="B103" s="56">
        <v>4971710295245</v>
      </c>
      <c r="C103" s="57" t="s">
        <v>10</v>
      </c>
      <c r="D103" s="75" t="s">
        <v>882</v>
      </c>
      <c r="E103" s="48" t="s">
        <v>11</v>
      </c>
      <c r="F103" s="50">
        <v>0</v>
      </c>
      <c r="G103" s="52">
        <v>6600</v>
      </c>
      <c r="H103" s="50">
        <v>0</v>
      </c>
      <c r="I103" s="50">
        <v>13200</v>
      </c>
      <c r="J103" s="50">
        <v>0</v>
      </c>
      <c r="K103" s="53">
        <v>63360</v>
      </c>
      <c r="L103" s="59">
        <v>198000</v>
      </c>
      <c r="M103" s="61"/>
      <c r="N103" s="59"/>
      <c r="O103" s="50">
        <v>73920</v>
      </c>
      <c r="P103" s="50">
        <v>174240</v>
      </c>
      <c r="Q103" s="53"/>
      <c r="R103" s="53"/>
      <c r="S103" s="53"/>
      <c r="T103" s="53"/>
      <c r="U103" s="53"/>
      <c r="V103" s="53"/>
      <c r="W103" s="53"/>
    </row>
    <row r="104" spans="1:23">
      <c r="A104" s="47">
        <v>102</v>
      </c>
      <c r="B104" s="56">
        <v>4971710599978</v>
      </c>
      <c r="C104" s="57" t="s">
        <v>977</v>
      </c>
      <c r="D104" s="75" t="s">
        <v>882</v>
      </c>
      <c r="E104" s="48" t="s">
        <v>978</v>
      </c>
      <c r="F104" s="50"/>
      <c r="G104" s="52"/>
      <c r="H104" s="50"/>
      <c r="I104" s="50"/>
      <c r="J104" s="50"/>
      <c r="K104" s="53"/>
      <c r="L104" s="59"/>
      <c r="M104" s="61"/>
      <c r="N104" s="59"/>
      <c r="O104" s="50"/>
      <c r="P104" s="50"/>
      <c r="Q104" s="53"/>
      <c r="R104" s="53"/>
      <c r="S104" s="53"/>
      <c r="T104" s="53">
        <v>346500</v>
      </c>
      <c r="U104" s="53"/>
      <c r="V104" s="53"/>
      <c r="W104" s="53">
        <v>302225</v>
      </c>
    </row>
    <row r="105" spans="1:23" hidden="1">
      <c r="A105" s="47">
        <v>103</v>
      </c>
      <c r="B105" s="56">
        <v>4971710494853</v>
      </c>
      <c r="C105" s="57" t="s">
        <v>124</v>
      </c>
      <c r="D105" s="75" t="s">
        <v>884</v>
      </c>
      <c r="E105" s="48" t="s">
        <v>125</v>
      </c>
      <c r="F105" s="50">
        <v>0</v>
      </c>
      <c r="G105" s="52">
        <v>6050</v>
      </c>
      <c r="H105" s="50">
        <v>3025</v>
      </c>
      <c r="I105" s="50">
        <v>24200</v>
      </c>
      <c r="J105" s="50">
        <v>0</v>
      </c>
      <c r="K105" s="53">
        <v>18150</v>
      </c>
      <c r="L105" s="59">
        <v>48400</v>
      </c>
      <c r="M105" s="61">
        <v>29040</v>
      </c>
      <c r="N105" s="59"/>
      <c r="O105" s="50">
        <v>3630</v>
      </c>
      <c r="P105" s="50">
        <v>30250</v>
      </c>
      <c r="Q105" s="53">
        <v>1210</v>
      </c>
      <c r="R105" s="53">
        <v>12100</v>
      </c>
      <c r="S105" s="53"/>
      <c r="T105" s="53">
        <v>78650</v>
      </c>
      <c r="U105" s="53"/>
      <c r="V105" s="53"/>
      <c r="W105" s="53"/>
    </row>
    <row r="106" spans="1:23">
      <c r="A106" s="47">
        <v>104</v>
      </c>
      <c r="B106" s="56">
        <v>4971710561265</v>
      </c>
      <c r="C106" s="57" t="s">
        <v>473</v>
      </c>
      <c r="D106" s="75" t="s">
        <v>884</v>
      </c>
      <c r="E106" s="48" t="s">
        <v>474</v>
      </c>
      <c r="F106" s="50">
        <v>0</v>
      </c>
      <c r="G106" s="52">
        <v>18480</v>
      </c>
      <c r="H106" s="50">
        <v>18480</v>
      </c>
      <c r="I106" s="50">
        <v>6160</v>
      </c>
      <c r="J106" s="50">
        <v>3850</v>
      </c>
      <c r="K106" s="53">
        <v>23100</v>
      </c>
      <c r="L106" s="59">
        <v>61600</v>
      </c>
      <c r="M106" s="61">
        <v>10010</v>
      </c>
      <c r="N106" s="59">
        <v>1540</v>
      </c>
      <c r="O106" s="50">
        <v>4620</v>
      </c>
      <c r="P106" s="50">
        <v>1540</v>
      </c>
      <c r="Q106" s="53">
        <v>6160</v>
      </c>
      <c r="R106" s="53">
        <v>1540</v>
      </c>
      <c r="S106" s="53">
        <v>15400</v>
      </c>
      <c r="T106" s="53">
        <v>18480</v>
      </c>
      <c r="U106" s="53"/>
      <c r="V106" s="53"/>
      <c r="W106" s="53">
        <v>123200</v>
      </c>
    </row>
    <row r="107" spans="1:23">
      <c r="A107" s="47">
        <v>105</v>
      </c>
      <c r="B107" s="56">
        <v>4971710556858</v>
      </c>
      <c r="C107" s="57" t="s">
        <v>452</v>
      </c>
      <c r="D107" s="75" t="s">
        <v>884</v>
      </c>
      <c r="E107" s="48" t="s">
        <v>453</v>
      </c>
      <c r="F107" s="50">
        <v>0</v>
      </c>
      <c r="G107" s="52">
        <v>24750</v>
      </c>
      <c r="H107" s="50">
        <v>4125</v>
      </c>
      <c r="I107" s="50">
        <v>0</v>
      </c>
      <c r="J107" s="50">
        <v>24750</v>
      </c>
      <c r="K107" s="53">
        <v>0</v>
      </c>
      <c r="L107" s="59">
        <v>70125</v>
      </c>
      <c r="M107" s="61">
        <v>25575</v>
      </c>
      <c r="N107" s="59"/>
      <c r="O107" s="50">
        <v>16500</v>
      </c>
      <c r="P107" s="50">
        <v>20625</v>
      </c>
      <c r="Q107" s="53">
        <v>24750</v>
      </c>
      <c r="R107" s="53">
        <v>8250</v>
      </c>
      <c r="S107" s="53">
        <v>16500</v>
      </c>
      <c r="T107" s="53">
        <v>12375</v>
      </c>
      <c r="U107" s="53"/>
      <c r="V107" s="53"/>
      <c r="W107" s="53">
        <v>66000</v>
      </c>
    </row>
    <row r="108" spans="1:23" hidden="1">
      <c r="A108" s="47">
        <v>106</v>
      </c>
      <c r="B108" s="56">
        <v>4971710591088</v>
      </c>
      <c r="C108" s="57" t="s">
        <v>734</v>
      </c>
      <c r="D108" s="75" t="s">
        <v>884</v>
      </c>
      <c r="E108" s="48" t="s">
        <v>735</v>
      </c>
      <c r="F108" s="50">
        <v>0</v>
      </c>
      <c r="G108" s="52">
        <v>0</v>
      </c>
      <c r="H108" s="50">
        <v>0</v>
      </c>
      <c r="I108" s="50">
        <v>0</v>
      </c>
      <c r="J108" s="50">
        <v>0</v>
      </c>
      <c r="K108" s="53">
        <v>0</v>
      </c>
      <c r="L108" s="59"/>
      <c r="M108" s="61">
        <v>231000</v>
      </c>
      <c r="N108" s="59">
        <v>4620</v>
      </c>
      <c r="O108" s="50"/>
      <c r="P108" s="50"/>
      <c r="Q108" s="53"/>
      <c r="R108" s="53"/>
      <c r="S108" s="53"/>
      <c r="T108" s="53"/>
      <c r="U108" s="53"/>
      <c r="V108" s="53"/>
      <c r="W108" s="53"/>
    </row>
    <row r="109" spans="1:23" hidden="1">
      <c r="A109" s="47">
        <v>107</v>
      </c>
      <c r="B109" s="56">
        <v>4971710591095</v>
      </c>
      <c r="C109" s="57" t="s">
        <v>736</v>
      </c>
      <c r="D109" s="75" t="s">
        <v>884</v>
      </c>
      <c r="E109" s="48" t="s">
        <v>737</v>
      </c>
      <c r="F109" s="50">
        <v>0</v>
      </c>
      <c r="G109" s="52">
        <v>0</v>
      </c>
      <c r="H109" s="50">
        <v>0</v>
      </c>
      <c r="I109" s="50">
        <v>0</v>
      </c>
      <c r="J109" s="50">
        <v>0</v>
      </c>
      <c r="K109" s="53">
        <v>0</v>
      </c>
      <c r="L109" s="59"/>
      <c r="M109" s="61">
        <v>231000</v>
      </c>
      <c r="N109" s="59">
        <v>4620</v>
      </c>
      <c r="O109" s="50"/>
      <c r="P109" s="50"/>
      <c r="Q109" s="53"/>
      <c r="R109" s="53"/>
      <c r="S109" s="53"/>
      <c r="T109" s="53"/>
      <c r="U109" s="53"/>
      <c r="V109" s="53"/>
      <c r="W109" s="53"/>
    </row>
    <row r="110" spans="1:23">
      <c r="A110" s="47">
        <v>108</v>
      </c>
      <c r="B110" s="56">
        <v>4971710580488</v>
      </c>
      <c r="C110" s="57" t="s">
        <v>684</v>
      </c>
      <c r="D110" s="75" t="s">
        <v>880</v>
      </c>
      <c r="E110" s="48" t="s">
        <v>685</v>
      </c>
      <c r="F110" s="50">
        <v>0</v>
      </c>
      <c r="G110" s="52">
        <v>0</v>
      </c>
      <c r="H110" s="50">
        <v>0</v>
      </c>
      <c r="I110" s="50">
        <v>0</v>
      </c>
      <c r="J110" s="50">
        <v>13860</v>
      </c>
      <c r="K110" s="53">
        <v>0</v>
      </c>
      <c r="L110" s="59"/>
      <c r="M110" s="61"/>
      <c r="N110" s="59">
        <v>1848</v>
      </c>
      <c r="O110" s="50">
        <v>47124</v>
      </c>
      <c r="P110" s="50"/>
      <c r="Q110" s="53">
        <v>2772</v>
      </c>
      <c r="R110" s="53">
        <v>30030</v>
      </c>
      <c r="S110" s="53"/>
      <c r="T110" s="53">
        <v>1848</v>
      </c>
      <c r="U110" s="53"/>
      <c r="V110" s="53"/>
      <c r="W110" s="53">
        <v>57288</v>
      </c>
    </row>
    <row r="111" spans="1:23">
      <c r="A111" s="47">
        <v>109</v>
      </c>
      <c r="B111" s="56">
        <v>4971710494174</v>
      </c>
      <c r="C111" s="57" t="s">
        <v>114</v>
      </c>
      <c r="D111" s="75" t="s">
        <v>884</v>
      </c>
      <c r="E111" s="48" t="s">
        <v>115</v>
      </c>
      <c r="F111" s="50">
        <v>0</v>
      </c>
      <c r="G111" s="52">
        <v>2970</v>
      </c>
      <c r="H111" s="50">
        <v>2970</v>
      </c>
      <c r="I111" s="50">
        <v>8910</v>
      </c>
      <c r="J111" s="50">
        <v>594</v>
      </c>
      <c r="K111" s="53">
        <v>1485</v>
      </c>
      <c r="L111" s="59">
        <v>11880</v>
      </c>
      <c r="M111" s="61">
        <v>13068</v>
      </c>
      <c r="N111" s="59"/>
      <c r="O111" s="50">
        <v>4752</v>
      </c>
      <c r="P111" s="50">
        <v>15444</v>
      </c>
      <c r="Q111" s="53">
        <v>1188</v>
      </c>
      <c r="R111" s="53">
        <v>2970</v>
      </c>
      <c r="S111" s="53">
        <v>3564</v>
      </c>
      <c r="T111" s="53">
        <v>18414</v>
      </c>
      <c r="U111" s="53"/>
      <c r="V111" s="53"/>
      <c r="W111" s="53">
        <v>19008</v>
      </c>
    </row>
    <row r="112" spans="1:23">
      <c r="A112" s="47">
        <v>110</v>
      </c>
      <c r="B112" s="56">
        <v>4971710494198</v>
      </c>
      <c r="C112" s="57" t="s">
        <v>118</v>
      </c>
      <c r="D112" s="75" t="s">
        <v>884</v>
      </c>
      <c r="E112" s="48" t="s">
        <v>119</v>
      </c>
      <c r="F112" s="50">
        <v>0</v>
      </c>
      <c r="G112" s="52">
        <v>1485</v>
      </c>
      <c r="H112" s="50">
        <v>1485</v>
      </c>
      <c r="I112" s="50">
        <v>8910</v>
      </c>
      <c r="J112" s="50">
        <v>594</v>
      </c>
      <c r="K112" s="53">
        <v>0</v>
      </c>
      <c r="L112" s="59">
        <v>8910</v>
      </c>
      <c r="M112" s="61">
        <v>9504</v>
      </c>
      <c r="N112" s="59">
        <v>1782</v>
      </c>
      <c r="O112" s="50">
        <v>4752</v>
      </c>
      <c r="P112" s="50">
        <v>16038</v>
      </c>
      <c r="Q112" s="53">
        <v>1782</v>
      </c>
      <c r="R112" s="53">
        <v>3564</v>
      </c>
      <c r="S112" s="53">
        <v>10692</v>
      </c>
      <c r="T112" s="53"/>
      <c r="U112" s="53"/>
      <c r="V112" s="53"/>
      <c r="W112" s="53">
        <v>32076</v>
      </c>
    </row>
    <row r="113" spans="1:23">
      <c r="A113" s="47">
        <v>111</v>
      </c>
      <c r="B113" s="56">
        <v>4971710523072</v>
      </c>
      <c r="C113" s="57" t="s">
        <v>396</v>
      </c>
      <c r="D113" s="75" t="s">
        <v>880</v>
      </c>
      <c r="E113" s="48" t="s">
        <v>397</v>
      </c>
      <c r="F113" s="50">
        <v>5280</v>
      </c>
      <c r="G113" s="52">
        <v>0</v>
      </c>
      <c r="H113" s="50">
        <v>7920</v>
      </c>
      <c r="I113" s="50">
        <v>8800</v>
      </c>
      <c r="J113" s="50">
        <v>13200</v>
      </c>
      <c r="K113" s="53">
        <v>26400</v>
      </c>
      <c r="L113" s="59">
        <v>41360</v>
      </c>
      <c r="M113" s="61">
        <v>1760</v>
      </c>
      <c r="N113" s="59">
        <v>26400</v>
      </c>
      <c r="O113" s="50">
        <v>25520</v>
      </c>
      <c r="P113" s="50">
        <v>26400</v>
      </c>
      <c r="Q113" s="53">
        <v>5280</v>
      </c>
      <c r="R113" s="53">
        <v>3520</v>
      </c>
      <c r="S113" s="53">
        <v>36960</v>
      </c>
      <c r="T113" s="53">
        <v>52800</v>
      </c>
      <c r="U113" s="53"/>
      <c r="V113" s="53"/>
      <c r="W113" s="53">
        <v>44000</v>
      </c>
    </row>
    <row r="114" spans="1:23" hidden="1">
      <c r="A114" s="47">
        <v>112</v>
      </c>
      <c r="B114" s="56">
        <v>4971710597707</v>
      </c>
      <c r="C114" s="57" t="s">
        <v>823</v>
      </c>
      <c r="D114" s="75" t="s">
        <v>896</v>
      </c>
      <c r="E114" s="48" t="s">
        <v>999</v>
      </c>
      <c r="F114" s="50">
        <v>0</v>
      </c>
      <c r="G114" s="52">
        <v>0</v>
      </c>
      <c r="H114" s="50">
        <v>0</v>
      </c>
      <c r="I114" s="50">
        <v>0</v>
      </c>
      <c r="J114" s="50">
        <v>0</v>
      </c>
      <c r="K114" s="53">
        <v>0</v>
      </c>
      <c r="L114" s="59"/>
      <c r="M114" s="61"/>
      <c r="N114" s="59"/>
      <c r="O114" s="50"/>
      <c r="P114" s="50"/>
      <c r="Q114" s="53">
        <v>24700</v>
      </c>
      <c r="R114" s="53"/>
      <c r="S114" s="53">
        <v>4940</v>
      </c>
      <c r="T114" s="53">
        <v>44460</v>
      </c>
      <c r="U114" s="53"/>
      <c r="V114" s="53"/>
      <c r="W114" s="53"/>
    </row>
    <row r="115" spans="1:23" hidden="1">
      <c r="A115" s="47">
        <v>113</v>
      </c>
      <c r="B115" s="56">
        <v>4971710596953</v>
      </c>
      <c r="C115" s="57" t="s">
        <v>827</v>
      </c>
      <c r="D115" s="75" t="s">
        <v>884</v>
      </c>
      <c r="E115" s="48" t="s">
        <v>989</v>
      </c>
      <c r="F115" s="50">
        <v>0</v>
      </c>
      <c r="G115" s="52">
        <v>0</v>
      </c>
      <c r="H115" s="50">
        <v>0</v>
      </c>
      <c r="I115" s="50">
        <v>0</v>
      </c>
      <c r="J115" s="50">
        <v>0</v>
      </c>
      <c r="K115" s="53">
        <v>0</v>
      </c>
      <c r="L115" s="59"/>
      <c r="M115" s="61"/>
      <c r="N115" s="59"/>
      <c r="O115" s="50"/>
      <c r="P115" s="50"/>
      <c r="Q115" s="53">
        <v>157080</v>
      </c>
      <c r="R115" s="53">
        <v>73920</v>
      </c>
      <c r="S115" s="53"/>
      <c r="T115" s="53"/>
      <c r="U115" s="53"/>
      <c r="V115" s="53"/>
      <c r="W115" s="53"/>
    </row>
    <row r="116" spans="1:23" hidden="1">
      <c r="A116" s="47">
        <v>114</v>
      </c>
      <c r="B116" s="56">
        <v>4971710596946</v>
      </c>
      <c r="C116" s="57" t="s">
        <v>828</v>
      </c>
      <c r="D116" s="75" t="s">
        <v>884</v>
      </c>
      <c r="E116" s="48" t="s">
        <v>990</v>
      </c>
      <c r="F116" s="50">
        <v>0</v>
      </c>
      <c r="G116" s="52">
        <v>0</v>
      </c>
      <c r="H116" s="50">
        <v>0</v>
      </c>
      <c r="I116" s="50">
        <v>0</v>
      </c>
      <c r="J116" s="50">
        <v>0</v>
      </c>
      <c r="K116" s="53">
        <v>0</v>
      </c>
      <c r="L116" s="59"/>
      <c r="M116" s="61"/>
      <c r="N116" s="59"/>
      <c r="O116" s="50"/>
      <c r="P116" s="50"/>
      <c r="Q116" s="53">
        <v>157080</v>
      </c>
      <c r="R116" s="53">
        <v>73920</v>
      </c>
      <c r="S116" s="53"/>
      <c r="T116" s="53"/>
      <c r="U116" s="53"/>
      <c r="V116" s="53"/>
      <c r="W116" s="53"/>
    </row>
    <row r="117" spans="1:23">
      <c r="A117" s="47">
        <v>115</v>
      </c>
      <c r="B117" s="56">
        <v>4971710592986</v>
      </c>
      <c r="C117" s="57" t="s">
        <v>744</v>
      </c>
      <c r="D117" s="75" t="s">
        <v>884</v>
      </c>
      <c r="E117" s="48" t="s">
        <v>745</v>
      </c>
      <c r="F117" s="50">
        <v>0</v>
      </c>
      <c r="G117" s="52">
        <v>0</v>
      </c>
      <c r="H117" s="50">
        <v>0</v>
      </c>
      <c r="I117" s="50">
        <v>0</v>
      </c>
      <c r="J117" s="50">
        <v>0</v>
      </c>
      <c r="K117" s="53">
        <v>0</v>
      </c>
      <c r="L117" s="59">
        <v>39325</v>
      </c>
      <c r="M117" s="61">
        <v>65340</v>
      </c>
      <c r="N117" s="59">
        <v>6050</v>
      </c>
      <c r="O117" s="50">
        <v>22990</v>
      </c>
      <c r="P117" s="50"/>
      <c r="Q117" s="53">
        <v>1210</v>
      </c>
      <c r="R117" s="53">
        <v>1210</v>
      </c>
      <c r="S117" s="53">
        <v>6050</v>
      </c>
      <c r="T117" s="53">
        <v>2420</v>
      </c>
      <c r="U117" s="53"/>
      <c r="V117" s="53"/>
      <c r="W117" s="53">
        <v>36300</v>
      </c>
    </row>
    <row r="118" spans="1:23">
      <c r="A118" s="47">
        <v>116</v>
      </c>
      <c r="B118" s="56">
        <v>4971710580457</v>
      </c>
      <c r="C118" s="57" t="s">
        <v>678</v>
      </c>
      <c r="D118" s="75" t="s">
        <v>880</v>
      </c>
      <c r="E118" s="48" t="s">
        <v>679</v>
      </c>
      <c r="F118" s="50">
        <v>0</v>
      </c>
      <c r="G118" s="52">
        <v>0</v>
      </c>
      <c r="H118" s="50">
        <v>0</v>
      </c>
      <c r="I118" s="50">
        <v>0</v>
      </c>
      <c r="J118" s="50">
        <v>19800</v>
      </c>
      <c r="K118" s="53">
        <v>0</v>
      </c>
      <c r="L118" s="59">
        <v>19800</v>
      </c>
      <c r="M118" s="61">
        <v>22440</v>
      </c>
      <c r="N118" s="59"/>
      <c r="O118" s="50">
        <v>22440</v>
      </c>
      <c r="P118" s="50"/>
      <c r="Q118" s="53">
        <v>7920</v>
      </c>
      <c r="R118" s="53">
        <v>52800</v>
      </c>
      <c r="S118" s="53">
        <v>25080</v>
      </c>
      <c r="T118" s="53">
        <v>5280</v>
      </c>
      <c r="U118" s="53"/>
      <c r="V118" s="53"/>
      <c r="W118" s="53">
        <v>39600</v>
      </c>
    </row>
    <row r="119" spans="1:23">
      <c r="A119" s="47">
        <v>117</v>
      </c>
      <c r="B119" s="56">
        <v>4971710494181</v>
      </c>
      <c r="C119" s="57" t="s">
        <v>116</v>
      </c>
      <c r="D119" s="75" t="s">
        <v>884</v>
      </c>
      <c r="E119" s="48" t="s">
        <v>117</v>
      </c>
      <c r="F119" s="50">
        <v>0</v>
      </c>
      <c r="G119" s="52">
        <v>1485</v>
      </c>
      <c r="H119" s="50">
        <v>1485</v>
      </c>
      <c r="I119" s="50">
        <v>8910</v>
      </c>
      <c r="J119" s="50">
        <v>0</v>
      </c>
      <c r="K119" s="53">
        <v>0</v>
      </c>
      <c r="L119" s="59">
        <v>2970</v>
      </c>
      <c r="M119" s="61">
        <v>9504</v>
      </c>
      <c r="N119" s="59"/>
      <c r="O119" s="50">
        <v>18414</v>
      </c>
      <c r="P119" s="50">
        <v>594</v>
      </c>
      <c r="Q119" s="53">
        <v>1782</v>
      </c>
      <c r="R119" s="53">
        <v>18414</v>
      </c>
      <c r="S119" s="53">
        <v>17820</v>
      </c>
      <c r="T119" s="53"/>
      <c r="U119" s="53"/>
      <c r="V119" s="53"/>
      <c r="W119" s="53">
        <v>17820</v>
      </c>
    </row>
    <row r="120" spans="1:23">
      <c r="A120" s="47">
        <v>118</v>
      </c>
      <c r="B120" s="56">
        <v>4971710569209</v>
      </c>
      <c r="C120" s="57" t="s">
        <v>543</v>
      </c>
      <c r="D120" s="75" t="s">
        <v>880</v>
      </c>
      <c r="E120" s="48" t="s">
        <v>544</v>
      </c>
      <c r="F120" s="50">
        <v>6600</v>
      </c>
      <c r="G120" s="52">
        <v>0</v>
      </c>
      <c r="H120" s="50">
        <v>0</v>
      </c>
      <c r="I120" s="50">
        <v>0</v>
      </c>
      <c r="J120" s="50">
        <v>21120</v>
      </c>
      <c r="K120" s="53">
        <v>0</v>
      </c>
      <c r="L120" s="59">
        <v>81180</v>
      </c>
      <c r="M120" s="61">
        <v>1320</v>
      </c>
      <c r="N120" s="59"/>
      <c r="O120" s="50">
        <v>23760</v>
      </c>
      <c r="P120" s="50">
        <v>2640</v>
      </c>
      <c r="Q120" s="53"/>
      <c r="R120" s="53">
        <v>43560</v>
      </c>
      <c r="S120" s="53">
        <v>2640</v>
      </c>
      <c r="T120" s="53"/>
      <c r="U120" s="53"/>
      <c r="V120" s="53"/>
      <c r="W120" s="53">
        <v>33000</v>
      </c>
    </row>
    <row r="121" spans="1:23" hidden="1">
      <c r="A121" s="47">
        <v>119</v>
      </c>
      <c r="B121" s="56">
        <v>4971710580754</v>
      </c>
      <c r="C121" s="57" t="s">
        <v>688</v>
      </c>
      <c r="D121" s="75" t="s">
        <v>884</v>
      </c>
      <c r="E121" s="48" t="s">
        <v>689</v>
      </c>
      <c r="F121" s="50">
        <v>0</v>
      </c>
      <c r="G121" s="52">
        <v>0</v>
      </c>
      <c r="H121" s="50">
        <v>0</v>
      </c>
      <c r="I121" s="50">
        <v>59400</v>
      </c>
      <c r="J121" s="50">
        <v>0</v>
      </c>
      <c r="K121" s="53">
        <v>6600</v>
      </c>
      <c r="L121" s="59">
        <v>26400</v>
      </c>
      <c r="M121" s="61"/>
      <c r="N121" s="59">
        <v>66000</v>
      </c>
      <c r="O121" s="50">
        <v>39600</v>
      </c>
      <c r="P121" s="50">
        <v>39600</v>
      </c>
      <c r="Q121" s="53">
        <v>13200</v>
      </c>
      <c r="R121" s="53"/>
      <c r="S121" s="53"/>
      <c r="T121" s="53"/>
      <c r="U121" s="53"/>
      <c r="V121" s="53"/>
      <c r="W121" s="53"/>
    </row>
    <row r="122" spans="1:23">
      <c r="A122" s="47">
        <v>120</v>
      </c>
      <c r="B122" s="56">
        <v>4971710568547</v>
      </c>
      <c r="C122" s="57" t="s">
        <v>521</v>
      </c>
      <c r="D122" s="75" t="s">
        <v>884</v>
      </c>
      <c r="E122" s="48" t="s">
        <v>522</v>
      </c>
      <c r="F122" s="50">
        <v>6600</v>
      </c>
      <c r="G122" s="52">
        <v>15840</v>
      </c>
      <c r="H122" s="50">
        <v>15840</v>
      </c>
      <c r="I122" s="50">
        <v>1320</v>
      </c>
      <c r="J122" s="50">
        <v>0</v>
      </c>
      <c r="K122" s="53">
        <v>33000</v>
      </c>
      <c r="L122" s="59"/>
      <c r="M122" s="61">
        <v>13200</v>
      </c>
      <c r="N122" s="59"/>
      <c r="O122" s="50">
        <v>33000</v>
      </c>
      <c r="P122" s="50">
        <v>13200</v>
      </c>
      <c r="Q122" s="53"/>
      <c r="R122" s="53">
        <v>24420</v>
      </c>
      <c r="S122" s="53">
        <v>33000</v>
      </c>
      <c r="T122" s="53">
        <v>21120</v>
      </c>
      <c r="U122" s="53"/>
      <c r="V122" s="53"/>
      <c r="W122" s="53">
        <v>46200</v>
      </c>
    </row>
    <row r="123" spans="1:23">
      <c r="A123" s="47">
        <v>121</v>
      </c>
      <c r="B123" s="56">
        <v>4971710598575</v>
      </c>
      <c r="C123" s="57" t="s">
        <v>817</v>
      </c>
      <c r="D123" s="75" t="s">
        <v>884</v>
      </c>
      <c r="E123" s="48" t="s">
        <v>1003</v>
      </c>
      <c r="F123" s="50">
        <v>0</v>
      </c>
      <c r="G123" s="52">
        <v>0</v>
      </c>
      <c r="H123" s="50">
        <v>0</v>
      </c>
      <c r="I123" s="50">
        <v>0</v>
      </c>
      <c r="J123" s="50">
        <v>0</v>
      </c>
      <c r="K123" s="53">
        <v>0</v>
      </c>
      <c r="L123" s="59"/>
      <c r="M123" s="61"/>
      <c r="N123" s="59"/>
      <c r="O123" s="50"/>
      <c r="P123" s="50"/>
      <c r="Q123" s="53">
        <v>35750</v>
      </c>
      <c r="R123" s="53">
        <v>6600</v>
      </c>
      <c r="S123" s="53">
        <v>1100</v>
      </c>
      <c r="T123" s="53">
        <v>65450</v>
      </c>
      <c r="U123" s="53"/>
      <c r="V123" s="53"/>
      <c r="W123" s="53">
        <v>44000</v>
      </c>
    </row>
    <row r="124" spans="1:23">
      <c r="A124" s="47">
        <v>122</v>
      </c>
      <c r="B124" s="56">
        <v>4971710576009</v>
      </c>
      <c r="C124" s="57" t="s">
        <v>604</v>
      </c>
      <c r="D124" s="75" t="s">
        <v>884</v>
      </c>
      <c r="E124" s="48" t="s">
        <v>605</v>
      </c>
      <c r="F124" s="50">
        <v>0</v>
      </c>
      <c r="G124" s="52">
        <v>0</v>
      </c>
      <c r="H124" s="50">
        <v>6600</v>
      </c>
      <c r="I124" s="50">
        <v>33000</v>
      </c>
      <c r="J124" s="50">
        <v>0</v>
      </c>
      <c r="K124" s="53">
        <v>0</v>
      </c>
      <c r="L124" s="59">
        <v>42900</v>
      </c>
      <c r="M124" s="61">
        <v>2640</v>
      </c>
      <c r="N124" s="59">
        <v>1320</v>
      </c>
      <c r="O124" s="50">
        <v>13200</v>
      </c>
      <c r="P124" s="50">
        <v>40920</v>
      </c>
      <c r="Q124" s="53">
        <v>9900</v>
      </c>
      <c r="R124" s="53"/>
      <c r="S124" s="53"/>
      <c r="T124" s="53">
        <v>25080</v>
      </c>
      <c r="U124" s="53"/>
      <c r="V124" s="53"/>
      <c r="W124" s="53">
        <v>46200</v>
      </c>
    </row>
    <row r="125" spans="1:23">
      <c r="A125" s="47">
        <v>123</v>
      </c>
      <c r="B125" s="56">
        <v>4971710515817</v>
      </c>
      <c r="C125" s="57" t="s">
        <v>316</v>
      </c>
      <c r="D125" s="75" t="s">
        <v>884</v>
      </c>
      <c r="E125" s="48" t="s">
        <v>317</v>
      </c>
      <c r="F125" s="50">
        <v>0</v>
      </c>
      <c r="G125" s="52">
        <v>2610</v>
      </c>
      <c r="H125" s="50">
        <v>0</v>
      </c>
      <c r="I125" s="50">
        <v>15660</v>
      </c>
      <c r="J125" s="50">
        <v>0</v>
      </c>
      <c r="K125" s="53">
        <v>0</v>
      </c>
      <c r="L125" s="59">
        <v>20880</v>
      </c>
      <c r="M125" s="61">
        <v>2088</v>
      </c>
      <c r="N125" s="59">
        <v>7308</v>
      </c>
      <c r="O125" s="50">
        <v>18792</v>
      </c>
      <c r="P125" s="50">
        <v>1044</v>
      </c>
      <c r="Q125" s="53">
        <v>29232</v>
      </c>
      <c r="R125" s="53">
        <v>19836</v>
      </c>
      <c r="S125" s="53">
        <v>26100</v>
      </c>
      <c r="T125" s="53">
        <v>4176</v>
      </c>
      <c r="U125" s="53"/>
      <c r="V125" s="53"/>
      <c r="W125" s="53">
        <v>14616</v>
      </c>
    </row>
    <row r="126" spans="1:23">
      <c r="A126" s="47">
        <v>124</v>
      </c>
      <c r="B126" s="56">
        <v>4971710598537</v>
      </c>
      <c r="C126" s="57" t="s">
        <v>821</v>
      </c>
      <c r="D126" s="75" t="s">
        <v>884</v>
      </c>
      <c r="E126" s="48" t="s">
        <v>829</v>
      </c>
      <c r="F126" s="50">
        <v>0</v>
      </c>
      <c r="G126" s="52">
        <v>0</v>
      </c>
      <c r="H126" s="50">
        <v>0</v>
      </c>
      <c r="I126" s="50">
        <v>0</v>
      </c>
      <c r="J126" s="50">
        <v>0</v>
      </c>
      <c r="K126" s="53">
        <v>0</v>
      </c>
      <c r="L126" s="59"/>
      <c r="M126" s="61"/>
      <c r="N126" s="59"/>
      <c r="O126" s="50"/>
      <c r="P126" s="50"/>
      <c r="Q126" s="53">
        <v>39600</v>
      </c>
      <c r="R126" s="53">
        <v>1320</v>
      </c>
      <c r="S126" s="53">
        <v>11220</v>
      </c>
      <c r="T126" s="53">
        <v>37620</v>
      </c>
      <c r="U126" s="53"/>
      <c r="V126" s="53"/>
      <c r="W126" s="53">
        <v>84480</v>
      </c>
    </row>
    <row r="127" spans="1:23">
      <c r="A127" s="47">
        <v>125</v>
      </c>
      <c r="B127" s="56">
        <v>4971710569186</v>
      </c>
      <c r="C127" s="57" t="s">
        <v>539</v>
      </c>
      <c r="D127" s="75" t="s">
        <v>880</v>
      </c>
      <c r="E127" s="48" t="s">
        <v>540</v>
      </c>
      <c r="F127" s="50">
        <v>6600</v>
      </c>
      <c r="G127" s="52">
        <v>19800</v>
      </c>
      <c r="H127" s="50">
        <v>6600</v>
      </c>
      <c r="I127" s="50">
        <v>3300</v>
      </c>
      <c r="J127" s="50">
        <v>6600</v>
      </c>
      <c r="K127" s="53">
        <v>36300</v>
      </c>
      <c r="L127" s="59">
        <v>27720</v>
      </c>
      <c r="M127" s="61"/>
      <c r="N127" s="59"/>
      <c r="O127" s="50">
        <v>27720</v>
      </c>
      <c r="P127" s="50">
        <v>34320</v>
      </c>
      <c r="Q127" s="53"/>
      <c r="R127" s="53">
        <v>42240</v>
      </c>
      <c r="S127" s="53"/>
      <c r="T127" s="53">
        <v>1320</v>
      </c>
      <c r="U127" s="53"/>
      <c r="V127" s="53"/>
      <c r="W127" s="53">
        <v>33000</v>
      </c>
    </row>
    <row r="128" spans="1:23">
      <c r="A128" s="47">
        <v>126</v>
      </c>
      <c r="B128" s="56">
        <v>4971710568561</v>
      </c>
      <c r="C128" s="57" t="s">
        <v>525</v>
      </c>
      <c r="D128" s="75" t="s">
        <v>884</v>
      </c>
      <c r="E128" s="48" t="s">
        <v>526</v>
      </c>
      <c r="F128" s="50">
        <v>6600</v>
      </c>
      <c r="G128" s="52">
        <v>15840</v>
      </c>
      <c r="H128" s="50">
        <v>15840</v>
      </c>
      <c r="I128" s="50">
        <v>1320</v>
      </c>
      <c r="J128" s="50">
        <v>0</v>
      </c>
      <c r="K128" s="53">
        <v>0</v>
      </c>
      <c r="L128" s="59">
        <v>33000</v>
      </c>
      <c r="M128" s="61"/>
      <c r="N128" s="59"/>
      <c r="O128" s="50">
        <v>33000</v>
      </c>
      <c r="P128" s="50"/>
      <c r="Q128" s="53"/>
      <c r="R128" s="53">
        <v>26400</v>
      </c>
      <c r="S128" s="53">
        <v>33000</v>
      </c>
      <c r="T128" s="53">
        <v>33000</v>
      </c>
      <c r="U128" s="53"/>
      <c r="V128" s="53"/>
      <c r="W128" s="53">
        <v>6600</v>
      </c>
    </row>
    <row r="129" spans="1:23">
      <c r="A129" s="47">
        <v>127</v>
      </c>
      <c r="B129" s="56">
        <v>4971710575989</v>
      </c>
      <c r="C129" s="57" t="s">
        <v>600</v>
      </c>
      <c r="D129" s="75" t="s">
        <v>884</v>
      </c>
      <c r="E129" s="48" t="s">
        <v>601</v>
      </c>
      <c r="F129" s="50">
        <v>6600</v>
      </c>
      <c r="G129" s="52">
        <v>0</v>
      </c>
      <c r="H129" s="50">
        <v>0</v>
      </c>
      <c r="I129" s="50">
        <v>26400</v>
      </c>
      <c r="J129" s="50">
        <v>0</v>
      </c>
      <c r="K129" s="53">
        <v>0</v>
      </c>
      <c r="L129" s="59">
        <v>29700</v>
      </c>
      <c r="M129" s="61">
        <v>2640</v>
      </c>
      <c r="N129" s="59">
        <v>3300</v>
      </c>
      <c r="O129" s="50">
        <v>37620</v>
      </c>
      <c r="P129" s="50">
        <v>1320</v>
      </c>
      <c r="Q129" s="53">
        <v>11220</v>
      </c>
      <c r="R129" s="53"/>
      <c r="S129" s="53">
        <v>21120</v>
      </c>
      <c r="T129" s="53">
        <v>3300</v>
      </c>
      <c r="U129" s="53"/>
      <c r="V129" s="53"/>
      <c r="W129" s="53">
        <v>54120</v>
      </c>
    </row>
    <row r="130" spans="1:23">
      <c r="A130" s="47">
        <v>128</v>
      </c>
      <c r="B130" s="56">
        <v>4971710584059</v>
      </c>
      <c r="C130" s="57" t="s">
        <v>700</v>
      </c>
      <c r="D130" s="75" t="s">
        <v>884</v>
      </c>
      <c r="E130" s="48" t="s">
        <v>701</v>
      </c>
      <c r="F130" s="50">
        <v>0</v>
      </c>
      <c r="G130" s="52">
        <v>35750</v>
      </c>
      <c r="H130" s="50">
        <v>0</v>
      </c>
      <c r="I130" s="50">
        <v>7150</v>
      </c>
      <c r="J130" s="50">
        <v>2145</v>
      </c>
      <c r="K130" s="53">
        <v>0</v>
      </c>
      <c r="L130" s="59">
        <v>71500</v>
      </c>
      <c r="M130" s="61">
        <v>28600</v>
      </c>
      <c r="N130" s="59">
        <v>10010</v>
      </c>
      <c r="O130" s="50"/>
      <c r="P130" s="50">
        <v>1430</v>
      </c>
      <c r="Q130" s="53"/>
      <c r="R130" s="53"/>
      <c r="S130" s="53"/>
      <c r="T130" s="53">
        <v>12870</v>
      </c>
      <c r="U130" s="53"/>
      <c r="V130" s="53"/>
      <c r="W130" s="53">
        <v>53625</v>
      </c>
    </row>
    <row r="131" spans="1:23">
      <c r="A131" s="47">
        <v>129</v>
      </c>
      <c r="B131" s="56">
        <v>4971710513639</v>
      </c>
      <c r="C131" s="57" t="s">
        <v>262</v>
      </c>
      <c r="D131" s="75" t="s">
        <v>880</v>
      </c>
      <c r="E131" s="48" t="s">
        <v>263</v>
      </c>
      <c r="F131" s="50">
        <v>0</v>
      </c>
      <c r="G131" s="52">
        <v>9060</v>
      </c>
      <c r="H131" s="50">
        <v>0</v>
      </c>
      <c r="I131" s="50">
        <v>0</v>
      </c>
      <c r="J131" s="50">
        <v>0</v>
      </c>
      <c r="K131" s="53">
        <v>9060</v>
      </c>
      <c r="L131" s="59">
        <v>9060</v>
      </c>
      <c r="M131" s="61"/>
      <c r="N131" s="59"/>
      <c r="O131" s="50">
        <v>1812</v>
      </c>
      <c r="P131" s="50">
        <v>9060</v>
      </c>
      <c r="Q131" s="53">
        <v>7248</v>
      </c>
      <c r="R131" s="53">
        <v>19328</v>
      </c>
      <c r="S131" s="53">
        <v>6040</v>
      </c>
      <c r="T131" s="53">
        <v>7550</v>
      </c>
      <c r="U131" s="53"/>
      <c r="V131" s="53"/>
      <c r="W131" s="53">
        <v>15100</v>
      </c>
    </row>
    <row r="132" spans="1:23">
      <c r="A132" s="47">
        <v>130</v>
      </c>
      <c r="B132" s="56">
        <v>4971710513691</v>
      </c>
      <c r="C132" s="57" t="s">
        <v>274</v>
      </c>
      <c r="D132" s="75" t="s">
        <v>880</v>
      </c>
      <c r="E132" s="48" t="s">
        <v>275</v>
      </c>
      <c r="F132" s="50">
        <v>0</v>
      </c>
      <c r="G132" s="52">
        <v>16500</v>
      </c>
      <c r="H132" s="50">
        <v>0</v>
      </c>
      <c r="I132" s="50">
        <v>27500</v>
      </c>
      <c r="J132" s="50">
        <v>0</v>
      </c>
      <c r="K132" s="53">
        <v>0</v>
      </c>
      <c r="L132" s="59">
        <v>27500</v>
      </c>
      <c r="M132" s="61"/>
      <c r="N132" s="59"/>
      <c r="O132" s="50">
        <v>19800</v>
      </c>
      <c r="P132" s="50">
        <v>27500</v>
      </c>
      <c r="Q132" s="53"/>
      <c r="R132" s="53"/>
      <c r="S132" s="53"/>
      <c r="T132" s="53">
        <v>33000</v>
      </c>
      <c r="U132" s="53"/>
      <c r="V132" s="53"/>
      <c r="W132" s="53">
        <v>27500</v>
      </c>
    </row>
    <row r="133" spans="1:23">
      <c r="A133" s="47">
        <v>131</v>
      </c>
      <c r="B133" s="56">
        <v>4971710508864</v>
      </c>
      <c r="C133" s="57" t="s">
        <v>202</v>
      </c>
      <c r="D133" s="75" t="s">
        <v>884</v>
      </c>
      <c r="E133" s="48" t="s">
        <v>203</v>
      </c>
      <c r="F133" s="50">
        <v>0</v>
      </c>
      <c r="G133" s="52">
        <v>0</v>
      </c>
      <c r="H133" s="50">
        <v>0</v>
      </c>
      <c r="I133" s="50">
        <v>0</v>
      </c>
      <c r="J133" s="50">
        <v>0</v>
      </c>
      <c r="K133" s="53">
        <v>0</v>
      </c>
      <c r="L133" s="59">
        <v>5280</v>
      </c>
      <c r="M133" s="61"/>
      <c r="N133" s="59"/>
      <c r="O133" s="50">
        <v>26400</v>
      </c>
      <c r="P133" s="50"/>
      <c r="Q133" s="53"/>
      <c r="R133" s="53"/>
      <c r="S133" s="53">
        <v>17600</v>
      </c>
      <c r="T133" s="53">
        <v>13200</v>
      </c>
      <c r="U133" s="53"/>
      <c r="V133" s="53"/>
      <c r="W133" s="53">
        <v>150480</v>
      </c>
    </row>
    <row r="134" spans="1:23">
      <c r="A134" s="47">
        <v>132</v>
      </c>
      <c r="B134" s="56">
        <v>4971710584707</v>
      </c>
      <c r="C134" s="57" t="s">
        <v>708</v>
      </c>
      <c r="D134" s="75" t="s">
        <v>880</v>
      </c>
      <c r="E134" s="48" t="s">
        <v>709</v>
      </c>
      <c r="F134" s="50">
        <v>0</v>
      </c>
      <c r="G134" s="52">
        <v>0</v>
      </c>
      <c r="H134" s="50">
        <v>0</v>
      </c>
      <c r="I134" s="50">
        <v>0</v>
      </c>
      <c r="J134" s="50">
        <v>0</v>
      </c>
      <c r="K134" s="53">
        <v>0</v>
      </c>
      <c r="L134" s="59">
        <v>10710</v>
      </c>
      <c r="M134" s="61">
        <v>714</v>
      </c>
      <c r="N134" s="59"/>
      <c r="O134" s="50">
        <v>11424</v>
      </c>
      <c r="P134" s="50"/>
      <c r="Q134" s="53">
        <v>2142</v>
      </c>
      <c r="R134" s="53">
        <v>17850</v>
      </c>
      <c r="S134" s="53">
        <v>12852</v>
      </c>
      <c r="T134" s="53">
        <v>12852</v>
      </c>
      <c r="U134" s="53"/>
      <c r="V134" s="53"/>
      <c r="W134" s="53">
        <v>17850</v>
      </c>
    </row>
    <row r="135" spans="1:23">
      <c r="A135" s="47">
        <v>133</v>
      </c>
      <c r="B135" s="56">
        <v>4971710564761</v>
      </c>
      <c r="C135" s="57" t="s">
        <v>487</v>
      </c>
      <c r="D135" s="75" t="s">
        <v>884</v>
      </c>
      <c r="E135" s="48" t="s">
        <v>488</v>
      </c>
      <c r="F135" s="50">
        <v>6600</v>
      </c>
      <c r="G135" s="52">
        <v>15840</v>
      </c>
      <c r="H135" s="50">
        <v>15840</v>
      </c>
      <c r="I135" s="50">
        <v>0</v>
      </c>
      <c r="J135" s="50">
        <v>0</v>
      </c>
      <c r="K135" s="53">
        <v>24420</v>
      </c>
      <c r="L135" s="59">
        <v>26400</v>
      </c>
      <c r="M135" s="61"/>
      <c r="N135" s="59">
        <v>21120</v>
      </c>
      <c r="O135" s="50">
        <v>5280</v>
      </c>
      <c r="P135" s="50">
        <v>40920</v>
      </c>
      <c r="Q135" s="53">
        <v>3960</v>
      </c>
      <c r="R135" s="53">
        <v>15840</v>
      </c>
      <c r="S135" s="53"/>
      <c r="T135" s="53">
        <v>19800</v>
      </c>
      <c r="U135" s="53"/>
      <c r="V135" s="53"/>
      <c r="W135" s="53">
        <v>23760</v>
      </c>
    </row>
    <row r="136" spans="1:23">
      <c r="A136" s="47">
        <v>134</v>
      </c>
      <c r="B136" s="56">
        <v>4971710577402</v>
      </c>
      <c r="C136" s="57" t="s">
        <v>622</v>
      </c>
      <c r="D136" s="75" t="s">
        <v>884</v>
      </c>
      <c r="E136" s="48" t="s">
        <v>623</v>
      </c>
      <c r="F136" s="50">
        <v>6600</v>
      </c>
      <c r="G136" s="52">
        <v>0</v>
      </c>
      <c r="H136" s="50">
        <v>0</v>
      </c>
      <c r="I136" s="50">
        <v>39600</v>
      </c>
      <c r="J136" s="50">
        <v>0</v>
      </c>
      <c r="K136" s="53">
        <v>0</v>
      </c>
      <c r="L136" s="59">
        <v>16500</v>
      </c>
      <c r="M136" s="61">
        <v>1320</v>
      </c>
      <c r="N136" s="59">
        <v>19800</v>
      </c>
      <c r="O136" s="50">
        <v>36960</v>
      </c>
      <c r="P136" s="50">
        <v>2640</v>
      </c>
      <c r="Q136" s="53"/>
      <c r="R136" s="53">
        <v>3960</v>
      </c>
      <c r="S136" s="53"/>
      <c r="T136" s="53">
        <v>35640</v>
      </c>
      <c r="U136" s="53"/>
      <c r="V136" s="53"/>
      <c r="W136" s="53">
        <v>39600</v>
      </c>
    </row>
    <row r="137" spans="1:23">
      <c r="A137" s="47">
        <v>135</v>
      </c>
      <c r="B137" s="56">
        <v>4971710571813</v>
      </c>
      <c r="C137" s="57" t="s">
        <v>559</v>
      </c>
      <c r="D137" s="75" t="s">
        <v>884</v>
      </c>
      <c r="E137" s="48" t="s">
        <v>560</v>
      </c>
      <c r="F137" s="50">
        <v>0</v>
      </c>
      <c r="G137" s="52">
        <v>15840</v>
      </c>
      <c r="H137" s="50">
        <v>15840</v>
      </c>
      <c r="I137" s="50">
        <v>3960</v>
      </c>
      <c r="J137" s="50">
        <v>0</v>
      </c>
      <c r="K137" s="53">
        <v>6600</v>
      </c>
      <c r="L137" s="59">
        <v>3300</v>
      </c>
      <c r="M137" s="61">
        <v>38280</v>
      </c>
      <c r="N137" s="59"/>
      <c r="O137" s="50">
        <v>10560</v>
      </c>
      <c r="P137" s="50">
        <v>19800</v>
      </c>
      <c r="Q137" s="53">
        <v>2640</v>
      </c>
      <c r="R137" s="53"/>
      <c r="S137" s="53"/>
      <c r="T137" s="53">
        <v>66000</v>
      </c>
      <c r="U137" s="53"/>
      <c r="V137" s="53"/>
      <c r="W137" s="53">
        <v>13200</v>
      </c>
    </row>
    <row r="138" spans="1:23">
      <c r="A138" s="47">
        <v>136</v>
      </c>
      <c r="B138" s="56">
        <v>4971710575996</v>
      </c>
      <c r="C138" s="57" t="s">
        <v>602</v>
      </c>
      <c r="D138" s="75" t="s">
        <v>884</v>
      </c>
      <c r="E138" s="48" t="s">
        <v>603</v>
      </c>
      <c r="F138" s="50">
        <v>6600</v>
      </c>
      <c r="G138" s="52">
        <v>0</v>
      </c>
      <c r="H138" s="50">
        <v>0</v>
      </c>
      <c r="I138" s="50">
        <v>29700</v>
      </c>
      <c r="J138" s="50">
        <v>0</v>
      </c>
      <c r="K138" s="53">
        <v>0</v>
      </c>
      <c r="L138" s="59">
        <v>39600</v>
      </c>
      <c r="M138" s="61"/>
      <c r="N138" s="59">
        <v>4620</v>
      </c>
      <c r="O138" s="50">
        <v>13200</v>
      </c>
      <c r="P138" s="50">
        <v>23760</v>
      </c>
      <c r="Q138" s="53"/>
      <c r="R138" s="53"/>
      <c r="S138" s="53">
        <v>2640</v>
      </c>
      <c r="T138" s="53">
        <v>21780</v>
      </c>
      <c r="U138" s="53"/>
      <c r="V138" s="53"/>
      <c r="W138" s="53">
        <v>46200</v>
      </c>
    </row>
    <row r="139" spans="1:23">
      <c r="A139" s="47">
        <v>137</v>
      </c>
      <c r="B139" s="56">
        <v>4971710490732</v>
      </c>
      <c r="C139" s="57" t="s">
        <v>92</v>
      </c>
      <c r="D139" s="75" t="s">
        <v>884</v>
      </c>
      <c r="E139" s="48" t="s">
        <v>93</v>
      </c>
      <c r="F139" s="50">
        <v>0</v>
      </c>
      <c r="G139" s="52">
        <v>0</v>
      </c>
      <c r="H139" s="50">
        <v>0</v>
      </c>
      <c r="I139" s="50">
        <v>11000</v>
      </c>
      <c r="J139" s="50">
        <v>16500</v>
      </c>
      <c r="K139" s="53">
        <v>0</v>
      </c>
      <c r="L139" s="59">
        <v>11000</v>
      </c>
      <c r="M139" s="61"/>
      <c r="N139" s="59"/>
      <c r="O139" s="50"/>
      <c r="P139" s="50">
        <v>16500</v>
      </c>
      <c r="Q139" s="53"/>
      <c r="R139" s="53">
        <v>33000</v>
      </c>
      <c r="S139" s="53"/>
      <c r="T139" s="53">
        <v>33000</v>
      </c>
      <c r="U139" s="53"/>
      <c r="V139" s="53"/>
      <c r="W139" s="53">
        <v>33000</v>
      </c>
    </row>
    <row r="140" spans="1:23" hidden="1">
      <c r="A140" s="47">
        <v>138</v>
      </c>
      <c r="B140" s="56">
        <v>4971710585285</v>
      </c>
      <c r="C140" s="57" t="s">
        <v>995</v>
      </c>
      <c r="D140" s="75" t="s">
        <v>1085</v>
      </c>
      <c r="E140" s="48" t="s">
        <v>859</v>
      </c>
      <c r="F140" s="50">
        <v>0</v>
      </c>
      <c r="G140" s="52">
        <v>0</v>
      </c>
      <c r="H140" s="50">
        <v>0</v>
      </c>
      <c r="I140" s="50">
        <v>0</v>
      </c>
      <c r="J140" s="50">
        <v>0</v>
      </c>
      <c r="K140" s="53">
        <v>0</v>
      </c>
      <c r="L140" s="59"/>
      <c r="M140" s="61"/>
      <c r="N140" s="59"/>
      <c r="O140" s="50"/>
      <c r="P140" s="50">
        <v>75900</v>
      </c>
      <c r="Q140" s="53"/>
      <c r="R140" s="53"/>
      <c r="S140" s="53"/>
      <c r="T140" s="53"/>
      <c r="U140" s="53"/>
      <c r="V140" s="53"/>
      <c r="W140" s="53"/>
    </row>
    <row r="141" spans="1:23" hidden="1">
      <c r="A141" s="47">
        <v>139</v>
      </c>
      <c r="B141" s="56">
        <v>4971710585292</v>
      </c>
      <c r="C141" s="57" t="s">
        <v>996</v>
      </c>
      <c r="D141" s="75" t="s">
        <v>1085</v>
      </c>
      <c r="E141" s="48" t="s">
        <v>862</v>
      </c>
      <c r="F141" s="50">
        <v>0</v>
      </c>
      <c r="G141" s="52">
        <v>0</v>
      </c>
      <c r="H141" s="50">
        <v>0</v>
      </c>
      <c r="I141" s="50">
        <v>0</v>
      </c>
      <c r="J141" s="50">
        <v>0</v>
      </c>
      <c r="K141" s="53">
        <v>0</v>
      </c>
      <c r="L141" s="59"/>
      <c r="M141" s="61"/>
      <c r="N141" s="59"/>
      <c r="O141" s="50"/>
      <c r="P141" s="50">
        <v>63250</v>
      </c>
      <c r="Q141" s="53"/>
      <c r="R141" s="53"/>
      <c r="S141" s="53"/>
      <c r="T141" s="53"/>
      <c r="U141" s="53"/>
      <c r="V141" s="53"/>
      <c r="W141" s="53"/>
    </row>
    <row r="142" spans="1:23" hidden="1">
      <c r="A142" s="47">
        <v>140</v>
      </c>
      <c r="B142" s="56">
        <v>4971710522426</v>
      </c>
      <c r="C142" s="57" t="s">
        <v>384</v>
      </c>
      <c r="D142" s="75" t="s">
        <v>880</v>
      </c>
      <c r="E142" s="48" t="s">
        <v>385</v>
      </c>
      <c r="F142" s="50">
        <v>5940</v>
      </c>
      <c r="G142" s="52">
        <v>0</v>
      </c>
      <c r="H142" s="50">
        <v>0</v>
      </c>
      <c r="I142" s="50">
        <v>0</v>
      </c>
      <c r="J142" s="50">
        <v>330</v>
      </c>
      <c r="K142" s="53">
        <v>0</v>
      </c>
      <c r="L142" s="59">
        <v>9900</v>
      </c>
      <c r="M142" s="61">
        <v>660</v>
      </c>
      <c r="N142" s="59">
        <v>2970</v>
      </c>
      <c r="O142" s="50">
        <v>1980</v>
      </c>
      <c r="P142" s="50">
        <v>9900</v>
      </c>
      <c r="Q142" s="53">
        <v>17160</v>
      </c>
      <c r="R142" s="53">
        <v>21780</v>
      </c>
      <c r="S142" s="53"/>
      <c r="T142" s="53">
        <v>11220</v>
      </c>
      <c r="U142" s="53"/>
      <c r="V142" s="53"/>
      <c r="W142" s="53"/>
    </row>
    <row r="143" spans="1:23">
      <c r="A143" s="47">
        <v>141</v>
      </c>
      <c r="B143" s="56">
        <v>4971710566130</v>
      </c>
      <c r="C143" s="57" t="s">
        <v>515</v>
      </c>
      <c r="D143" s="75" t="s">
        <v>880</v>
      </c>
      <c r="E143" s="48" t="s">
        <v>516</v>
      </c>
      <c r="F143" s="50">
        <v>0</v>
      </c>
      <c r="G143" s="52">
        <v>0</v>
      </c>
      <c r="H143" s="50">
        <v>8250</v>
      </c>
      <c r="I143" s="50">
        <v>0</v>
      </c>
      <c r="J143" s="50">
        <v>16500</v>
      </c>
      <c r="K143" s="53">
        <v>0</v>
      </c>
      <c r="L143" s="59">
        <v>56100</v>
      </c>
      <c r="M143" s="61">
        <v>3300</v>
      </c>
      <c r="N143" s="59"/>
      <c r="O143" s="50">
        <v>3300</v>
      </c>
      <c r="P143" s="50">
        <v>27500</v>
      </c>
      <c r="Q143" s="53">
        <v>2200</v>
      </c>
      <c r="R143" s="53">
        <v>3300</v>
      </c>
      <c r="S143" s="53"/>
      <c r="T143" s="53">
        <v>27500</v>
      </c>
      <c r="U143" s="53"/>
      <c r="V143" s="53"/>
      <c r="W143" s="53">
        <v>2200</v>
      </c>
    </row>
    <row r="144" spans="1:23">
      <c r="A144" s="47">
        <v>142</v>
      </c>
      <c r="B144" s="56">
        <v>4971710598520</v>
      </c>
      <c r="C144" s="57" t="s">
        <v>822</v>
      </c>
      <c r="D144" s="75" t="s">
        <v>884</v>
      </c>
      <c r="E144" s="48" t="s">
        <v>830</v>
      </c>
      <c r="F144" s="50">
        <v>0</v>
      </c>
      <c r="G144" s="52">
        <v>0</v>
      </c>
      <c r="H144" s="50">
        <v>0</v>
      </c>
      <c r="I144" s="50">
        <v>0</v>
      </c>
      <c r="J144" s="50">
        <v>0</v>
      </c>
      <c r="K144" s="53">
        <v>0</v>
      </c>
      <c r="L144" s="59"/>
      <c r="M144" s="61"/>
      <c r="N144" s="59"/>
      <c r="O144" s="50"/>
      <c r="P144" s="50"/>
      <c r="Q144" s="53">
        <v>38940</v>
      </c>
      <c r="R144" s="53">
        <v>1320</v>
      </c>
      <c r="S144" s="53">
        <v>1320</v>
      </c>
      <c r="T144" s="53">
        <v>30360</v>
      </c>
      <c r="U144" s="53"/>
      <c r="V144" s="53"/>
      <c r="W144" s="53">
        <v>75240</v>
      </c>
    </row>
    <row r="145" spans="1:23">
      <c r="A145" s="47">
        <v>143</v>
      </c>
      <c r="B145" s="56">
        <v>4971710583991</v>
      </c>
      <c r="C145" s="57" t="s">
        <v>696</v>
      </c>
      <c r="D145" s="75" t="s">
        <v>884</v>
      </c>
      <c r="E145" s="48" t="s">
        <v>697</v>
      </c>
      <c r="F145" s="50">
        <v>0</v>
      </c>
      <c r="G145" s="52">
        <v>35750</v>
      </c>
      <c r="H145" s="50">
        <v>0</v>
      </c>
      <c r="I145" s="50">
        <v>7150</v>
      </c>
      <c r="J145" s="50">
        <v>3575</v>
      </c>
      <c r="K145" s="53">
        <v>0</v>
      </c>
      <c r="L145" s="59">
        <v>42900</v>
      </c>
      <c r="M145" s="61">
        <v>7150</v>
      </c>
      <c r="N145" s="59">
        <v>15730</v>
      </c>
      <c r="O145" s="50">
        <v>9295</v>
      </c>
      <c r="P145" s="50">
        <v>74360</v>
      </c>
      <c r="Q145" s="53">
        <v>3575</v>
      </c>
      <c r="R145" s="53">
        <v>2145</v>
      </c>
      <c r="S145" s="53"/>
      <c r="T145" s="53">
        <v>3575</v>
      </c>
      <c r="U145" s="53"/>
      <c r="V145" s="53"/>
      <c r="W145" s="53">
        <v>715</v>
      </c>
    </row>
    <row r="146" spans="1:23" hidden="1">
      <c r="A146" s="47">
        <v>144</v>
      </c>
      <c r="B146" s="56">
        <v>4971710484236</v>
      </c>
      <c r="C146" s="57" t="s">
        <v>32</v>
      </c>
      <c r="D146" s="75" t="s">
        <v>884</v>
      </c>
      <c r="E146" s="48" t="s">
        <v>33</v>
      </c>
      <c r="F146" s="50">
        <v>0</v>
      </c>
      <c r="G146" s="52">
        <v>0</v>
      </c>
      <c r="H146" s="50">
        <v>0</v>
      </c>
      <c r="I146" s="50">
        <v>0</v>
      </c>
      <c r="J146" s="50">
        <v>0</v>
      </c>
      <c r="K146" s="53">
        <v>0</v>
      </c>
      <c r="L146" s="59">
        <v>26400</v>
      </c>
      <c r="M146" s="61"/>
      <c r="N146" s="59">
        <v>4400</v>
      </c>
      <c r="O146" s="50">
        <v>13200</v>
      </c>
      <c r="P146" s="50">
        <v>13200</v>
      </c>
      <c r="Q146" s="53">
        <v>17600</v>
      </c>
      <c r="R146" s="53"/>
      <c r="S146" s="53"/>
      <c r="T146" s="53">
        <v>22000</v>
      </c>
      <c r="U146" s="53"/>
      <c r="V146" s="53"/>
      <c r="W146" s="53"/>
    </row>
    <row r="147" spans="1:23" hidden="1">
      <c r="A147" s="47">
        <v>145</v>
      </c>
      <c r="B147" s="56">
        <v>4971710592979</v>
      </c>
      <c r="C147" s="57" t="s">
        <v>742</v>
      </c>
      <c r="D147" s="75" t="s">
        <v>884</v>
      </c>
      <c r="E147" s="48" t="s">
        <v>743</v>
      </c>
      <c r="F147" s="50">
        <v>0</v>
      </c>
      <c r="G147" s="52">
        <v>0</v>
      </c>
      <c r="H147" s="50">
        <v>0</v>
      </c>
      <c r="I147" s="50">
        <v>0</v>
      </c>
      <c r="J147" s="50">
        <v>0</v>
      </c>
      <c r="K147" s="53">
        <v>0</v>
      </c>
      <c r="L147" s="59">
        <v>39325</v>
      </c>
      <c r="M147" s="61">
        <v>65340</v>
      </c>
      <c r="N147" s="59">
        <v>3025</v>
      </c>
      <c r="O147" s="50">
        <v>21780</v>
      </c>
      <c r="P147" s="50"/>
      <c r="Q147" s="53">
        <v>1210</v>
      </c>
      <c r="R147" s="53"/>
      <c r="S147" s="53"/>
      <c r="T147" s="53">
        <v>1210</v>
      </c>
      <c r="U147" s="53"/>
      <c r="V147" s="53"/>
      <c r="W147" s="53"/>
    </row>
    <row r="148" spans="1:23" hidden="1">
      <c r="A148" s="47">
        <v>146</v>
      </c>
      <c r="B148" s="56">
        <v>4971710524277</v>
      </c>
      <c r="C148" s="57" t="s">
        <v>400</v>
      </c>
      <c r="D148" s="75" t="s">
        <v>884</v>
      </c>
      <c r="E148" s="48" t="s">
        <v>401</v>
      </c>
      <c r="F148" s="50">
        <v>0</v>
      </c>
      <c r="G148" s="52">
        <v>0</v>
      </c>
      <c r="H148" s="50">
        <v>8250</v>
      </c>
      <c r="I148" s="50">
        <v>16500</v>
      </c>
      <c r="J148" s="50">
        <v>33000</v>
      </c>
      <c r="K148" s="53">
        <v>0</v>
      </c>
      <c r="L148" s="59">
        <v>108900</v>
      </c>
      <c r="M148" s="61">
        <v>1650</v>
      </c>
      <c r="N148" s="59"/>
      <c r="O148" s="50"/>
      <c r="P148" s="50">
        <v>8250</v>
      </c>
      <c r="Q148" s="53"/>
      <c r="R148" s="53"/>
      <c r="S148" s="53">
        <v>16500</v>
      </c>
      <c r="T148" s="53">
        <v>42900</v>
      </c>
      <c r="U148" s="53"/>
      <c r="V148" s="53"/>
      <c r="W148" s="53"/>
    </row>
    <row r="149" spans="1:23">
      <c r="A149" s="47">
        <v>147</v>
      </c>
      <c r="B149" s="56">
        <v>4971710578577</v>
      </c>
      <c r="C149" s="57" t="s">
        <v>630</v>
      </c>
      <c r="D149" s="75" t="s">
        <v>880</v>
      </c>
      <c r="E149" s="48" t="s">
        <v>631</v>
      </c>
      <c r="F149" s="50">
        <v>0</v>
      </c>
      <c r="G149" s="52">
        <v>0</v>
      </c>
      <c r="H149" s="50">
        <v>11000</v>
      </c>
      <c r="I149" s="50">
        <v>0</v>
      </c>
      <c r="J149" s="50">
        <v>13200</v>
      </c>
      <c r="K149" s="53">
        <v>0</v>
      </c>
      <c r="L149" s="59">
        <v>11550</v>
      </c>
      <c r="M149" s="61">
        <v>1100</v>
      </c>
      <c r="N149" s="59">
        <v>16500</v>
      </c>
      <c r="O149" s="50">
        <v>2200</v>
      </c>
      <c r="P149" s="50">
        <v>16500</v>
      </c>
      <c r="Q149" s="53"/>
      <c r="R149" s="53"/>
      <c r="S149" s="53">
        <v>2200</v>
      </c>
      <c r="T149" s="53">
        <v>35200</v>
      </c>
      <c r="U149" s="53"/>
      <c r="V149" s="53"/>
      <c r="W149" s="53">
        <v>33000</v>
      </c>
    </row>
    <row r="150" spans="1:23">
      <c r="A150" s="47">
        <v>148</v>
      </c>
      <c r="B150" s="56">
        <v>4971710564914</v>
      </c>
      <c r="C150" s="57" t="s">
        <v>501</v>
      </c>
      <c r="D150" s="75" t="s">
        <v>880</v>
      </c>
      <c r="E150" s="48" t="s">
        <v>502</v>
      </c>
      <c r="F150" s="50">
        <v>0</v>
      </c>
      <c r="G150" s="52">
        <v>2750</v>
      </c>
      <c r="H150" s="50">
        <v>5500</v>
      </c>
      <c r="I150" s="50">
        <v>0</v>
      </c>
      <c r="J150" s="50">
        <v>16500</v>
      </c>
      <c r="K150" s="53">
        <v>0</v>
      </c>
      <c r="L150" s="59"/>
      <c r="M150" s="61"/>
      <c r="N150" s="59">
        <v>16500</v>
      </c>
      <c r="O150" s="50"/>
      <c r="P150" s="50">
        <v>28050</v>
      </c>
      <c r="Q150" s="53"/>
      <c r="R150" s="53">
        <v>23100</v>
      </c>
      <c r="S150" s="53">
        <v>16500</v>
      </c>
      <c r="T150" s="53">
        <v>6600</v>
      </c>
      <c r="U150" s="53"/>
      <c r="V150" s="53"/>
      <c r="W150" s="53">
        <v>27500</v>
      </c>
    </row>
    <row r="151" spans="1:23">
      <c r="A151" s="47">
        <v>149</v>
      </c>
      <c r="B151" s="56">
        <v>4971710595482</v>
      </c>
      <c r="C151" s="57" t="s">
        <v>785</v>
      </c>
      <c r="D151" s="75" t="s">
        <v>884</v>
      </c>
      <c r="E151" s="48" t="s">
        <v>998</v>
      </c>
      <c r="F151" s="50">
        <v>0</v>
      </c>
      <c r="G151" s="52">
        <v>0</v>
      </c>
      <c r="H151" s="50">
        <v>0</v>
      </c>
      <c r="I151" s="50">
        <v>0</v>
      </c>
      <c r="J151" s="50">
        <v>0</v>
      </c>
      <c r="K151" s="53">
        <v>0</v>
      </c>
      <c r="L151" s="59"/>
      <c r="M151" s="61"/>
      <c r="N151" s="59"/>
      <c r="O151" s="50">
        <v>165000</v>
      </c>
      <c r="P151" s="50"/>
      <c r="Q151" s="53"/>
      <c r="R151" s="53"/>
      <c r="S151" s="53"/>
      <c r="T151" s="53"/>
      <c r="U151" s="53"/>
      <c r="V151" s="53"/>
      <c r="W151" s="53">
        <v>9075</v>
      </c>
    </row>
    <row r="152" spans="1:23">
      <c r="A152" s="47">
        <v>150</v>
      </c>
      <c r="B152" s="56">
        <v>4971710489200</v>
      </c>
      <c r="C152" s="57" t="s">
        <v>90</v>
      </c>
      <c r="D152" s="75" t="s">
        <v>884</v>
      </c>
      <c r="E152" s="48" t="s">
        <v>91</v>
      </c>
      <c r="F152" s="50">
        <v>0</v>
      </c>
      <c r="G152" s="52">
        <v>0</v>
      </c>
      <c r="H152" s="50">
        <v>0</v>
      </c>
      <c r="I152" s="50">
        <v>27500</v>
      </c>
      <c r="J152" s="50">
        <v>110000</v>
      </c>
      <c r="K152" s="53">
        <v>0</v>
      </c>
      <c r="L152" s="59">
        <v>11000</v>
      </c>
      <c r="M152" s="61"/>
      <c r="N152" s="59">
        <v>5500</v>
      </c>
      <c r="O152" s="50">
        <v>5500</v>
      </c>
      <c r="P152" s="50"/>
      <c r="Q152" s="53">
        <v>11000</v>
      </c>
      <c r="R152" s="53"/>
      <c r="S152" s="53"/>
      <c r="T152" s="53">
        <v>71500</v>
      </c>
      <c r="U152" s="53"/>
      <c r="V152" s="53"/>
      <c r="W152" s="53">
        <v>11000</v>
      </c>
    </row>
    <row r="153" spans="1:23">
      <c r="A153" s="47">
        <v>151</v>
      </c>
      <c r="B153" s="56">
        <v>4971710584073</v>
      </c>
      <c r="C153" s="57" t="s">
        <v>704</v>
      </c>
      <c r="D153" s="75" t="s">
        <v>884</v>
      </c>
      <c r="E153" s="48" t="s">
        <v>705</v>
      </c>
      <c r="F153" s="50">
        <v>0</v>
      </c>
      <c r="G153" s="52">
        <v>35750</v>
      </c>
      <c r="H153" s="50">
        <v>0</v>
      </c>
      <c r="I153" s="50">
        <v>7150</v>
      </c>
      <c r="J153" s="50">
        <v>0</v>
      </c>
      <c r="K153" s="53">
        <v>0</v>
      </c>
      <c r="L153" s="59">
        <v>64350</v>
      </c>
      <c r="M153" s="61">
        <v>4290</v>
      </c>
      <c r="N153" s="59">
        <v>10010</v>
      </c>
      <c r="O153" s="50"/>
      <c r="P153" s="50">
        <v>1430</v>
      </c>
      <c r="Q153" s="53">
        <v>25025</v>
      </c>
      <c r="R153" s="53"/>
      <c r="S153" s="53"/>
      <c r="T153" s="53"/>
      <c r="U153" s="53"/>
      <c r="V153" s="53"/>
      <c r="W153" s="53">
        <v>42900</v>
      </c>
    </row>
    <row r="154" spans="1:23">
      <c r="A154" s="47">
        <v>152</v>
      </c>
      <c r="B154" s="56">
        <v>4971710516692</v>
      </c>
      <c r="C154" s="57" t="s">
        <v>320</v>
      </c>
      <c r="D154" s="75" t="s">
        <v>880</v>
      </c>
      <c r="E154" s="48" t="s">
        <v>321</v>
      </c>
      <c r="F154" s="50">
        <v>0</v>
      </c>
      <c r="G154" s="52">
        <v>0</v>
      </c>
      <c r="H154" s="50">
        <v>0</v>
      </c>
      <c r="I154" s="50">
        <v>0</v>
      </c>
      <c r="J154" s="50">
        <v>11000</v>
      </c>
      <c r="K154" s="53">
        <v>0</v>
      </c>
      <c r="L154" s="59"/>
      <c r="M154" s="61">
        <v>27500</v>
      </c>
      <c r="N154" s="59"/>
      <c r="O154" s="50">
        <v>3300</v>
      </c>
      <c r="P154" s="50">
        <v>16500</v>
      </c>
      <c r="Q154" s="53"/>
      <c r="R154" s="53"/>
      <c r="S154" s="53">
        <v>16500</v>
      </c>
      <c r="T154" s="53"/>
      <c r="U154" s="53"/>
      <c r="V154" s="53"/>
      <c r="W154" s="53">
        <v>49500</v>
      </c>
    </row>
    <row r="155" spans="1:23" hidden="1">
      <c r="A155" s="47">
        <v>153</v>
      </c>
      <c r="B155" s="56">
        <v>4971710515800</v>
      </c>
      <c r="C155" s="57" t="s">
        <v>314</v>
      </c>
      <c r="D155" s="75" t="s">
        <v>884</v>
      </c>
      <c r="E155" s="48" t="s">
        <v>315</v>
      </c>
      <c r="F155" s="50">
        <v>0</v>
      </c>
      <c r="G155" s="52">
        <v>0</v>
      </c>
      <c r="H155" s="50">
        <v>7830</v>
      </c>
      <c r="I155" s="50">
        <v>15660</v>
      </c>
      <c r="J155" s="50">
        <v>0</v>
      </c>
      <c r="K155" s="53">
        <v>0</v>
      </c>
      <c r="L155" s="59"/>
      <c r="M155" s="61">
        <v>3132</v>
      </c>
      <c r="N155" s="59">
        <v>5220</v>
      </c>
      <c r="O155" s="50">
        <v>18792</v>
      </c>
      <c r="P155" s="50"/>
      <c r="Q155" s="53">
        <v>32364</v>
      </c>
      <c r="R155" s="53">
        <v>17748</v>
      </c>
      <c r="S155" s="53">
        <v>26100</v>
      </c>
      <c r="T155" s="53">
        <v>3132</v>
      </c>
      <c r="U155" s="53"/>
      <c r="V155" s="53"/>
      <c r="W155" s="53"/>
    </row>
    <row r="156" spans="1:23">
      <c r="A156" s="47">
        <v>154</v>
      </c>
      <c r="B156" s="56">
        <v>4971710561241</v>
      </c>
      <c r="C156" s="57" t="s">
        <v>469</v>
      </c>
      <c r="D156" s="75" t="s">
        <v>884</v>
      </c>
      <c r="E156" s="48" t="s">
        <v>470</v>
      </c>
      <c r="F156" s="50">
        <v>0</v>
      </c>
      <c r="G156" s="52">
        <v>0</v>
      </c>
      <c r="H156" s="50">
        <v>0</v>
      </c>
      <c r="I156" s="50">
        <v>42350</v>
      </c>
      <c r="J156" s="50">
        <v>231000</v>
      </c>
      <c r="K156" s="53">
        <v>3850</v>
      </c>
      <c r="L156" s="59">
        <v>9240</v>
      </c>
      <c r="M156" s="61">
        <v>7700</v>
      </c>
      <c r="N156" s="59">
        <v>1540</v>
      </c>
      <c r="O156" s="50">
        <v>20020</v>
      </c>
      <c r="P156" s="50">
        <v>1540</v>
      </c>
      <c r="Q156" s="53">
        <v>7700</v>
      </c>
      <c r="R156" s="53">
        <v>24640</v>
      </c>
      <c r="S156" s="53">
        <v>15400</v>
      </c>
      <c r="T156" s="53">
        <v>3080</v>
      </c>
      <c r="U156" s="53"/>
      <c r="V156" s="53"/>
      <c r="W156" s="53">
        <v>62370</v>
      </c>
    </row>
    <row r="157" spans="1:23">
      <c r="A157" s="47">
        <v>155</v>
      </c>
      <c r="B157" s="56">
        <v>4971710564778</v>
      </c>
      <c r="C157" s="57" t="s">
        <v>489</v>
      </c>
      <c r="D157" s="75" t="s">
        <v>884</v>
      </c>
      <c r="E157" s="48" t="s">
        <v>490</v>
      </c>
      <c r="F157" s="50">
        <v>6600</v>
      </c>
      <c r="G157" s="52">
        <v>19140</v>
      </c>
      <c r="H157" s="50">
        <v>15840</v>
      </c>
      <c r="I157" s="50">
        <v>0</v>
      </c>
      <c r="J157" s="50">
        <v>0</v>
      </c>
      <c r="K157" s="53">
        <v>0</v>
      </c>
      <c r="L157" s="59">
        <v>59400</v>
      </c>
      <c r="M157" s="61"/>
      <c r="N157" s="59">
        <v>1320</v>
      </c>
      <c r="O157" s="50">
        <v>9240</v>
      </c>
      <c r="P157" s="50">
        <v>1320</v>
      </c>
      <c r="Q157" s="53"/>
      <c r="R157" s="53">
        <v>34320</v>
      </c>
      <c r="S157" s="53">
        <v>2640</v>
      </c>
      <c r="T157" s="53">
        <v>2640</v>
      </c>
      <c r="U157" s="53"/>
      <c r="V157" s="53"/>
      <c r="W157" s="53">
        <v>19800</v>
      </c>
    </row>
    <row r="158" spans="1:23" hidden="1">
      <c r="A158" s="47">
        <v>156</v>
      </c>
      <c r="B158" s="56">
        <v>4971710512274</v>
      </c>
      <c r="C158" s="57" t="s">
        <v>250</v>
      </c>
      <c r="D158" s="75" t="s">
        <v>884</v>
      </c>
      <c r="E158" s="48" t="s">
        <v>251</v>
      </c>
      <c r="F158" s="50">
        <v>0</v>
      </c>
      <c r="G158" s="52">
        <v>0</v>
      </c>
      <c r="H158" s="50">
        <v>13200</v>
      </c>
      <c r="I158" s="50">
        <v>39600</v>
      </c>
      <c r="J158" s="50">
        <v>0</v>
      </c>
      <c r="K158" s="53">
        <v>0</v>
      </c>
      <c r="L158" s="59">
        <v>13200</v>
      </c>
      <c r="M158" s="61"/>
      <c r="N158" s="59">
        <v>4400</v>
      </c>
      <c r="O158" s="50">
        <v>11440</v>
      </c>
      <c r="P158" s="50"/>
      <c r="Q158" s="53">
        <v>22000</v>
      </c>
      <c r="R158" s="53">
        <v>22000</v>
      </c>
      <c r="S158" s="53">
        <v>13200</v>
      </c>
      <c r="T158" s="53"/>
      <c r="U158" s="53"/>
      <c r="V158" s="53"/>
      <c r="W158" s="53"/>
    </row>
    <row r="159" spans="1:23">
      <c r="A159" s="47">
        <v>157</v>
      </c>
      <c r="B159" s="56">
        <v>4971710565102</v>
      </c>
      <c r="C159" s="57" t="s">
        <v>511</v>
      </c>
      <c r="D159" s="75" t="s">
        <v>880</v>
      </c>
      <c r="E159" s="48" t="s">
        <v>512</v>
      </c>
      <c r="F159" s="50">
        <v>0</v>
      </c>
      <c r="G159" s="52">
        <v>0</v>
      </c>
      <c r="H159" s="50">
        <v>6600</v>
      </c>
      <c r="I159" s="50">
        <v>29700</v>
      </c>
      <c r="J159" s="50">
        <v>19800</v>
      </c>
      <c r="K159" s="53">
        <v>3300</v>
      </c>
      <c r="L159" s="59">
        <v>7920</v>
      </c>
      <c r="M159" s="61"/>
      <c r="N159" s="59">
        <v>1320</v>
      </c>
      <c r="O159" s="50">
        <v>21120</v>
      </c>
      <c r="P159" s="50"/>
      <c r="Q159" s="53"/>
      <c r="R159" s="53">
        <v>55440</v>
      </c>
      <c r="S159" s="53">
        <v>19800</v>
      </c>
      <c r="T159" s="53">
        <v>1320</v>
      </c>
      <c r="U159" s="53"/>
      <c r="V159" s="53"/>
      <c r="W159" s="53">
        <v>19800</v>
      </c>
    </row>
    <row r="160" spans="1:23">
      <c r="A160" s="47">
        <v>158</v>
      </c>
      <c r="B160" s="56">
        <v>4971710507607</v>
      </c>
      <c r="C160" s="57" t="s">
        <v>182</v>
      </c>
      <c r="D160" s="75" t="s">
        <v>884</v>
      </c>
      <c r="E160" s="48" t="s">
        <v>183</v>
      </c>
      <c r="F160" s="50">
        <v>0</v>
      </c>
      <c r="G160" s="52">
        <v>0</v>
      </c>
      <c r="H160" s="50">
        <v>0</v>
      </c>
      <c r="I160" s="50">
        <v>0</v>
      </c>
      <c r="J160" s="50">
        <v>0</v>
      </c>
      <c r="K160" s="53">
        <v>3300</v>
      </c>
      <c r="L160" s="59"/>
      <c r="M160" s="61">
        <v>5280</v>
      </c>
      <c r="N160" s="59"/>
      <c r="O160" s="50">
        <v>11880</v>
      </c>
      <c r="P160" s="50"/>
      <c r="Q160" s="53"/>
      <c r="R160" s="53">
        <v>7920</v>
      </c>
      <c r="S160" s="53">
        <v>6600</v>
      </c>
      <c r="T160" s="53">
        <v>85800</v>
      </c>
      <c r="U160" s="53"/>
      <c r="V160" s="53"/>
      <c r="W160" s="53">
        <v>9240</v>
      </c>
    </row>
    <row r="161" spans="1:23">
      <c r="A161" s="47">
        <v>159</v>
      </c>
      <c r="B161" s="56">
        <v>4971710485721</v>
      </c>
      <c r="C161" s="57" t="s">
        <v>42</v>
      </c>
      <c r="D161" s="75" t="s">
        <v>884</v>
      </c>
      <c r="E161" s="48" t="s">
        <v>43</v>
      </c>
      <c r="F161" s="50">
        <v>0</v>
      </c>
      <c r="G161" s="52">
        <v>0</v>
      </c>
      <c r="H161" s="50">
        <v>11000</v>
      </c>
      <c r="I161" s="50">
        <v>0</v>
      </c>
      <c r="J161" s="50">
        <v>0</v>
      </c>
      <c r="K161" s="53">
        <v>11000</v>
      </c>
      <c r="L161" s="59">
        <v>22000</v>
      </c>
      <c r="M161" s="61"/>
      <c r="N161" s="59"/>
      <c r="O161" s="50">
        <v>11000</v>
      </c>
      <c r="P161" s="50">
        <v>27500</v>
      </c>
      <c r="Q161" s="53"/>
      <c r="R161" s="53"/>
      <c r="S161" s="53"/>
      <c r="T161" s="53">
        <v>16500</v>
      </c>
      <c r="U161" s="53"/>
      <c r="V161" s="53"/>
      <c r="W161" s="53">
        <v>27500</v>
      </c>
    </row>
    <row r="162" spans="1:23" hidden="1">
      <c r="A162" s="47">
        <v>160</v>
      </c>
      <c r="B162" s="56">
        <v>4971710489156</v>
      </c>
      <c r="C162" s="57" t="s">
        <v>84</v>
      </c>
      <c r="D162" s="75" t="s">
        <v>884</v>
      </c>
      <c r="E162" s="48" t="s">
        <v>85</v>
      </c>
      <c r="F162" s="50">
        <v>0</v>
      </c>
      <c r="G162" s="52">
        <v>0</v>
      </c>
      <c r="H162" s="50">
        <v>0</v>
      </c>
      <c r="I162" s="50">
        <v>0</v>
      </c>
      <c r="J162" s="50">
        <v>0</v>
      </c>
      <c r="K162" s="53">
        <v>11000</v>
      </c>
      <c r="L162" s="59">
        <v>38500</v>
      </c>
      <c r="M162" s="61"/>
      <c r="N162" s="59"/>
      <c r="O162" s="50">
        <v>11000</v>
      </c>
      <c r="P162" s="50">
        <v>16500</v>
      </c>
      <c r="Q162" s="53"/>
      <c r="R162" s="53">
        <v>11000</v>
      </c>
      <c r="S162" s="53">
        <v>11000</v>
      </c>
      <c r="T162" s="53">
        <v>16500</v>
      </c>
      <c r="U162" s="53"/>
      <c r="V162" s="53"/>
      <c r="W162" s="53"/>
    </row>
    <row r="163" spans="1:23" hidden="1">
      <c r="A163" s="47">
        <v>161</v>
      </c>
      <c r="B163" s="56">
        <v>4971710515787</v>
      </c>
      <c r="C163" s="57" t="s">
        <v>310</v>
      </c>
      <c r="D163" s="75" t="s">
        <v>884</v>
      </c>
      <c r="E163" s="48" t="s">
        <v>311</v>
      </c>
      <c r="F163" s="50">
        <v>0</v>
      </c>
      <c r="G163" s="52">
        <v>0</v>
      </c>
      <c r="H163" s="50">
        <v>2610</v>
      </c>
      <c r="I163" s="50">
        <v>15660</v>
      </c>
      <c r="J163" s="50">
        <v>0</v>
      </c>
      <c r="K163" s="53">
        <v>0</v>
      </c>
      <c r="L163" s="59"/>
      <c r="M163" s="61">
        <v>3132</v>
      </c>
      <c r="N163" s="59"/>
      <c r="O163" s="50">
        <v>18792</v>
      </c>
      <c r="P163" s="50"/>
      <c r="Q163" s="53">
        <v>29232</v>
      </c>
      <c r="R163" s="53">
        <v>18792</v>
      </c>
      <c r="S163" s="53">
        <v>26100</v>
      </c>
      <c r="T163" s="53">
        <v>3132</v>
      </c>
      <c r="U163" s="53"/>
      <c r="V163" s="53"/>
      <c r="W163" s="53"/>
    </row>
    <row r="164" spans="1:23">
      <c r="A164" s="47">
        <v>162</v>
      </c>
      <c r="B164" s="56">
        <v>4971710513677</v>
      </c>
      <c r="C164" s="57" t="s">
        <v>270</v>
      </c>
      <c r="D164" s="75" t="s">
        <v>880</v>
      </c>
      <c r="E164" s="48" t="s">
        <v>271</v>
      </c>
      <c r="F164" s="50">
        <v>0</v>
      </c>
      <c r="G164" s="52">
        <v>0</v>
      </c>
      <c r="H164" s="50">
        <v>0</v>
      </c>
      <c r="I164" s="50">
        <v>27500</v>
      </c>
      <c r="J164" s="50">
        <v>16500</v>
      </c>
      <c r="K164" s="53">
        <v>0</v>
      </c>
      <c r="L164" s="59"/>
      <c r="M164" s="61">
        <v>11000</v>
      </c>
      <c r="N164" s="59"/>
      <c r="O164" s="50">
        <v>14300</v>
      </c>
      <c r="P164" s="50"/>
      <c r="Q164" s="53"/>
      <c r="R164" s="53">
        <v>27500</v>
      </c>
      <c r="S164" s="53">
        <v>16500</v>
      </c>
      <c r="T164" s="53">
        <v>5500</v>
      </c>
      <c r="U164" s="53"/>
      <c r="V164" s="53"/>
      <c r="W164" s="53">
        <v>27500</v>
      </c>
    </row>
    <row r="165" spans="1:23">
      <c r="A165" s="47">
        <v>163</v>
      </c>
      <c r="B165" s="56">
        <v>4971710565072</v>
      </c>
      <c r="C165" s="57" t="s">
        <v>505</v>
      </c>
      <c r="D165" s="75" t="s">
        <v>880</v>
      </c>
      <c r="E165" s="48" t="s">
        <v>506</v>
      </c>
      <c r="F165" s="50">
        <v>0</v>
      </c>
      <c r="G165" s="52">
        <v>0</v>
      </c>
      <c r="H165" s="50">
        <v>6600</v>
      </c>
      <c r="I165" s="50">
        <v>26400</v>
      </c>
      <c r="J165" s="50">
        <v>23760</v>
      </c>
      <c r="K165" s="53">
        <v>0</v>
      </c>
      <c r="L165" s="59">
        <v>7920</v>
      </c>
      <c r="M165" s="61">
        <v>11880</v>
      </c>
      <c r="N165" s="59"/>
      <c r="O165" s="50">
        <v>27720</v>
      </c>
      <c r="P165" s="50"/>
      <c r="Q165" s="53"/>
      <c r="R165" s="53">
        <v>31680</v>
      </c>
      <c r="S165" s="53">
        <v>19800</v>
      </c>
      <c r="T165" s="53"/>
      <c r="U165" s="53"/>
      <c r="V165" s="53"/>
      <c r="W165" s="53">
        <v>23760</v>
      </c>
    </row>
    <row r="166" spans="1:23" hidden="1">
      <c r="A166" s="47">
        <v>164</v>
      </c>
      <c r="B166" s="56">
        <v>4971710295634</v>
      </c>
      <c r="C166" s="57" t="s">
        <v>12</v>
      </c>
      <c r="D166" s="75" t="s">
        <v>882</v>
      </c>
      <c r="E166" s="48" t="s">
        <v>13</v>
      </c>
      <c r="F166" s="50">
        <v>31900</v>
      </c>
      <c r="G166" s="52">
        <v>0</v>
      </c>
      <c r="H166" s="50">
        <v>0</v>
      </c>
      <c r="I166" s="50">
        <v>0</v>
      </c>
      <c r="J166" s="50">
        <v>0</v>
      </c>
      <c r="K166" s="53">
        <v>76560</v>
      </c>
      <c r="L166" s="59">
        <v>267960</v>
      </c>
      <c r="M166" s="61">
        <v>102080</v>
      </c>
      <c r="N166" s="59"/>
      <c r="O166" s="50"/>
      <c r="P166" s="50">
        <v>216920</v>
      </c>
      <c r="Q166" s="53">
        <v>6380</v>
      </c>
      <c r="R166" s="53"/>
      <c r="S166" s="53"/>
      <c r="T166" s="53"/>
      <c r="U166" s="53"/>
      <c r="V166" s="53"/>
      <c r="W166" s="53"/>
    </row>
    <row r="167" spans="1:23" hidden="1">
      <c r="A167" s="47">
        <v>165</v>
      </c>
      <c r="B167" s="56">
        <v>4971710584042</v>
      </c>
      <c r="C167" s="57" t="s">
        <v>698</v>
      </c>
      <c r="D167" s="75" t="s">
        <v>884</v>
      </c>
      <c r="E167" s="48" t="s">
        <v>699</v>
      </c>
      <c r="F167" s="50">
        <v>0</v>
      </c>
      <c r="G167" s="52">
        <v>35750</v>
      </c>
      <c r="H167" s="50">
        <v>0</v>
      </c>
      <c r="I167" s="50">
        <v>7150</v>
      </c>
      <c r="J167" s="50">
        <v>0</v>
      </c>
      <c r="K167" s="53">
        <v>0</v>
      </c>
      <c r="L167" s="59">
        <v>64350</v>
      </c>
      <c r="M167" s="61">
        <v>10725</v>
      </c>
      <c r="N167" s="59">
        <v>18590</v>
      </c>
      <c r="O167" s="50">
        <v>11440</v>
      </c>
      <c r="P167" s="50">
        <v>18590</v>
      </c>
      <c r="Q167" s="53">
        <v>3575</v>
      </c>
      <c r="R167" s="53">
        <v>2145</v>
      </c>
      <c r="S167" s="53"/>
      <c r="T167" s="53"/>
      <c r="U167" s="53"/>
      <c r="V167" s="53"/>
      <c r="W167" s="53"/>
    </row>
    <row r="168" spans="1:23">
      <c r="A168" s="47">
        <v>166</v>
      </c>
      <c r="B168" s="56">
        <v>4971710513721</v>
      </c>
      <c r="C168" s="57" t="s">
        <v>280</v>
      </c>
      <c r="D168" s="75" t="s">
        <v>880</v>
      </c>
      <c r="E168" s="48" t="s">
        <v>281</v>
      </c>
      <c r="F168" s="50">
        <v>0</v>
      </c>
      <c r="G168" s="52">
        <v>0</v>
      </c>
      <c r="H168" s="50">
        <v>0</v>
      </c>
      <c r="I168" s="50">
        <v>27500</v>
      </c>
      <c r="J168" s="50">
        <v>27500</v>
      </c>
      <c r="K168" s="53">
        <v>0</v>
      </c>
      <c r="L168" s="59"/>
      <c r="M168" s="61"/>
      <c r="N168" s="59">
        <v>16500</v>
      </c>
      <c r="O168" s="50"/>
      <c r="P168" s="50">
        <v>44000</v>
      </c>
      <c r="Q168" s="53"/>
      <c r="R168" s="53"/>
      <c r="S168" s="53"/>
      <c r="T168" s="53">
        <v>5500</v>
      </c>
      <c r="U168" s="53"/>
      <c r="V168" s="53"/>
      <c r="W168" s="53">
        <v>33000</v>
      </c>
    </row>
    <row r="169" spans="1:23">
      <c r="A169" s="47">
        <v>167</v>
      </c>
      <c r="B169" s="56">
        <v>4971710584691</v>
      </c>
      <c r="C169" s="57" t="s">
        <v>706</v>
      </c>
      <c r="D169" s="75" t="s">
        <v>880</v>
      </c>
      <c r="E169" s="48" t="s">
        <v>707</v>
      </c>
      <c r="F169" s="50">
        <v>0</v>
      </c>
      <c r="G169" s="52">
        <v>0</v>
      </c>
      <c r="H169" s="50">
        <v>0</v>
      </c>
      <c r="I169" s="50">
        <v>0</v>
      </c>
      <c r="J169" s="50">
        <v>0</v>
      </c>
      <c r="K169" s="53">
        <v>0</v>
      </c>
      <c r="L169" s="59">
        <v>10710</v>
      </c>
      <c r="M169" s="61"/>
      <c r="N169" s="59">
        <v>714</v>
      </c>
      <c r="O169" s="50"/>
      <c r="P169" s="50">
        <v>10710</v>
      </c>
      <c r="Q169" s="53">
        <v>2142</v>
      </c>
      <c r="R169" s="53"/>
      <c r="S169" s="53">
        <v>1428</v>
      </c>
      <c r="T169" s="53">
        <v>18564</v>
      </c>
      <c r="U169" s="53"/>
      <c r="V169" s="53"/>
      <c r="W169" s="53">
        <v>19278</v>
      </c>
    </row>
    <row r="170" spans="1:23">
      <c r="A170" s="47">
        <v>168</v>
      </c>
      <c r="B170" s="56">
        <v>4971710568554</v>
      </c>
      <c r="C170" s="57" t="s">
        <v>523</v>
      </c>
      <c r="D170" s="75" t="s">
        <v>884</v>
      </c>
      <c r="E170" s="48" t="s">
        <v>524</v>
      </c>
      <c r="F170" s="50">
        <v>6600</v>
      </c>
      <c r="G170" s="52">
        <v>15840</v>
      </c>
      <c r="H170" s="50">
        <v>15840</v>
      </c>
      <c r="I170" s="50">
        <v>1320</v>
      </c>
      <c r="J170" s="50">
        <v>0</v>
      </c>
      <c r="K170" s="53">
        <v>0</v>
      </c>
      <c r="L170" s="59">
        <v>39600</v>
      </c>
      <c r="M170" s="61"/>
      <c r="N170" s="59"/>
      <c r="O170" s="50"/>
      <c r="P170" s="50">
        <v>33000</v>
      </c>
      <c r="Q170" s="53"/>
      <c r="R170" s="53">
        <v>3300</v>
      </c>
      <c r="S170" s="53"/>
      <c r="T170" s="53">
        <v>33000</v>
      </c>
      <c r="U170" s="53"/>
      <c r="V170" s="53"/>
      <c r="W170" s="53">
        <v>6600</v>
      </c>
    </row>
    <row r="171" spans="1:23">
      <c r="A171" s="47">
        <v>169</v>
      </c>
      <c r="B171" s="56">
        <v>4971710599671</v>
      </c>
      <c r="C171" s="57" t="s">
        <v>955</v>
      </c>
      <c r="D171" s="75" t="s">
        <v>884</v>
      </c>
      <c r="E171" s="48" t="s">
        <v>956</v>
      </c>
      <c r="F171" s="50"/>
      <c r="G171" s="52"/>
      <c r="H171" s="50"/>
      <c r="I171" s="50"/>
      <c r="J171" s="50"/>
      <c r="K171" s="53"/>
      <c r="L171" s="59"/>
      <c r="M171" s="61"/>
      <c r="N171" s="59"/>
      <c r="O171" s="50"/>
      <c r="P171" s="50"/>
      <c r="Q171" s="53"/>
      <c r="R171" s="53"/>
      <c r="S171" s="53"/>
      <c r="T171" s="53">
        <v>24750</v>
      </c>
      <c r="U171" s="53"/>
      <c r="V171" s="53"/>
      <c r="W171" s="53">
        <v>117150</v>
      </c>
    </row>
    <row r="172" spans="1:23">
      <c r="A172" s="47">
        <v>170</v>
      </c>
      <c r="B172" s="56">
        <v>4971710566154</v>
      </c>
      <c r="C172" s="57" t="s">
        <v>519</v>
      </c>
      <c r="D172" s="75" t="s">
        <v>880</v>
      </c>
      <c r="E172" s="48" t="s">
        <v>520</v>
      </c>
      <c r="F172" s="50">
        <v>0</v>
      </c>
      <c r="G172" s="52">
        <v>0</v>
      </c>
      <c r="H172" s="50">
        <v>8250</v>
      </c>
      <c r="I172" s="50">
        <v>24750</v>
      </c>
      <c r="J172" s="50">
        <v>16500</v>
      </c>
      <c r="K172" s="53">
        <v>0</v>
      </c>
      <c r="L172" s="59">
        <v>6600</v>
      </c>
      <c r="M172" s="61"/>
      <c r="N172" s="59"/>
      <c r="O172" s="50"/>
      <c r="P172" s="50">
        <v>27500</v>
      </c>
      <c r="Q172" s="53"/>
      <c r="R172" s="53"/>
      <c r="S172" s="53"/>
      <c r="T172" s="53">
        <v>33000</v>
      </c>
      <c r="U172" s="53"/>
      <c r="V172" s="53"/>
      <c r="W172" s="53">
        <v>27500</v>
      </c>
    </row>
    <row r="173" spans="1:23">
      <c r="A173" s="47">
        <v>171</v>
      </c>
      <c r="B173" s="56">
        <v>4971710599633</v>
      </c>
      <c r="C173" s="57" t="s">
        <v>947</v>
      </c>
      <c r="D173" s="75" t="s">
        <v>884</v>
      </c>
      <c r="E173" s="48" t="s">
        <v>948</v>
      </c>
      <c r="F173" s="50"/>
      <c r="G173" s="52"/>
      <c r="H173" s="50"/>
      <c r="I173" s="50"/>
      <c r="J173" s="50"/>
      <c r="K173" s="53"/>
      <c r="L173" s="59"/>
      <c r="M173" s="61"/>
      <c r="N173" s="59"/>
      <c r="O173" s="50"/>
      <c r="P173" s="50"/>
      <c r="Q173" s="53"/>
      <c r="R173" s="53"/>
      <c r="S173" s="53"/>
      <c r="T173" s="53">
        <v>37125</v>
      </c>
      <c r="U173" s="53"/>
      <c r="V173" s="53"/>
      <c r="W173" s="53">
        <v>103950</v>
      </c>
    </row>
    <row r="174" spans="1:23">
      <c r="A174" s="47">
        <v>172</v>
      </c>
      <c r="B174" s="56">
        <v>4971710496475</v>
      </c>
      <c r="C174" s="57" t="s">
        <v>172</v>
      </c>
      <c r="D174" s="75" t="s">
        <v>884</v>
      </c>
      <c r="E174" s="48" t="s">
        <v>173</v>
      </c>
      <c r="F174" s="50">
        <v>0</v>
      </c>
      <c r="G174" s="52">
        <v>0</v>
      </c>
      <c r="H174" s="50">
        <v>0</v>
      </c>
      <c r="I174" s="50">
        <v>0</v>
      </c>
      <c r="J174" s="50">
        <v>0</v>
      </c>
      <c r="K174" s="53">
        <v>0</v>
      </c>
      <c r="L174" s="59">
        <v>24750</v>
      </c>
      <c r="M174" s="61"/>
      <c r="N174" s="59"/>
      <c r="O174" s="50"/>
      <c r="P174" s="50"/>
      <c r="Q174" s="53"/>
      <c r="R174" s="53">
        <v>4125</v>
      </c>
      <c r="S174" s="53">
        <v>8250</v>
      </c>
      <c r="T174" s="53">
        <v>20625</v>
      </c>
      <c r="U174" s="53"/>
      <c r="V174" s="53"/>
      <c r="W174" s="53">
        <v>82500</v>
      </c>
    </row>
    <row r="175" spans="1:23" hidden="1">
      <c r="A175" s="47">
        <v>173</v>
      </c>
      <c r="B175" s="56">
        <v>4971710581911</v>
      </c>
      <c r="C175" s="57" t="s">
        <v>690</v>
      </c>
      <c r="D175" s="75" t="s">
        <v>884</v>
      </c>
      <c r="E175" s="48" t="s">
        <v>691</v>
      </c>
      <c r="F175" s="50">
        <v>0</v>
      </c>
      <c r="G175" s="52">
        <v>0</v>
      </c>
      <c r="H175" s="50">
        <v>214500</v>
      </c>
      <c r="I175" s="50">
        <v>214500</v>
      </c>
      <c r="J175" s="50">
        <v>28600</v>
      </c>
      <c r="K175" s="53">
        <v>0</v>
      </c>
      <c r="L175" s="59">
        <v>71500</v>
      </c>
      <c r="M175" s="61"/>
      <c r="N175" s="59"/>
      <c r="O175" s="50">
        <v>50050</v>
      </c>
      <c r="P175" s="50"/>
      <c r="Q175" s="53"/>
      <c r="R175" s="53"/>
      <c r="S175" s="53"/>
      <c r="T175" s="53"/>
      <c r="U175" s="53"/>
      <c r="V175" s="53"/>
      <c r="W175" s="53"/>
    </row>
    <row r="176" spans="1:23">
      <c r="A176" s="47">
        <v>174</v>
      </c>
      <c r="B176" s="56">
        <v>4971710584714</v>
      </c>
      <c r="C176" s="57" t="s">
        <v>710</v>
      </c>
      <c r="D176" s="75" t="s">
        <v>880</v>
      </c>
      <c r="E176" s="48" t="s">
        <v>711</v>
      </c>
      <c r="F176" s="50">
        <v>0</v>
      </c>
      <c r="G176" s="52">
        <v>0</v>
      </c>
      <c r="H176" s="50">
        <v>0</v>
      </c>
      <c r="I176" s="50">
        <v>0</v>
      </c>
      <c r="J176" s="50">
        <v>0</v>
      </c>
      <c r="K176" s="53">
        <v>0</v>
      </c>
      <c r="L176" s="59">
        <v>10710</v>
      </c>
      <c r="M176" s="61">
        <v>714</v>
      </c>
      <c r="N176" s="59"/>
      <c r="O176" s="50"/>
      <c r="P176" s="50">
        <v>18564</v>
      </c>
      <c r="Q176" s="53"/>
      <c r="R176" s="53">
        <v>714</v>
      </c>
      <c r="S176" s="53">
        <v>714</v>
      </c>
      <c r="T176" s="53">
        <v>10710</v>
      </c>
      <c r="U176" s="53"/>
      <c r="V176" s="53"/>
      <c r="W176" s="53">
        <v>17850</v>
      </c>
    </row>
    <row r="177" spans="1:23" hidden="1">
      <c r="A177" s="47">
        <v>175</v>
      </c>
      <c r="B177" s="56">
        <v>4971710515824</v>
      </c>
      <c r="C177" s="57" t="s">
        <v>318</v>
      </c>
      <c r="D177" s="75" t="s">
        <v>884</v>
      </c>
      <c r="E177" s="48" t="s">
        <v>319</v>
      </c>
      <c r="F177" s="50">
        <v>0</v>
      </c>
      <c r="G177" s="52">
        <v>0</v>
      </c>
      <c r="H177" s="50">
        <v>0</v>
      </c>
      <c r="I177" s="50">
        <v>20880</v>
      </c>
      <c r="J177" s="50">
        <v>0</v>
      </c>
      <c r="K177" s="53">
        <v>0</v>
      </c>
      <c r="L177" s="59"/>
      <c r="M177" s="61">
        <v>11484</v>
      </c>
      <c r="N177" s="59"/>
      <c r="O177" s="50">
        <v>2088</v>
      </c>
      <c r="P177" s="50"/>
      <c r="Q177" s="53">
        <v>28188</v>
      </c>
      <c r="R177" s="53">
        <v>16704</v>
      </c>
      <c r="S177" s="53">
        <v>26100</v>
      </c>
      <c r="T177" s="53">
        <v>2088</v>
      </c>
      <c r="U177" s="53"/>
      <c r="V177" s="53"/>
      <c r="W177" s="53"/>
    </row>
    <row r="178" spans="1:23">
      <c r="A178" s="47">
        <v>176</v>
      </c>
      <c r="B178" s="56">
        <v>4971710508840</v>
      </c>
      <c r="C178" s="57" t="s">
        <v>790</v>
      </c>
      <c r="D178" s="75" t="s">
        <v>884</v>
      </c>
      <c r="E178" s="48" t="s">
        <v>1011</v>
      </c>
      <c r="F178" s="50">
        <v>0</v>
      </c>
      <c r="G178" s="52">
        <v>0</v>
      </c>
      <c r="H178" s="50">
        <v>0</v>
      </c>
      <c r="I178" s="50">
        <v>0</v>
      </c>
      <c r="J178" s="50">
        <v>0</v>
      </c>
      <c r="K178" s="53">
        <v>0</v>
      </c>
      <c r="L178" s="59"/>
      <c r="M178" s="61"/>
      <c r="N178" s="59"/>
      <c r="O178" s="50">
        <v>22000</v>
      </c>
      <c r="P178" s="50"/>
      <c r="Q178" s="53"/>
      <c r="R178" s="53">
        <v>13200</v>
      </c>
      <c r="S178" s="53">
        <v>17600</v>
      </c>
      <c r="T178" s="53">
        <v>13200</v>
      </c>
      <c r="U178" s="53"/>
      <c r="V178" s="53"/>
      <c r="W178" s="53">
        <v>79200</v>
      </c>
    </row>
    <row r="179" spans="1:23">
      <c r="A179" s="47">
        <v>177</v>
      </c>
      <c r="B179" s="56">
        <v>4971710564785</v>
      </c>
      <c r="C179" s="57" t="s">
        <v>491</v>
      </c>
      <c r="D179" s="75" t="s">
        <v>884</v>
      </c>
      <c r="E179" s="48" t="s">
        <v>492</v>
      </c>
      <c r="F179" s="50">
        <v>6600</v>
      </c>
      <c r="G179" s="52">
        <v>15840</v>
      </c>
      <c r="H179" s="50">
        <v>15840</v>
      </c>
      <c r="I179" s="50">
        <v>0</v>
      </c>
      <c r="J179" s="50">
        <v>0</v>
      </c>
      <c r="K179" s="53">
        <v>0</v>
      </c>
      <c r="L179" s="59">
        <v>62700</v>
      </c>
      <c r="M179" s="61">
        <v>1320</v>
      </c>
      <c r="N179" s="59"/>
      <c r="O179" s="50">
        <v>3960</v>
      </c>
      <c r="P179" s="50"/>
      <c r="Q179" s="53"/>
      <c r="R179" s="53">
        <v>19800</v>
      </c>
      <c r="S179" s="53">
        <v>660</v>
      </c>
      <c r="T179" s="53"/>
      <c r="U179" s="53"/>
      <c r="V179" s="53"/>
      <c r="W179" s="53">
        <v>20460</v>
      </c>
    </row>
    <row r="180" spans="1:23">
      <c r="A180" s="47">
        <v>178</v>
      </c>
      <c r="B180" s="56">
        <v>4971710578591</v>
      </c>
      <c r="C180" s="57" t="s">
        <v>634</v>
      </c>
      <c r="D180" s="75" t="s">
        <v>880</v>
      </c>
      <c r="E180" s="48" t="s">
        <v>635</v>
      </c>
      <c r="F180" s="50">
        <v>6050</v>
      </c>
      <c r="G180" s="52">
        <v>3025</v>
      </c>
      <c r="H180" s="50">
        <v>0</v>
      </c>
      <c r="I180" s="50">
        <v>0</v>
      </c>
      <c r="J180" s="50">
        <v>24200</v>
      </c>
      <c r="K180" s="53">
        <v>0</v>
      </c>
      <c r="L180" s="59">
        <v>3025</v>
      </c>
      <c r="M180" s="61">
        <v>7260</v>
      </c>
      <c r="N180" s="59"/>
      <c r="O180" s="50">
        <v>21780</v>
      </c>
      <c r="P180" s="50">
        <v>19360</v>
      </c>
      <c r="Q180" s="53"/>
      <c r="R180" s="53">
        <v>1210</v>
      </c>
      <c r="S180" s="53">
        <v>18150</v>
      </c>
      <c r="T180" s="53">
        <v>8470</v>
      </c>
      <c r="U180" s="53"/>
      <c r="V180" s="53"/>
      <c r="W180" s="53">
        <v>19360</v>
      </c>
    </row>
    <row r="181" spans="1:23">
      <c r="A181" s="47">
        <v>179</v>
      </c>
      <c r="B181" s="56">
        <v>4971710571806</v>
      </c>
      <c r="C181" s="57" t="s">
        <v>557</v>
      </c>
      <c r="D181" s="75" t="s">
        <v>884</v>
      </c>
      <c r="E181" s="48" t="s">
        <v>558</v>
      </c>
      <c r="F181" s="50">
        <v>0</v>
      </c>
      <c r="G181" s="52">
        <v>15840</v>
      </c>
      <c r="H181" s="50">
        <v>15840</v>
      </c>
      <c r="I181" s="50">
        <v>3960</v>
      </c>
      <c r="J181" s="50">
        <v>0</v>
      </c>
      <c r="K181" s="53">
        <v>6600</v>
      </c>
      <c r="L181" s="59">
        <v>9900</v>
      </c>
      <c r="M181" s="61">
        <v>72600</v>
      </c>
      <c r="N181" s="59"/>
      <c r="O181" s="50">
        <v>5280</v>
      </c>
      <c r="P181" s="50"/>
      <c r="Q181" s="53">
        <v>3960</v>
      </c>
      <c r="R181" s="53">
        <v>1320</v>
      </c>
      <c r="S181" s="53"/>
      <c r="T181" s="53"/>
      <c r="U181" s="53"/>
      <c r="V181" s="53"/>
      <c r="W181" s="53">
        <v>13200</v>
      </c>
    </row>
    <row r="182" spans="1:23">
      <c r="A182" s="47">
        <v>180</v>
      </c>
      <c r="B182" s="56">
        <v>4971710578553</v>
      </c>
      <c r="C182" s="57" t="s">
        <v>626</v>
      </c>
      <c r="D182" s="75" t="s">
        <v>880</v>
      </c>
      <c r="E182" s="48" t="s">
        <v>627</v>
      </c>
      <c r="F182" s="50">
        <v>0</v>
      </c>
      <c r="G182" s="52">
        <v>19250</v>
      </c>
      <c r="H182" s="50">
        <v>8250</v>
      </c>
      <c r="I182" s="50">
        <v>0</v>
      </c>
      <c r="J182" s="50">
        <v>0</v>
      </c>
      <c r="K182" s="53">
        <v>11000</v>
      </c>
      <c r="L182" s="59">
        <v>13750</v>
      </c>
      <c r="M182" s="61">
        <v>1100</v>
      </c>
      <c r="N182" s="59"/>
      <c r="O182" s="50">
        <v>16500</v>
      </c>
      <c r="P182" s="50">
        <v>11000</v>
      </c>
      <c r="Q182" s="53">
        <v>2200</v>
      </c>
      <c r="R182" s="53"/>
      <c r="S182" s="53">
        <v>1100</v>
      </c>
      <c r="T182" s="53">
        <v>11000</v>
      </c>
      <c r="U182" s="53"/>
      <c r="V182" s="53"/>
      <c r="W182" s="53">
        <v>29700</v>
      </c>
    </row>
    <row r="183" spans="1:23">
      <c r="A183" s="47">
        <v>181</v>
      </c>
      <c r="B183" s="56">
        <v>4971710599640</v>
      </c>
      <c r="C183" s="57" t="s">
        <v>949</v>
      </c>
      <c r="D183" s="75" t="s">
        <v>884</v>
      </c>
      <c r="E183" s="48" t="s">
        <v>950</v>
      </c>
      <c r="F183" s="50"/>
      <c r="G183" s="52"/>
      <c r="H183" s="50"/>
      <c r="I183" s="50"/>
      <c r="J183" s="50"/>
      <c r="K183" s="53"/>
      <c r="L183" s="59"/>
      <c r="M183" s="61"/>
      <c r="N183" s="59"/>
      <c r="O183" s="50"/>
      <c r="P183" s="50"/>
      <c r="Q183" s="53"/>
      <c r="R183" s="53"/>
      <c r="S183" s="53"/>
      <c r="T183" s="53">
        <v>24750</v>
      </c>
      <c r="U183" s="53"/>
      <c r="V183" s="53"/>
      <c r="W183" s="53">
        <v>103950</v>
      </c>
    </row>
    <row r="184" spans="1:23">
      <c r="A184" s="47">
        <v>182</v>
      </c>
      <c r="B184" s="56">
        <v>4971710508918</v>
      </c>
      <c r="C184" s="57" t="s">
        <v>204</v>
      </c>
      <c r="D184" s="75" t="s">
        <v>884</v>
      </c>
      <c r="E184" s="48" t="s">
        <v>205</v>
      </c>
      <c r="F184" s="50">
        <v>0</v>
      </c>
      <c r="G184" s="52">
        <v>0</v>
      </c>
      <c r="H184" s="50">
        <v>0</v>
      </c>
      <c r="I184" s="50">
        <v>0</v>
      </c>
      <c r="J184" s="50">
        <v>0</v>
      </c>
      <c r="K184" s="53">
        <v>0</v>
      </c>
      <c r="L184" s="59">
        <v>1980</v>
      </c>
      <c r="M184" s="61"/>
      <c r="N184" s="59"/>
      <c r="O184" s="50">
        <v>6600</v>
      </c>
      <c r="P184" s="50"/>
      <c r="Q184" s="53"/>
      <c r="R184" s="53">
        <v>3300</v>
      </c>
      <c r="S184" s="53">
        <v>6600</v>
      </c>
      <c r="T184" s="53"/>
      <c r="U184" s="53"/>
      <c r="V184" s="53"/>
      <c r="W184" s="53">
        <v>33000</v>
      </c>
    </row>
    <row r="185" spans="1:23">
      <c r="A185" s="47">
        <v>183</v>
      </c>
      <c r="B185" s="56">
        <v>4971710565096</v>
      </c>
      <c r="C185" s="57" t="s">
        <v>509</v>
      </c>
      <c r="D185" s="75" t="s">
        <v>880</v>
      </c>
      <c r="E185" s="48" t="s">
        <v>510</v>
      </c>
      <c r="F185" s="50">
        <v>0</v>
      </c>
      <c r="G185" s="52">
        <v>23100</v>
      </c>
      <c r="H185" s="50">
        <v>36300</v>
      </c>
      <c r="I185" s="50">
        <v>29700</v>
      </c>
      <c r="J185" s="50">
        <v>19800</v>
      </c>
      <c r="K185" s="53">
        <v>0</v>
      </c>
      <c r="L185" s="59">
        <v>11220</v>
      </c>
      <c r="M185" s="61"/>
      <c r="N185" s="59">
        <v>21120</v>
      </c>
      <c r="O185" s="50">
        <v>1320</v>
      </c>
      <c r="P185" s="50">
        <v>20460</v>
      </c>
      <c r="Q185" s="53">
        <v>2640</v>
      </c>
      <c r="R185" s="53">
        <v>1320</v>
      </c>
      <c r="S185" s="53">
        <v>23760</v>
      </c>
      <c r="T185" s="53"/>
      <c r="U185" s="53"/>
      <c r="V185" s="53"/>
      <c r="W185" s="53">
        <v>19800</v>
      </c>
    </row>
    <row r="186" spans="1:23">
      <c r="A186" s="47">
        <v>184</v>
      </c>
      <c r="B186" s="56">
        <v>4971710598551</v>
      </c>
      <c r="C186" s="57" t="s">
        <v>819</v>
      </c>
      <c r="D186" s="75" t="s">
        <v>884</v>
      </c>
      <c r="E186" s="48" t="s">
        <v>1008</v>
      </c>
      <c r="F186" s="50">
        <v>0</v>
      </c>
      <c r="G186" s="52">
        <v>0</v>
      </c>
      <c r="H186" s="50">
        <v>0</v>
      </c>
      <c r="I186" s="50">
        <v>0</v>
      </c>
      <c r="J186" s="50">
        <v>0</v>
      </c>
      <c r="K186" s="53">
        <v>0</v>
      </c>
      <c r="L186" s="59"/>
      <c r="M186" s="61"/>
      <c r="N186" s="59"/>
      <c r="O186" s="50"/>
      <c r="P186" s="50"/>
      <c r="Q186" s="53">
        <v>39600</v>
      </c>
      <c r="R186" s="53">
        <v>1320</v>
      </c>
      <c r="S186" s="53">
        <v>1320</v>
      </c>
      <c r="T186" s="53">
        <v>23760</v>
      </c>
      <c r="U186" s="53"/>
      <c r="V186" s="53"/>
      <c r="W186" s="53">
        <v>34320</v>
      </c>
    </row>
    <row r="187" spans="1:23" hidden="1">
      <c r="A187" s="47">
        <v>185</v>
      </c>
      <c r="B187" s="56">
        <v>4971710496451</v>
      </c>
      <c r="C187" s="57" t="s">
        <v>168</v>
      </c>
      <c r="D187" s="75" t="s">
        <v>884</v>
      </c>
      <c r="E187" s="48" t="s">
        <v>169</v>
      </c>
      <c r="F187" s="50">
        <v>0</v>
      </c>
      <c r="G187" s="52">
        <v>0</v>
      </c>
      <c r="H187" s="50">
        <v>0</v>
      </c>
      <c r="I187" s="50">
        <v>8250</v>
      </c>
      <c r="J187" s="50">
        <v>16500</v>
      </c>
      <c r="K187" s="53">
        <v>0</v>
      </c>
      <c r="L187" s="59">
        <v>41250</v>
      </c>
      <c r="M187" s="61">
        <v>1650</v>
      </c>
      <c r="N187" s="59"/>
      <c r="O187" s="50">
        <v>8250</v>
      </c>
      <c r="P187" s="50">
        <v>12375</v>
      </c>
      <c r="Q187" s="53">
        <v>24750</v>
      </c>
      <c r="R187" s="53">
        <v>19800</v>
      </c>
      <c r="S187" s="53">
        <v>16500</v>
      </c>
      <c r="T187" s="53">
        <v>825</v>
      </c>
      <c r="U187" s="53"/>
      <c r="V187" s="53"/>
      <c r="W187" s="53"/>
    </row>
    <row r="188" spans="1:23">
      <c r="A188" s="47">
        <v>186</v>
      </c>
      <c r="B188" s="56">
        <v>4971710599657</v>
      </c>
      <c r="C188" s="57" t="s">
        <v>951</v>
      </c>
      <c r="D188" s="75" t="s">
        <v>884</v>
      </c>
      <c r="E188" s="48" t="s">
        <v>952</v>
      </c>
      <c r="F188" s="50"/>
      <c r="G188" s="52"/>
      <c r="H188" s="50"/>
      <c r="I188" s="50"/>
      <c r="J188" s="50"/>
      <c r="K188" s="53"/>
      <c r="L188" s="59"/>
      <c r="M188" s="61"/>
      <c r="N188" s="59"/>
      <c r="O188" s="50"/>
      <c r="P188" s="50"/>
      <c r="Q188" s="53"/>
      <c r="R188" s="53"/>
      <c r="S188" s="53"/>
      <c r="T188" s="53">
        <v>24750</v>
      </c>
      <c r="U188" s="53"/>
      <c r="V188" s="53"/>
      <c r="W188" s="53">
        <v>99000</v>
      </c>
    </row>
    <row r="189" spans="1:23">
      <c r="A189" s="47">
        <v>187</v>
      </c>
      <c r="B189" s="56">
        <v>4971710599664</v>
      </c>
      <c r="C189" s="57" t="s">
        <v>953</v>
      </c>
      <c r="D189" s="75" t="s">
        <v>884</v>
      </c>
      <c r="E189" s="48" t="s">
        <v>954</v>
      </c>
      <c r="F189" s="50"/>
      <c r="G189" s="52"/>
      <c r="H189" s="50"/>
      <c r="I189" s="50"/>
      <c r="J189" s="50"/>
      <c r="K189" s="53"/>
      <c r="L189" s="59"/>
      <c r="M189" s="61"/>
      <c r="N189" s="59"/>
      <c r="O189" s="50"/>
      <c r="P189" s="50"/>
      <c r="Q189" s="53"/>
      <c r="R189" s="53"/>
      <c r="S189" s="53"/>
      <c r="T189" s="53">
        <v>24750</v>
      </c>
      <c r="U189" s="53"/>
      <c r="V189" s="53"/>
      <c r="W189" s="53">
        <v>99000</v>
      </c>
    </row>
    <row r="190" spans="1:23">
      <c r="A190" s="47">
        <v>188</v>
      </c>
      <c r="B190" s="56">
        <v>4971710599688</v>
      </c>
      <c r="C190" s="57" t="s">
        <v>957</v>
      </c>
      <c r="D190" s="75" t="s">
        <v>884</v>
      </c>
      <c r="E190" s="48" t="s">
        <v>958</v>
      </c>
      <c r="F190" s="50"/>
      <c r="G190" s="52"/>
      <c r="H190" s="50"/>
      <c r="I190" s="50"/>
      <c r="J190" s="50"/>
      <c r="K190" s="53"/>
      <c r="L190" s="59"/>
      <c r="M190" s="61"/>
      <c r="N190" s="59"/>
      <c r="O190" s="50"/>
      <c r="P190" s="50"/>
      <c r="Q190" s="53"/>
      <c r="R190" s="53"/>
      <c r="S190" s="53"/>
      <c r="T190" s="53">
        <v>24750</v>
      </c>
      <c r="U190" s="53"/>
      <c r="V190" s="53"/>
      <c r="W190" s="53">
        <v>99000</v>
      </c>
    </row>
    <row r="191" spans="1:23">
      <c r="A191" s="47">
        <v>189</v>
      </c>
      <c r="B191" s="56">
        <v>4971710485745</v>
      </c>
      <c r="C191" s="57" t="s">
        <v>44</v>
      </c>
      <c r="D191" s="75" t="s">
        <v>884</v>
      </c>
      <c r="E191" s="48" t="s">
        <v>45</v>
      </c>
      <c r="F191" s="50">
        <v>0</v>
      </c>
      <c r="G191" s="52">
        <v>0</v>
      </c>
      <c r="H191" s="50">
        <v>5500</v>
      </c>
      <c r="I191" s="50">
        <v>11000</v>
      </c>
      <c r="J191" s="50">
        <v>0</v>
      </c>
      <c r="K191" s="53">
        <v>5500</v>
      </c>
      <c r="L191" s="59">
        <v>5500</v>
      </c>
      <c r="M191" s="61"/>
      <c r="N191" s="59">
        <v>5500</v>
      </c>
      <c r="O191" s="50">
        <v>11000</v>
      </c>
      <c r="P191" s="50">
        <v>33000</v>
      </c>
      <c r="Q191" s="53"/>
      <c r="R191" s="53"/>
      <c r="S191" s="53"/>
      <c r="T191" s="53"/>
      <c r="U191" s="53"/>
      <c r="V191" s="53"/>
      <c r="W191" s="53">
        <v>27500</v>
      </c>
    </row>
    <row r="192" spans="1:23">
      <c r="A192" s="47">
        <v>190</v>
      </c>
      <c r="B192" s="56">
        <v>4971710580464</v>
      </c>
      <c r="C192" s="57" t="s">
        <v>680</v>
      </c>
      <c r="D192" s="75" t="s">
        <v>880</v>
      </c>
      <c r="E192" s="48" t="s">
        <v>681</v>
      </c>
      <c r="F192" s="50">
        <v>0</v>
      </c>
      <c r="G192" s="52">
        <v>0</v>
      </c>
      <c r="H192" s="50">
        <v>0</v>
      </c>
      <c r="I192" s="50">
        <v>0</v>
      </c>
      <c r="J192" s="50">
        <v>19800</v>
      </c>
      <c r="K192" s="53">
        <v>0</v>
      </c>
      <c r="L192" s="59"/>
      <c r="M192" s="61">
        <v>22440</v>
      </c>
      <c r="N192" s="59"/>
      <c r="O192" s="50">
        <v>3960</v>
      </c>
      <c r="P192" s="50">
        <v>19800</v>
      </c>
      <c r="Q192" s="53"/>
      <c r="R192" s="53">
        <v>5280</v>
      </c>
      <c r="S192" s="53">
        <v>14520</v>
      </c>
      <c r="T192" s="53">
        <v>13200</v>
      </c>
      <c r="U192" s="53"/>
      <c r="V192" s="53"/>
      <c r="W192" s="53">
        <v>19800</v>
      </c>
    </row>
    <row r="193" spans="1:23">
      <c r="A193" s="47">
        <v>191</v>
      </c>
      <c r="B193" s="56">
        <v>4971710598544</v>
      </c>
      <c r="C193" s="57" t="s">
        <v>820</v>
      </c>
      <c r="D193" s="75" t="s">
        <v>884</v>
      </c>
      <c r="E193" s="48" t="s">
        <v>1002</v>
      </c>
      <c r="F193" s="50">
        <v>0</v>
      </c>
      <c r="G193" s="52">
        <v>0</v>
      </c>
      <c r="H193" s="50">
        <v>0</v>
      </c>
      <c r="I193" s="50">
        <v>0</v>
      </c>
      <c r="J193" s="50">
        <v>0</v>
      </c>
      <c r="K193" s="53">
        <v>0</v>
      </c>
      <c r="L193" s="59"/>
      <c r="M193" s="61"/>
      <c r="N193" s="59"/>
      <c r="O193" s="50"/>
      <c r="P193" s="50"/>
      <c r="Q193" s="53">
        <v>46200</v>
      </c>
      <c r="R193" s="53">
        <v>1320</v>
      </c>
      <c r="S193" s="53">
        <v>7920</v>
      </c>
      <c r="T193" s="53">
        <v>27720</v>
      </c>
      <c r="U193" s="53"/>
      <c r="V193" s="53"/>
      <c r="W193" s="53">
        <v>15840</v>
      </c>
    </row>
    <row r="194" spans="1:23">
      <c r="A194" s="47">
        <v>192</v>
      </c>
      <c r="B194" s="56">
        <v>4971710514162</v>
      </c>
      <c r="C194" s="57" t="s">
        <v>298</v>
      </c>
      <c r="D194" s="75" t="s">
        <v>880</v>
      </c>
      <c r="E194" s="48" t="s">
        <v>299</v>
      </c>
      <c r="F194" s="50">
        <v>0</v>
      </c>
      <c r="G194" s="52">
        <v>0</v>
      </c>
      <c r="H194" s="50">
        <v>0</v>
      </c>
      <c r="I194" s="50">
        <v>0</v>
      </c>
      <c r="J194" s="50">
        <v>0</v>
      </c>
      <c r="K194" s="53">
        <v>29700</v>
      </c>
      <c r="L194" s="59">
        <v>59400</v>
      </c>
      <c r="M194" s="61"/>
      <c r="N194" s="59"/>
      <c r="O194" s="50">
        <v>2970</v>
      </c>
      <c r="P194" s="50"/>
      <c r="Q194" s="53"/>
      <c r="R194" s="53"/>
      <c r="S194" s="53"/>
      <c r="T194" s="53"/>
      <c r="U194" s="53"/>
      <c r="V194" s="53"/>
      <c r="W194" s="53">
        <v>11880</v>
      </c>
    </row>
    <row r="195" spans="1:23" hidden="1">
      <c r="A195" s="47">
        <v>193</v>
      </c>
      <c r="B195" s="56">
        <v>4971710513394</v>
      </c>
      <c r="C195" s="57" t="s">
        <v>252</v>
      </c>
      <c r="D195" s="75" t="s">
        <v>880</v>
      </c>
      <c r="E195" s="48" t="s">
        <v>253</v>
      </c>
      <c r="F195" s="50">
        <v>0</v>
      </c>
      <c r="G195" s="52">
        <v>0</v>
      </c>
      <c r="H195" s="50">
        <v>0</v>
      </c>
      <c r="I195" s="50">
        <v>0</v>
      </c>
      <c r="J195" s="50">
        <v>0</v>
      </c>
      <c r="K195" s="53">
        <v>0</v>
      </c>
      <c r="L195" s="59">
        <v>90750</v>
      </c>
      <c r="M195" s="61"/>
      <c r="N195" s="59"/>
      <c r="O195" s="50"/>
      <c r="P195" s="50"/>
      <c r="Q195" s="53"/>
      <c r="R195" s="53"/>
      <c r="S195" s="53"/>
      <c r="T195" s="53"/>
      <c r="U195" s="53"/>
      <c r="V195" s="53"/>
      <c r="W195" s="53"/>
    </row>
    <row r="196" spans="1:23" hidden="1">
      <c r="A196" s="47">
        <v>194</v>
      </c>
      <c r="B196" s="56">
        <v>4971710513585</v>
      </c>
      <c r="C196" s="57" t="s">
        <v>254</v>
      </c>
      <c r="D196" s="75" t="s">
        <v>880</v>
      </c>
      <c r="E196" s="48" t="s">
        <v>255</v>
      </c>
      <c r="F196" s="50">
        <v>0</v>
      </c>
      <c r="G196" s="52">
        <v>0</v>
      </c>
      <c r="H196" s="50">
        <v>0</v>
      </c>
      <c r="I196" s="50">
        <v>0</v>
      </c>
      <c r="J196" s="50">
        <v>0</v>
      </c>
      <c r="K196" s="53">
        <v>0</v>
      </c>
      <c r="L196" s="59">
        <v>90750</v>
      </c>
      <c r="M196" s="61"/>
      <c r="N196" s="59"/>
      <c r="O196" s="50"/>
      <c r="P196" s="50"/>
      <c r="Q196" s="53"/>
      <c r="R196" s="53"/>
      <c r="S196" s="53"/>
      <c r="T196" s="53"/>
      <c r="U196" s="53"/>
      <c r="V196" s="53"/>
      <c r="W196" s="53"/>
    </row>
    <row r="197" spans="1:23" hidden="1">
      <c r="A197" s="47">
        <v>195</v>
      </c>
      <c r="B197" s="56">
        <v>4971710513592</v>
      </c>
      <c r="C197" s="57" t="s">
        <v>256</v>
      </c>
      <c r="D197" s="75" t="s">
        <v>880</v>
      </c>
      <c r="E197" s="48" t="s">
        <v>257</v>
      </c>
      <c r="F197" s="50">
        <v>0</v>
      </c>
      <c r="G197" s="52">
        <v>0</v>
      </c>
      <c r="H197" s="50">
        <v>0</v>
      </c>
      <c r="I197" s="50">
        <v>0</v>
      </c>
      <c r="J197" s="50">
        <v>0</v>
      </c>
      <c r="K197" s="53">
        <v>0</v>
      </c>
      <c r="L197" s="59">
        <v>90750</v>
      </c>
      <c r="M197" s="61"/>
      <c r="N197" s="59"/>
      <c r="O197" s="50"/>
      <c r="P197" s="50"/>
      <c r="Q197" s="53"/>
      <c r="R197" s="53"/>
      <c r="S197" s="53"/>
      <c r="T197" s="53"/>
      <c r="U197" s="53"/>
      <c r="V197" s="53"/>
      <c r="W197" s="53"/>
    </row>
    <row r="198" spans="1:23">
      <c r="A198" s="47">
        <v>196</v>
      </c>
      <c r="B198" s="56">
        <v>4971710598568</v>
      </c>
      <c r="C198" s="57" t="s">
        <v>818</v>
      </c>
      <c r="D198" s="75" t="s">
        <v>884</v>
      </c>
      <c r="E198" s="48" t="s">
        <v>1010</v>
      </c>
      <c r="F198" s="50">
        <v>0</v>
      </c>
      <c r="G198" s="52">
        <v>0</v>
      </c>
      <c r="H198" s="50">
        <v>0</v>
      </c>
      <c r="I198" s="50">
        <v>0</v>
      </c>
      <c r="J198" s="50">
        <v>0</v>
      </c>
      <c r="K198" s="53">
        <v>0</v>
      </c>
      <c r="L198" s="59"/>
      <c r="M198" s="61"/>
      <c r="N198" s="59"/>
      <c r="O198" s="50"/>
      <c r="P198" s="50"/>
      <c r="Q198" s="53">
        <v>29700</v>
      </c>
      <c r="R198" s="53">
        <v>3300</v>
      </c>
      <c r="S198" s="53">
        <v>1100</v>
      </c>
      <c r="T198" s="53">
        <v>39050</v>
      </c>
      <c r="U198" s="53"/>
      <c r="V198" s="53"/>
      <c r="W198" s="53">
        <v>7700</v>
      </c>
    </row>
    <row r="199" spans="1:23">
      <c r="A199" s="47">
        <v>197</v>
      </c>
      <c r="B199" s="56">
        <v>4971710249651</v>
      </c>
      <c r="C199" s="57" t="s">
        <v>913</v>
      </c>
      <c r="D199" s="75" t="s">
        <v>1076</v>
      </c>
      <c r="E199" s="48" t="s">
        <v>1075</v>
      </c>
      <c r="F199" s="50"/>
      <c r="G199" s="52"/>
      <c r="H199" s="50"/>
      <c r="I199" s="50"/>
      <c r="J199" s="50"/>
      <c r="K199" s="53"/>
      <c r="L199" s="59"/>
      <c r="M199" s="61"/>
      <c r="N199" s="59"/>
      <c r="O199" s="50"/>
      <c r="P199" s="50"/>
      <c r="Q199" s="53"/>
      <c r="R199" s="53"/>
      <c r="S199" s="53"/>
      <c r="T199" s="53">
        <v>62700</v>
      </c>
      <c r="U199" s="53"/>
      <c r="V199" s="53"/>
      <c r="W199" s="53">
        <v>57750</v>
      </c>
    </row>
    <row r="200" spans="1:23" hidden="1">
      <c r="A200" s="47">
        <v>198</v>
      </c>
      <c r="B200" s="56">
        <v>4971710512243</v>
      </c>
      <c r="C200" s="57" t="s">
        <v>244</v>
      </c>
      <c r="D200" s="75" t="s">
        <v>884</v>
      </c>
      <c r="E200" s="48" t="s">
        <v>245</v>
      </c>
      <c r="F200" s="50">
        <v>4400</v>
      </c>
      <c r="G200" s="52">
        <v>0</v>
      </c>
      <c r="H200" s="50">
        <v>0</v>
      </c>
      <c r="I200" s="50">
        <v>8800</v>
      </c>
      <c r="J200" s="50">
        <v>0</v>
      </c>
      <c r="K200" s="53">
        <v>0</v>
      </c>
      <c r="L200" s="59">
        <v>17600</v>
      </c>
      <c r="M200" s="61">
        <v>1760</v>
      </c>
      <c r="N200" s="59"/>
      <c r="O200" s="50">
        <v>15840</v>
      </c>
      <c r="P200" s="50">
        <v>2640</v>
      </c>
      <c r="Q200" s="53"/>
      <c r="R200" s="53">
        <v>13200</v>
      </c>
      <c r="S200" s="53">
        <v>13200</v>
      </c>
      <c r="T200" s="53"/>
      <c r="U200" s="53"/>
      <c r="V200" s="53"/>
      <c r="W200" s="53"/>
    </row>
    <row r="201" spans="1:23">
      <c r="A201" s="47">
        <v>199</v>
      </c>
      <c r="B201" s="56">
        <v>4971710598582</v>
      </c>
      <c r="C201" s="57" t="s">
        <v>815</v>
      </c>
      <c r="D201" s="75" t="s">
        <v>884</v>
      </c>
      <c r="E201" s="48" t="s">
        <v>1007</v>
      </c>
      <c r="F201" s="50">
        <v>0</v>
      </c>
      <c r="G201" s="52">
        <v>0</v>
      </c>
      <c r="H201" s="50">
        <v>0</v>
      </c>
      <c r="I201" s="50">
        <v>0</v>
      </c>
      <c r="J201" s="50">
        <v>0</v>
      </c>
      <c r="K201" s="53">
        <v>0</v>
      </c>
      <c r="L201" s="59"/>
      <c r="M201" s="61"/>
      <c r="N201" s="59"/>
      <c r="O201" s="50"/>
      <c r="P201" s="50"/>
      <c r="Q201" s="53">
        <v>32450</v>
      </c>
      <c r="R201" s="53">
        <v>3850</v>
      </c>
      <c r="S201" s="53">
        <v>1100</v>
      </c>
      <c r="T201" s="53">
        <v>35750</v>
      </c>
      <c r="U201" s="53"/>
      <c r="V201" s="53"/>
      <c r="W201" s="53">
        <v>6600</v>
      </c>
    </row>
    <row r="202" spans="1:23" hidden="1">
      <c r="A202" s="47">
        <v>200</v>
      </c>
      <c r="B202" s="56">
        <v>4971710589597</v>
      </c>
      <c r="C202" s="57" t="s">
        <v>724</v>
      </c>
      <c r="D202" s="75" t="s">
        <v>884</v>
      </c>
      <c r="E202" s="48" t="s">
        <v>725</v>
      </c>
      <c r="F202" s="50">
        <v>0</v>
      </c>
      <c r="G202" s="52">
        <v>0</v>
      </c>
      <c r="H202" s="50">
        <v>0</v>
      </c>
      <c r="I202" s="50">
        <v>0</v>
      </c>
      <c r="J202" s="50">
        <v>0</v>
      </c>
      <c r="K202" s="53">
        <v>0</v>
      </c>
      <c r="L202" s="59">
        <v>6050</v>
      </c>
      <c r="M202" s="61">
        <v>1210</v>
      </c>
      <c r="N202" s="59"/>
      <c r="O202" s="50">
        <v>21780</v>
      </c>
      <c r="P202" s="50"/>
      <c r="Q202" s="53">
        <v>7260</v>
      </c>
      <c r="R202" s="53"/>
      <c r="S202" s="53"/>
      <c r="T202" s="53">
        <v>50215</v>
      </c>
      <c r="U202" s="53"/>
      <c r="V202" s="53"/>
      <c r="W202" s="53"/>
    </row>
    <row r="203" spans="1:23">
      <c r="A203" s="47">
        <v>201</v>
      </c>
      <c r="B203" s="56">
        <v>4971710578560</v>
      </c>
      <c r="C203" s="57" t="s">
        <v>628</v>
      </c>
      <c r="D203" s="75" t="s">
        <v>880</v>
      </c>
      <c r="E203" s="48" t="s">
        <v>629</v>
      </c>
      <c r="F203" s="50">
        <v>0</v>
      </c>
      <c r="G203" s="52">
        <v>16500</v>
      </c>
      <c r="H203" s="50">
        <v>22000</v>
      </c>
      <c r="I203" s="50">
        <v>0</v>
      </c>
      <c r="J203" s="50">
        <v>0</v>
      </c>
      <c r="K203" s="53">
        <v>2750</v>
      </c>
      <c r="L203" s="59"/>
      <c r="M203" s="61"/>
      <c r="N203" s="59"/>
      <c r="O203" s="50">
        <v>19250</v>
      </c>
      <c r="P203" s="50">
        <v>17600</v>
      </c>
      <c r="Q203" s="53"/>
      <c r="R203" s="53">
        <v>1100</v>
      </c>
      <c r="S203" s="53"/>
      <c r="T203" s="53">
        <v>12100</v>
      </c>
      <c r="U203" s="53"/>
      <c r="V203" s="53"/>
      <c r="W203" s="53">
        <v>27500</v>
      </c>
    </row>
    <row r="204" spans="1:23">
      <c r="A204" s="47">
        <v>202</v>
      </c>
      <c r="B204" s="56">
        <v>4971710485714</v>
      </c>
      <c r="C204" s="57" t="s">
        <v>40</v>
      </c>
      <c r="D204" s="75" t="s">
        <v>884</v>
      </c>
      <c r="E204" s="48" t="s">
        <v>41</v>
      </c>
      <c r="F204" s="50">
        <v>0</v>
      </c>
      <c r="G204" s="52">
        <v>0</v>
      </c>
      <c r="H204" s="50">
        <v>11000</v>
      </c>
      <c r="I204" s="50">
        <v>11000</v>
      </c>
      <c r="J204" s="50">
        <v>0</v>
      </c>
      <c r="K204" s="53">
        <v>0</v>
      </c>
      <c r="L204" s="59">
        <v>16500</v>
      </c>
      <c r="M204" s="61"/>
      <c r="N204" s="59"/>
      <c r="O204" s="50"/>
      <c r="P204" s="50">
        <v>33000</v>
      </c>
      <c r="Q204" s="53"/>
      <c r="R204" s="53"/>
      <c r="S204" s="53"/>
      <c r="T204" s="53"/>
      <c r="U204" s="53"/>
      <c r="V204" s="53"/>
      <c r="W204" s="53">
        <v>27500</v>
      </c>
    </row>
    <row r="205" spans="1:23">
      <c r="A205" s="47">
        <v>203</v>
      </c>
      <c r="B205" s="56">
        <v>4971710598599</v>
      </c>
      <c r="C205" s="57" t="s">
        <v>813</v>
      </c>
      <c r="D205" s="75" t="s">
        <v>884</v>
      </c>
      <c r="E205" s="48" t="s">
        <v>1005</v>
      </c>
      <c r="F205" s="50">
        <v>0</v>
      </c>
      <c r="G205" s="52">
        <v>0</v>
      </c>
      <c r="H205" s="50">
        <v>0</v>
      </c>
      <c r="I205" s="50">
        <v>0</v>
      </c>
      <c r="J205" s="50">
        <v>0</v>
      </c>
      <c r="K205" s="53">
        <v>0</v>
      </c>
      <c r="L205" s="59"/>
      <c r="M205" s="61"/>
      <c r="N205" s="59"/>
      <c r="O205" s="50"/>
      <c r="P205" s="50"/>
      <c r="Q205" s="53">
        <v>37400</v>
      </c>
      <c r="R205" s="53">
        <v>1100</v>
      </c>
      <c r="S205" s="53">
        <v>1100</v>
      </c>
      <c r="T205" s="53">
        <v>28600</v>
      </c>
      <c r="U205" s="53"/>
      <c r="V205" s="53"/>
      <c r="W205" s="53">
        <v>8800</v>
      </c>
    </row>
    <row r="206" spans="1:23" hidden="1">
      <c r="A206" s="47">
        <v>204</v>
      </c>
      <c r="B206" s="56">
        <v>4971710564891</v>
      </c>
      <c r="C206" s="57" t="s">
        <v>497</v>
      </c>
      <c r="D206" s="75" t="s">
        <v>880</v>
      </c>
      <c r="E206" s="48" t="s">
        <v>498</v>
      </c>
      <c r="F206" s="50">
        <v>0</v>
      </c>
      <c r="G206" s="52">
        <v>0</v>
      </c>
      <c r="H206" s="50">
        <v>11000</v>
      </c>
      <c r="I206" s="50">
        <v>0</v>
      </c>
      <c r="J206" s="50">
        <v>16500</v>
      </c>
      <c r="K206" s="53">
        <v>0</v>
      </c>
      <c r="L206" s="59">
        <v>3300</v>
      </c>
      <c r="M206" s="61"/>
      <c r="N206" s="59"/>
      <c r="O206" s="50">
        <v>18700</v>
      </c>
      <c r="P206" s="50">
        <v>16500</v>
      </c>
      <c r="Q206" s="53">
        <v>4400</v>
      </c>
      <c r="R206" s="53">
        <v>1100</v>
      </c>
      <c r="S206" s="53"/>
      <c r="T206" s="53">
        <v>33000</v>
      </c>
      <c r="U206" s="53"/>
      <c r="V206" s="53"/>
      <c r="W206" s="53"/>
    </row>
    <row r="207" spans="1:23" hidden="1">
      <c r="A207" s="47">
        <v>205</v>
      </c>
      <c r="B207" s="56">
        <v>4971710514667</v>
      </c>
      <c r="C207" s="57" t="s">
        <v>304</v>
      </c>
      <c r="D207" s="75" t="s">
        <v>1095</v>
      </c>
      <c r="E207" s="48" t="s">
        <v>305</v>
      </c>
      <c r="F207" s="50">
        <v>0</v>
      </c>
      <c r="G207" s="52">
        <v>33000</v>
      </c>
      <c r="H207" s="50">
        <v>11000</v>
      </c>
      <c r="I207" s="50">
        <v>0</v>
      </c>
      <c r="J207" s="50">
        <v>11000</v>
      </c>
      <c r="K207" s="53">
        <v>16500</v>
      </c>
      <c r="L207" s="59">
        <v>77000</v>
      </c>
      <c r="M207" s="61"/>
      <c r="N207" s="59"/>
      <c r="O207" s="50"/>
      <c r="P207" s="50"/>
      <c r="Q207" s="53"/>
      <c r="R207" s="53"/>
      <c r="S207" s="53"/>
      <c r="T207" s="53"/>
      <c r="U207" s="53"/>
      <c r="V207" s="53"/>
      <c r="W207" s="53"/>
    </row>
    <row r="208" spans="1:23">
      <c r="A208" s="47">
        <v>206</v>
      </c>
      <c r="B208" s="56">
        <v>4971710564808</v>
      </c>
      <c r="C208" s="57" t="s">
        <v>495</v>
      </c>
      <c r="D208" s="75" t="s">
        <v>884</v>
      </c>
      <c r="E208" s="48" t="s">
        <v>496</v>
      </c>
      <c r="F208" s="50">
        <v>7150</v>
      </c>
      <c r="G208" s="52">
        <v>17160</v>
      </c>
      <c r="H208" s="50">
        <v>17160</v>
      </c>
      <c r="I208" s="50">
        <v>54340</v>
      </c>
      <c r="J208" s="50">
        <v>0</v>
      </c>
      <c r="K208" s="53">
        <v>1430</v>
      </c>
      <c r="L208" s="59">
        <v>3575</v>
      </c>
      <c r="M208" s="61">
        <v>1430</v>
      </c>
      <c r="N208" s="59"/>
      <c r="O208" s="50">
        <v>4290</v>
      </c>
      <c r="P208" s="50"/>
      <c r="Q208" s="53">
        <v>10725</v>
      </c>
      <c r="R208" s="53">
        <v>21450</v>
      </c>
      <c r="S208" s="53">
        <v>21450</v>
      </c>
      <c r="T208" s="53"/>
      <c r="U208" s="53"/>
      <c r="V208" s="53"/>
      <c r="W208" s="53">
        <v>35750</v>
      </c>
    </row>
    <row r="209" spans="1:23">
      <c r="A209" s="47">
        <v>207</v>
      </c>
      <c r="B209" s="56">
        <v>4971710584097</v>
      </c>
      <c r="C209" s="57" t="s">
        <v>923</v>
      </c>
      <c r="D209" s="75" t="s">
        <v>1076</v>
      </c>
      <c r="E209" s="48" t="s">
        <v>939</v>
      </c>
      <c r="F209" s="50"/>
      <c r="G209" s="52"/>
      <c r="H209" s="50"/>
      <c r="I209" s="50"/>
      <c r="J209" s="50"/>
      <c r="K209" s="53"/>
      <c r="L209" s="59"/>
      <c r="M209" s="61"/>
      <c r="N209" s="59"/>
      <c r="O209" s="50"/>
      <c r="P209" s="50"/>
      <c r="Q209" s="53"/>
      <c r="R209" s="53"/>
      <c r="S209" s="53"/>
      <c r="T209" s="53">
        <v>31680</v>
      </c>
      <c r="U209" s="53"/>
      <c r="V209" s="53"/>
      <c r="W209" s="53">
        <v>88880</v>
      </c>
    </row>
    <row r="210" spans="1:23">
      <c r="A210" s="47">
        <v>208</v>
      </c>
      <c r="B210" s="56">
        <v>4971710584684</v>
      </c>
      <c r="C210" s="57" t="s">
        <v>787</v>
      </c>
      <c r="D210" s="75" t="s">
        <v>880</v>
      </c>
      <c r="E210" s="48" t="s">
        <v>1000</v>
      </c>
      <c r="F210" s="50">
        <v>0</v>
      </c>
      <c r="G210" s="52">
        <v>0</v>
      </c>
      <c r="H210" s="50">
        <v>0</v>
      </c>
      <c r="I210" s="50">
        <v>0</v>
      </c>
      <c r="J210" s="50">
        <v>0</v>
      </c>
      <c r="K210" s="53">
        <v>0</v>
      </c>
      <c r="L210" s="59"/>
      <c r="M210" s="61"/>
      <c r="N210" s="59"/>
      <c r="O210" s="50">
        <v>19800</v>
      </c>
      <c r="P210" s="50"/>
      <c r="Q210" s="53"/>
      <c r="R210" s="53">
        <v>16500</v>
      </c>
      <c r="S210" s="53">
        <v>16500</v>
      </c>
      <c r="T210" s="53"/>
      <c r="U210" s="53"/>
      <c r="V210" s="53"/>
      <c r="W210" s="53">
        <v>22000</v>
      </c>
    </row>
    <row r="211" spans="1:23" hidden="1">
      <c r="A211" s="47">
        <v>209</v>
      </c>
      <c r="B211" s="56">
        <v>4971710589580</v>
      </c>
      <c r="C211" s="57" t="s">
        <v>722</v>
      </c>
      <c r="D211" s="75" t="s">
        <v>884</v>
      </c>
      <c r="E211" s="48" t="s">
        <v>723</v>
      </c>
      <c r="F211" s="50">
        <v>0</v>
      </c>
      <c r="G211" s="52">
        <v>0</v>
      </c>
      <c r="H211" s="50">
        <v>0</v>
      </c>
      <c r="I211" s="50">
        <v>0</v>
      </c>
      <c r="J211" s="50">
        <v>0</v>
      </c>
      <c r="K211" s="53">
        <v>0</v>
      </c>
      <c r="L211" s="59">
        <v>6050</v>
      </c>
      <c r="M211" s="61">
        <v>1210</v>
      </c>
      <c r="N211" s="59"/>
      <c r="O211" s="50">
        <v>25410</v>
      </c>
      <c r="P211" s="50"/>
      <c r="Q211" s="53">
        <v>3630</v>
      </c>
      <c r="R211" s="53"/>
      <c r="S211" s="53"/>
      <c r="T211" s="53">
        <v>45375</v>
      </c>
      <c r="U211" s="53"/>
      <c r="V211" s="53"/>
      <c r="W211" s="53"/>
    </row>
    <row r="212" spans="1:23">
      <c r="A212" s="47">
        <v>210</v>
      </c>
      <c r="B212" s="56">
        <v>4971710511765</v>
      </c>
      <c r="C212" s="57" t="s">
        <v>214</v>
      </c>
      <c r="D212" s="75" t="s">
        <v>884</v>
      </c>
      <c r="E212" s="48" t="s">
        <v>215</v>
      </c>
      <c r="F212" s="50">
        <v>0</v>
      </c>
      <c r="G212" s="52">
        <v>0</v>
      </c>
      <c r="H212" s="50">
        <v>0</v>
      </c>
      <c r="I212" s="50">
        <v>11000</v>
      </c>
      <c r="J212" s="50">
        <v>0</v>
      </c>
      <c r="K212" s="53">
        <v>0</v>
      </c>
      <c r="L212" s="59">
        <v>11000</v>
      </c>
      <c r="M212" s="61"/>
      <c r="N212" s="59"/>
      <c r="O212" s="50">
        <v>16500</v>
      </c>
      <c r="P212" s="50">
        <v>16500</v>
      </c>
      <c r="Q212" s="53"/>
      <c r="R212" s="53"/>
      <c r="S212" s="53"/>
      <c r="T212" s="53"/>
      <c r="U212" s="53"/>
      <c r="V212" s="53"/>
      <c r="W212" s="53">
        <v>27500</v>
      </c>
    </row>
    <row r="213" spans="1:23">
      <c r="A213" s="47">
        <v>211</v>
      </c>
      <c r="B213" s="56">
        <v>4971710578584</v>
      </c>
      <c r="C213" s="57" t="s">
        <v>632</v>
      </c>
      <c r="D213" s="75" t="s">
        <v>880</v>
      </c>
      <c r="E213" s="48" t="s">
        <v>633</v>
      </c>
      <c r="F213" s="50">
        <v>6050</v>
      </c>
      <c r="G213" s="52">
        <v>3025</v>
      </c>
      <c r="H213" s="50">
        <v>0</v>
      </c>
      <c r="I213" s="50">
        <v>0</v>
      </c>
      <c r="J213" s="50">
        <v>6050</v>
      </c>
      <c r="K213" s="53">
        <v>0</v>
      </c>
      <c r="L213" s="59">
        <v>36300</v>
      </c>
      <c r="M213" s="61">
        <v>1210</v>
      </c>
      <c r="N213" s="59"/>
      <c r="O213" s="50">
        <v>4840</v>
      </c>
      <c r="P213" s="50"/>
      <c r="Q213" s="53">
        <v>2420</v>
      </c>
      <c r="R213" s="53"/>
      <c r="S213" s="53">
        <v>6050</v>
      </c>
      <c r="T213" s="53">
        <v>26620</v>
      </c>
      <c r="U213" s="53"/>
      <c r="V213" s="53"/>
      <c r="W213" s="53">
        <v>1210</v>
      </c>
    </row>
    <row r="214" spans="1:23">
      <c r="A214" s="47">
        <v>212</v>
      </c>
      <c r="B214" s="56">
        <v>4971710584066</v>
      </c>
      <c r="C214" s="57" t="s">
        <v>702</v>
      </c>
      <c r="D214" s="75" t="s">
        <v>884</v>
      </c>
      <c r="E214" s="48" t="s">
        <v>703</v>
      </c>
      <c r="F214" s="50">
        <v>0</v>
      </c>
      <c r="G214" s="52">
        <v>35750</v>
      </c>
      <c r="H214" s="50">
        <v>0</v>
      </c>
      <c r="I214" s="50">
        <v>7150</v>
      </c>
      <c r="J214" s="50">
        <v>0</v>
      </c>
      <c r="K214" s="53">
        <v>0</v>
      </c>
      <c r="L214" s="59">
        <v>57200</v>
      </c>
      <c r="M214" s="61">
        <v>4290</v>
      </c>
      <c r="N214" s="59">
        <v>14300</v>
      </c>
      <c r="O214" s="50"/>
      <c r="P214" s="50">
        <v>1430</v>
      </c>
      <c r="Q214" s="53"/>
      <c r="R214" s="53"/>
      <c r="S214" s="53"/>
      <c r="T214" s="53">
        <v>2145</v>
      </c>
      <c r="U214" s="53"/>
      <c r="V214" s="53"/>
      <c r="W214" s="53">
        <v>11440</v>
      </c>
    </row>
    <row r="215" spans="1:23" hidden="1">
      <c r="A215" s="47">
        <v>213</v>
      </c>
      <c r="B215" s="56">
        <v>4971710588125</v>
      </c>
      <c r="C215" s="57" t="s">
        <v>716</v>
      </c>
      <c r="D215" s="75" t="s">
        <v>884</v>
      </c>
      <c r="E215" s="48" t="s">
        <v>717</v>
      </c>
      <c r="F215" s="50">
        <v>0</v>
      </c>
      <c r="G215" s="52">
        <v>0</v>
      </c>
      <c r="H215" s="50">
        <v>0</v>
      </c>
      <c r="I215" s="50">
        <v>0</v>
      </c>
      <c r="J215" s="50">
        <v>214500</v>
      </c>
      <c r="K215" s="53">
        <v>51480</v>
      </c>
      <c r="L215" s="59">
        <v>10725</v>
      </c>
      <c r="M215" s="61">
        <v>4290</v>
      </c>
      <c r="N215" s="59">
        <v>47190</v>
      </c>
      <c r="O215" s="50">
        <v>25740</v>
      </c>
      <c r="P215" s="50"/>
      <c r="Q215" s="53"/>
      <c r="R215" s="53">
        <v>1430</v>
      </c>
      <c r="S215" s="53"/>
      <c r="T215" s="53">
        <v>1430</v>
      </c>
      <c r="U215" s="53"/>
      <c r="V215" s="53"/>
      <c r="W215" s="53"/>
    </row>
    <row r="216" spans="1:23" hidden="1">
      <c r="A216" s="47">
        <v>214</v>
      </c>
      <c r="B216" s="56">
        <v>4971710514131</v>
      </c>
      <c r="C216" s="57" t="s">
        <v>294</v>
      </c>
      <c r="D216" s="75" t="s">
        <v>880</v>
      </c>
      <c r="E216" s="48" t="s">
        <v>295</v>
      </c>
      <c r="F216" s="50">
        <v>0</v>
      </c>
      <c r="G216" s="52">
        <v>0</v>
      </c>
      <c r="H216" s="50">
        <v>0</v>
      </c>
      <c r="I216" s="50">
        <v>0</v>
      </c>
      <c r="J216" s="50">
        <v>0</v>
      </c>
      <c r="K216" s="53">
        <v>29700</v>
      </c>
      <c r="L216" s="59">
        <v>59400</v>
      </c>
      <c r="M216" s="61"/>
      <c r="N216" s="59"/>
      <c r="O216" s="50">
        <v>2970</v>
      </c>
      <c r="P216" s="50"/>
      <c r="Q216" s="53"/>
      <c r="R216" s="53"/>
      <c r="S216" s="53"/>
      <c r="T216" s="53"/>
      <c r="U216" s="53"/>
      <c r="V216" s="53"/>
      <c r="W216" s="53"/>
    </row>
    <row r="217" spans="1:23" hidden="1">
      <c r="A217" s="47">
        <v>215</v>
      </c>
      <c r="B217" s="56">
        <v>4971710513844</v>
      </c>
      <c r="C217" s="57" t="s">
        <v>288</v>
      </c>
      <c r="D217" s="75" t="s">
        <v>880</v>
      </c>
      <c r="E217" s="48" t="s">
        <v>289</v>
      </c>
      <c r="F217" s="50">
        <v>0</v>
      </c>
      <c r="G217" s="52">
        <v>19800</v>
      </c>
      <c r="H217" s="50">
        <v>0</v>
      </c>
      <c r="I217" s="50">
        <v>0</v>
      </c>
      <c r="J217" s="50">
        <v>0</v>
      </c>
      <c r="K217" s="53">
        <v>19800</v>
      </c>
      <c r="L217" s="59">
        <v>19800</v>
      </c>
      <c r="M217" s="61">
        <v>21780</v>
      </c>
      <c r="N217" s="59"/>
      <c r="O217" s="50"/>
      <c r="P217" s="50"/>
      <c r="Q217" s="53"/>
      <c r="R217" s="53">
        <v>19800</v>
      </c>
      <c r="S217" s="53">
        <v>19800</v>
      </c>
      <c r="T217" s="53"/>
      <c r="U217" s="53"/>
      <c r="V217" s="53"/>
      <c r="W217" s="53"/>
    </row>
    <row r="218" spans="1:23" hidden="1">
      <c r="A218" s="47">
        <v>216</v>
      </c>
      <c r="B218" s="56">
        <v>4971710579307</v>
      </c>
      <c r="C218" s="57" t="s">
        <v>650</v>
      </c>
      <c r="D218" s="75" t="s">
        <v>884</v>
      </c>
      <c r="E218" s="48" t="s">
        <v>651</v>
      </c>
      <c r="F218" s="50">
        <v>0</v>
      </c>
      <c r="G218" s="52">
        <v>0</v>
      </c>
      <c r="H218" s="50">
        <v>18480</v>
      </c>
      <c r="I218" s="50">
        <v>0</v>
      </c>
      <c r="J218" s="50">
        <v>0</v>
      </c>
      <c r="K218" s="53">
        <v>0</v>
      </c>
      <c r="L218" s="59">
        <v>10780</v>
      </c>
      <c r="M218" s="61">
        <v>40040</v>
      </c>
      <c r="N218" s="59">
        <v>4620</v>
      </c>
      <c r="O218" s="50"/>
      <c r="P218" s="50">
        <v>38500</v>
      </c>
      <c r="Q218" s="53"/>
      <c r="R218" s="53"/>
      <c r="S218" s="53"/>
      <c r="T218" s="53"/>
      <c r="U218" s="53"/>
      <c r="V218" s="53"/>
      <c r="W218" s="53"/>
    </row>
    <row r="219" spans="1:23" hidden="1">
      <c r="A219" s="47">
        <v>217</v>
      </c>
      <c r="B219" s="56">
        <v>4971710589573</v>
      </c>
      <c r="C219" s="57" t="s">
        <v>720</v>
      </c>
      <c r="D219" s="75" t="s">
        <v>884</v>
      </c>
      <c r="E219" s="48" t="s">
        <v>721</v>
      </c>
      <c r="F219" s="50">
        <v>0</v>
      </c>
      <c r="G219" s="52">
        <v>0</v>
      </c>
      <c r="H219" s="50">
        <v>0</v>
      </c>
      <c r="I219" s="50">
        <v>0</v>
      </c>
      <c r="J219" s="50">
        <v>0</v>
      </c>
      <c r="K219" s="53">
        <v>0</v>
      </c>
      <c r="L219" s="59">
        <v>6050</v>
      </c>
      <c r="M219" s="61">
        <v>1210</v>
      </c>
      <c r="N219" s="59"/>
      <c r="O219" s="50">
        <v>19360</v>
      </c>
      <c r="P219" s="50"/>
      <c r="Q219" s="53">
        <v>1210</v>
      </c>
      <c r="R219" s="53"/>
      <c r="S219" s="53"/>
      <c r="T219" s="53">
        <v>45375</v>
      </c>
      <c r="U219" s="53"/>
      <c r="V219" s="53"/>
      <c r="W219" s="53"/>
    </row>
    <row r="220" spans="1:23" hidden="1">
      <c r="A220" s="47">
        <v>218</v>
      </c>
      <c r="B220" s="56">
        <v>4971710513820</v>
      </c>
      <c r="C220" s="57" t="s">
        <v>284</v>
      </c>
      <c r="D220" s="75" t="s">
        <v>880</v>
      </c>
      <c r="E220" s="48" t="s">
        <v>285</v>
      </c>
      <c r="F220" s="50">
        <v>0</v>
      </c>
      <c r="G220" s="52">
        <v>0</v>
      </c>
      <c r="H220" s="50">
        <v>0</v>
      </c>
      <c r="I220" s="50">
        <v>33000</v>
      </c>
      <c r="J220" s="50">
        <v>0</v>
      </c>
      <c r="K220" s="53">
        <v>0</v>
      </c>
      <c r="L220" s="59">
        <v>39600</v>
      </c>
      <c r="M220" s="61"/>
      <c r="N220" s="59"/>
      <c r="O220" s="50"/>
      <c r="P220" s="50"/>
      <c r="Q220" s="53"/>
      <c r="R220" s="53">
        <v>19800</v>
      </c>
      <c r="S220" s="53">
        <v>19800</v>
      </c>
      <c r="T220" s="53"/>
      <c r="U220" s="53"/>
      <c r="V220" s="53"/>
      <c r="W220" s="53"/>
    </row>
    <row r="221" spans="1:23">
      <c r="A221" s="47">
        <v>219</v>
      </c>
      <c r="B221" s="56">
        <v>4971710496437</v>
      </c>
      <c r="C221" s="57" t="s">
        <v>166</v>
      </c>
      <c r="D221" s="75" t="s">
        <v>884</v>
      </c>
      <c r="E221" s="48" t="s">
        <v>167</v>
      </c>
      <c r="F221" s="50">
        <v>0</v>
      </c>
      <c r="G221" s="52">
        <v>0</v>
      </c>
      <c r="H221" s="50">
        <v>0</v>
      </c>
      <c r="I221" s="50">
        <v>8250</v>
      </c>
      <c r="J221" s="50">
        <v>0</v>
      </c>
      <c r="K221" s="53">
        <v>8250</v>
      </c>
      <c r="L221" s="59">
        <v>8250</v>
      </c>
      <c r="M221" s="61"/>
      <c r="N221" s="59"/>
      <c r="O221" s="50">
        <v>8250</v>
      </c>
      <c r="P221" s="50"/>
      <c r="Q221" s="53">
        <v>24750</v>
      </c>
      <c r="R221" s="53">
        <v>2475</v>
      </c>
      <c r="S221" s="53">
        <v>8250</v>
      </c>
      <c r="T221" s="53">
        <v>18975</v>
      </c>
      <c r="U221" s="53"/>
      <c r="V221" s="53"/>
      <c r="W221" s="53">
        <v>24750</v>
      </c>
    </row>
    <row r="222" spans="1:23">
      <c r="A222" s="47">
        <v>220</v>
      </c>
      <c r="B222" s="56">
        <v>4971710512250</v>
      </c>
      <c r="C222" s="57" t="s">
        <v>246</v>
      </c>
      <c r="D222" s="75" t="s">
        <v>884</v>
      </c>
      <c r="E222" s="48" t="s">
        <v>247</v>
      </c>
      <c r="F222" s="50">
        <v>4400</v>
      </c>
      <c r="G222" s="52">
        <v>0</v>
      </c>
      <c r="H222" s="50">
        <v>2200</v>
      </c>
      <c r="I222" s="50">
        <v>8800</v>
      </c>
      <c r="J222" s="50">
        <v>0</v>
      </c>
      <c r="K222" s="53">
        <v>0</v>
      </c>
      <c r="L222" s="59"/>
      <c r="M222" s="61">
        <v>880</v>
      </c>
      <c r="N222" s="59">
        <v>5280</v>
      </c>
      <c r="O222" s="50">
        <v>2640</v>
      </c>
      <c r="P222" s="50">
        <v>14960</v>
      </c>
      <c r="Q222" s="53"/>
      <c r="R222" s="53"/>
      <c r="S222" s="53"/>
      <c r="T222" s="53">
        <v>13200</v>
      </c>
      <c r="U222" s="53"/>
      <c r="V222" s="53"/>
      <c r="W222" s="53">
        <v>13200</v>
      </c>
    </row>
    <row r="223" spans="1:23">
      <c r="A223" s="47">
        <v>221</v>
      </c>
      <c r="B223" s="56">
        <v>4971710541199</v>
      </c>
      <c r="C223" s="57" t="s">
        <v>430</v>
      </c>
      <c r="D223" s="75" t="s">
        <v>884</v>
      </c>
      <c r="E223" s="48" t="s">
        <v>431</v>
      </c>
      <c r="F223" s="50">
        <v>6600</v>
      </c>
      <c r="G223" s="52">
        <v>0</v>
      </c>
      <c r="H223" s="50">
        <v>0</v>
      </c>
      <c r="I223" s="50">
        <v>13200</v>
      </c>
      <c r="J223" s="50">
        <v>1320</v>
      </c>
      <c r="K223" s="53">
        <v>0</v>
      </c>
      <c r="L223" s="59"/>
      <c r="M223" s="61">
        <v>6600</v>
      </c>
      <c r="N223" s="59"/>
      <c r="O223" s="50">
        <v>13200</v>
      </c>
      <c r="P223" s="50"/>
      <c r="Q223" s="53">
        <v>2640</v>
      </c>
      <c r="R223" s="53">
        <v>13200</v>
      </c>
      <c r="S223" s="53">
        <v>19800</v>
      </c>
      <c r="T223" s="53"/>
      <c r="U223" s="53"/>
      <c r="V223" s="53"/>
      <c r="W223" s="53">
        <v>9900</v>
      </c>
    </row>
    <row r="224" spans="1:23">
      <c r="A224" s="47">
        <v>222</v>
      </c>
      <c r="B224" s="56">
        <v>4971710579802</v>
      </c>
      <c r="C224" s="57" t="s">
        <v>656</v>
      </c>
      <c r="D224" s="75" t="s">
        <v>884</v>
      </c>
      <c r="E224" s="48" t="s">
        <v>657</v>
      </c>
      <c r="F224" s="50">
        <v>6600</v>
      </c>
      <c r="G224" s="52">
        <v>19800</v>
      </c>
      <c r="H224" s="50">
        <v>0</v>
      </c>
      <c r="I224" s="50">
        <v>0</v>
      </c>
      <c r="J224" s="50">
        <v>0</v>
      </c>
      <c r="K224" s="53">
        <v>19800</v>
      </c>
      <c r="L224" s="59">
        <v>19800</v>
      </c>
      <c r="M224" s="61"/>
      <c r="N224" s="59"/>
      <c r="O224" s="50">
        <v>19800</v>
      </c>
      <c r="P224" s="50"/>
      <c r="Q224" s="53"/>
      <c r="R224" s="53"/>
      <c r="S224" s="53">
        <v>6600</v>
      </c>
      <c r="T224" s="53">
        <v>19800</v>
      </c>
      <c r="U224" s="53"/>
      <c r="V224" s="53"/>
      <c r="W224" s="53">
        <v>6600</v>
      </c>
    </row>
    <row r="225" spans="1:23" hidden="1">
      <c r="A225" s="47">
        <v>223</v>
      </c>
      <c r="B225" s="56">
        <v>4971710541151</v>
      </c>
      <c r="C225" s="57" t="s">
        <v>422</v>
      </c>
      <c r="D225" s="75" t="s">
        <v>884</v>
      </c>
      <c r="E225" s="48" t="s">
        <v>423</v>
      </c>
      <c r="F225" s="50">
        <v>6600</v>
      </c>
      <c r="G225" s="52">
        <v>0</v>
      </c>
      <c r="H225" s="50">
        <v>0</v>
      </c>
      <c r="I225" s="50">
        <v>0</v>
      </c>
      <c r="J225" s="50">
        <v>0</v>
      </c>
      <c r="K225" s="53">
        <v>0</v>
      </c>
      <c r="L225" s="59">
        <v>33000</v>
      </c>
      <c r="M225" s="61">
        <v>2640</v>
      </c>
      <c r="N225" s="59"/>
      <c r="O225" s="50"/>
      <c r="P225" s="50"/>
      <c r="Q225" s="53"/>
      <c r="R225" s="53">
        <v>13200</v>
      </c>
      <c r="S225" s="53">
        <v>19800</v>
      </c>
      <c r="T225" s="53"/>
      <c r="U225" s="53"/>
      <c r="V225" s="53"/>
      <c r="W225" s="53"/>
    </row>
    <row r="226" spans="1:23">
      <c r="A226" s="47">
        <v>224</v>
      </c>
      <c r="B226" s="56">
        <v>4971710521498</v>
      </c>
      <c r="C226" s="57" t="s">
        <v>362</v>
      </c>
      <c r="D226" s="75" t="s">
        <v>884</v>
      </c>
      <c r="E226" s="48" t="s">
        <v>363</v>
      </c>
      <c r="F226" s="50">
        <v>0</v>
      </c>
      <c r="G226" s="52">
        <v>42900</v>
      </c>
      <c r="H226" s="50">
        <v>0</v>
      </c>
      <c r="I226" s="50">
        <v>0</v>
      </c>
      <c r="J226" s="50">
        <v>14300</v>
      </c>
      <c r="K226" s="53">
        <v>0</v>
      </c>
      <c r="L226" s="59"/>
      <c r="M226" s="61">
        <v>1430</v>
      </c>
      <c r="N226" s="59"/>
      <c r="O226" s="50">
        <v>2860</v>
      </c>
      <c r="P226" s="50">
        <v>1430</v>
      </c>
      <c r="Q226" s="53">
        <v>21450</v>
      </c>
      <c r="R226" s="53">
        <v>15730</v>
      </c>
      <c r="S226" s="53">
        <v>14300</v>
      </c>
      <c r="T226" s="53">
        <v>1430</v>
      </c>
      <c r="U226" s="53"/>
      <c r="V226" s="53"/>
      <c r="W226" s="53">
        <v>14300</v>
      </c>
    </row>
    <row r="227" spans="1:23">
      <c r="A227" s="47">
        <v>225</v>
      </c>
      <c r="B227" s="56">
        <v>4971710578454</v>
      </c>
      <c r="C227" s="57" t="s">
        <v>624</v>
      </c>
      <c r="D227" s="75" t="s">
        <v>884</v>
      </c>
      <c r="E227" s="48" t="s">
        <v>625</v>
      </c>
      <c r="F227" s="50">
        <v>6600</v>
      </c>
      <c r="G227" s="52">
        <v>19800</v>
      </c>
      <c r="H227" s="50">
        <v>0</v>
      </c>
      <c r="I227" s="50">
        <v>0</v>
      </c>
      <c r="J227" s="50">
        <v>0</v>
      </c>
      <c r="K227" s="53">
        <v>19800</v>
      </c>
      <c r="L227" s="59">
        <v>19800</v>
      </c>
      <c r="M227" s="61"/>
      <c r="N227" s="59"/>
      <c r="O227" s="50">
        <v>19800</v>
      </c>
      <c r="P227" s="50"/>
      <c r="Q227" s="53"/>
      <c r="R227" s="53"/>
      <c r="S227" s="53">
        <v>6600</v>
      </c>
      <c r="T227" s="53"/>
      <c r="U227" s="53"/>
      <c r="V227" s="53"/>
      <c r="W227" s="53">
        <v>19800</v>
      </c>
    </row>
    <row r="228" spans="1:23">
      <c r="A228" s="47">
        <v>226</v>
      </c>
      <c r="B228" s="56">
        <v>4971710521528</v>
      </c>
      <c r="C228" s="57" t="s">
        <v>368</v>
      </c>
      <c r="D228" s="75" t="s">
        <v>884</v>
      </c>
      <c r="E228" s="48" t="s">
        <v>369</v>
      </c>
      <c r="F228" s="50">
        <v>0</v>
      </c>
      <c r="G228" s="52">
        <v>17160</v>
      </c>
      <c r="H228" s="50">
        <v>17160</v>
      </c>
      <c r="I228" s="50">
        <v>1430</v>
      </c>
      <c r="J228" s="50">
        <v>14300</v>
      </c>
      <c r="K228" s="53">
        <v>0</v>
      </c>
      <c r="L228" s="59"/>
      <c r="M228" s="61">
        <v>2860</v>
      </c>
      <c r="N228" s="59">
        <v>2860</v>
      </c>
      <c r="O228" s="50">
        <v>17160</v>
      </c>
      <c r="P228" s="50"/>
      <c r="Q228" s="53">
        <v>5720</v>
      </c>
      <c r="R228" s="53"/>
      <c r="S228" s="53">
        <v>21450</v>
      </c>
      <c r="T228" s="53">
        <v>2860</v>
      </c>
      <c r="U228" s="53"/>
      <c r="V228" s="53"/>
      <c r="W228" s="53">
        <v>17160</v>
      </c>
    </row>
    <row r="229" spans="1:23" hidden="1">
      <c r="A229" s="47">
        <v>227</v>
      </c>
      <c r="B229" s="56">
        <v>4971710512236</v>
      </c>
      <c r="C229" s="57" t="s">
        <v>242</v>
      </c>
      <c r="D229" s="75" t="s">
        <v>884</v>
      </c>
      <c r="E229" s="48" t="s">
        <v>243</v>
      </c>
      <c r="F229" s="50">
        <v>0</v>
      </c>
      <c r="G229" s="52">
        <v>0</v>
      </c>
      <c r="H229" s="50">
        <v>2200</v>
      </c>
      <c r="I229" s="50">
        <v>13200</v>
      </c>
      <c r="J229" s="50">
        <v>0</v>
      </c>
      <c r="K229" s="53">
        <v>0</v>
      </c>
      <c r="L229" s="59"/>
      <c r="M229" s="61">
        <v>2640</v>
      </c>
      <c r="N229" s="59"/>
      <c r="O229" s="50">
        <v>15840</v>
      </c>
      <c r="P229" s="50">
        <v>2640</v>
      </c>
      <c r="Q229" s="53"/>
      <c r="R229" s="53">
        <v>13200</v>
      </c>
      <c r="S229" s="53">
        <v>8800</v>
      </c>
      <c r="T229" s="53"/>
      <c r="U229" s="53"/>
      <c r="V229" s="53"/>
      <c r="W229" s="53"/>
    </row>
    <row r="230" spans="1:23" hidden="1">
      <c r="A230" s="47">
        <v>228</v>
      </c>
      <c r="B230" s="56">
        <v>4971710515794</v>
      </c>
      <c r="C230" s="57" t="s">
        <v>312</v>
      </c>
      <c r="D230" s="75" t="s">
        <v>884</v>
      </c>
      <c r="E230" s="48" t="s">
        <v>313</v>
      </c>
      <c r="F230" s="50">
        <v>0</v>
      </c>
      <c r="G230" s="52">
        <v>2610</v>
      </c>
      <c r="H230" s="50">
        <v>2610</v>
      </c>
      <c r="I230" s="50">
        <v>18270</v>
      </c>
      <c r="J230" s="50">
        <v>0</v>
      </c>
      <c r="K230" s="53">
        <v>0</v>
      </c>
      <c r="L230" s="59"/>
      <c r="M230" s="61">
        <v>1044</v>
      </c>
      <c r="N230" s="59">
        <v>2088</v>
      </c>
      <c r="O230" s="50">
        <v>2088</v>
      </c>
      <c r="P230" s="50"/>
      <c r="Q230" s="53"/>
      <c r="R230" s="53">
        <v>16704</v>
      </c>
      <c r="S230" s="53">
        <v>26100</v>
      </c>
      <c r="T230" s="53">
        <v>2088</v>
      </c>
      <c r="U230" s="53"/>
      <c r="V230" s="53"/>
      <c r="W230" s="53"/>
    </row>
    <row r="231" spans="1:23" hidden="1">
      <c r="A231" s="47">
        <v>229</v>
      </c>
      <c r="B231" s="56">
        <v>4971710494877</v>
      </c>
      <c r="C231" s="57" t="s">
        <v>128</v>
      </c>
      <c r="D231" s="75" t="s">
        <v>884</v>
      </c>
      <c r="E231" s="48" t="s">
        <v>129</v>
      </c>
      <c r="F231" s="50">
        <v>0</v>
      </c>
      <c r="G231" s="52">
        <v>0</v>
      </c>
      <c r="H231" s="50">
        <v>3025</v>
      </c>
      <c r="I231" s="50">
        <v>30250</v>
      </c>
      <c r="J231" s="50">
        <v>0</v>
      </c>
      <c r="K231" s="53">
        <v>0</v>
      </c>
      <c r="L231" s="59">
        <v>12100</v>
      </c>
      <c r="M231" s="61">
        <v>18150</v>
      </c>
      <c r="N231" s="59"/>
      <c r="O231" s="50">
        <v>15730</v>
      </c>
      <c r="P231" s="50">
        <v>12100</v>
      </c>
      <c r="Q231" s="53"/>
      <c r="R231" s="53"/>
      <c r="S231" s="53"/>
      <c r="T231" s="53"/>
      <c r="U231" s="53"/>
      <c r="V231" s="53"/>
      <c r="W231" s="53"/>
    </row>
    <row r="232" spans="1:23">
      <c r="A232" s="47">
        <v>230</v>
      </c>
      <c r="B232" s="56">
        <v>4971710571783</v>
      </c>
      <c r="C232" s="57" t="s">
        <v>553</v>
      </c>
      <c r="D232" s="75" t="s">
        <v>884</v>
      </c>
      <c r="E232" s="48" t="s">
        <v>554</v>
      </c>
      <c r="F232" s="50">
        <v>0</v>
      </c>
      <c r="G232" s="52">
        <v>0</v>
      </c>
      <c r="H232" s="50">
        <v>6600</v>
      </c>
      <c r="I232" s="50">
        <v>33000</v>
      </c>
      <c r="J232" s="50">
        <v>0</v>
      </c>
      <c r="K232" s="53">
        <v>0</v>
      </c>
      <c r="L232" s="59">
        <v>9900</v>
      </c>
      <c r="M232" s="61">
        <v>5280</v>
      </c>
      <c r="N232" s="59"/>
      <c r="O232" s="50">
        <v>10560</v>
      </c>
      <c r="P232" s="50">
        <v>19800</v>
      </c>
      <c r="Q232" s="53"/>
      <c r="R232" s="53">
        <v>1320</v>
      </c>
      <c r="S232" s="53"/>
      <c r="T232" s="53">
        <v>1320</v>
      </c>
      <c r="U232" s="53"/>
      <c r="V232" s="53"/>
      <c r="W232" s="53">
        <v>14520</v>
      </c>
    </row>
    <row r="233" spans="1:23">
      <c r="A233" s="47">
        <v>231</v>
      </c>
      <c r="B233" s="56">
        <v>4971710508857</v>
      </c>
      <c r="C233" s="57" t="s">
        <v>791</v>
      </c>
      <c r="D233" s="75" t="s">
        <v>884</v>
      </c>
      <c r="E233" s="48" t="s">
        <v>1011</v>
      </c>
      <c r="F233" s="50">
        <v>0</v>
      </c>
      <c r="G233" s="52">
        <v>0</v>
      </c>
      <c r="H233" s="50">
        <v>0</v>
      </c>
      <c r="I233" s="50">
        <v>0</v>
      </c>
      <c r="J233" s="50">
        <v>0</v>
      </c>
      <c r="K233" s="53">
        <v>0</v>
      </c>
      <c r="L233" s="59"/>
      <c r="M233" s="61"/>
      <c r="N233" s="59"/>
      <c r="O233" s="50">
        <v>8800</v>
      </c>
      <c r="P233" s="50"/>
      <c r="Q233" s="53"/>
      <c r="R233" s="53">
        <v>13200</v>
      </c>
      <c r="S233" s="53">
        <v>17600</v>
      </c>
      <c r="T233" s="53"/>
      <c r="U233" s="53"/>
      <c r="V233" s="53"/>
      <c r="W233" s="53">
        <v>39600</v>
      </c>
    </row>
    <row r="234" spans="1:23" hidden="1">
      <c r="A234" s="47">
        <v>232</v>
      </c>
      <c r="B234" s="56">
        <v>4971710512267</v>
      </c>
      <c r="C234" s="57" t="s">
        <v>248</v>
      </c>
      <c r="D234" s="75" t="s">
        <v>884</v>
      </c>
      <c r="E234" s="48" t="s">
        <v>249</v>
      </c>
      <c r="F234" s="50">
        <v>0</v>
      </c>
      <c r="G234" s="52">
        <v>0</v>
      </c>
      <c r="H234" s="50">
        <v>0</v>
      </c>
      <c r="I234" s="50">
        <v>13200</v>
      </c>
      <c r="J234" s="50">
        <v>0</v>
      </c>
      <c r="K234" s="53">
        <v>0</v>
      </c>
      <c r="L234" s="59"/>
      <c r="M234" s="61">
        <v>1760</v>
      </c>
      <c r="N234" s="59"/>
      <c r="O234" s="50">
        <v>11440</v>
      </c>
      <c r="P234" s="50"/>
      <c r="Q234" s="53"/>
      <c r="R234" s="53">
        <v>13200</v>
      </c>
      <c r="S234" s="53">
        <v>13200</v>
      </c>
      <c r="T234" s="53"/>
      <c r="U234" s="53"/>
      <c r="V234" s="53"/>
      <c r="W234" s="53"/>
    </row>
    <row r="235" spans="1:23" hidden="1">
      <c r="A235" s="47">
        <v>233</v>
      </c>
      <c r="B235" s="56">
        <v>4971710288612</v>
      </c>
      <c r="C235" s="57" t="s">
        <v>9</v>
      </c>
      <c r="D235" s="75" t="s">
        <v>882</v>
      </c>
      <c r="E235" s="48" t="s">
        <v>8</v>
      </c>
      <c r="F235" s="50">
        <v>0</v>
      </c>
      <c r="G235" s="52">
        <v>52800</v>
      </c>
      <c r="H235" s="50">
        <v>0</v>
      </c>
      <c r="I235" s="50">
        <v>79200</v>
      </c>
      <c r="J235" s="50">
        <v>79200</v>
      </c>
      <c r="K235" s="53">
        <v>253440</v>
      </c>
      <c r="L235" s="59">
        <v>237600</v>
      </c>
      <c r="M235" s="61"/>
      <c r="N235" s="59"/>
      <c r="O235" s="50"/>
      <c r="P235" s="50"/>
      <c r="Q235" s="53"/>
      <c r="R235" s="53"/>
      <c r="S235" s="53"/>
      <c r="T235" s="53"/>
      <c r="U235" s="53"/>
      <c r="V235" s="53"/>
      <c r="W235" s="53"/>
    </row>
    <row r="236" spans="1:23" hidden="1">
      <c r="A236" s="47">
        <v>234</v>
      </c>
      <c r="B236" s="56">
        <v>4971710576016</v>
      </c>
      <c r="C236" s="57" t="s">
        <v>606</v>
      </c>
      <c r="D236" s="75" t="s">
        <v>884</v>
      </c>
      <c r="E236" s="48" t="s">
        <v>607</v>
      </c>
      <c r="F236" s="50">
        <v>0</v>
      </c>
      <c r="G236" s="52">
        <v>0</v>
      </c>
      <c r="H236" s="50">
        <v>6600</v>
      </c>
      <c r="I236" s="50">
        <v>0</v>
      </c>
      <c r="J236" s="50">
        <v>0</v>
      </c>
      <c r="K236" s="53">
        <v>0</v>
      </c>
      <c r="L236" s="59">
        <v>59400</v>
      </c>
      <c r="M236" s="61"/>
      <c r="N236" s="59"/>
      <c r="O236" s="50"/>
      <c r="P236" s="50"/>
      <c r="Q236" s="53"/>
      <c r="R236" s="53"/>
      <c r="S236" s="53"/>
      <c r="T236" s="53"/>
      <c r="U236" s="53"/>
      <c r="V236" s="53"/>
      <c r="W236" s="53"/>
    </row>
    <row r="237" spans="1:23" hidden="1">
      <c r="A237" s="47">
        <v>235</v>
      </c>
      <c r="B237" s="56">
        <v>4971710591545</v>
      </c>
      <c r="C237" s="57" t="s">
        <v>805</v>
      </c>
      <c r="D237" s="75" t="s">
        <v>880</v>
      </c>
      <c r="E237" s="48" t="s">
        <v>1001</v>
      </c>
      <c r="F237" s="50">
        <v>0</v>
      </c>
      <c r="G237" s="52">
        <v>0</v>
      </c>
      <c r="H237" s="50">
        <v>0</v>
      </c>
      <c r="I237" s="50">
        <v>0</v>
      </c>
      <c r="J237" s="50">
        <v>0</v>
      </c>
      <c r="K237" s="53">
        <v>0</v>
      </c>
      <c r="L237" s="59"/>
      <c r="M237" s="61"/>
      <c r="N237" s="59"/>
      <c r="O237" s="50"/>
      <c r="P237" s="50">
        <v>59400</v>
      </c>
      <c r="Q237" s="53"/>
      <c r="R237" s="53"/>
      <c r="S237" s="53"/>
      <c r="T237" s="53"/>
      <c r="U237" s="53"/>
      <c r="V237" s="53"/>
      <c r="W237" s="53"/>
    </row>
    <row r="238" spans="1:23">
      <c r="A238" s="47">
        <v>236</v>
      </c>
      <c r="B238" s="56">
        <v>4971710507614</v>
      </c>
      <c r="C238" s="57" t="s">
        <v>184</v>
      </c>
      <c r="D238" s="75" t="s">
        <v>884</v>
      </c>
      <c r="E238" s="48" t="s">
        <v>185</v>
      </c>
      <c r="F238" s="50">
        <v>0</v>
      </c>
      <c r="G238" s="52">
        <v>15840</v>
      </c>
      <c r="H238" s="50">
        <v>15840</v>
      </c>
      <c r="I238" s="50">
        <v>0</v>
      </c>
      <c r="J238" s="50">
        <v>0</v>
      </c>
      <c r="K238" s="53">
        <v>0</v>
      </c>
      <c r="L238" s="59"/>
      <c r="M238" s="61">
        <v>2640</v>
      </c>
      <c r="N238" s="59">
        <v>3960</v>
      </c>
      <c r="O238" s="50">
        <v>3960</v>
      </c>
      <c r="P238" s="50"/>
      <c r="Q238" s="53"/>
      <c r="R238" s="53">
        <v>13860</v>
      </c>
      <c r="S238" s="53">
        <v>7920</v>
      </c>
      <c r="T238" s="53">
        <v>13200</v>
      </c>
      <c r="U238" s="53"/>
      <c r="V238" s="53"/>
      <c r="W238" s="53">
        <v>13200</v>
      </c>
    </row>
    <row r="239" spans="1:23" hidden="1">
      <c r="A239" s="47">
        <v>237</v>
      </c>
      <c r="B239" s="56">
        <v>4971710517842</v>
      </c>
      <c r="C239" s="57" t="s">
        <v>336</v>
      </c>
      <c r="D239" s="75" t="s">
        <v>884</v>
      </c>
      <c r="E239" s="48" t="s">
        <v>337</v>
      </c>
      <c r="F239" s="50">
        <v>0</v>
      </c>
      <c r="G239" s="52">
        <v>0</v>
      </c>
      <c r="H239" s="50">
        <v>0</v>
      </c>
      <c r="I239" s="50">
        <v>0</v>
      </c>
      <c r="J239" s="50">
        <v>0</v>
      </c>
      <c r="K239" s="53">
        <v>0</v>
      </c>
      <c r="L239" s="59"/>
      <c r="M239" s="61"/>
      <c r="N239" s="59"/>
      <c r="O239" s="50">
        <v>9900</v>
      </c>
      <c r="P239" s="50"/>
      <c r="Q239" s="53">
        <v>48840</v>
      </c>
      <c r="R239" s="53"/>
      <c r="S239" s="53"/>
      <c r="T239" s="53"/>
      <c r="U239" s="53"/>
      <c r="V239" s="53"/>
      <c r="W239" s="53"/>
    </row>
    <row r="240" spans="1:23">
      <c r="A240" s="47">
        <v>238</v>
      </c>
      <c r="B240" s="56">
        <v>4971710521511</v>
      </c>
      <c r="C240" s="57" t="s">
        <v>366</v>
      </c>
      <c r="D240" s="75" t="s">
        <v>884</v>
      </c>
      <c r="E240" s="48" t="s">
        <v>367</v>
      </c>
      <c r="F240" s="50">
        <v>0</v>
      </c>
      <c r="G240" s="52">
        <v>17160</v>
      </c>
      <c r="H240" s="50">
        <v>17160</v>
      </c>
      <c r="I240" s="50">
        <v>1430</v>
      </c>
      <c r="J240" s="50">
        <v>14300</v>
      </c>
      <c r="K240" s="53">
        <v>1430</v>
      </c>
      <c r="L240" s="59"/>
      <c r="M240" s="61">
        <v>1430</v>
      </c>
      <c r="N240" s="59"/>
      <c r="O240" s="50">
        <v>14300</v>
      </c>
      <c r="P240" s="50">
        <v>1430</v>
      </c>
      <c r="Q240" s="53">
        <v>2860</v>
      </c>
      <c r="R240" s="53">
        <v>1430</v>
      </c>
      <c r="S240" s="53">
        <v>14300</v>
      </c>
      <c r="T240" s="53">
        <v>2860</v>
      </c>
      <c r="U240" s="53"/>
      <c r="V240" s="53"/>
      <c r="W240" s="53">
        <v>24310</v>
      </c>
    </row>
    <row r="241" spans="1:23" hidden="1">
      <c r="A241" s="47">
        <v>239</v>
      </c>
      <c r="B241" s="56">
        <v>4971710496468</v>
      </c>
      <c r="C241" s="57" t="s">
        <v>170</v>
      </c>
      <c r="D241" s="75" t="s">
        <v>884</v>
      </c>
      <c r="E241" s="48" t="s">
        <v>171</v>
      </c>
      <c r="F241" s="50">
        <v>0</v>
      </c>
      <c r="G241" s="52">
        <v>0</v>
      </c>
      <c r="H241" s="50">
        <v>0</v>
      </c>
      <c r="I241" s="50">
        <v>8250</v>
      </c>
      <c r="J241" s="50">
        <v>16500</v>
      </c>
      <c r="K241" s="53">
        <v>0</v>
      </c>
      <c r="L241" s="59">
        <v>33000</v>
      </c>
      <c r="M241" s="61"/>
      <c r="N241" s="59"/>
      <c r="O241" s="50"/>
      <c r="P241" s="50"/>
      <c r="Q241" s="53"/>
      <c r="R241" s="53">
        <v>5775</v>
      </c>
      <c r="S241" s="53">
        <v>16500</v>
      </c>
      <c r="T241" s="53">
        <v>16500</v>
      </c>
      <c r="U241" s="53"/>
      <c r="V241" s="53"/>
      <c r="W241" s="53"/>
    </row>
    <row r="242" spans="1:23">
      <c r="A242" s="47">
        <v>240</v>
      </c>
      <c r="B242" s="56">
        <v>4971710586565</v>
      </c>
      <c r="C242" s="57" t="s">
        <v>812</v>
      </c>
      <c r="D242" s="75" t="s">
        <v>880</v>
      </c>
      <c r="E242" s="48" t="s">
        <v>1012</v>
      </c>
      <c r="F242" s="50">
        <v>0</v>
      </c>
      <c r="G242" s="52">
        <v>0</v>
      </c>
      <c r="H242" s="50">
        <v>0</v>
      </c>
      <c r="I242" s="50">
        <v>0</v>
      </c>
      <c r="J242" s="50">
        <v>0</v>
      </c>
      <c r="K242" s="53">
        <v>0</v>
      </c>
      <c r="L242" s="59"/>
      <c r="M242" s="61"/>
      <c r="N242" s="59"/>
      <c r="O242" s="50"/>
      <c r="P242" s="50"/>
      <c r="Q242" s="53">
        <v>35640</v>
      </c>
      <c r="R242" s="53"/>
      <c r="S242" s="53">
        <v>2640</v>
      </c>
      <c r="T242" s="53">
        <v>3960</v>
      </c>
      <c r="U242" s="53"/>
      <c r="V242" s="53"/>
      <c r="W242" s="53">
        <v>13860</v>
      </c>
    </row>
    <row r="243" spans="1:23">
      <c r="A243" s="47">
        <v>241</v>
      </c>
      <c r="B243" s="56">
        <v>4971710579796</v>
      </c>
      <c r="C243" s="57" t="s">
        <v>654</v>
      </c>
      <c r="D243" s="75" t="s">
        <v>884</v>
      </c>
      <c r="E243" s="48" t="s">
        <v>655</v>
      </c>
      <c r="F243" s="50">
        <v>6600</v>
      </c>
      <c r="G243" s="52">
        <v>19800</v>
      </c>
      <c r="H243" s="50">
        <v>0</v>
      </c>
      <c r="I243" s="50">
        <v>0</v>
      </c>
      <c r="J243" s="50">
        <v>0</v>
      </c>
      <c r="K243" s="53">
        <v>0</v>
      </c>
      <c r="L243" s="59">
        <v>42900</v>
      </c>
      <c r="M243" s="61"/>
      <c r="N243" s="59"/>
      <c r="O243" s="50"/>
      <c r="P243" s="50"/>
      <c r="Q243" s="53"/>
      <c r="R243" s="53"/>
      <c r="S243" s="53"/>
      <c r="T243" s="53"/>
      <c r="U243" s="53"/>
      <c r="V243" s="53"/>
      <c r="W243" s="53">
        <v>13200</v>
      </c>
    </row>
    <row r="244" spans="1:23">
      <c r="A244" s="47">
        <v>242</v>
      </c>
      <c r="B244" s="56">
        <v>4971710579918</v>
      </c>
      <c r="C244" s="57" t="s">
        <v>668</v>
      </c>
      <c r="D244" s="75" t="s">
        <v>884</v>
      </c>
      <c r="E244" s="48" t="s">
        <v>669</v>
      </c>
      <c r="F244" s="50">
        <v>0</v>
      </c>
      <c r="G244" s="52">
        <v>0</v>
      </c>
      <c r="H244" s="50">
        <v>0</v>
      </c>
      <c r="I244" s="50">
        <v>41250</v>
      </c>
      <c r="J244" s="50">
        <v>1650</v>
      </c>
      <c r="K244" s="53">
        <v>0</v>
      </c>
      <c r="L244" s="59">
        <v>34650</v>
      </c>
      <c r="M244" s="61">
        <v>4950</v>
      </c>
      <c r="N244" s="59">
        <v>1650</v>
      </c>
      <c r="O244" s="50"/>
      <c r="P244" s="50">
        <v>1650</v>
      </c>
      <c r="Q244" s="53">
        <v>3300</v>
      </c>
      <c r="R244" s="53">
        <v>12375</v>
      </c>
      <c r="S244" s="53"/>
      <c r="T244" s="53"/>
      <c r="U244" s="53"/>
      <c r="V244" s="53"/>
      <c r="W244" s="53">
        <v>11550</v>
      </c>
    </row>
    <row r="245" spans="1:23" hidden="1">
      <c r="A245" s="47">
        <v>243</v>
      </c>
      <c r="B245" s="56">
        <v>4971710494921</v>
      </c>
      <c r="C245" s="57" t="s">
        <v>134</v>
      </c>
      <c r="D245" s="75" t="s">
        <v>884</v>
      </c>
      <c r="E245" s="48" t="s">
        <v>135</v>
      </c>
      <c r="F245" s="50">
        <v>0</v>
      </c>
      <c r="G245" s="52">
        <v>0</v>
      </c>
      <c r="H245" s="50">
        <v>0</v>
      </c>
      <c r="I245" s="50">
        <v>0</v>
      </c>
      <c r="J245" s="50">
        <v>0</v>
      </c>
      <c r="K245" s="53">
        <v>0</v>
      </c>
      <c r="L245" s="59"/>
      <c r="M245" s="61">
        <v>2640</v>
      </c>
      <c r="N245" s="59"/>
      <c r="O245" s="50">
        <v>2640</v>
      </c>
      <c r="P245" s="50">
        <v>13200</v>
      </c>
      <c r="Q245" s="53">
        <v>36960</v>
      </c>
      <c r="R245" s="53"/>
      <c r="S245" s="53"/>
      <c r="T245" s="53"/>
      <c r="U245" s="53"/>
      <c r="V245" s="53"/>
      <c r="W245" s="53"/>
    </row>
    <row r="246" spans="1:23">
      <c r="A246" s="47">
        <v>244</v>
      </c>
      <c r="B246" s="56">
        <v>4971710516739</v>
      </c>
      <c r="C246" s="57" t="s">
        <v>322</v>
      </c>
      <c r="D246" s="75" t="s">
        <v>880</v>
      </c>
      <c r="E246" s="48" t="s">
        <v>323</v>
      </c>
      <c r="F246" s="50">
        <v>0</v>
      </c>
      <c r="G246" s="52">
        <v>0</v>
      </c>
      <c r="H246" s="50">
        <v>0</v>
      </c>
      <c r="I246" s="50">
        <v>0</v>
      </c>
      <c r="J246" s="50">
        <v>15400</v>
      </c>
      <c r="K246" s="53">
        <v>0</v>
      </c>
      <c r="L246" s="59"/>
      <c r="M246" s="61"/>
      <c r="N246" s="59"/>
      <c r="O246" s="50">
        <v>4620</v>
      </c>
      <c r="P246" s="50">
        <v>23100</v>
      </c>
      <c r="Q246" s="53"/>
      <c r="R246" s="53"/>
      <c r="S246" s="53"/>
      <c r="T246" s="53"/>
      <c r="U246" s="53"/>
      <c r="V246" s="53"/>
      <c r="W246" s="53">
        <v>34650</v>
      </c>
    </row>
    <row r="247" spans="1:23">
      <c r="A247" s="47">
        <v>245</v>
      </c>
      <c r="B247" s="56">
        <v>4971710611816</v>
      </c>
      <c r="C247" s="57" t="s">
        <v>959</v>
      </c>
      <c r="D247" s="75" t="s">
        <v>884</v>
      </c>
      <c r="E247" s="48" t="s">
        <v>960</v>
      </c>
      <c r="F247" s="50"/>
      <c r="G247" s="52"/>
      <c r="H247" s="50"/>
      <c r="I247" s="50"/>
      <c r="J247" s="50"/>
      <c r="K247" s="53"/>
      <c r="L247" s="59"/>
      <c r="M247" s="61"/>
      <c r="N247" s="59"/>
      <c r="O247" s="50"/>
      <c r="P247" s="50"/>
      <c r="Q247" s="53"/>
      <c r="R247" s="53"/>
      <c r="S247" s="53"/>
      <c r="T247" s="53">
        <v>15400</v>
      </c>
      <c r="U247" s="53"/>
      <c r="V247" s="53"/>
      <c r="W247" s="53">
        <v>46200</v>
      </c>
    </row>
    <row r="248" spans="1:23">
      <c r="A248" s="47">
        <v>246</v>
      </c>
      <c r="B248" s="56">
        <v>4971710611823</v>
      </c>
      <c r="C248" s="57" t="s">
        <v>961</v>
      </c>
      <c r="D248" s="75" t="s">
        <v>884</v>
      </c>
      <c r="E248" s="48" t="s">
        <v>962</v>
      </c>
      <c r="F248" s="50"/>
      <c r="G248" s="52"/>
      <c r="H248" s="50"/>
      <c r="I248" s="50"/>
      <c r="J248" s="50"/>
      <c r="K248" s="53"/>
      <c r="L248" s="59"/>
      <c r="M248" s="61"/>
      <c r="N248" s="59"/>
      <c r="O248" s="50"/>
      <c r="P248" s="50"/>
      <c r="Q248" s="53"/>
      <c r="R248" s="53"/>
      <c r="S248" s="53"/>
      <c r="T248" s="53">
        <v>15400</v>
      </c>
      <c r="U248" s="53"/>
      <c r="V248" s="53"/>
      <c r="W248" s="53">
        <v>46200</v>
      </c>
    </row>
    <row r="249" spans="1:23">
      <c r="A249" s="47">
        <v>247</v>
      </c>
      <c r="B249" s="56">
        <v>4971710513660</v>
      </c>
      <c r="C249" s="57" t="s">
        <v>268</v>
      </c>
      <c r="D249" s="75" t="s">
        <v>880</v>
      </c>
      <c r="E249" s="48" t="s">
        <v>269</v>
      </c>
      <c r="F249" s="50">
        <v>0</v>
      </c>
      <c r="G249" s="52">
        <v>0</v>
      </c>
      <c r="H249" s="50">
        <v>0</v>
      </c>
      <c r="I249" s="50">
        <v>0</v>
      </c>
      <c r="J249" s="50">
        <v>9340</v>
      </c>
      <c r="K249" s="53">
        <v>0</v>
      </c>
      <c r="L249" s="59"/>
      <c r="M249" s="61"/>
      <c r="N249" s="59">
        <v>14010</v>
      </c>
      <c r="O249" s="50"/>
      <c r="P249" s="50"/>
      <c r="Q249" s="53"/>
      <c r="R249" s="53"/>
      <c r="S249" s="53">
        <v>9340</v>
      </c>
      <c r="T249" s="53"/>
      <c r="U249" s="53"/>
      <c r="V249" s="53"/>
      <c r="W249" s="53">
        <v>14010</v>
      </c>
    </row>
    <row r="250" spans="1:23">
      <c r="A250" s="47">
        <v>248</v>
      </c>
      <c r="B250" s="56">
        <v>4971710519266</v>
      </c>
      <c r="C250" s="57" t="s">
        <v>348</v>
      </c>
      <c r="D250" s="75" t="s">
        <v>880</v>
      </c>
      <c r="E250" s="48" t="s">
        <v>349</v>
      </c>
      <c r="F250" s="50">
        <v>0</v>
      </c>
      <c r="G250" s="52">
        <v>21450</v>
      </c>
      <c r="H250" s="50">
        <v>21450</v>
      </c>
      <c r="I250" s="50">
        <v>0</v>
      </c>
      <c r="J250" s="50">
        <v>21450</v>
      </c>
      <c r="K250" s="53">
        <v>0</v>
      </c>
      <c r="L250" s="59"/>
      <c r="M250" s="61"/>
      <c r="N250" s="59"/>
      <c r="O250" s="50"/>
      <c r="P250" s="50">
        <v>35750</v>
      </c>
      <c r="Q250" s="53"/>
      <c r="R250" s="53"/>
      <c r="S250" s="53"/>
      <c r="T250" s="53"/>
      <c r="U250" s="53"/>
      <c r="V250" s="53"/>
      <c r="W250" s="53">
        <v>21450</v>
      </c>
    </row>
    <row r="251" spans="1:23" hidden="1">
      <c r="A251" s="47">
        <v>249</v>
      </c>
      <c r="B251" s="56">
        <v>4971710513653</v>
      </c>
      <c r="C251" s="57" t="s">
        <v>266</v>
      </c>
      <c r="D251" s="75" t="s">
        <v>880</v>
      </c>
      <c r="E251" s="48" t="s">
        <v>267</v>
      </c>
      <c r="F251" s="50">
        <v>0</v>
      </c>
      <c r="G251" s="52">
        <v>0</v>
      </c>
      <c r="H251" s="50">
        <v>0</v>
      </c>
      <c r="I251" s="50">
        <v>0</v>
      </c>
      <c r="J251" s="50">
        <v>9340</v>
      </c>
      <c r="K251" s="53">
        <v>0</v>
      </c>
      <c r="L251" s="59"/>
      <c r="M251" s="61"/>
      <c r="N251" s="59"/>
      <c r="O251" s="50"/>
      <c r="P251" s="50"/>
      <c r="Q251" s="53"/>
      <c r="R251" s="53">
        <v>23350</v>
      </c>
      <c r="S251" s="53">
        <v>14010</v>
      </c>
      <c r="T251" s="53"/>
      <c r="U251" s="53"/>
      <c r="V251" s="53"/>
      <c r="W251" s="53"/>
    </row>
    <row r="252" spans="1:23" hidden="1">
      <c r="A252" s="47">
        <v>250</v>
      </c>
      <c r="B252" s="56">
        <v>4971710507652</v>
      </c>
      <c r="C252" s="57" t="s">
        <v>186</v>
      </c>
      <c r="D252" s="75" t="s">
        <v>884</v>
      </c>
      <c r="E252" s="48" t="s">
        <v>187</v>
      </c>
      <c r="F252" s="50">
        <v>0</v>
      </c>
      <c r="G252" s="52">
        <v>0</v>
      </c>
      <c r="H252" s="50">
        <v>12375</v>
      </c>
      <c r="I252" s="50">
        <v>8250</v>
      </c>
      <c r="J252" s="50">
        <v>0</v>
      </c>
      <c r="K252" s="53">
        <v>0</v>
      </c>
      <c r="L252" s="59">
        <v>24750</v>
      </c>
      <c r="M252" s="61">
        <v>1650</v>
      </c>
      <c r="N252" s="59"/>
      <c r="O252" s="50"/>
      <c r="P252" s="50">
        <v>3300</v>
      </c>
      <c r="Q252" s="53"/>
      <c r="R252" s="53">
        <v>19800</v>
      </c>
      <c r="S252" s="53">
        <v>16500</v>
      </c>
      <c r="T252" s="53"/>
      <c r="U252" s="53"/>
      <c r="V252" s="53"/>
      <c r="W252" s="53"/>
    </row>
    <row r="253" spans="1:23">
      <c r="A253" s="47">
        <v>251</v>
      </c>
      <c r="B253" s="56">
        <v>4971710619751</v>
      </c>
      <c r="C253" s="57" t="s">
        <v>1070</v>
      </c>
      <c r="D253" s="75" t="s">
        <v>884</v>
      </c>
      <c r="E253" s="48" t="s">
        <v>1071</v>
      </c>
      <c r="F253" s="50"/>
      <c r="G253" s="52"/>
      <c r="H253" s="50"/>
      <c r="I253" s="50"/>
      <c r="J253" s="50"/>
      <c r="K253" s="53"/>
      <c r="L253" s="59"/>
      <c r="M253" s="61"/>
      <c r="N253" s="59"/>
      <c r="O253" s="50"/>
      <c r="P253" s="50"/>
      <c r="Q253" s="53"/>
      <c r="R253" s="53"/>
      <c r="S253" s="53"/>
      <c r="T253" s="53"/>
      <c r="U253" s="53"/>
      <c r="V253" s="53"/>
      <c r="W253" s="53">
        <v>68640</v>
      </c>
    </row>
    <row r="254" spans="1:23">
      <c r="A254" s="47">
        <v>252</v>
      </c>
      <c r="B254" s="56">
        <v>4971710597035</v>
      </c>
      <c r="C254" s="57" t="s">
        <v>826</v>
      </c>
      <c r="D254" s="75" t="s">
        <v>880</v>
      </c>
      <c r="E254" s="48" t="s">
        <v>1015</v>
      </c>
      <c r="F254" s="50">
        <v>0</v>
      </c>
      <c r="G254" s="52">
        <v>0</v>
      </c>
      <c r="H254" s="50">
        <v>0</v>
      </c>
      <c r="I254" s="50">
        <v>0</v>
      </c>
      <c r="J254" s="50">
        <v>0</v>
      </c>
      <c r="K254" s="53">
        <v>0</v>
      </c>
      <c r="L254" s="59"/>
      <c r="M254" s="61"/>
      <c r="N254" s="59"/>
      <c r="O254" s="50"/>
      <c r="P254" s="50"/>
      <c r="Q254" s="53">
        <v>31680</v>
      </c>
      <c r="R254" s="53"/>
      <c r="S254" s="53"/>
      <c r="T254" s="53">
        <v>26400</v>
      </c>
      <c r="U254" s="53"/>
      <c r="V254" s="53"/>
      <c r="W254" s="53">
        <v>8800</v>
      </c>
    </row>
    <row r="255" spans="1:23" hidden="1">
      <c r="A255" s="47">
        <v>253</v>
      </c>
      <c r="B255" s="56">
        <v>4971710571905</v>
      </c>
      <c r="C255" s="57" t="s">
        <v>1004</v>
      </c>
      <c r="D255" s="75" t="s">
        <v>1085</v>
      </c>
      <c r="E255" s="48" t="s">
        <v>858</v>
      </c>
      <c r="F255" s="50">
        <v>0</v>
      </c>
      <c r="G255" s="52">
        <v>0</v>
      </c>
      <c r="H255" s="50">
        <v>0</v>
      </c>
      <c r="I255" s="50">
        <v>0</v>
      </c>
      <c r="J255" s="50">
        <v>0</v>
      </c>
      <c r="K255" s="53">
        <v>0</v>
      </c>
      <c r="L255" s="59"/>
      <c r="M255" s="61"/>
      <c r="N255" s="59"/>
      <c r="O255" s="50"/>
      <c r="P255" s="50">
        <v>22275</v>
      </c>
      <c r="Q255" s="53"/>
      <c r="R255" s="53"/>
      <c r="S255" s="53"/>
      <c r="T255" s="53"/>
      <c r="U255" s="53"/>
      <c r="V255" s="53"/>
      <c r="W255" s="53"/>
    </row>
    <row r="256" spans="1:23" hidden="1">
      <c r="A256" s="47">
        <v>254</v>
      </c>
      <c r="B256" s="56">
        <v>4971710565119</v>
      </c>
      <c r="C256" s="57" t="s">
        <v>513</v>
      </c>
      <c r="D256" s="75" t="s">
        <v>880</v>
      </c>
      <c r="E256" s="48" t="s">
        <v>514</v>
      </c>
      <c r="F256" s="50">
        <v>0</v>
      </c>
      <c r="G256" s="52">
        <v>0</v>
      </c>
      <c r="H256" s="50">
        <v>6600</v>
      </c>
      <c r="I256" s="50">
        <v>0</v>
      </c>
      <c r="J256" s="50">
        <v>13200</v>
      </c>
      <c r="K256" s="53">
        <v>0</v>
      </c>
      <c r="L256" s="59">
        <v>13200</v>
      </c>
      <c r="M256" s="61">
        <v>1320</v>
      </c>
      <c r="N256" s="59"/>
      <c r="O256" s="50"/>
      <c r="P256" s="50">
        <v>33000</v>
      </c>
      <c r="Q256" s="53"/>
      <c r="R256" s="53"/>
      <c r="S256" s="53"/>
      <c r="T256" s="53"/>
      <c r="U256" s="53"/>
      <c r="V256" s="53"/>
      <c r="W256" s="53"/>
    </row>
    <row r="257" spans="1:23">
      <c r="A257" s="47">
        <v>255</v>
      </c>
      <c r="B257" s="56">
        <v>4971710619812</v>
      </c>
      <c r="C257" s="57" t="s">
        <v>1066</v>
      </c>
      <c r="D257" s="75" t="s">
        <v>884</v>
      </c>
      <c r="E257" s="48" t="s">
        <v>1068</v>
      </c>
      <c r="F257" s="50"/>
      <c r="G257" s="52"/>
      <c r="H257" s="50"/>
      <c r="I257" s="50"/>
      <c r="J257" s="50"/>
      <c r="K257" s="53"/>
      <c r="L257" s="59"/>
      <c r="M257" s="61"/>
      <c r="N257" s="59"/>
      <c r="O257" s="50"/>
      <c r="P257" s="50"/>
      <c r="Q257" s="53"/>
      <c r="R257" s="53"/>
      <c r="S257" s="53"/>
      <c r="T257" s="53"/>
      <c r="U257" s="53"/>
      <c r="V257" s="53"/>
      <c r="W257" s="53">
        <v>50765</v>
      </c>
    </row>
    <row r="258" spans="1:23">
      <c r="A258" s="47">
        <v>256</v>
      </c>
      <c r="B258" s="56">
        <v>4971710619829</v>
      </c>
      <c r="C258" s="57" t="s">
        <v>1067</v>
      </c>
      <c r="D258" s="75" t="s">
        <v>884</v>
      </c>
      <c r="E258" s="48" t="s">
        <v>1069</v>
      </c>
      <c r="F258" s="50"/>
      <c r="G258" s="52"/>
      <c r="H258" s="50"/>
      <c r="I258" s="50"/>
      <c r="J258" s="50"/>
      <c r="K258" s="53"/>
      <c r="L258" s="59"/>
      <c r="M258" s="61"/>
      <c r="N258" s="59"/>
      <c r="O258" s="50"/>
      <c r="P258" s="50"/>
      <c r="Q258" s="53"/>
      <c r="R258" s="53"/>
      <c r="S258" s="53"/>
      <c r="T258" s="53"/>
      <c r="U258" s="53"/>
      <c r="V258" s="53"/>
      <c r="W258" s="53">
        <v>50765</v>
      </c>
    </row>
    <row r="259" spans="1:23">
      <c r="A259" s="47">
        <v>257</v>
      </c>
      <c r="B259" s="56">
        <v>4971710579888</v>
      </c>
      <c r="C259" s="57" t="s">
        <v>662</v>
      </c>
      <c r="D259" s="75" t="s">
        <v>884</v>
      </c>
      <c r="E259" s="48" t="s">
        <v>663</v>
      </c>
      <c r="F259" s="50">
        <v>0</v>
      </c>
      <c r="G259" s="52">
        <v>0</v>
      </c>
      <c r="H259" s="50">
        <v>0</v>
      </c>
      <c r="I259" s="50">
        <v>41250</v>
      </c>
      <c r="J259" s="50">
        <v>1650</v>
      </c>
      <c r="K259" s="53">
        <v>0</v>
      </c>
      <c r="L259" s="59">
        <v>34650</v>
      </c>
      <c r="M259" s="61">
        <v>4950</v>
      </c>
      <c r="N259" s="59">
        <v>1650</v>
      </c>
      <c r="O259" s="50"/>
      <c r="P259" s="50">
        <v>1650</v>
      </c>
      <c r="Q259" s="53"/>
      <c r="R259" s="53"/>
      <c r="S259" s="53"/>
      <c r="T259" s="53">
        <v>3300</v>
      </c>
      <c r="U259" s="53"/>
      <c r="V259" s="53"/>
      <c r="W259" s="53">
        <v>12375</v>
      </c>
    </row>
    <row r="260" spans="1:23">
      <c r="A260" s="47">
        <v>258</v>
      </c>
      <c r="B260" s="56">
        <v>4971710565089</v>
      </c>
      <c r="C260" s="57" t="s">
        <v>507</v>
      </c>
      <c r="D260" s="75" t="s">
        <v>880</v>
      </c>
      <c r="E260" s="48" t="s">
        <v>508</v>
      </c>
      <c r="F260" s="50">
        <v>0</v>
      </c>
      <c r="G260" s="52">
        <v>19800</v>
      </c>
      <c r="H260" s="50">
        <v>6600</v>
      </c>
      <c r="I260" s="50">
        <v>0</v>
      </c>
      <c r="J260" s="50">
        <v>21120</v>
      </c>
      <c r="K260" s="53">
        <v>0</v>
      </c>
      <c r="L260" s="59">
        <v>7920</v>
      </c>
      <c r="M260" s="61"/>
      <c r="N260" s="59"/>
      <c r="O260" s="50"/>
      <c r="P260" s="50">
        <v>18480</v>
      </c>
      <c r="Q260" s="53"/>
      <c r="R260" s="53"/>
      <c r="S260" s="53"/>
      <c r="T260" s="53"/>
      <c r="U260" s="53"/>
      <c r="V260" s="53"/>
      <c r="W260" s="53">
        <v>19800</v>
      </c>
    </row>
    <row r="261" spans="1:23" hidden="1">
      <c r="A261" s="47">
        <v>259</v>
      </c>
      <c r="B261" s="56">
        <v>4971710288629</v>
      </c>
      <c r="C261" s="57" t="s">
        <v>770</v>
      </c>
      <c r="D261" s="75" t="s">
        <v>882</v>
      </c>
      <c r="E261" s="48" t="s">
        <v>771</v>
      </c>
      <c r="F261" s="50">
        <v>0</v>
      </c>
      <c r="G261" s="52">
        <v>0</v>
      </c>
      <c r="H261" s="50">
        <v>0</v>
      </c>
      <c r="I261" s="50">
        <v>140250</v>
      </c>
      <c r="J261" s="50">
        <v>140250</v>
      </c>
      <c r="K261" s="53">
        <v>0</v>
      </c>
      <c r="L261" s="59">
        <v>140250</v>
      </c>
      <c r="M261" s="61">
        <v>187000</v>
      </c>
      <c r="N261" s="59"/>
      <c r="O261" s="50"/>
      <c r="P261" s="50"/>
      <c r="Q261" s="53"/>
      <c r="R261" s="53"/>
      <c r="S261" s="53"/>
      <c r="T261" s="53"/>
      <c r="U261" s="53"/>
      <c r="V261" s="53"/>
      <c r="W261" s="53"/>
    </row>
    <row r="262" spans="1:23" hidden="1">
      <c r="A262" s="47">
        <v>260</v>
      </c>
      <c r="B262" s="56">
        <v>4971710509038</v>
      </c>
      <c r="C262" s="57" t="s">
        <v>206</v>
      </c>
      <c r="D262" s="75" t="s">
        <v>884</v>
      </c>
      <c r="E262" s="48" t="s">
        <v>207</v>
      </c>
      <c r="F262" s="50">
        <v>0</v>
      </c>
      <c r="G262" s="52">
        <v>0</v>
      </c>
      <c r="H262" s="50">
        <v>0</v>
      </c>
      <c r="I262" s="50">
        <v>0</v>
      </c>
      <c r="J262" s="50">
        <v>0</v>
      </c>
      <c r="K262" s="53">
        <v>0</v>
      </c>
      <c r="L262" s="59">
        <v>16500</v>
      </c>
      <c r="M262" s="61">
        <v>5500</v>
      </c>
      <c r="N262" s="59">
        <v>16500</v>
      </c>
      <c r="O262" s="50"/>
      <c r="P262" s="50"/>
      <c r="Q262" s="53"/>
      <c r="R262" s="53"/>
      <c r="S262" s="53"/>
      <c r="T262" s="53"/>
      <c r="U262" s="53"/>
      <c r="V262" s="53"/>
      <c r="W262" s="53"/>
    </row>
    <row r="263" spans="1:23">
      <c r="A263" s="47">
        <v>261</v>
      </c>
      <c r="B263" s="56">
        <v>4971710597042</v>
      </c>
      <c r="C263" s="57" t="s">
        <v>825</v>
      </c>
      <c r="D263" s="75" t="s">
        <v>880</v>
      </c>
      <c r="E263" s="48" t="s">
        <v>1018</v>
      </c>
      <c r="F263" s="50">
        <v>0</v>
      </c>
      <c r="G263" s="52">
        <v>0</v>
      </c>
      <c r="H263" s="50">
        <v>0</v>
      </c>
      <c r="I263" s="50">
        <v>0</v>
      </c>
      <c r="J263" s="50">
        <v>0</v>
      </c>
      <c r="K263" s="53">
        <v>0</v>
      </c>
      <c r="L263" s="59"/>
      <c r="M263" s="61"/>
      <c r="N263" s="59"/>
      <c r="O263" s="50"/>
      <c r="P263" s="50"/>
      <c r="Q263" s="53">
        <v>21120</v>
      </c>
      <c r="R263" s="53"/>
      <c r="S263" s="53"/>
      <c r="T263" s="53">
        <v>26400</v>
      </c>
      <c r="U263" s="53"/>
      <c r="V263" s="53"/>
      <c r="W263" s="53">
        <v>13200</v>
      </c>
    </row>
    <row r="264" spans="1:23">
      <c r="A264" s="47">
        <v>262</v>
      </c>
      <c r="B264" s="56">
        <v>4971710579871</v>
      </c>
      <c r="C264" s="57" t="s">
        <v>660</v>
      </c>
      <c r="D264" s="75" t="s">
        <v>884</v>
      </c>
      <c r="E264" s="48" t="s">
        <v>661</v>
      </c>
      <c r="F264" s="50">
        <v>0</v>
      </c>
      <c r="G264" s="52">
        <v>0</v>
      </c>
      <c r="H264" s="50">
        <v>0</v>
      </c>
      <c r="I264" s="50">
        <v>41250</v>
      </c>
      <c r="J264" s="50">
        <v>0</v>
      </c>
      <c r="K264" s="53">
        <v>0</v>
      </c>
      <c r="L264" s="59">
        <v>34650</v>
      </c>
      <c r="M264" s="61">
        <v>4950</v>
      </c>
      <c r="N264" s="59">
        <v>1650</v>
      </c>
      <c r="O264" s="50"/>
      <c r="P264" s="50">
        <v>1650</v>
      </c>
      <c r="Q264" s="53"/>
      <c r="R264" s="53">
        <v>12375</v>
      </c>
      <c r="S264" s="53"/>
      <c r="T264" s="53"/>
      <c r="U264" s="53"/>
      <c r="V264" s="53"/>
      <c r="W264" s="53">
        <v>1650</v>
      </c>
    </row>
    <row r="265" spans="1:23" hidden="1">
      <c r="A265" s="47">
        <v>263</v>
      </c>
      <c r="B265" s="56">
        <v>4971710541168</v>
      </c>
      <c r="C265" s="57" t="s">
        <v>424</v>
      </c>
      <c r="D265" s="75" t="s">
        <v>884</v>
      </c>
      <c r="E265" s="48" t="s">
        <v>425</v>
      </c>
      <c r="F265" s="50">
        <v>6600</v>
      </c>
      <c r="G265" s="52">
        <v>0</v>
      </c>
      <c r="H265" s="50">
        <v>0</v>
      </c>
      <c r="I265" s="50">
        <v>0</v>
      </c>
      <c r="J265" s="50">
        <v>0</v>
      </c>
      <c r="K265" s="53">
        <v>0</v>
      </c>
      <c r="L265" s="59">
        <v>13200</v>
      </c>
      <c r="M265" s="61"/>
      <c r="N265" s="59"/>
      <c r="O265" s="50"/>
      <c r="P265" s="50">
        <v>9900</v>
      </c>
      <c r="Q265" s="53">
        <v>2640</v>
      </c>
      <c r="R265" s="53"/>
      <c r="S265" s="53">
        <v>19800</v>
      </c>
      <c r="T265" s="53"/>
      <c r="U265" s="53"/>
      <c r="V265" s="53"/>
      <c r="W265" s="53"/>
    </row>
    <row r="266" spans="1:23" hidden="1">
      <c r="A266" s="47">
        <v>264</v>
      </c>
      <c r="B266" s="56">
        <v>4971710585063</v>
      </c>
      <c r="C266" s="57" t="s">
        <v>809</v>
      </c>
      <c r="D266" s="75" t="s">
        <v>896</v>
      </c>
      <c r="E266" s="48" t="s">
        <v>1006</v>
      </c>
      <c r="F266" s="50">
        <v>0</v>
      </c>
      <c r="G266" s="52">
        <v>0</v>
      </c>
      <c r="H266" s="50">
        <v>0</v>
      </c>
      <c r="I266" s="50">
        <v>0</v>
      </c>
      <c r="J266" s="50">
        <v>0</v>
      </c>
      <c r="K266" s="53">
        <v>0</v>
      </c>
      <c r="L266" s="59"/>
      <c r="M266" s="61"/>
      <c r="N266" s="59"/>
      <c r="O266" s="50"/>
      <c r="P266" s="50">
        <v>45540</v>
      </c>
      <c r="Q266" s="53"/>
      <c r="R266" s="53"/>
      <c r="S266" s="53"/>
      <c r="T266" s="53"/>
      <c r="U266" s="53"/>
      <c r="V266" s="53"/>
      <c r="W266" s="53"/>
    </row>
    <row r="267" spans="1:23" hidden="1">
      <c r="A267" s="47">
        <v>265</v>
      </c>
      <c r="B267" s="56">
        <v>4971710494860</v>
      </c>
      <c r="C267" s="57" t="s">
        <v>126</v>
      </c>
      <c r="D267" s="75" t="s">
        <v>884</v>
      </c>
      <c r="E267" s="48" t="s">
        <v>127</v>
      </c>
      <c r="F267" s="50">
        <v>0</v>
      </c>
      <c r="G267" s="52">
        <v>0</v>
      </c>
      <c r="H267" s="50">
        <v>0</v>
      </c>
      <c r="I267" s="50">
        <v>42350</v>
      </c>
      <c r="J267" s="50">
        <v>15125</v>
      </c>
      <c r="K267" s="53">
        <v>0</v>
      </c>
      <c r="L267" s="59">
        <v>30250</v>
      </c>
      <c r="M267" s="61">
        <v>10890</v>
      </c>
      <c r="N267" s="59"/>
      <c r="O267" s="50"/>
      <c r="P267" s="50"/>
      <c r="Q267" s="53"/>
      <c r="R267" s="53"/>
      <c r="S267" s="53"/>
      <c r="T267" s="53"/>
      <c r="U267" s="53"/>
      <c r="V267" s="53"/>
      <c r="W267" s="53"/>
    </row>
    <row r="268" spans="1:23" hidden="1">
      <c r="A268" s="47">
        <v>266</v>
      </c>
      <c r="B268" s="56">
        <v>4971710588118</v>
      </c>
      <c r="C268" s="57" t="s">
        <v>714</v>
      </c>
      <c r="D268" s="75" t="s">
        <v>884</v>
      </c>
      <c r="E268" s="48" t="s">
        <v>715</v>
      </c>
      <c r="F268" s="50">
        <v>0</v>
      </c>
      <c r="G268" s="52">
        <v>0</v>
      </c>
      <c r="H268" s="50">
        <v>0</v>
      </c>
      <c r="I268" s="50">
        <v>0</v>
      </c>
      <c r="J268" s="50">
        <v>214500</v>
      </c>
      <c r="K268" s="53">
        <v>30030</v>
      </c>
      <c r="L268" s="59">
        <v>3575</v>
      </c>
      <c r="M268" s="61">
        <v>4290</v>
      </c>
      <c r="N268" s="59">
        <v>4290</v>
      </c>
      <c r="O268" s="50">
        <v>4290</v>
      </c>
      <c r="P268" s="50"/>
      <c r="Q268" s="53"/>
      <c r="R268" s="53">
        <v>1430</v>
      </c>
      <c r="S268" s="53"/>
      <c r="T268" s="53">
        <v>30030</v>
      </c>
      <c r="U268" s="53"/>
      <c r="V268" s="53"/>
      <c r="W268" s="53"/>
    </row>
    <row r="269" spans="1:23">
      <c r="A269" s="47">
        <v>267</v>
      </c>
      <c r="B269" s="56">
        <v>4971710516746</v>
      </c>
      <c r="C269" s="57" t="s">
        <v>324</v>
      </c>
      <c r="D269" s="75" t="s">
        <v>880</v>
      </c>
      <c r="E269" s="48" t="s">
        <v>325</v>
      </c>
      <c r="F269" s="50">
        <v>0</v>
      </c>
      <c r="G269" s="52">
        <v>0</v>
      </c>
      <c r="H269" s="50">
        <v>0</v>
      </c>
      <c r="I269" s="50">
        <v>0</v>
      </c>
      <c r="J269" s="50">
        <v>15400</v>
      </c>
      <c r="K269" s="53">
        <v>0</v>
      </c>
      <c r="L269" s="59"/>
      <c r="M269" s="61"/>
      <c r="N269" s="59"/>
      <c r="O269" s="50">
        <v>4620</v>
      </c>
      <c r="P269" s="50"/>
      <c r="Q269" s="53"/>
      <c r="R269" s="53"/>
      <c r="S269" s="53">
        <v>11550</v>
      </c>
      <c r="T269" s="53"/>
      <c r="U269" s="53"/>
      <c r="V269" s="53"/>
      <c r="W269" s="53">
        <v>34650</v>
      </c>
    </row>
    <row r="270" spans="1:23">
      <c r="A270" s="47">
        <v>268</v>
      </c>
      <c r="B270" s="56">
        <v>4971710516753</v>
      </c>
      <c r="C270" s="57" t="s">
        <v>326</v>
      </c>
      <c r="D270" s="75" t="s">
        <v>880</v>
      </c>
      <c r="E270" s="48" t="s">
        <v>323</v>
      </c>
      <c r="F270" s="50">
        <v>0</v>
      </c>
      <c r="G270" s="52">
        <v>0</v>
      </c>
      <c r="H270" s="50">
        <v>0</v>
      </c>
      <c r="I270" s="50">
        <v>0</v>
      </c>
      <c r="J270" s="50">
        <v>12100</v>
      </c>
      <c r="K270" s="53">
        <v>0</v>
      </c>
      <c r="L270" s="59"/>
      <c r="M270" s="61"/>
      <c r="N270" s="59"/>
      <c r="O270" s="50">
        <v>3630</v>
      </c>
      <c r="P270" s="50">
        <v>18150</v>
      </c>
      <c r="Q270" s="53"/>
      <c r="R270" s="53"/>
      <c r="S270" s="53"/>
      <c r="T270" s="53"/>
      <c r="U270" s="53"/>
      <c r="V270" s="53"/>
      <c r="W270" s="53">
        <v>18150</v>
      </c>
    </row>
    <row r="271" spans="1:23">
      <c r="A271" s="47">
        <v>269</v>
      </c>
      <c r="B271" s="56">
        <v>4971710516852</v>
      </c>
      <c r="C271" s="57" t="s">
        <v>330</v>
      </c>
      <c r="D271" s="75" t="s">
        <v>880</v>
      </c>
      <c r="E271" s="48" t="s">
        <v>331</v>
      </c>
      <c r="F271" s="50">
        <v>0</v>
      </c>
      <c r="G271" s="52">
        <v>0</v>
      </c>
      <c r="H271" s="50">
        <v>0</v>
      </c>
      <c r="I271" s="50">
        <v>0</v>
      </c>
      <c r="J271" s="50">
        <v>17600</v>
      </c>
      <c r="K271" s="53">
        <v>0</v>
      </c>
      <c r="L271" s="59"/>
      <c r="M271" s="61"/>
      <c r="N271" s="59"/>
      <c r="O271" s="50">
        <v>5280</v>
      </c>
      <c r="P271" s="50">
        <v>26400</v>
      </c>
      <c r="Q271" s="53"/>
      <c r="R271" s="53"/>
      <c r="S271" s="53"/>
      <c r="T271" s="53"/>
      <c r="U271" s="53"/>
      <c r="V271" s="53"/>
      <c r="W271" s="53">
        <v>26400</v>
      </c>
    </row>
    <row r="272" spans="1:23" hidden="1">
      <c r="A272" s="47">
        <v>270</v>
      </c>
      <c r="B272" s="56">
        <v>4971710513578</v>
      </c>
      <c r="C272" s="57" t="s">
        <v>831</v>
      </c>
      <c r="D272" s="75" t="s">
        <v>880</v>
      </c>
      <c r="E272" s="48" t="s">
        <v>1009</v>
      </c>
      <c r="F272" s="50">
        <v>0</v>
      </c>
      <c r="G272" s="52">
        <v>0</v>
      </c>
      <c r="H272" s="50">
        <v>0</v>
      </c>
      <c r="I272" s="50">
        <v>0</v>
      </c>
      <c r="J272" s="50">
        <v>0</v>
      </c>
      <c r="K272" s="53">
        <v>0</v>
      </c>
      <c r="L272" s="59"/>
      <c r="M272" s="61"/>
      <c r="N272" s="59"/>
      <c r="O272" s="50"/>
      <c r="P272" s="50"/>
      <c r="Q272" s="53"/>
      <c r="R272" s="53">
        <v>38720</v>
      </c>
      <c r="S272" s="53"/>
      <c r="T272" s="53"/>
      <c r="U272" s="53"/>
      <c r="V272" s="53"/>
      <c r="W272" s="53"/>
    </row>
    <row r="273" spans="1:23" hidden="1">
      <c r="A273" s="47">
        <v>271</v>
      </c>
      <c r="B273" s="56">
        <v>4971710489170</v>
      </c>
      <c r="C273" s="57" t="s">
        <v>86</v>
      </c>
      <c r="D273" s="75" t="s">
        <v>884</v>
      </c>
      <c r="E273" s="48" t="s">
        <v>87</v>
      </c>
      <c r="F273" s="50">
        <v>0</v>
      </c>
      <c r="G273" s="52">
        <v>0</v>
      </c>
      <c r="H273" s="50">
        <v>0</v>
      </c>
      <c r="I273" s="50">
        <v>0</v>
      </c>
      <c r="J273" s="50">
        <v>0</v>
      </c>
      <c r="K273" s="53">
        <v>5500</v>
      </c>
      <c r="L273" s="59">
        <v>16500</v>
      </c>
      <c r="M273" s="61"/>
      <c r="N273" s="59"/>
      <c r="O273" s="50"/>
      <c r="P273" s="50"/>
      <c r="Q273" s="53"/>
      <c r="R273" s="53"/>
      <c r="S273" s="53"/>
      <c r="T273" s="53">
        <v>16500</v>
      </c>
      <c r="U273" s="53"/>
      <c r="V273" s="53"/>
      <c r="W273" s="53"/>
    </row>
    <row r="274" spans="1:23" hidden="1">
      <c r="A274" s="47">
        <v>272</v>
      </c>
      <c r="B274" s="56">
        <v>4971710513837</v>
      </c>
      <c r="C274" s="57" t="s">
        <v>286</v>
      </c>
      <c r="D274" s="75" t="s">
        <v>880</v>
      </c>
      <c r="E274" s="48" t="s">
        <v>287</v>
      </c>
      <c r="F274" s="50">
        <v>0</v>
      </c>
      <c r="G274" s="52">
        <v>0</v>
      </c>
      <c r="H274" s="50">
        <v>0</v>
      </c>
      <c r="I274" s="50">
        <v>33000</v>
      </c>
      <c r="J274" s="50">
        <v>0</v>
      </c>
      <c r="K274" s="53">
        <v>0</v>
      </c>
      <c r="L274" s="59"/>
      <c r="M274" s="61"/>
      <c r="N274" s="59"/>
      <c r="O274" s="50"/>
      <c r="P274" s="50"/>
      <c r="Q274" s="53"/>
      <c r="R274" s="53">
        <v>19800</v>
      </c>
      <c r="S274" s="53">
        <v>19800</v>
      </c>
      <c r="T274" s="53"/>
      <c r="U274" s="53"/>
      <c r="V274" s="53"/>
      <c r="W274" s="53"/>
    </row>
    <row r="275" spans="1:23" hidden="1">
      <c r="A275" s="47">
        <v>273</v>
      </c>
      <c r="B275" s="56">
        <v>4971710513851</v>
      </c>
      <c r="C275" s="57" t="s">
        <v>290</v>
      </c>
      <c r="D275" s="75" t="s">
        <v>880</v>
      </c>
      <c r="E275" s="48" t="s">
        <v>291</v>
      </c>
      <c r="F275" s="50">
        <v>0</v>
      </c>
      <c r="G275" s="52">
        <v>0</v>
      </c>
      <c r="H275" s="50">
        <v>0</v>
      </c>
      <c r="I275" s="50">
        <v>33000</v>
      </c>
      <c r="J275" s="50">
        <v>0</v>
      </c>
      <c r="K275" s="53">
        <v>0</v>
      </c>
      <c r="L275" s="59"/>
      <c r="M275" s="61"/>
      <c r="N275" s="59"/>
      <c r="O275" s="50"/>
      <c r="P275" s="50"/>
      <c r="Q275" s="53"/>
      <c r="R275" s="53">
        <v>19800</v>
      </c>
      <c r="S275" s="53">
        <v>19800</v>
      </c>
      <c r="T275" s="53"/>
      <c r="U275" s="53"/>
      <c r="V275" s="53"/>
      <c r="W275" s="53"/>
    </row>
    <row r="276" spans="1:23" hidden="1">
      <c r="A276" s="47">
        <v>274</v>
      </c>
      <c r="B276" s="56">
        <v>4971710591521</v>
      </c>
      <c r="C276" s="57" t="s">
        <v>803</v>
      </c>
      <c r="D276" s="75" t="s">
        <v>880</v>
      </c>
      <c r="E276" s="48" t="s">
        <v>1001</v>
      </c>
      <c r="F276" s="50">
        <v>0</v>
      </c>
      <c r="G276" s="52">
        <v>0</v>
      </c>
      <c r="H276" s="50">
        <v>0</v>
      </c>
      <c r="I276" s="50">
        <v>0</v>
      </c>
      <c r="J276" s="50">
        <v>0</v>
      </c>
      <c r="K276" s="53">
        <v>0</v>
      </c>
      <c r="L276" s="59"/>
      <c r="M276" s="61"/>
      <c r="N276" s="59"/>
      <c r="O276" s="50"/>
      <c r="P276" s="50">
        <v>39600</v>
      </c>
      <c r="Q276" s="53"/>
      <c r="R276" s="53"/>
      <c r="S276" s="53"/>
      <c r="T276" s="53"/>
      <c r="U276" s="53"/>
      <c r="V276" s="53"/>
      <c r="W276" s="53"/>
    </row>
    <row r="277" spans="1:23" hidden="1">
      <c r="A277" s="47">
        <v>275</v>
      </c>
      <c r="B277" s="56">
        <v>4971710591538</v>
      </c>
      <c r="C277" s="57" t="s">
        <v>804</v>
      </c>
      <c r="D277" s="75" t="s">
        <v>880</v>
      </c>
      <c r="E277" s="48" t="s">
        <v>1001</v>
      </c>
      <c r="F277" s="50">
        <v>0</v>
      </c>
      <c r="G277" s="52">
        <v>0</v>
      </c>
      <c r="H277" s="50">
        <v>0</v>
      </c>
      <c r="I277" s="50">
        <v>0</v>
      </c>
      <c r="J277" s="50">
        <v>0</v>
      </c>
      <c r="K277" s="53">
        <v>0</v>
      </c>
      <c r="L277" s="59"/>
      <c r="M277" s="61"/>
      <c r="N277" s="59"/>
      <c r="O277" s="50"/>
      <c r="P277" s="50">
        <v>39600</v>
      </c>
      <c r="Q277" s="53"/>
      <c r="R277" s="53"/>
      <c r="S277" s="53"/>
      <c r="T277" s="53"/>
      <c r="U277" s="53"/>
      <c r="V277" s="53"/>
      <c r="W277" s="53"/>
    </row>
    <row r="278" spans="1:23">
      <c r="A278" s="47">
        <v>276</v>
      </c>
      <c r="B278" s="56">
        <v>4971710516845</v>
      </c>
      <c r="C278" s="57" t="s">
        <v>328</v>
      </c>
      <c r="D278" s="75" t="s">
        <v>880</v>
      </c>
      <c r="E278" s="48" t="s">
        <v>329</v>
      </c>
      <c r="F278" s="50">
        <v>0</v>
      </c>
      <c r="G278" s="52">
        <v>0</v>
      </c>
      <c r="H278" s="50">
        <v>0</v>
      </c>
      <c r="I278" s="50">
        <v>0</v>
      </c>
      <c r="J278" s="50">
        <v>17600</v>
      </c>
      <c r="K278" s="53">
        <v>0</v>
      </c>
      <c r="L278" s="59"/>
      <c r="M278" s="61"/>
      <c r="N278" s="59"/>
      <c r="O278" s="50">
        <v>5280</v>
      </c>
      <c r="P278" s="50">
        <v>17600</v>
      </c>
      <c r="Q278" s="53"/>
      <c r="R278" s="53"/>
      <c r="S278" s="53"/>
      <c r="T278" s="53"/>
      <c r="U278" s="53"/>
      <c r="V278" s="53"/>
      <c r="W278" s="53">
        <v>26400</v>
      </c>
    </row>
    <row r="279" spans="1:23">
      <c r="A279" s="47">
        <v>277</v>
      </c>
      <c r="B279" s="56">
        <v>4971710597059</v>
      </c>
      <c r="C279" s="57" t="s">
        <v>824</v>
      </c>
      <c r="D279" s="75" t="s">
        <v>880</v>
      </c>
      <c r="E279" s="48" t="s">
        <v>1023</v>
      </c>
      <c r="F279" s="50">
        <v>0</v>
      </c>
      <c r="G279" s="52">
        <v>0</v>
      </c>
      <c r="H279" s="50">
        <v>0</v>
      </c>
      <c r="I279" s="50">
        <v>0</v>
      </c>
      <c r="J279" s="50">
        <v>0</v>
      </c>
      <c r="K279" s="53">
        <v>0</v>
      </c>
      <c r="L279" s="59"/>
      <c r="M279" s="61"/>
      <c r="N279" s="59"/>
      <c r="O279" s="50"/>
      <c r="P279" s="50"/>
      <c r="Q279" s="53">
        <v>5280</v>
      </c>
      <c r="R279" s="53"/>
      <c r="S279" s="53"/>
      <c r="T279" s="53">
        <v>26400</v>
      </c>
      <c r="U279" s="53"/>
      <c r="V279" s="53"/>
      <c r="W279" s="53">
        <v>17600</v>
      </c>
    </row>
    <row r="280" spans="1:23" hidden="1">
      <c r="A280" s="47">
        <v>278</v>
      </c>
      <c r="B280" s="56">
        <v>4971710579901</v>
      </c>
      <c r="C280" s="57" t="s">
        <v>666</v>
      </c>
      <c r="D280" s="75" t="s">
        <v>884</v>
      </c>
      <c r="E280" s="48" t="s">
        <v>667</v>
      </c>
      <c r="F280" s="50">
        <v>0</v>
      </c>
      <c r="G280" s="52">
        <v>0</v>
      </c>
      <c r="H280" s="50">
        <v>0</v>
      </c>
      <c r="I280" s="50">
        <v>41250</v>
      </c>
      <c r="J280" s="50">
        <v>2475</v>
      </c>
      <c r="K280" s="53">
        <v>0</v>
      </c>
      <c r="L280" s="59">
        <v>34650</v>
      </c>
      <c r="M280" s="61">
        <v>4950</v>
      </c>
      <c r="N280" s="59">
        <v>1650</v>
      </c>
      <c r="O280" s="50"/>
      <c r="P280" s="50">
        <v>1650</v>
      </c>
      <c r="Q280" s="53"/>
      <c r="R280" s="53"/>
      <c r="S280" s="53"/>
      <c r="T280" s="53">
        <v>3300</v>
      </c>
      <c r="U280" s="53"/>
      <c r="V280" s="53"/>
      <c r="W280" s="53"/>
    </row>
    <row r="281" spans="1:23" hidden="1">
      <c r="A281" s="47">
        <v>279</v>
      </c>
      <c r="B281" s="56">
        <v>4971710494938</v>
      </c>
      <c r="C281" s="57" t="s">
        <v>136</v>
      </c>
      <c r="D281" s="75" t="s">
        <v>884</v>
      </c>
      <c r="E281" s="48" t="s">
        <v>137</v>
      </c>
      <c r="F281" s="50">
        <v>0</v>
      </c>
      <c r="G281" s="52">
        <v>0</v>
      </c>
      <c r="H281" s="50">
        <v>0</v>
      </c>
      <c r="I281" s="50">
        <v>0</v>
      </c>
      <c r="J281" s="50">
        <v>0</v>
      </c>
      <c r="K281" s="53">
        <v>0</v>
      </c>
      <c r="L281" s="59"/>
      <c r="M281" s="61"/>
      <c r="N281" s="59">
        <v>3300</v>
      </c>
      <c r="O281" s="50">
        <v>13200</v>
      </c>
      <c r="P281" s="50">
        <v>13200</v>
      </c>
      <c r="Q281" s="53">
        <v>6600</v>
      </c>
      <c r="R281" s="53"/>
      <c r="S281" s="53"/>
      <c r="T281" s="53"/>
      <c r="U281" s="53"/>
      <c r="V281" s="53"/>
      <c r="W281" s="53"/>
    </row>
    <row r="282" spans="1:23">
      <c r="A282" s="47">
        <v>280</v>
      </c>
      <c r="B282" s="56">
        <v>4971710579925</v>
      </c>
      <c r="C282" s="57" t="s">
        <v>670</v>
      </c>
      <c r="D282" s="75" t="s">
        <v>884</v>
      </c>
      <c r="E282" s="48" t="s">
        <v>671</v>
      </c>
      <c r="F282" s="50">
        <v>0</v>
      </c>
      <c r="G282" s="52">
        <v>0</v>
      </c>
      <c r="H282" s="50">
        <v>0</v>
      </c>
      <c r="I282" s="50">
        <v>41250</v>
      </c>
      <c r="J282" s="50">
        <v>1650</v>
      </c>
      <c r="K282" s="53">
        <v>0</v>
      </c>
      <c r="L282" s="59">
        <v>34650</v>
      </c>
      <c r="M282" s="61">
        <v>4950</v>
      </c>
      <c r="N282" s="59">
        <v>1650</v>
      </c>
      <c r="O282" s="50"/>
      <c r="P282" s="50">
        <v>1650</v>
      </c>
      <c r="Q282" s="53"/>
      <c r="R282" s="53"/>
      <c r="S282" s="53"/>
      <c r="T282" s="53"/>
      <c r="U282" s="53"/>
      <c r="V282" s="53"/>
      <c r="W282" s="53">
        <v>1650</v>
      </c>
    </row>
    <row r="283" spans="1:23" hidden="1">
      <c r="A283" s="47">
        <v>281</v>
      </c>
      <c r="B283" s="56">
        <v>4971710519440</v>
      </c>
      <c r="C283" s="57" t="s">
        <v>354</v>
      </c>
      <c r="D283" s="75" t="s">
        <v>884</v>
      </c>
      <c r="E283" s="48" t="s">
        <v>355</v>
      </c>
      <c r="F283" s="50">
        <v>5500</v>
      </c>
      <c r="G283" s="52">
        <v>13200</v>
      </c>
      <c r="H283" s="50">
        <v>13200</v>
      </c>
      <c r="I283" s="50">
        <v>0</v>
      </c>
      <c r="J283" s="50">
        <v>0</v>
      </c>
      <c r="K283" s="53">
        <v>0</v>
      </c>
      <c r="L283" s="59"/>
      <c r="M283" s="61"/>
      <c r="N283" s="59"/>
      <c r="O283" s="50"/>
      <c r="P283" s="50">
        <v>27500</v>
      </c>
      <c r="Q283" s="53"/>
      <c r="R283" s="53">
        <v>2200</v>
      </c>
      <c r="S283" s="53"/>
      <c r="T283" s="53"/>
      <c r="U283" s="53"/>
      <c r="V283" s="53"/>
      <c r="W283" s="53"/>
    </row>
    <row r="284" spans="1:23" hidden="1">
      <c r="A284" s="47">
        <v>282</v>
      </c>
      <c r="B284" s="56">
        <v>4971710579895</v>
      </c>
      <c r="C284" s="57" t="s">
        <v>664</v>
      </c>
      <c r="D284" s="75" t="s">
        <v>884</v>
      </c>
      <c r="E284" s="48" t="s">
        <v>665</v>
      </c>
      <c r="F284" s="50">
        <v>0</v>
      </c>
      <c r="G284" s="52">
        <v>0</v>
      </c>
      <c r="H284" s="50">
        <v>0</v>
      </c>
      <c r="I284" s="50">
        <v>41250</v>
      </c>
      <c r="J284" s="50">
        <v>1650</v>
      </c>
      <c r="K284" s="53">
        <v>0</v>
      </c>
      <c r="L284" s="59">
        <v>34650</v>
      </c>
      <c r="M284" s="61">
        <v>6600</v>
      </c>
      <c r="N284" s="59">
        <v>1650</v>
      </c>
      <c r="O284" s="50"/>
      <c r="P284" s="50">
        <v>1650</v>
      </c>
      <c r="Q284" s="53"/>
      <c r="R284" s="53"/>
      <c r="S284" s="53"/>
      <c r="T284" s="53"/>
      <c r="U284" s="53"/>
      <c r="V284" s="53"/>
      <c r="W284" s="53"/>
    </row>
    <row r="285" spans="1:23" hidden="1">
      <c r="A285" s="47">
        <v>283</v>
      </c>
      <c r="B285" s="56">
        <v>4971710519464</v>
      </c>
      <c r="C285" s="57" t="s">
        <v>358</v>
      </c>
      <c r="D285" s="75" t="s">
        <v>884</v>
      </c>
      <c r="E285" s="48" t="s">
        <v>359</v>
      </c>
      <c r="F285" s="50">
        <v>0</v>
      </c>
      <c r="G285" s="52">
        <v>0</v>
      </c>
      <c r="H285" s="50">
        <v>0</v>
      </c>
      <c r="I285" s="50">
        <v>16500</v>
      </c>
      <c r="J285" s="50">
        <v>0</v>
      </c>
      <c r="K285" s="53">
        <v>0</v>
      </c>
      <c r="L285" s="59"/>
      <c r="M285" s="61">
        <v>1100</v>
      </c>
      <c r="N285" s="59"/>
      <c r="O285" s="50">
        <v>16500</v>
      </c>
      <c r="P285" s="50">
        <v>11000</v>
      </c>
      <c r="Q285" s="53"/>
      <c r="R285" s="53"/>
      <c r="S285" s="53"/>
      <c r="T285" s="53"/>
      <c r="U285" s="53"/>
      <c r="V285" s="53"/>
      <c r="W285" s="53"/>
    </row>
    <row r="286" spans="1:23" hidden="1">
      <c r="A286" s="47">
        <v>284</v>
      </c>
      <c r="B286" s="56">
        <v>4971710522396</v>
      </c>
      <c r="C286" s="57" t="s">
        <v>378</v>
      </c>
      <c r="D286" s="75" t="s">
        <v>880</v>
      </c>
      <c r="E286" s="48" t="s">
        <v>379</v>
      </c>
      <c r="F286" s="50">
        <v>0</v>
      </c>
      <c r="G286" s="52">
        <v>0</v>
      </c>
      <c r="H286" s="50">
        <v>4950</v>
      </c>
      <c r="I286" s="50">
        <v>0</v>
      </c>
      <c r="J286" s="50">
        <v>0</v>
      </c>
      <c r="K286" s="53">
        <v>0</v>
      </c>
      <c r="L286" s="59">
        <v>4950</v>
      </c>
      <c r="M286" s="61"/>
      <c r="N286" s="59">
        <v>9900</v>
      </c>
      <c r="O286" s="50">
        <v>10395</v>
      </c>
      <c r="P286" s="50"/>
      <c r="Q286" s="53"/>
      <c r="R286" s="53"/>
      <c r="S286" s="53"/>
      <c r="T286" s="53"/>
      <c r="U286" s="53"/>
      <c r="V286" s="53"/>
      <c r="W286" s="53"/>
    </row>
    <row r="287" spans="1:23">
      <c r="A287" s="47">
        <v>285</v>
      </c>
      <c r="B287" s="56">
        <v>4971710573145</v>
      </c>
      <c r="C287" s="57" t="s">
        <v>1027</v>
      </c>
      <c r="D287" s="75" t="s">
        <v>1076</v>
      </c>
      <c r="E287" s="48" t="s">
        <v>933</v>
      </c>
      <c r="F287" s="50"/>
      <c r="G287" s="52"/>
      <c r="H287" s="50"/>
      <c r="I287" s="50"/>
      <c r="J287" s="50"/>
      <c r="K287" s="53"/>
      <c r="L287" s="59"/>
      <c r="M287" s="61"/>
      <c r="N287" s="59"/>
      <c r="O287" s="50"/>
      <c r="P287" s="50"/>
      <c r="Q287" s="53"/>
      <c r="R287" s="53"/>
      <c r="S287" s="53"/>
      <c r="T287" s="53"/>
      <c r="U287" s="53"/>
      <c r="V287" s="53"/>
      <c r="W287" s="53">
        <v>5500</v>
      </c>
    </row>
    <row r="288" spans="1:23" hidden="1">
      <c r="A288" s="47">
        <v>286</v>
      </c>
      <c r="B288" s="56">
        <v>4971710579819</v>
      </c>
      <c r="C288" s="57" t="s">
        <v>658</v>
      </c>
      <c r="D288" s="75" t="s">
        <v>884</v>
      </c>
      <c r="E288" s="48" t="s">
        <v>659</v>
      </c>
      <c r="F288" s="50">
        <v>6600</v>
      </c>
      <c r="G288" s="52">
        <v>19800</v>
      </c>
      <c r="H288" s="50">
        <v>0</v>
      </c>
      <c r="I288" s="50">
        <v>0</v>
      </c>
      <c r="J288" s="50">
        <v>0</v>
      </c>
      <c r="K288" s="53">
        <v>0</v>
      </c>
      <c r="L288" s="59">
        <v>33000</v>
      </c>
      <c r="M288" s="61"/>
      <c r="N288" s="59"/>
      <c r="O288" s="50"/>
      <c r="P288" s="50"/>
      <c r="Q288" s="53"/>
      <c r="R288" s="53"/>
      <c r="S288" s="53"/>
      <c r="T288" s="53"/>
      <c r="U288" s="53"/>
      <c r="V288" s="53"/>
      <c r="W288" s="53"/>
    </row>
    <row r="289" spans="1:23" hidden="1">
      <c r="A289" s="47">
        <v>287</v>
      </c>
      <c r="B289" s="56">
        <v>4971710494952</v>
      </c>
      <c r="C289" s="57" t="s">
        <v>140</v>
      </c>
      <c r="D289" s="75" t="s">
        <v>884</v>
      </c>
      <c r="E289" s="48" t="s">
        <v>141</v>
      </c>
      <c r="F289" s="50">
        <v>0</v>
      </c>
      <c r="G289" s="52">
        <v>0</v>
      </c>
      <c r="H289" s="50">
        <v>0</v>
      </c>
      <c r="I289" s="50">
        <v>0</v>
      </c>
      <c r="J289" s="50">
        <v>0</v>
      </c>
      <c r="K289" s="53">
        <v>0</v>
      </c>
      <c r="L289" s="59"/>
      <c r="M289" s="61">
        <v>2640</v>
      </c>
      <c r="N289" s="59"/>
      <c r="O289" s="50">
        <v>9240</v>
      </c>
      <c r="P289" s="50">
        <v>6600</v>
      </c>
      <c r="Q289" s="53">
        <v>14520</v>
      </c>
      <c r="R289" s="53"/>
      <c r="S289" s="53"/>
      <c r="T289" s="53"/>
      <c r="U289" s="53"/>
      <c r="V289" s="53"/>
      <c r="W289" s="53"/>
    </row>
    <row r="290" spans="1:23" hidden="1">
      <c r="A290" s="47">
        <v>288</v>
      </c>
      <c r="B290" s="56">
        <v>4971710475036</v>
      </c>
      <c r="C290" s="57" t="s">
        <v>774</v>
      </c>
      <c r="D290" s="75" t="s">
        <v>884</v>
      </c>
      <c r="E290" s="48" t="s">
        <v>1014</v>
      </c>
      <c r="F290" s="50">
        <v>0</v>
      </c>
      <c r="G290" s="52">
        <v>0</v>
      </c>
      <c r="H290" s="50">
        <v>0</v>
      </c>
      <c r="I290" s="50">
        <v>0</v>
      </c>
      <c r="J290" s="50">
        <v>0</v>
      </c>
      <c r="K290" s="53">
        <v>0</v>
      </c>
      <c r="L290" s="59"/>
      <c r="M290" s="61"/>
      <c r="N290" s="59">
        <v>8800</v>
      </c>
      <c r="O290" s="50"/>
      <c r="P290" s="50"/>
      <c r="Q290" s="53">
        <v>8800</v>
      </c>
      <c r="R290" s="53"/>
      <c r="S290" s="53"/>
      <c r="T290" s="53">
        <v>2640</v>
      </c>
      <c r="U290" s="53"/>
      <c r="V290" s="53"/>
      <c r="W290" s="53"/>
    </row>
    <row r="291" spans="1:23" hidden="1">
      <c r="A291" s="47">
        <v>289</v>
      </c>
      <c r="B291" s="56">
        <v>4971710506730</v>
      </c>
      <c r="C291" s="57" t="s">
        <v>779</v>
      </c>
      <c r="D291" s="75" t="s">
        <v>884</v>
      </c>
      <c r="E291" s="48" t="s">
        <v>780</v>
      </c>
      <c r="F291" s="50">
        <v>0</v>
      </c>
      <c r="G291" s="52">
        <v>0</v>
      </c>
      <c r="H291" s="50">
        <v>0</v>
      </c>
      <c r="I291" s="50">
        <v>8250</v>
      </c>
      <c r="J291" s="50">
        <v>0</v>
      </c>
      <c r="K291" s="53">
        <v>0</v>
      </c>
      <c r="L291" s="59"/>
      <c r="M291" s="61">
        <v>9900</v>
      </c>
      <c r="N291" s="59"/>
      <c r="O291" s="50">
        <v>8250</v>
      </c>
      <c r="P291" s="50"/>
      <c r="Q291" s="53"/>
      <c r="R291" s="53">
        <v>5775</v>
      </c>
      <c r="S291" s="53">
        <v>8250</v>
      </c>
      <c r="T291" s="53">
        <v>2475</v>
      </c>
      <c r="U291" s="53"/>
      <c r="V291" s="53"/>
      <c r="W291" s="53"/>
    </row>
    <row r="292" spans="1:23">
      <c r="A292" s="47">
        <v>290</v>
      </c>
      <c r="B292" s="56">
        <v>4971710615807</v>
      </c>
      <c r="C292" s="57" t="s">
        <v>1048</v>
      </c>
      <c r="D292" s="75" t="s">
        <v>1076</v>
      </c>
      <c r="E292" s="48" t="s">
        <v>1049</v>
      </c>
      <c r="F292" s="50"/>
      <c r="G292" s="52"/>
      <c r="H292" s="50"/>
      <c r="I292" s="50"/>
      <c r="J292" s="50"/>
      <c r="K292" s="53"/>
      <c r="L292" s="59"/>
      <c r="M292" s="61"/>
      <c r="N292" s="59"/>
      <c r="O292" s="50"/>
      <c r="P292" s="50"/>
      <c r="Q292" s="53"/>
      <c r="R292" s="53"/>
      <c r="S292" s="53"/>
      <c r="T292" s="53"/>
      <c r="U292" s="53"/>
      <c r="V292" s="53"/>
      <c r="W292" s="53">
        <v>114400</v>
      </c>
    </row>
    <row r="293" spans="1:23">
      <c r="A293" s="47">
        <v>291</v>
      </c>
      <c r="B293" s="56">
        <v>4971710615791</v>
      </c>
      <c r="C293" s="57" t="s">
        <v>1050</v>
      </c>
      <c r="D293" s="75" t="s">
        <v>1076</v>
      </c>
      <c r="E293" s="48" t="s">
        <v>946</v>
      </c>
      <c r="F293" s="50"/>
      <c r="G293" s="52"/>
      <c r="H293" s="50"/>
      <c r="I293" s="50"/>
      <c r="J293" s="50"/>
      <c r="K293" s="53"/>
      <c r="L293" s="59"/>
      <c r="M293" s="61"/>
      <c r="N293" s="59"/>
      <c r="O293" s="50"/>
      <c r="P293" s="50"/>
      <c r="Q293" s="53"/>
      <c r="R293" s="53"/>
      <c r="S293" s="53"/>
      <c r="T293" s="53"/>
      <c r="U293" s="53"/>
      <c r="V293" s="53"/>
      <c r="W293" s="53">
        <v>105600</v>
      </c>
    </row>
    <row r="294" spans="1:23">
      <c r="A294" s="47">
        <v>292</v>
      </c>
      <c r="B294" s="56">
        <v>4971710597066</v>
      </c>
      <c r="C294" s="57" t="s">
        <v>971</v>
      </c>
      <c r="D294" s="75" t="s">
        <v>880</v>
      </c>
      <c r="E294" s="48" t="s">
        <v>972</v>
      </c>
      <c r="F294" s="50"/>
      <c r="G294" s="52"/>
      <c r="H294" s="50"/>
      <c r="I294" s="50"/>
      <c r="J294" s="50"/>
      <c r="K294" s="53"/>
      <c r="L294" s="59"/>
      <c r="M294" s="61"/>
      <c r="N294" s="59"/>
      <c r="O294" s="50"/>
      <c r="P294" s="50"/>
      <c r="Q294" s="53"/>
      <c r="R294" s="53"/>
      <c r="S294" s="53"/>
      <c r="T294" s="53">
        <v>26400</v>
      </c>
      <c r="U294" s="53"/>
      <c r="V294" s="53"/>
      <c r="W294" s="53">
        <v>8800</v>
      </c>
    </row>
    <row r="295" spans="1:23" hidden="1">
      <c r="A295" s="47">
        <v>293</v>
      </c>
      <c r="B295" s="56">
        <v>4971710541175</v>
      </c>
      <c r="C295" s="57" t="s">
        <v>426</v>
      </c>
      <c r="D295" s="75" t="s">
        <v>884</v>
      </c>
      <c r="E295" s="48" t="s">
        <v>427</v>
      </c>
      <c r="F295" s="50">
        <v>6600</v>
      </c>
      <c r="G295" s="52">
        <v>0</v>
      </c>
      <c r="H295" s="50">
        <v>0</v>
      </c>
      <c r="I295" s="50">
        <v>0</v>
      </c>
      <c r="J295" s="50">
        <v>0</v>
      </c>
      <c r="K295" s="53">
        <v>0</v>
      </c>
      <c r="L295" s="59">
        <v>13200</v>
      </c>
      <c r="M295" s="61"/>
      <c r="N295" s="59"/>
      <c r="O295" s="50"/>
      <c r="P295" s="50"/>
      <c r="Q295" s="53"/>
      <c r="R295" s="53"/>
      <c r="S295" s="53"/>
      <c r="T295" s="53">
        <v>13200</v>
      </c>
      <c r="U295" s="53"/>
      <c r="V295" s="53"/>
      <c r="W295" s="53"/>
    </row>
    <row r="296" spans="1:23" hidden="1">
      <c r="A296" s="47">
        <v>294</v>
      </c>
      <c r="B296" s="56">
        <v>4971710513646</v>
      </c>
      <c r="C296" s="57" t="s">
        <v>264</v>
      </c>
      <c r="D296" s="75" t="s">
        <v>880</v>
      </c>
      <c r="E296" s="48" t="s">
        <v>265</v>
      </c>
      <c r="F296" s="50">
        <v>0</v>
      </c>
      <c r="G296" s="52">
        <v>0</v>
      </c>
      <c r="H296" s="50">
        <v>0</v>
      </c>
      <c r="I296" s="50">
        <v>0</v>
      </c>
      <c r="J296" s="50">
        <v>9340</v>
      </c>
      <c r="K296" s="53">
        <v>0</v>
      </c>
      <c r="L296" s="59"/>
      <c r="M296" s="61"/>
      <c r="N296" s="59"/>
      <c r="O296" s="50"/>
      <c r="P296" s="50">
        <v>9340</v>
      </c>
      <c r="Q296" s="53"/>
      <c r="R296" s="53"/>
      <c r="S296" s="53"/>
      <c r="T296" s="53">
        <v>9340</v>
      </c>
      <c r="U296" s="53"/>
      <c r="V296" s="53"/>
      <c r="W296" s="53"/>
    </row>
    <row r="297" spans="1:23" hidden="1">
      <c r="A297" s="47">
        <v>295</v>
      </c>
      <c r="B297" s="56">
        <v>4971710573244</v>
      </c>
      <c r="C297" s="57" t="s">
        <v>573</v>
      </c>
      <c r="D297" s="75" t="s">
        <v>880</v>
      </c>
      <c r="E297" s="48" t="s">
        <v>574</v>
      </c>
      <c r="F297" s="50">
        <v>0</v>
      </c>
      <c r="G297" s="52">
        <v>0</v>
      </c>
      <c r="H297" s="50">
        <v>0</v>
      </c>
      <c r="I297" s="50">
        <v>13200</v>
      </c>
      <c r="J297" s="50">
        <v>0</v>
      </c>
      <c r="K297" s="53">
        <v>0</v>
      </c>
      <c r="L297" s="59"/>
      <c r="M297" s="61"/>
      <c r="N297" s="59"/>
      <c r="O297" s="50">
        <v>6600</v>
      </c>
      <c r="P297" s="50"/>
      <c r="Q297" s="53"/>
      <c r="R297" s="53"/>
      <c r="S297" s="53">
        <v>19800</v>
      </c>
      <c r="T297" s="53"/>
      <c r="U297" s="53"/>
      <c r="V297" s="53"/>
      <c r="W297" s="53"/>
    </row>
    <row r="298" spans="1:23" hidden="1">
      <c r="A298" s="47">
        <v>296</v>
      </c>
      <c r="B298" s="56">
        <v>4971710513929</v>
      </c>
      <c r="C298" s="57" t="s">
        <v>292</v>
      </c>
      <c r="D298" s="75" t="s">
        <v>880</v>
      </c>
      <c r="E298" s="48" t="s">
        <v>293</v>
      </c>
      <c r="F298" s="50">
        <v>0</v>
      </c>
      <c r="G298" s="52">
        <v>0</v>
      </c>
      <c r="H298" s="50">
        <v>0</v>
      </c>
      <c r="I298" s="50">
        <v>0</v>
      </c>
      <c r="J298" s="50">
        <v>12100</v>
      </c>
      <c r="K298" s="53">
        <v>0</v>
      </c>
      <c r="L298" s="59"/>
      <c r="M298" s="61"/>
      <c r="N298" s="59"/>
      <c r="O298" s="50"/>
      <c r="P298" s="50">
        <v>24200</v>
      </c>
      <c r="Q298" s="53"/>
      <c r="R298" s="53"/>
      <c r="S298" s="53"/>
      <c r="T298" s="53"/>
      <c r="U298" s="53"/>
      <c r="V298" s="53"/>
      <c r="W298" s="53"/>
    </row>
    <row r="299" spans="1:23">
      <c r="A299" s="47">
        <v>297</v>
      </c>
      <c r="B299" s="56">
        <v>4971710615821</v>
      </c>
      <c r="C299" s="57" t="s">
        <v>1051</v>
      </c>
      <c r="D299" s="75" t="s">
        <v>1076</v>
      </c>
      <c r="E299" s="48" t="s">
        <v>1041</v>
      </c>
      <c r="F299" s="50"/>
      <c r="G299" s="52"/>
      <c r="H299" s="50"/>
      <c r="I299" s="50"/>
      <c r="J299" s="50"/>
      <c r="K299" s="53"/>
      <c r="L299" s="59"/>
      <c r="M299" s="61"/>
      <c r="N299" s="59"/>
      <c r="O299" s="50"/>
      <c r="P299" s="50"/>
      <c r="Q299" s="53"/>
      <c r="R299" s="53"/>
      <c r="S299" s="53"/>
      <c r="T299" s="53"/>
      <c r="U299" s="53"/>
      <c r="V299" s="53"/>
      <c r="W299" s="53">
        <v>183150</v>
      </c>
    </row>
    <row r="300" spans="1:23" hidden="1">
      <c r="A300" s="47">
        <v>298</v>
      </c>
      <c r="B300" s="56">
        <v>4971710507591</v>
      </c>
      <c r="C300" s="57" t="s">
        <v>180</v>
      </c>
      <c r="D300" s="75" t="s">
        <v>884</v>
      </c>
      <c r="E300" s="48" t="s">
        <v>181</v>
      </c>
      <c r="F300" s="50">
        <v>0</v>
      </c>
      <c r="G300" s="52">
        <v>0</v>
      </c>
      <c r="H300" s="50">
        <v>0</v>
      </c>
      <c r="I300" s="50">
        <v>0</v>
      </c>
      <c r="J300" s="50">
        <v>0</v>
      </c>
      <c r="K300" s="53">
        <v>1320</v>
      </c>
      <c r="L300" s="59"/>
      <c r="M300" s="61">
        <v>1320</v>
      </c>
      <c r="N300" s="59"/>
      <c r="O300" s="50">
        <v>7920</v>
      </c>
      <c r="P300" s="50"/>
      <c r="Q300" s="53"/>
      <c r="R300" s="53">
        <v>3960</v>
      </c>
      <c r="S300" s="53">
        <v>1320</v>
      </c>
      <c r="T300" s="53">
        <v>9900</v>
      </c>
      <c r="U300" s="53"/>
      <c r="V300" s="53"/>
      <c r="W300" s="53"/>
    </row>
    <row r="301" spans="1:23">
      <c r="A301" s="47">
        <v>299</v>
      </c>
      <c r="B301" s="56">
        <v>4971710516869</v>
      </c>
      <c r="C301" s="57" t="s">
        <v>332</v>
      </c>
      <c r="D301" s="75" t="s">
        <v>880</v>
      </c>
      <c r="E301" s="48" t="s">
        <v>333</v>
      </c>
      <c r="F301" s="50">
        <v>0</v>
      </c>
      <c r="G301" s="52">
        <v>0</v>
      </c>
      <c r="H301" s="50">
        <v>0</v>
      </c>
      <c r="I301" s="50">
        <v>0</v>
      </c>
      <c r="J301" s="50">
        <v>17600</v>
      </c>
      <c r="K301" s="53">
        <v>0</v>
      </c>
      <c r="L301" s="59"/>
      <c r="M301" s="61"/>
      <c r="N301" s="59"/>
      <c r="O301" s="50">
        <v>5280</v>
      </c>
      <c r="P301" s="50"/>
      <c r="Q301" s="53"/>
      <c r="R301" s="53"/>
      <c r="S301" s="53"/>
      <c r="T301" s="53"/>
      <c r="U301" s="53"/>
      <c r="V301" s="53"/>
      <c r="W301" s="53">
        <v>26400</v>
      </c>
    </row>
    <row r="302" spans="1:23" hidden="1">
      <c r="A302" s="47">
        <v>300</v>
      </c>
      <c r="B302" s="56">
        <v>4971710516760</v>
      </c>
      <c r="C302" s="57" t="s">
        <v>327</v>
      </c>
      <c r="D302" s="75" t="s">
        <v>880</v>
      </c>
      <c r="E302" s="48" t="s">
        <v>325</v>
      </c>
      <c r="F302" s="50">
        <v>0</v>
      </c>
      <c r="G302" s="52">
        <v>0</v>
      </c>
      <c r="H302" s="50">
        <v>0</v>
      </c>
      <c r="I302" s="50">
        <v>0</v>
      </c>
      <c r="J302" s="50">
        <v>12100</v>
      </c>
      <c r="K302" s="53">
        <v>0</v>
      </c>
      <c r="L302" s="59"/>
      <c r="M302" s="61"/>
      <c r="N302" s="59"/>
      <c r="O302" s="50">
        <v>3630</v>
      </c>
      <c r="P302" s="50">
        <v>18150</v>
      </c>
      <c r="Q302" s="53"/>
      <c r="R302" s="53"/>
      <c r="S302" s="53"/>
      <c r="T302" s="53"/>
      <c r="U302" s="53"/>
      <c r="V302" s="53"/>
      <c r="W302" s="53"/>
    </row>
    <row r="303" spans="1:23" hidden="1">
      <c r="A303" s="47">
        <v>301</v>
      </c>
      <c r="B303" s="56">
        <v>4971710522372</v>
      </c>
      <c r="C303" s="57" t="s">
        <v>374</v>
      </c>
      <c r="D303" s="75" t="s">
        <v>880</v>
      </c>
      <c r="E303" s="48" t="s">
        <v>375</v>
      </c>
      <c r="F303" s="50">
        <v>0</v>
      </c>
      <c r="G303" s="52">
        <v>0</v>
      </c>
      <c r="H303" s="50">
        <v>0</v>
      </c>
      <c r="I303" s="50">
        <v>4950</v>
      </c>
      <c r="J303" s="50">
        <v>0</v>
      </c>
      <c r="K303" s="53">
        <v>0</v>
      </c>
      <c r="L303" s="59"/>
      <c r="M303" s="61"/>
      <c r="N303" s="59">
        <v>9900</v>
      </c>
      <c r="O303" s="50">
        <v>7425</v>
      </c>
      <c r="P303" s="50"/>
      <c r="Q303" s="53"/>
      <c r="R303" s="53"/>
      <c r="S303" s="53"/>
      <c r="T303" s="53"/>
      <c r="U303" s="53"/>
      <c r="V303" s="53"/>
      <c r="W303" s="53"/>
    </row>
    <row r="304" spans="1:23" hidden="1">
      <c r="A304" s="47">
        <v>302</v>
      </c>
      <c r="B304" s="56">
        <v>4971710611847</v>
      </c>
      <c r="C304" s="57" t="s">
        <v>963</v>
      </c>
      <c r="D304" s="75" t="s">
        <v>884</v>
      </c>
      <c r="E304" s="48" t="s">
        <v>964</v>
      </c>
      <c r="F304" s="50"/>
      <c r="G304" s="52"/>
      <c r="H304" s="50"/>
      <c r="I304" s="50"/>
      <c r="J304" s="50"/>
      <c r="K304" s="53"/>
      <c r="L304" s="59"/>
      <c r="M304" s="61"/>
      <c r="N304" s="59"/>
      <c r="O304" s="50"/>
      <c r="P304" s="50"/>
      <c r="Q304" s="53"/>
      <c r="R304" s="53"/>
      <c r="S304" s="53"/>
      <c r="T304" s="53">
        <v>28050</v>
      </c>
      <c r="U304" s="53"/>
      <c r="V304" s="53"/>
      <c r="W304" s="53"/>
    </row>
    <row r="305" spans="1:23">
      <c r="A305" s="47">
        <v>303</v>
      </c>
      <c r="B305" s="56">
        <v>4971710613285</v>
      </c>
      <c r="C305" s="57" t="s">
        <v>1074</v>
      </c>
      <c r="D305" s="75" t="s">
        <v>882</v>
      </c>
      <c r="E305" s="48" t="s">
        <v>1073</v>
      </c>
      <c r="F305" s="50"/>
      <c r="G305" s="52"/>
      <c r="H305" s="50"/>
      <c r="I305" s="50"/>
      <c r="J305" s="50"/>
      <c r="K305" s="53"/>
      <c r="L305" s="59"/>
      <c r="M305" s="61"/>
      <c r="N305" s="59"/>
      <c r="O305" s="50"/>
      <c r="P305" s="50"/>
      <c r="Q305" s="53"/>
      <c r="R305" s="53"/>
      <c r="S305" s="53"/>
      <c r="T305" s="53"/>
      <c r="U305" s="53"/>
      <c r="V305" s="53"/>
      <c r="W305" s="53">
        <v>132000</v>
      </c>
    </row>
    <row r="306" spans="1:23" hidden="1">
      <c r="A306" s="47">
        <v>304</v>
      </c>
      <c r="B306" s="56">
        <v>4971710610765</v>
      </c>
      <c r="C306" s="57" t="s">
        <v>900</v>
      </c>
      <c r="D306" s="75" t="s">
        <v>880</v>
      </c>
      <c r="E306" s="48" t="s">
        <v>904</v>
      </c>
      <c r="F306" s="50"/>
      <c r="G306" s="52"/>
      <c r="H306" s="50"/>
      <c r="I306" s="50"/>
      <c r="J306" s="50"/>
      <c r="K306" s="53"/>
      <c r="L306" s="59"/>
      <c r="M306" s="61"/>
      <c r="N306" s="59"/>
      <c r="O306" s="50"/>
      <c r="P306" s="50"/>
      <c r="Q306" s="53"/>
      <c r="R306" s="53"/>
      <c r="S306" s="53">
        <v>1320</v>
      </c>
      <c r="T306" s="53">
        <v>19800</v>
      </c>
      <c r="U306" s="53"/>
      <c r="V306" s="53"/>
      <c r="W306" s="53"/>
    </row>
    <row r="307" spans="1:23" hidden="1">
      <c r="A307" s="47">
        <v>305</v>
      </c>
      <c r="B307" s="56">
        <v>4971710610772</v>
      </c>
      <c r="C307" s="57" t="s">
        <v>901</v>
      </c>
      <c r="D307" s="75" t="s">
        <v>880</v>
      </c>
      <c r="E307" s="48" t="s">
        <v>905</v>
      </c>
      <c r="F307" s="50"/>
      <c r="G307" s="52"/>
      <c r="H307" s="50"/>
      <c r="I307" s="50"/>
      <c r="J307" s="50"/>
      <c r="K307" s="53"/>
      <c r="L307" s="59"/>
      <c r="M307" s="61"/>
      <c r="N307" s="59"/>
      <c r="O307" s="50"/>
      <c r="P307" s="50"/>
      <c r="Q307" s="53"/>
      <c r="R307" s="53"/>
      <c r="S307" s="53">
        <v>1320</v>
      </c>
      <c r="T307" s="53">
        <v>19800</v>
      </c>
      <c r="U307" s="53"/>
      <c r="V307" s="53"/>
      <c r="W307" s="53"/>
    </row>
    <row r="308" spans="1:23" hidden="1">
      <c r="A308" s="47">
        <v>306</v>
      </c>
      <c r="B308" s="56">
        <v>4971710610789</v>
      </c>
      <c r="C308" s="57" t="s">
        <v>902</v>
      </c>
      <c r="D308" s="75" t="s">
        <v>880</v>
      </c>
      <c r="E308" s="48" t="s">
        <v>906</v>
      </c>
      <c r="F308" s="50"/>
      <c r="G308" s="52"/>
      <c r="H308" s="50"/>
      <c r="I308" s="50"/>
      <c r="J308" s="50"/>
      <c r="K308" s="53"/>
      <c r="L308" s="59"/>
      <c r="M308" s="61"/>
      <c r="N308" s="59"/>
      <c r="O308" s="50"/>
      <c r="P308" s="50"/>
      <c r="Q308" s="53"/>
      <c r="R308" s="53"/>
      <c r="S308" s="53">
        <v>1320</v>
      </c>
      <c r="T308" s="53">
        <v>19800</v>
      </c>
      <c r="U308" s="53"/>
      <c r="V308" s="53"/>
      <c r="W308" s="53"/>
    </row>
    <row r="309" spans="1:23">
      <c r="A309" s="47">
        <v>307</v>
      </c>
      <c r="B309" s="56">
        <v>4971710487701</v>
      </c>
      <c r="C309" s="57" t="s">
        <v>54</v>
      </c>
      <c r="D309" s="75" t="s">
        <v>884</v>
      </c>
      <c r="E309" s="48" t="s">
        <v>55</v>
      </c>
      <c r="F309" s="50">
        <v>0</v>
      </c>
      <c r="G309" s="52">
        <v>0</v>
      </c>
      <c r="H309" s="50">
        <v>0</v>
      </c>
      <c r="I309" s="50">
        <v>0</v>
      </c>
      <c r="J309" s="50">
        <v>2640</v>
      </c>
      <c r="K309" s="53">
        <v>0</v>
      </c>
      <c r="L309" s="59"/>
      <c r="M309" s="61">
        <v>4400</v>
      </c>
      <c r="N309" s="59">
        <v>3520</v>
      </c>
      <c r="O309" s="50">
        <v>3520</v>
      </c>
      <c r="P309" s="50"/>
      <c r="Q309" s="53"/>
      <c r="R309" s="53"/>
      <c r="S309" s="53"/>
      <c r="T309" s="53">
        <v>7040</v>
      </c>
      <c r="U309" s="53"/>
      <c r="V309" s="53"/>
      <c r="W309" s="53">
        <v>8800</v>
      </c>
    </row>
    <row r="310" spans="1:23">
      <c r="A310" s="47">
        <v>308</v>
      </c>
      <c r="B310" s="56">
        <v>4971710514155</v>
      </c>
      <c r="C310" s="57" t="s">
        <v>296</v>
      </c>
      <c r="D310" s="75" t="s">
        <v>880</v>
      </c>
      <c r="E310" s="48" t="s">
        <v>297</v>
      </c>
      <c r="F310" s="50">
        <v>0</v>
      </c>
      <c r="G310" s="52">
        <v>0</v>
      </c>
      <c r="H310" s="50">
        <v>0</v>
      </c>
      <c r="I310" s="50">
        <v>0</v>
      </c>
      <c r="J310" s="50">
        <v>0</v>
      </c>
      <c r="K310" s="53">
        <v>29700</v>
      </c>
      <c r="L310" s="59"/>
      <c r="M310" s="61"/>
      <c r="N310" s="59"/>
      <c r="O310" s="50">
        <v>2970</v>
      </c>
      <c r="P310" s="50"/>
      <c r="Q310" s="53"/>
      <c r="R310" s="53"/>
      <c r="S310" s="53"/>
      <c r="T310" s="53"/>
      <c r="U310" s="53"/>
      <c r="V310" s="53"/>
      <c r="W310" s="53">
        <v>11880</v>
      </c>
    </row>
    <row r="311" spans="1:23">
      <c r="A311" s="47">
        <v>309</v>
      </c>
      <c r="B311" s="56">
        <v>4971710556698</v>
      </c>
      <c r="C311" s="57" t="s">
        <v>918</v>
      </c>
      <c r="D311" s="75" t="s">
        <v>1076</v>
      </c>
      <c r="E311" s="48" t="s">
        <v>934</v>
      </c>
      <c r="F311" s="50"/>
      <c r="G311" s="52"/>
      <c r="H311" s="50"/>
      <c r="I311" s="50"/>
      <c r="J311" s="50"/>
      <c r="K311" s="53"/>
      <c r="L311" s="59"/>
      <c r="M311" s="61"/>
      <c r="N311" s="59"/>
      <c r="O311" s="50"/>
      <c r="P311" s="50"/>
      <c r="Q311" s="53"/>
      <c r="R311" s="53"/>
      <c r="S311" s="53"/>
      <c r="T311" s="53">
        <v>33000</v>
      </c>
      <c r="U311" s="53"/>
      <c r="V311" s="53"/>
      <c r="W311" s="53">
        <v>33000</v>
      </c>
    </row>
    <row r="312" spans="1:23" hidden="1">
      <c r="A312" s="47">
        <v>310</v>
      </c>
      <c r="B312" s="56">
        <v>4971710517965</v>
      </c>
      <c r="C312" s="57" t="s">
        <v>903</v>
      </c>
      <c r="D312" s="75" t="s">
        <v>884</v>
      </c>
      <c r="E312" s="48" t="s">
        <v>909</v>
      </c>
      <c r="F312" s="50"/>
      <c r="G312" s="52"/>
      <c r="H312" s="50"/>
      <c r="I312" s="50"/>
      <c r="J312" s="50"/>
      <c r="K312" s="53"/>
      <c r="L312" s="59"/>
      <c r="M312" s="61"/>
      <c r="N312" s="59"/>
      <c r="O312" s="50"/>
      <c r="P312" s="50"/>
      <c r="Q312" s="53"/>
      <c r="R312" s="53"/>
      <c r="S312" s="53">
        <v>8800</v>
      </c>
      <c r="T312" s="53">
        <v>4400</v>
      </c>
      <c r="U312" s="53"/>
      <c r="V312" s="53"/>
      <c r="W312" s="53"/>
    </row>
    <row r="313" spans="1:23" hidden="1">
      <c r="A313" s="47">
        <v>311</v>
      </c>
      <c r="B313" s="56">
        <v>4971710580747</v>
      </c>
      <c r="C313" s="57" t="s">
        <v>686</v>
      </c>
      <c r="D313" s="75" t="s">
        <v>884</v>
      </c>
      <c r="E313" s="48" t="s">
        <v>687</v>
      </c>
      <c r="F313" s="50">
        <v>0</v>
      </c>
      <c r="G313" s="52">
        <v>0</v>
      </c>
      <c r="H313" s="50">
        <v>0</v>
      </c>
      <c r="I313" s="50">
        <v>19800</v>
      </c>
      <c r="J313" s="50">
        <v>33000</v>
      </c>
      <c r="K313" s="53">
        <v>0</v>
      </c>
      <c r="L313" s="59"/>
      <c r="M313" s="61"/>
      <c r="N313" s="59"/>
      <c r="O313" s="50"/>
      <c r="P313" s="50">
        <v>19800</v>
      </c>
      <c r="Q313" s="53"/>
      <c r="R313" s="53"/>
      <c r="S313" s="53"/>
      <c r="T313" s="53"/>
      <c r="U313" s="53"/>
      <c r="V313" s="53"/>
      <c r="W313" s="53"/>
    </row>
    <row r="314" spans="1:23" hidden="1">
      <c r="A314" s="47">
        <v>312</v>
      </c>
      <c r="B314" s="56">
        <v>4971710519273</v>
      </c>
      <c r="C314" s="57" t="s">
        <v>350</v>
      </c>
      <c r="D314" s="75" t="s">
        <v>880</v>
      </c>
      <c r="E314" s="48" t="s">
        <v>351</v>
      </c>
      <c r="F314" s="50">
        <v>0</v>
      </c>
      <c r="G314" s="52">
        <v>21450</v>
      </c>
      <c r="H314" s="50">
        <v>0</v>
      </c>
      <c r="I314" s="50">
        <v>0</v>
      </c>
      <c r="J314" s="50">
        <v>21450</v>
      </c>
      <c r="K314" s="53">
        <v>0</v>
      </c>
      <c r="L314" s="59"/>
      <c r="M314" s="61"/>
      <c r="N314" s="59"/>
      <c r="O314" s="50"/>
      <c r="P314" s="50">
        <v>21450</v>
      </c>
      <c r="Q314" s="53"/>
      <c r="R314" s="53"/>
      <c r="S314" s="53"/>
      <c r="T314" s="53"/>
      <c r="U314" s="53"/>
      <c r="V314" s="53"/>
      <c r="W314" s="53"/>
    </row>
    <row r="315" spans="1:23" hidden="1">
      <c r="A315" s="47">
        <v>313</v>
      </c>
      <c r="B315" s="56">
        <v>4971710288605</v>
      </c>
      <c r="C315" s="57" t="s">
        <v>7</v>
      </c>
      <c r="D315" s="75" t="s">
        <v>882</v>
      </c>
      <c r="E315" s="48" t="s">
        <v>8</v>
      </c>
      <c r="F315" s="50">
        <v>0</v>
      </c>
      <c r="G315" s="52">
        <v>0</v>
      </c>
      <c r="H315" s="50">
        <v>27500</v>
      </c>
      <c r="I315" s="50">
        <v>27500</v>
      </c>
      <c r="J315" s="50">
        <v>0</v>
      </c>
      <c r="K315" s="53">
        <v>0</v>
      </c>
      <c r="L315" s="59"/>
      <c r="M315" s="61">
        <v>55000</v>
      </c>
      <c r="N315" s="59"/>
      <c r="O315" s="50"/>
      <c r="P315" s="50">
        <v>27500</v>
      </c>
      <c r="Q315" s="53"/>
      <c r="R315" s="53"/>
      <c r="S315" s="53"/>
      <c r="T315" s="53"/>
      <c r="U315" s="53"/>
      <c r="V315" s="53"/>
      <c r="W315" s="53"/>
    </row>
    <row r="316" spans="1:23" hidden="1">
      <c r="A316" s="47">
        <v>314</v>
      </c>
      <c r="B316" s="56">
        <v>4971710589566</v>
      </c>
      <c r="C316" s="57" t="s">
        <v>789</v>
      </c>
      <c r="D316" s="75" t="s">
        <v>884</v>
      </c>
      <c r="E316" s="48" t="s">
        <v>1016</v>
      </c>
      <c r="F316" s="50">
        <v>0</v>
      </c>
      <c r="G316" s="52">
        <v>0</v>
      </c>
      <c r="H316" s="50">
        <v>0</v>
      </c>
      <c r="I316" s="50">
        <v>0</v>
      </c>
      <c r="J316" s="50">
        <v>0</v>
      </c>
      <c r="K316" s="53">
        <v>0</v>
      </c>
      <c r="L316" s="59"/>
      <c r="M316" s="61"/>
      <c r="N316" s="59"/>
      <c r="O316" s="50">
        <v>13200</v>
      </c>
      <c r="P316" s="50"/>
      <c r="Q316" s="53"/>
      <c r="R316" s="53"/>
      <c r="S316" s="53"/>
      <c r="T316" s="53"/>
      <c r="U316" s="53"/>
      <c r="V316" s="53"/>
      <c r="W316" s="53"/>
    </row>
    <row r="317" spans="1:23" hidden="1">
      <c r="A317" s="47">
        <v>315</v>
      </c>
      <c r="B317" s="56">
        <v>4971710560961</v>
      </c>
      <c r="C317" s="57" t="s">
        <v>807</v>
      </c>
      <c r="D317" s="75" t="s">
        <v>884</v>
      </c>
      <c r="E317" s="48" t="s">
        <v>1017</v>
      </c>
      <c r="F317" s="50">
        <v>0</v>
      </c>
      <c r="G317" s="52">
        <v>0</v>
      </c>
      <c r="H317" s="50">
        <v>0</v>
      </c>
      <c r="I317" s="50">
        <v>0</v>
      </c>
      <c r="J317" s="50">
        <v>0</v>
      </c>
      <c r="K317" s="53">
        <v>0</v>
      </c>
      <c r="L317" s="59"/>
      <c r="M317" s="61"/>
      <c r="N317" s="59"/>
      <c r="O317" s="50"/>
      <c r="P317" s="50">
        <v>24750</v>
      </c>
      <c r="Q317" s="53"/>
      <c r="R317" s="53"/>
      <c r="S317" s="53"/>
      <c r="T317" s="53"/>
      <c r="U317" s="53"/>
      <c r="V317" s="53"/>
      <c r="W317" s="53"/>
    </row>
    <row r="318" spans="1:23">
      <c r="A318" s="47">
        <v>316</v>
      </c>
      <c r="B318" s="56">
        <v>4971710507584</v>
      </c>
      <c r="C318" s="57" t="s">
        <v>178</v>
      </c>
      <c r="D318" s="75" t="s">
        <v>884</v>
      </c>
      <c r="E318" s="48" t="s">
        <v>179</v>
      </c>
      <c r="F318" s="50">
        <v>0</v>
      </c>
      <c r="G318" s="52">
        <v>0</v>
      </c>
      <c r="H318" s="50">
        <v>0</v>
      </c>
      <c r="I318" s="50">
        <v>0</v>
      </c>
      <c r="J318" s="50">
        <v>1980</v>
      </c>
      <c r="K318" s="53">
        <v>0</v>
      </c>
      <c r="L318" s="59"/>
      <c r="M318" s="61"/>
      <c r="N318" s="59">
        <v>2640</v>
      </c>
      <c r="O318" s="50">
        <v>7260</v>
      </c>
      <c r="P318" s="50">
        <v>6600</v>
      </c>
      <c r="Q318" s="53"/>
      <c r="R318" s="53"/>
      <c r="S318" s="53"/>
      <c r="T318" s="53"/>
      <c r="U318" s="53"/>
      <c r="V318" s="53"/>
      <c r="W318" s="53">
        <v>2640</v>
      </c>
    </row>
    <row r="319" spans="1:23" hidden="1">
      <c r="A319" s="47">
        <v>317</v>
      </c>
      <c r="B319" s="56">
        <v>4971710611854</v>
      </c>
      <c r="C319" s="57" t="s">
        <v>965</v>
      </c>
      <c r="D319" s="75" t="s">
        <v>884</v>
      </c>
      <c r="E319" s="48" t="s">
        <v>966</v>
      </c>
      <c r="F319" s="50"/>
      <c r="G319" s="52"/>
      <c r="H319" s="50"/>
      <c r="I319" s="50"/>
      <c r="J319" s="50"/>
      <c r="K319" s="53"/>
      <c r="L319" s="59"/>
      <c r="M319" s="61"/>
      <c r="N319" s="59"/>
      <c r="O319" s="50"/>
      <c r="P319" s="50"/>
      <c r="Q319" s="53"/>
      <c r="R319" s="53"/>
      <c r="S319" s="53"/>
      <c r="T319" s="53">
        <v>23925</v>
      </c>
      <c r="U319" s="53"/>
      <c r="V319" s="53"/>
      <c r="W319" s="53"/>
    </row>
    <row r="320" spans="1:23">
      <c r="A320" s="47">
        <v>318</v>
      </c>
      <c r="B320" s="56">
        <v>4971710613278</v>
      </c>
      <c r="C320" s="57" t="s">
        <v>1072</v>
      </c>
      <c r="D320" s="75" t="s">
        <v>882</v>
      </c>
      <c r="E320" s="48" t="s">
        <v>1073</v>
      </c>
      <c r="F320" s="50"/>
      <c r="G320" s="52"/>
      <c r="H320" s="50"/>
      <c r="I320" s="50"/>
      <c r="J320" s="50"/>
      <c r="K320" s="53"/>
      <c r="L320" s="59"/>
      <c r="M320" s="61"/>
      <c r="N320" s="59"/>
      <c r="O320" s="50"/>
      <c r="P320" s="50"/>
      <c r="Q320" s="53"/>
      <c r="R320" s="53"/>
      <c r="S320" s="53"/>
      <c r="T320" s="53"/>
      <c r="U320" s="53"/>
      <c r="V320" s="53"/>
      <c r="W320" s="53">
        <v>82940</v>
      </c>
    </row>
    <row r="321" spans="1:23" hidden="1">
      <c r="A321" s="47">
        <v>319</v>
      </c>
      <c r="B321" s="56">
        <v>4971710568677</v>
      </c>
      <c r="C321" s="57" t="s">
        <v>529</v>
      </c>
      <c r="D321" s="75" t="s">
        <v>884</v>
      </c>
      <c r="E321" s="48" t="s">
        <v>530</v>
      </c>
      <c r="F321" s="50">
        <v>8250</v>
      </c>
      <c r="G321" s="52">
        <v>0</v>
      </c>
      <c r="H321" s="50">
        <v>0</v>
      </c>
      <c r="I321" s="50">
        <v>0</v>
      </c>
      <c r="J321" s="50">
        <v>0</v>
      </c>
      <c r="K321" s="53">
        <v>0</v>
      </c>
      <c r="L321" s="59"/>
      <c r="M321" s="61"/>
      <c r="N321" s="59">
        <v>1650</v>
      </c>
      <c r="O321" s="50">
        <v>16500</v>
      </c>
      <c r="P321" s="50">
        <v>3300</v>
      </c>
      <c r="Q321" s="53"/>
      <c r="R321" s="53"/>
      <c r="S321" s="53"/>
      <c r="T321" s="53"/>
      <c r="U321" s="53"/>
      <c r="V321" s="53"/>
      <c r="W321" s="53"/>
    </row>
    <row r="322" spans="1:23" hidden="1">
      <c r="A322" s="47">
        <v>320</v>
      </c>
      <c r="B322" s="56">
        <v>4971710522389</v>
      </c>
      <c r="C322" s="57" t="s">
        <v>376</v>
      </c>
      <c r="D322" s="75" t="s">
        <v>880</v>
      </c>
      <c r="E322" s="48" t="s">
        <v>377</v>
      </c>
      <c r="F322" s="50">
        <v>0</v>
      </c>
      <c r="G322" s="52">
        <v>0</v>
      </c>
      <c r="H322" s="50">
        <v>4950</v>
      </c>
      <c r="I322" s="50">
        <v>0</v>
      </c>
      <c r="J322" s="50">
        <v>0</v>
      </c>
      <c r="K322" s="53">
        <v>0</v>
      </c>
      <c r="L322" s="59"/>
      <c r="M322" s="61">
        <v>2475</v>
      </c>
      <c r="N322" s="59">
        <v>9900</v>
      </c>
      <c r="O322" s="50"/>
      <c r="P322" s="50"/>
      <c r="Q322" s="53"/>
      <c r="R322" s="53"/>
      <c r="S322" s="53"/>
      <c r="T322" s="53"/>
      <c r="U322" s="53"/>
      <c r="V322" s="53"/>
      <c r="W322" s="53"/>
    </row>
    <row r="323" spans="1:23">
      <c r="A323" s="47">
        <v>321</v>
      </c>
      <c r="B323" s="56">
        <v>4971710514179</v>
      </c>
      <c r="C323" s="57" t="s">
        <v>1052</v>
      </c>
      <c r="D323" s="75" t="s">
        <v>880</v>
      </c>
      <c r="E323" s="48" t="s">
        <v>1053</v>
      </c>
      <c r="F323" s="50"/>
      <c r="G323" s="52"/>
      <c r="H323" s="50"/>
      <c r="I323" s="50"/>
      <c r="J323" s="50"/>
      <c r="K323" s="53"/>
      <c r="L323" s="59"/>
      <c r="M323" s="61"/>
      <c r="N323" s="59"/>
      <c r="O323" s="50"/>
      <c r="P323" s="50"/>
      <c r="Q323" s="53"/>
      <c r="R323" s="53"/>
      <c r="S323" s="53"/>
      <c r="T323" s="53"/>
      <c r="U323" s="53"/>
      <c r="V323" s="53"/>
      <c r="W323" s="53">
        <v>11880</v>
      </c>
    </row>
    <row r="324" spans="1:23">
      <c r="A324" s="47">
        <v>322</v>
      </c>
      <c r="B324" s="56">
        <v>4971710575910</v>
      </c>
      <c r="C324" s="57" t="s">
        <v>598</v>
      </c>
      <c r="D324" s="75" t="s">
        <v>884</v>
      </c>
      <c r="E324" s="48" t="s">
        <v>599</v>
      </c>
      <c r="F324" s="50">
        <v>0</v>
      </c>
      <c r="G324" s="52">
        <v>0</v>
      </c>
      <c r="H324" s="50">
        <v>4950</v>
      </c>
      <c r="I324" s="50">
        <v>0</v>
      </c>
      <c r="J324" s="50">
        <v>0</v>
      </c>
      <c r="K324" s="53">
        <v>0</v>
      </c>
      <c r="L324" s="59"/>
      <c r="M324" s="61"/>
      <c r="N324" s="59"/>
      <c r="O324" s="50">
        <v>4950</v>
      </c>
      <c r="P324" s="50"/>
      <c r="Q324" s="53"/>
      <c r="R324" s="53"/>
      <c r="S324" s="53"/>
      <c r="T324" s="53"/>
      <c r="U324" s="53"/>
      <c r="V324" s="53"/>
      <c r="W324" s="53">
        <v>6930</v>
      </c>
    </row>
    <row r="325" spans="1:23" hidden="1">
      <c r="A325" s="47">
        <v>323</v>
      </c>
      <c r="B325" s="56">
        <v>4971710541182</v>
      </c>
      <c r="C325" s="57" t="s">
        <v>428</v>
      </c>
      <c r="D325" s="75" t="s">
        <v>884</v>
      </c>
      <c r="E325" s="48" t="s">
        <v>429</v>
      </c>
      <c r="F325" s="50">
        <v>6600</v>
      </c>
      <c r="G325" s="52">
        <v>0</v>
      </c>
      <c r="H325" s="50">
        <v>0</v>
      </c>
      <c r="I325" s="50">
        <v>13200</v>
      </c>
      <c r="J325" s="50">
        <v>0</v>
      </c>
      <c r="K325" s="53">
        <v>0</v>
      </c>
      <c r="L325" s="59"/>
      <c r="M325" s="61"/>
      <c r="N325" s="59"/>
      <c r="O325" s="50"/>
      <c r="P325" s="50"/>
      <c r="Q325" s="53"/>
      <c r="R325" s="53">
        <v>2640</v>
      </c>
      <c r="S325" s="53"/>
      <c r="T325" s="53">
        <v>13200</v>
      </c>
      <c r="U325" s="53"/>
      <c r="V325" s="53"/>
      <c r="W325" s="53"/>
    </row>
    <row r="326" spans="1:23" hidden="1">
      <c r="A326" s="47">
        <v>324</v>
      </c>
      <c r="B326" s="56">
        <v>4971710511833</v>
      </c>
      <c r="C326" s="57" t="s">
        <v>222</v>
      </c>
      <c r="D326" s="75" t="s">
        <v>884</v>
      </c>
      <c r="E326" s="48" t="s">
        <v>223</v>
      </c>
      <c r="F326" s="50">
        <v>0</v>
      </c>
      <c r="G326" s="52">
        <v>0</v>
      </c>
      <c r="H326" s="50">
        <v>0</v>
      </c>
      <c r="I326" s="50">
        <v>0</v>
      </c>
      <c r="J326" s="50">
        <v>0</v>
      </c>
      <c r="K326" s="53">
        <v>0</v>
      </c>
      <c r="L326" s="59"/>
      <c r="M326" s="61"/>
      <c r="N326" s="59"/>
      <c r="O326" s="50"/>
      <c r="P326" s="50">
        <v>2640</v>
      </c>
      <c r="Q326" s="53">
        <v>13200</v>
      </c>
      <c r="R326" s="53"/>
      <c r="S326" s="53"/>
      <c r="T326" s="53"/>
      <c r="U326" s="53"/>
      <c r="V326" s="53"/>
      <c r="W326" s="53"/>
    </row>
    <row r="327" spans="1:23">
      <c r="A327" s="47">
        <v>325</v>
      </c>
      <c r="B327" s="56">
        <v>4971710590067</v>
      </c>
      <c r="C327" s="57" t="s">
        <v>732</v>
      </c>
      <c r="D327" s="75" t="s">
        <v>884</v>
      </c>
      <c r="E327" s="48" t="s">
        <v>733</v>
      </c>
      <c r="F327" s="50">
        <v>0</v>
      </c>
      <c r="G327" s="52">
        <v>0</v>
      </c>
      <c r="H327" s="50">
        <v>0</v>
      </c>
      <c r="I327" s="50">
        <v>0</v>
      </c>
      <c r="J327" s="50">
        <v>231000</v>
      </c>
      <c r="K327" s="53">
        <v>0</v>
      </c>
      <c r="L327" s="59"/>
      <c r="M327" s="61"/>
      <c r="N327" s="59">
        <v>3850</v>
      </c>
      <c r="O327" s="50"/>
      <c r="P327" s="50">
        <v>1540</v>
      </c>
      <c r="Q327" s="53">
        <v>7700</v>
      </c>
      <c r="R327" s="53"/>
      <c r="S327" s="53"/>
      <c r="T327" s="53"/>
      <c r="U327" s="53"/>
      <c r="V327" s="53"/>
      <c r="W327" s="53">
        <v>4620</v>
      </c>
    </row>
    <row r="328" spans="1:23" hidden="1">
      <c r="A328" s="47">
        <v>326</v>
      </c>
      <c r="B328" s="56">
        <v>4971710519433</v>
      </c>
      <c r="C328" s="57" t="s">
        <v>352</v>
      </c>
      <c r="D328" s="75" t="s">
        <v>884</v>
      </c>
      <c r="E328" s="48" t="s">
        <v>353</v>
      </c>
      <c r="F328" s="50">
        <v>0</v>
      </c>
      <c r="G328" s="52">
        <v>0</v>
      </c>
      <c r="H328" s="50">
        <v>0</v>
      </c>
      <c r="I328" s="50">
        <v>0</v>
      </c>
      <c r="J328" s="50">
        <v>0</v>
      </c>
      <c r="K328" s="53">
        <v>11000</v>
      </c>
      <c r="L328" s="59">
        <v>11000</v>
      </c>
      <c r="M328" s="61">
        <v>1100</v>
      </c>
      <c r="N328" s="59"/>
      <c r="O328" s="50"/>
      <c r="P328" s="50"/>
      <c r="Q328" s="53"/>
      <c r="R328" s="53"/>
      <c r="S328" s="53"/>
      <c r="T328" s="53"/>
      <c r="U328" s="53"/>
      <c r="V328" s="53"/>
      <c r="W328" s="53"/>
    </row>
    <row r="329" spans="1:23">
      <c r="A329" s="47">
        <v>327</v>
      </c>
      <c r="B329" s="56">
        <v>4971710615920</v>
      </c>
      <c r="C329" s="57" t="s">
        <v>1055</v>
      </c>
      <c r="D329" s="75" t="s">
        <v>880</v>
      </c>
      <c r="E329" s="48" t="s">
        <v>1058</v>
      </c>
      <c r="F329" s="50"/>
      <c r="G329" s="52"/>
      <c r="H329" s="50"/>
      <c r="I329" s="50"/>
      <c r="J329" s="50"/>
      <c r="K329" s="53"/>
      <c r="L329" s="59"/>
      <c r="M329" s="61"/>
      <c r="N329" s="59"/>
      <c r="O329" s="50"/>
      <c r="P329" s="50"/>
      <c r="Q329" s="53"/>
      <c r="R329" s="53"/>
      <c r="S329" s="53"/>
      <c r="T329" s="53"/>
      <c r="U329" s="53"/>
      <c r="V329" s="53"/>
      <c r="W329" s="53">
        <v>13200</v>
      </c>
    </row>
    <row r="330" spans="1:23">
      <c r="A330" s="47">
        <v>328</v>
      </c>
      <c r="B330" s="56">
        <v>4971710293531</v>
      </c>
      <c r="C330" s="57" t="s">
        <v>1046</v>
      </c>
      <c r="D330" s="75" t="s">
        <v>1076</v>
      </c>
      <c r="E330" s="48" t="s">
        <v>1047</v>
      </c>
      <c r="F330" s="50"/>
      <c r="G330" s="52"/>
      <c r="H330" s="50"/>
      <c r="I330" s="50"/>
      <c r="J330" s="50"/>
      <c r="K330" s="53"/>
      <c r="L330" s="59"/>
      <c r="M330" s="61"/>
      <c r="N330" s="59"/>
      <c r="O330" s="50"/>
      <c r="P330" s="50"/>
      <c r="Q330" s="53"/>
      <c r="R330" s="53"/>
      <c r="S330" s="53"/>
      <c r="T330" s="53"/>
      <c r="U330" s="53"/>
      <c r="V330" s="53"/>
      <c r="W330" s="53">
        <v>660000</v>
      </c>
    </row>
    <row r="331" spans="1:23">
      <c r="A331" s="47">
        <v>329</v>
      </c>
      <c r="B331" s="56">
        <v>4971710575743</v>
      </c>
      <c r="C331" s="57" t="s">
        <v>584</v>
      </c>
      <c r="D331" s="75" t="s">
        <v>884</v>
      </c>
      <c r="E331" s="48" t="s">
        <v>585</v>
      </c>
      <c r="F331" s="50">
        <v>0</v>
      </c>
      <c r="G331" s="52">
        <v>0</v>
      </c>
      <c r="H331" s="50">
        <v>9900</v>
      </c>
      <c r="I331" s="50">
        <v>0</v>
      </c>
      <c r="J331" s="50">
        <v>0</v>
      </c>
      <c r="K331" s="53">
        <v>0</v>
      </c>
      <c r="L331" s="59"/>
      <c r="M331" s="61"/>
      <c r="N331" s="59"/>
      <c r="O331" s="50"/>
      <c r="P331" s="50">
        <v>4950</v>
      </c>
      <c r="Q331" s="53"/>
      <c r="R331" s="53"/>
      <c r="S331" s="53"/>
      <c r="T331" s="53"/>
      <c r="U331" s="53"/>
      <c r="V331" s="53"/>
      <c r="W331" s="53">
        <v>4950</v>
      </c>
    </row>
    <row r="332" spans="1:23">
      <c r="A332" s="47">
        <v>330</v>
      </c>
      <c r="B332" s="56">
        <v>4971710575835</v>
      </c>
      <c r="C332" s="57" t="s">
        <v>592</v>
      </c>
      <c r="D332" s="75" t="s">
        <v>884</v>
      </c>
      <c r="E332" s="48" t="s">
        <v>593</v>
      </c>
      <c r="F332" s="50">
        <v>0</v>
      </c>
      <c r="G332" s="52">
        <v>0</v>
      </c>
      <c r="H332" s="50">
        <v>4950</v>
      </c>
      <c r="I332" s="50">
        <v>0</v>
      </c>
      <c r="J332" s="50">
        <v>0</v>
      </c>
      <c r="K332" s="53">
        <v>0</v>
      </c>
      <c r="L332" s="59"/>
      <c r="M332" s="61"/>
      <c r="N332" s="59">
        <v>4950</v>
      </c>
      <c r="O332" s="50"/>
      <c r="P332" s="50"/>
      <c r="Q332" s="53"/>
      <c r="R332" s="53"/>
      <c r="S332" s="53"/>
      <c r="T332" s="53"/>
      <c r="U332" s="53"/>
      <c r="V332" s="53"/>
      <c r="W332" s="53">
        <v>4950</v>
      </c>
    </row>
    <row r="333" spans="1:23">
      <c r="A333" s="47">
        <v>331</v>
      </c>
      <c r="B333" s="56">
        <v>4971710590036</v>
      </c>
      <c r="C333" s="57" t="s">
        <v>726</v>
      </c>
      <c r="D333" s="75" t="s">
        <v>884</v>
      </c>
      <c r="E333" s="48" t="s">
        <v>727</v>
      </c>
      <c r="F333" s="50">
        <v>0</v>
      </c>
      <c r="G333" s="52">
        <v>0</v>
      </c>
      <c r="H333" s="50">
        <v>0</v>
      </c>
      <c r="I333" s="50">
        <v>0</v>
      </c>
      <c r="J333" s="50">
        <v>231000</v>
      </c>
      <c r="K333" s="53">
        <v>1540</v>
      </c>
      <c r="L333" s="59"/>
      <c r="M333" s="61"/>
      <c r="N333" s="59">
        <v>1540</v>
      </c>
      <c r="O333" s="50"/>
      <c r="P333" s="50">
        <v>1540</v>
      </c>
      <c r="Q333" s="53"/>
      <c r="R333" s="53">
        <v>3850</v>
      </c>
      <c r="S333" s="53"/>
      <c r="T333" s="53">
        <v>3850</v>
      </c>
      <c r="U333" s="53"/>
      <c r="V333" s="53"/>
      <c r="W333" s="53">
        <v>4620</v>
      </c>
    </row>
    <row r="334" spans="1:23">
      <c r="A334" s="47">
        <v>332</v>
      </c>
      <c r="B334" s="56">
        <v>4971710572803</v>
      </c>
      <c r="C334" s="57" t="s">
        <v>921</v>
      </c>
      <c r="D334" s="75" t="s">
        <v>1076</v>
      </c>
      <c r="E334" s="48" t="s">
        <v>937</v>
      </c>
      <c r="F334" s="50"/>
      <c r="G334" s="52"/>
      <c r="H334" s="50"/>
      <c r="I334" s="50"/>
      <c r="J334" s="50"/>
      <c r="K334" s="53"/>
      <c r="L334" s="59"/>
      <c r="M334" s="61"/>
      <c r="N334" s="59"/>
      <c r="O334" s="50"/>
      <c r="P334" s="50"/>
      <c r="Q334" s="53"/>
      <c r="R334" s="53"/>
      <c r="S334" s="53"/>
      <c r="T334" s="53">
        <v>26400</v>
      </c>
      <c r="U334" s="53"/>
      <c r="V334" s="53"/>
      <c r="W334" s="53">
        <v>8800</v>
      </c>
    </row>
    <row r="335" spans="1:23">
      <c r="A335" s="47">
        <v>333</v>
      </c>
      <c r="B335" s="56">
        <v>4971710572810</v>
      </c>
      <c r="C335" s="57" t="s">
        <v>922</v>
      </c>
      <c r="D335" s="75" t="s">
        <v>1076</v>
      </c>
      <c r="E335" s="48" t="s">
        <v>938</v>
      </c>
      <c r="F335" s="50"/>
      <c r="G335" s="52"/>
      <c r="H335" s="50"/>
      <c r="I335" s="50"/>
      <c r="J335" s="50"/>
      <c r="K335" s="53"/>
      <c r="L335" s="59"/>
      <c r="M335" s="61"/>
      <c r="N335" s="59"/>
      <c r="O335" s="50"/>
      <c r="P335" s="50"/>
      <c r="Q335" s="53"/>
      <c r="R335" s="53"/>
      <c r="S335" s="53"/>
      <c r="T335" s="53">
        <v>26400</v>
      </c>
      <c r="U335" s="53"/>
      <c r="V335" s="53"/>
      <c r="W335" s="53">
        <v>8800</v>
      </c>
    </row>
    <row r="336" spans="1:23" hidden="1">
      <c r="A336" s="47">
        <v>334</v>
      </c>
      <c r="B336" s="56">
        <v>4971710507560</v>
      </c>
      <c r="C336" s="57" t="s">
        <v>174</v>
      </c>
      <c r="D336" s="75" t="s">
        <v>884</v>
      </c>
      <c r="E336" s="48" t="s">
        <v>175</v>
      </c>
      <c r="F336" s="50">
        <v>0</v>
      </c>
      <c r="G336" s="52">
        <v>0</v>
      </c>
      <c r="H336" s="50">
        <v>3300</v>
      </c>
      <c r="I336" s="50">
        <v>0</v>
      </c>
      <c r="J336" s="50">
        <v>0</v>
      </c>
      <c r="K336" s="53">
        <v>3300</v>
      </c>
      <c r="L336" s="59"/>
      <c r="M336" s="61">
        <v>1320</v>
      </c>
      <c r="N336" s="59">
        <v>3960</v>
      </c>
      <c r="O336" s="50">
        <v>3960</v>
      </c>
      <c r="P336" s="50"/>
      <c r="Q336" s="53"/>
      <c r="R336" s="53">
        <v>1320</v>
      </c>
      <c r="S336" s="53">
        <v>1320</v>
      </c>
      <c r="T336" s="53">
        <v>1320</v>
      </c>
      <c r="U336" s="53"/>
      <c r="V336" s="53"/>
      <c r="W336" s="53"/>
    </row>
    <row r="337" spans="1:23" hidden="1">
      <c r="A337" s="47">
        <v>335</v>
      </c>
      <c r="B337" s="56">
        <v>4971710522402</v>
      </c>
      <c r="C337" s="57" t="s">
        <v>380</v>
      </c>
      <c r="D337" s="75" t="s">
        <v>880</v>
      </c>
      <c r="E337" s="48" t="s">
        <v>381</v>
      </c>
      <c r="F337" s="50">
        <v>0</v>
      </c>
      <c r="G337" s="52">
        <v>0</v>
      </c>
      <c r="H337" s="50">
        <v>0</v>
      </c>
      <c r="I337" s="50">
        <v>4950</v>
      </c>
      <c r="J337" s="50">
        <v>0</v>
      </c>
      <c r="K337" s="53">
        <v>0</v>
      </c>
      <c r="L337" s="59"/>
      <c r="M337" s="61"/>
      <c r="N337" s="59">
        <v>9900</v>
      </c>
      <c r="O337" s="50"/>
      <c r="P337" s="50"/>
      <c r="Q337" s="53"/>
      <c r="R337" s="53"/>
      <c r="S337" s="53"/>
      <c r="T337" s="53"/>
      <c r="U337" s="53"/>
      <c r="V337" s="53"/>
      <c r="W337" s="53"/>
    </row>
    <row r="338" spans="1:23" hidden="1">
      <c r="A338" s="47">
        <v>336</v>
      </c>
      <c r="B338" s="56">
        <v>4971710522419</v>
      </c>
      <c r="C338" s="57" t="s">
        <v>382</v>
      </c>
      <c r="D338" s="75" t="s">
        <v>880</v>
      </c>
      <c r="E338" s="48" t="s">
        <v>383</v>
      </c>
      <c r="F338" s="50">
        <v>0</v>
      </c>
      <c r="G338" s="52">
        <v>0</v>
      </c>
      <c r="H338" s="50">
        <v>0</v>
      </c>
      <c r="I338" s="50">
        <v>4950</v>
      </c>
      <c r="J338" s="50">
        <v>0</v>
      </c>
      <c r="K338" s="53">
        <v>0</v>
      </c>
      <c r="L338" s="59"/>
      <c r="M338" s="61"/>
      <c r="N338" s="59">
        <v>9900</v>
      </c>
      <c r="O338" s="50"/>
      <c r="P338" s="50"/>
      <c r="Q338" s="53"/>
      <c r="R338" s="53"/>
      <c r="S338" s="53"/>
      <c r="T338" s="53"/>
      <c r="U338" s="53"/>
      <c r="V338" s="53"/>
      <c r="W338" s="53"/>
    </row>
    <row r="339" spans="1:23" hidden="1">
      <c r="A339" s="47">
        <v>337</v>
      </c>
      <c r="B339" s="56">
        <v>4971710572520</v>
      </c>
      <c r="C339" s="57" t="s">
        <v>802</v>
      </c>
      <c r="D339" s="75" t="s">
        <v>882</v>
      </c>
      <c r="E339" s="48" t="s">
        <v>1019</v>
      </c>
      <c r="F339" s="50">
        <v>0</v>
      </c>
      <c r="G339" s="52">
        <v>0</v>
      </c>
      <c r="H339" s="50">
        <v>0</v>
      </c>
      <c r="I339" s="50">
        <v>0</v>
      </c>
      <c r="J339" s="50">
        <v>0</v>
      </c>
      <c r="K339" s="53">
        <v>0</v>
      </c>
      <c r="L339" s="59"/>
      <c r="M339" s="61"/>
      <c r="N339" s="59"/>
      <c r="O339" s="50"/>
      <c r="P339" s="50">
        <v>79200</v>
      </c>
      <c r="Q339" s="53"/>
      <c r="R339" s="53"/>
      <c r="S339" s="53"/>
      <c r="T339" s="53"/>
      <c r="U339" s="53"/>
      <c r="V339" s="53"/>
      <c r="W339" s="53"/>
    </row>
    <row r="340" spans="1:23" hidden="1">
      <c r="A340" s="47">
        <v>338</v>
      </c>
      <c r="B340" s="56">
        <v>4971710571820</v>
      </c>
      <c r="C340" s="57" t="s">
        <v>561</v>
      </c>
      <c r="D340" s="75" t="s">
        <v>884</v>
      </c>
      <c r="E340" s="48" t="s">
        <v>562</v>
      </c>
      <c r="F340" s="50">
        <v>0</v>
      </c>
      <c r="G340" s="52">
        <v>15840</v>
      </c>
      <c r="H340" s="50">
        <v>15840</v>
      </c>
      <c r="I340" s="50">
        <v>0</v>
      </c>
      <c r="J340" s="50">
        <v>0</v>
      </c>
      <c r="K340" s="53">
        <v>0</v>
      </c>
      <c r="L340" s="59">
        <v>3300</v>
      </c>
      <c r="M340" s="61">
        <v>5280</v>
      </c>
      <c r="N340" s="59"/>
      <c r="O340" s="50">
        <v>3960</v>
      </c>
      <c r="P340" s="50"/>
      <c r="Q340" s="53"/>
      <c r="R340" s="53"/>
      <c r="S340" s="53"/>
      <c r="T340" s="53"/>
      <c r="U340" s="53"/>
      <c r="V340" s="53"/>
      <c r="W340" s="53"/>
    </row>
    <row r="341" spans="1:23">
      <c r="A341" s="47">
        <v>339</v>
      </c>
      <c r="B341" s="56">
        <v>4971710507577</v>
      </c>
      <c r="C341" s="57" t="s">
        <v>176</v>
      </c>
      <c r="D341" s="75" t="s">
        <v>884</v>
      </c>
      <c r="E341" s="48" t="s">
        <v>177</v>
      </c>
      <c r="F341" s="50">
        <v>0</v>
      </c>
      <c r="G341" s="52">
        <v>0</v>
      </c>
      <c r="H341" s="50">
        <v>0</v>
      </c>
      <c r="I341" s="50">
        <v>0</v>
      </c>
      <c r="J341" s="50">
        <v>0</v>
      </c>
      <c r="K341" s="53">
        <v>1320</v>
      </c>
      <c r="L341" s="59">
        <v>1320</v>
      </c>
      <c r="M341" s="61"/>
      <c r="N341" s="59"/>
      <c r="O341" s="50">
        <v>3960</v>
      </c>
      <c r="P341" s="50"/>
      <c r="Q341" s="53"/>
      <c r="R341" s="53"/>
      <c r="S341" s="53"/>
      <c r="T341" s="53"/>
      <c r="U341" s="53"/>
      <c r="V341" s="53"/>
      <c r="W341" s="53">
        <v>6600</v>
      </c>
    </row>
    <row r="342" spans="1:23">
      <c r="A342" s="47">
        <v>340</v>
      </c>
      <c r="B342" s="56">
        <v>4971710521504</v>
      </c>
      <c r="C342" s="57" t="s">
        <v>364</v>
      </c>
      <c r="D342" s="75" t="s">
        <v>884</v>
      </c>
      <c r="E342" s="48" t="s">
        <v>365</v>
      </c>
      <c r="F342" s="50">
        <v>0</v>
      </c>
      <c r="G342" s="52">
        <v>117260</v>
      </c>
      <c r="H342" s="50">
        <v>17160</v>
      </c>
      <c r="I342" s="50">
        <v>0</v>
      </c>
      <c r="J342" s="50">
        <v>14300</v>
      </c>
      <c r="K342" s="53">
        <v>0</v>
      </c>
      <c r="L342" s="59"/>
      <c r="M342" s="61">
        <v>1430</v>
      </c>
      <c r="N342" s="59"/>
      <c r="O342" s="50"/>
      <c r="P342" s="50">
        <v>1430</v>
      </c>
      <c r="Q342" s="53">
        <v>2860</v>
      </c>
      <c r="R342" s="53">
        <v>1430</v>
      </c>
      <c r="S342" s="53"/>
      <c r="T342" s="53">
        <v>2860</v>
      </c>
      <c r="U342" s="53"/>
      <c r="V342" s="53"/>
      <c r="W342" s="53">
        <v>2860</v>
      </c>
    </row>
    <row r="343" spans="1:23">
      <c r="A343" s="47">
        <v>341</v>
      </c>
      <c r="B343" s="56">
        <v>4971710570144</v>
      </c>
      <c r="C343" s="57" t="s">
        <v>919</v>
      </c>
      <c r="D343" s="75" t="s">
        <v>1076</v>
      </c>
      <c r="E343" s="48" t="s">
        <v>935</v>
      </c>
      <c r="F343" s="50"/>
      <c r="G343" s="52"/>
      <c r="H343" s="50"/>
      <c r="I343" s="50"/>
      <c r="J343" s="50"/>
      <c r="K343" s="53"/>
      <c r="L343" s="59"/>
      <c r="M343" s="61"/>
      <c r="N343" s="59"/>
      <c r="O343" s="50"/>
      <c r="P343" s="50"/>
      <c r="Q343" s="53"/>
      <c r="R343" s="53"/>
      <c r="S343" s="53"/>
      <c r="T343" s="53">
        <v>20460</v>
      </c>
      <c r="U343" s="53"/>
      <c r="V343" s="53"/>
      <c r="W343" s="53">
        <v>36850</v>
      </c>
    </row>
    <row r="344" spans="1:23">
      <c r="A344" s="47">
        <v>342</v>
      </c>
      <c r="B344" s="56">
        <v>4971710570168</v>
      </c>
      <c r="C344" s="57" t="s">
        <v>920</v>
      </c>
      <c r="D344" s="75" t="s">
        <v>1076</v>
      </c>
      <c r="E344" s="48" t="s">
        <v>936</v>
      </c>
      <c r="F344" s="50"/>
      <c r="G344" s="52"/>
      <c r="H344" s="50"/>
      <c r="I344" s="50"/>
      <c r="J344" s="50"/>
      <c r="K344" s="53"/>
      <c r="L344" s="59"/>
      <c r="M344" s="61"/>
      <c r="N344" s="59"/>
      <c r="O344" s="50"/>
      <c r="P344" s="50"/>
      <c r="Q344" s="53"/>
      <c r="R344" s="53"/>
      <c r="S344" s="53"/>
      <c r="T344" s="53">
        <v>20460</v>
      </c>
      <c r="U344" s="53"/>
      <c r="V344" s="53"/>
      <c r="W344" s="53">
        <v>36850</v>
      </c>
    </row>
    <row r="345" spans="1:23">
      <c r="A345" s="47">
        <v>343</v>
      </c>
      <c r="B345" s="56">
        <v>4971710294736</v>
      </c>
      <c r="C345" s="57" t="s">
        <v>915</v>
      </c>
      <c r="D345" s="75" t="s">
        <v>1076</v>
      </c>
      <c r="E345" s="48" t="s">
        <v>932</v>
      </c>
      <c r="F345" s="50"/>
      <c r="G345" s="52"/>
      <c r="H345" s="50"/>
      <c r="I345" s="50"/>
      <c r="J345" s="50"/>
      <c r="K345" s="53"/>
      <c r="L345" s="59"/>
      <c r="M345" s="61"/>
      <c r="N345" s="59"/>
      <c r="O345" s="50"/>
      <c r="P345" s="50"/>
      <c r="Q345" s="53"/>
      <c r="R345" s="53"/>
      <c r="S345" s="53"/>
      <c r="T345" s="53">
        <v>13750</v>
      </c>
      <c r="U345" s="53"/>
      <c r="V345" s="53"/>
      <c r="W345" s="53">
        <v>8250</v>
      </c>
    </row>
    <row r="346" spans="1:23" hidden="1">
      <c r="A346" s="47">
        <v>344</v>
      </c>
      <c r="B346" s="56">
        <v>4971710513707</v>
      </c>
      <c r="C346" s="57" t="s">
        <v>276</v>
      </c>
      <c r="D346" s="75" t="s">
        <v>880</v>
      </c>
      <c r="E346" s="48" t="s">
        <v>277</v>
      </c>
      <c r="F346" s="50">
        <v>0</v>
      </c>
      <c r="G346" s="52">
        <v>0</v>
      </c>
      <c r="H346" s="50">
        <v>0</v>
      </c>
      <c r="I346" s="50">
        <v>27500</v>
      </c>
      <c r="J346" s="50">
        <v>16500</v>
      </c>
      <c r="K346" s="53">
        <v>0</v>
      </c>
      <c r="L346" s="59"/>
      <c r="M346" s="61"/>
      <c r="N346" s="59"/>
      <c r="O346" s="50">
        <v>3300</v>
      </c>
      <c r="P346" s="50"/>
      <c r="Q346" s="53"/>
      <c r="R346" s="53"/>
      <c r="S346" s="53"/>
      <c r="T346" s="53">
        <v>5500</v>
      </c>
      <c r="U346" s="53"/>
      <c r="V346" s="53"/>
      <c r="W346" s="53"/>
    </row>
    <row r="347" spans="1:23" hidden="1">
      <c r="A347" s="47">
        <v>345</v>
      </c>
      <c r="B347" s="56">
        <v>4971710463712</v>
      </c>
      <c r="C347" s="57" t="s">
        <v>816</v>
      </c>
      <c r="D347" s="75" t="s">
        <v>884</v>
      </c>
      <c r="E347" s="48" t="s">
        <v>1022</v>
      </c>
      <c r="F347" s="50">
        <v>0</v>
      </c>
      <c r="G347" s="52">
        <v>0</v>
      </c>
      <c r="H347" s="50">
        <v>0</v>
      </c>
      <c r="I347" s="50">
        <v>0</v>
      </c>
      <c r="J347" s="50">
        <v>0</v>
      </c>
      <c r="K347" s="53">
        <v>0</v>
      </c>
      <c r="L347" s="59"/>
      <c r="M347" s="61"/>
      <c r="N347" s="59"/>
      <c r="O347" s="50"/>
      <c r="P347" s="50"/>
      <c r="Q347" s="53">
        <v>4400</v>
      </c>
      <c r="R347" s="53"/>
      <c r="S347" s="53"/>
      <c r="T347" s="53">
        <v>2640</v>
      </c>
      <c r="U347" s="53"/>
      <c r="V347" s="53"/>
      <c r="W347" s="53"/>
    </row>
    <row r="348" spans="1:23">
      <c r="A348" s="47">
        <v>346</v>
      </c>
      <c r="B348" s="56">
        <v>4971710615913</v>
      </c>
      <c r="C348" s="57" t="s">
        <v>1054</v>
      </c>
      <c r="D348" s="75" t="s">
        <v>880</v>
      </c>
      <c r="E348" s="48" t="s">
        <v>1057</v>
      </c>
      <c r="F348" s="50"/>
      <c r="G348" s="52"/>
      <c r="H348" s="50"/>
      <c r="I348" s="50"/>
      <c r="J348" s="50"/>
      <c r="K348" s="53"/>
      <c r="L348" s="59"/>
      <c r="M348" s="61"/>
      <c r="N348" s="59"/>
      <c r="O348" s="50"/>
      <c r="P348" s="50"/>
      <c r="Q348" s="53"/>
      <c r="R348" s="53"/>
      <c r="S348" s="53"/>
      <c r="T348" s="53"/>
      <c r="U348" s="53"/>
      <c r="V348" s="53"/>
      <c r="W348" s="53">
        <v>9900</v>
      </c>
    </row>
    <row r="349" spans="1:23">
      <c r="A349" s="47">
        <v>347</v>
      </c>
      <c r="B349" s="56">
        <v>4971710615937</v>
      </c>
      <c r="C349" s="57" t="s">
        <v>1056</v>
      </c>
      <c r="D349" s="75" t="s">
        <v>880</v>
      </c>
      <c r="E349" s="48" t="s">
        <v>1059</v>
      </c>
      <c r="F349" s="50"/>
      <c r="G349" s="52"/>
      <c r="H349" s="50"/>
      <c r="I349" s="50"/>
      <c r="J349" s="50"/>
      <c r="K349" s="53"/>
      <c r="L349" s="59"/>
      <c r="M349" s="61"/>
      <c r="N349" s="59"/>
      <c r="O349" s="50"/>
      <c r="P349" s="50"/>
      <c r="Q349" s="53"/>
      <c r="R349" s="53"/>
      <c r="S349" s="53"/>
      <c r="T349" s="53"/>
      <c r="U349" s="53"/>
      <c r="V349" s="53"/>
      <c r="W349" s="53">
        <v>9900</v>
      </c>
    </row>
    <row r="350" spans="1:23">
      <c r="A350" s="47">
        <v>348</v>
      </c>
      <c r="B350" s="56">
        <v>4971710615944</v>
      </c>
      <c r="C350" s="57" t="s">
        <v>1060</v>
      </c>
      <c r="D350" s="75" t="s">
        <v>880</v>
      </c>
      <c r="E350" s="48" t="s">
        <v>1063</v>
      </c>
      <c r="F350" s="50"/>
      <c r="G350" s="52"/>
      <c r="H350" s="50"/>
      <c r="I350" s="50"/>
      <c r="J350" s="50"/>
      <c r="K350" s="53"/>
      <c r="L350" s="59"/>
      <c r="M350" s="61"/>
      <c r="N350" s="59"/>
      <c r="O350" s="50"/>
      <c r="P350" s="50"/>
      <c r="Q350" s="53"/>
      <c r="R350" s="53"/>
      <c r="S350" s="53"/>
      <c r="T350" s="53"/>
      <c r="U350" s="53"/>
      <c r="V350" s="53"/>
      <c r="W350" s="53">
        <v>9900</v>
      </c>
    </row>
    <row r="351" spans="1:23">
      <c r="A351" s="47">
        <v>349</v>
      </c>
      <c r="B351" s="56">
        <v>4971710615951</v>
      </c>
      <c r="C351" s="57" t="s">
        <v>1061</v>
      </c>
      <c r="D351" s="75" t="s">
        <v>880</v>
      </c>
      <c r="E351" s="48" t="s">
        <v>1064</v>
      </c>
      <c r="F351" s="50"/>
      <c r="G351" s="52"/>
      <c r="H351" s="50"/>
      <c r="I351" s="50"/>
      <c r="J351" s="50"/>
      <c r="K351" s="53"/>
      <c r="L351" s="59"/>
      <c r="M351" s="61"/>
      <c r="N351" s="59"/>
      <c r="O351" s="50"/>
      <c r="P351" s="50"/>
      <c r="Q351" s="53"/>
      <c r="R351" s="53"/>
      <c r="S351" s="53"/>
      <c r="T351" s="53"/>
      <c r="U351" s="53"/>
      <c r="V351" s="53"/>
      <c r="W351" s="53">
        <v>9900</v>
      </c>
    </row>
    <row r="352" spans="1:23">
      <c r="A352" s="47">
        <v>350</v>
      </c>
      <c r="B352" s="56">
        <v>4971710615968</v>
      </c>
      <c r="C352" s="57" t="s">
        <v>1062</v>
      </c>
      <c r="D352" s="75" t="s">
        <v>880</v>
      </c>
      <c r="E352" s="48" t="s">
        <v>1065</v>
      </c>
      <c r="F352" s="50"/>
      <c r="G352" s="52"/>
      <c r="H352" s="50"/>
      <c r="I352" s="50"/>
      <c r="J352" s="50"/>
      <c r="K352" s="53"/>
      <c r="L352" s="59"/>
      <c r="M352" s="61"/>
      <c r="N352" s="59"/>
      <c r="O352" s="50"/>
      <c r="P352" s="50"/>
      <c r="Q352" s="53"/>
      <c r="R352" s="53"/>
      <c r="S352" s="53"/>
      <c r="T352" s="53"/>
      <c r="U352" s="53"/>
      <c r="V352" s="53"/>
      <c r="W352" s="53">
        <v>9900</v>
      </c>
    </row>
    <row r="353" spans="1:23">
      <c r="A353" s="47">
        <v>351</v>
      </c>
      <c r="B353" s="56">
        <v>4971710285208</v>
      </c>
      <c r="C353" s="57" t="s">
        <v>914</v>
      </c>
      <c r="D353" s="75" t="s">
        <v>1076</v>
      </c>
      <c r="E353" s="48" t="s">
        <v>931</v>
      </c>
      <c r="F353" s="50"/>
      <c r="G353" s="52"/>
      <c r="H353" s="50"/>
      <c r="I353" s="50"/>
      <c r="J353" s="50"/>
      <c r="K353" s="53"/>
      <c r="L353" s="59"/>
      <c r="M353" s="61"/>
      <c r="N353" s="59"/>
      <c r="O353" s="50"/>
      <c r="P353" s="50"/>
      <c r="Q353" s="53"/>
      <c r="R353" s="53"/>
      <c r="S353" s="53"/>
      <c r="T353" s="53">
        <v>22000</v>
      </c>
      <c r="U353" s="53"/>
      <c r="V353" s="53"/>
      <c r="W353" s="53">
        <v>44000</v>
      </c>
    </row>
    <row r="354" spans="1:23">
      <c r="A354" s="47">
        <v>352</v>
      </c>
      <c r="B354" s="56">
        <v>4971710593556</v>
      </c>
      <c r="C354" s="57" t="s">
        <v>927</v>
      </c>
      <c r="D354" s="75" t="s">
        <v>1076</v>
      </c>
      <c r="E354" s="48" t="s">
        <v>943</v>
      </c>
      <c r="F354" s="50"/>
      <c r="G354" s="52"/>
      <c r="H354" s="50"/>
      <c r="I354" s="50"/>
      <c r="J354" s="50"/>
      <c r="K354" s="53"/>
      <c r="L354" s="59"/>
      <c r="M354" s="61"/>
      <c r="N354" s="59"/>
      <c r="O354" s="50"/>
      <c r="P354" s="50"/>
      <c r="Q354" s="53"/>
      <c r="R354" s="53"/>
      <c r="S354" s="53"/>
      <c r="T354" s="53">
        <v>12925</v>
      </c>
      <c r="U354" s="53"/>
      <c r="V354" s="53"/>
      <c r="W354" s="53">
        <v>25850</v>
      </c>
    </row>
    <row r="355" spans="1:23">
      <c r="A355" s="47">
        <v>353</v>
      </c>
      <c r="B355" s="56">
        <v>4971710593563</v>
      </c>
      <c r="C355" s="57" t="s">
        <v>928</v>
      </c>
      <c r="D355" s="75" t="s">
        <v>1076</v>
      </c>
      <c r="E355" s="48" t="s">
        <v>944</v>
      </c>
      <c r="F355" s="50"/>
      <c r="G355" s="52"/>
      <c r="H355" s="50"/>
      <c r="I355" s="50"/>
      <c r="J355" s="50"/>
      <c r="K355" s="53"/>
      <c r="L355" s="59"/>
      <c r="M355" s="61"/>
      <c r="N355" s="59"/>
      <c r="O355" s="50"/>
      <c r="P355" s="50"/>
      <c r="Q355" s="53"/>
      <c r="R355" s="53"/>
      <c r="S355" s="53"/>
      <c r="T355" s="53">
        <v>12925</v>
      </c>
      <c r="U355" s="53"/>
      <c r="V355" s="53"/>
      <c r="W355" s="53">
        <v>25850</v>
      </c>
    </row>
    <row r="356" spans="1:23">
      <c r="A356" s="47">
        <v>354</v>
      </c>
      <c r="B356" s="56">
        <v>4971710590050</v>
      </c>
      <c r="C356" s="57" t="s">
        <v>730</v>
      </c>
      <c r="D356" s="75" t="s">
        <v>884</v>
      </c>
      <c r="E356" s="48" t="s">
        <v>731</v>
      </c>
      <c r="F356" s="50">
        <v>0</v>
      </c>
      <c r="G356" s="52">
        <v>0</v>
      </c>
      <c r="H356" s="50">
        <v>0</v>
      </c>
      <c r="I356" s="50">
        <v>0</v>
      </c>
      <c r="J356" s="50">
        <v>231000</v>
      </c>
      <c r="K356" s="53">
        <v>0</v>
      </c>
      <c r="L356" s="59"/>
      <c r="M356" s="61"/>
      <c r="N356" s="59">
        <v>1540</v>
      </c>
      <c r="O356" s="50"/>
      <c r="P356" s="50">
        <v>1540</v>
      </c>
      <c r="Q356" s="53"/>
      <c r="R356" s="53"/>
      <c r="S356" s="53"/>
      <c r="T356" s="53">
        <v>3850</v>
      </c>
      <c r="U356" s="53"/>
      <c r="V356" s="53"/>
      <c r="W356" s="53">
        <v>4620</v>
      </c>
    </row>
    <row r="357" spans="1:23">
      <c r="A357" s="47">
        <v>355</v>
      </c>
      <c r="B357" s="56">
        <v>4971710551761</v>
      </c>
      <c r="C357" s="57" t="s">
        <v>917</v>
      </c>
      <c r="D357" s="75" t="s">
        <v>1076</v>
      </c>
      <c r="E357" s="48" t="s">
        <v>933</v>
      </c>
      <c r="F357" s="50"/>
      <c r="G357" s="52"/>
      <c r="H357" s="50"/>
      <c r="I357" s="50"/>
      <c r="J357" s="50"/>
      <c r="K357" s="53"/>
      <c r="L357" s="59"/>
      <c r="M357" s="61"/>
      <c r="N357" s="59"/>
      <c r="O357" s="50"/>
      <c r="P357" s="50"/>
      <c r="Q357" s="53"/>
      <c r="R357" s="53"/>
      <c r="S357" s="53"/>
      <c r="T357" s="53">
        <v>15400</v>
      </c>
      <c r="U357" s="53"/>
      <c r="V357" s="53"/>
      <c r="W357" s="53">
        <v>7700</v>
      </c>
    </row>
    <row r="358" spans="1:23">
      <c r="A358" s="47">
        <v>356</v>
      </c>
      <c r="B358" s="56">
        <v>4971710592535</v>
      </c>
      <c r="C358" s="57" t="s">
        <v>834</v>
      </c>
      <c r="D358" s="75" t="s">
        <v>880</v>
      </c>
      <c r="E358" s="48" t="s">
        <v>1026</v>
      </c>
      <c r="F358" s="50">
        <v>0</v>
      </c>
      <c r="G358" s="52">
        <v>0</v>
      </c>
      <c r="H358" s="50">
        <v>0</v>
      </c>
      <c r="I358" s="50">
        <v>0</v>
      </c>
      <c r="J358" s="50">
        <v>0</v>
      </c>
      <c r="K358" s="53">
        <v>0</v>
      </c>
      <c r="L358" s="59"/>
      <c r="M358" s="61"/>
      <c r="N358" s="59"/>
      <c r="O358" s="50"/>
      <c r="P358" s="50"/>
      <c r="Q358" s="53"/>
      <c r="R358" s="53">
        <v>1210</v>
      </c>
      <c r="S358" s="53"/>
      <c r="T358" s="53">
        <v>1210</v>
      </c>
      <c r="U358" s="53"/>
      <c r="V358" s="53"/>
      <c r="W358" s="53">
        <v>6050</v>
      </c>
    </row>
    <row r="359" spans="1:23">
      <c r="A359" s="47">
        <v>357</v>
      </c>
      <c r="B359" s="56">
        <v>4971710575767</v>
      </c>
      <c r="C359" s="57" t="s">
        <v>586</v>
      </c>
      <c r="D359" s="75" t="s">
        <v>884</v>
      </c>
      <c r="E359" s="48" t="s">
        <v>587</v>
      </c>
      <c r="F359" s="50">
        <v>0</v>
      </c>
      <c r="G359" s="52">
        <v>0</v>
      </c>
      <c r="H359" s="50">
        <v>4950</v>
      </c>
      <c r="I359" s="50">
        <v>0</v>
      </c>
      <c r="J359" s="50">
        <v>0</v>
      </c>
      <c r="K359" s="53">
        <v>0</v>
      </c>
      <c r="L359" s="59"/>
      <c r="M359" s="61"/>
      <c r="N359" s="59"/>
      <c r="O359" s="50"/>
      <c r="P359" s="50"/>
      <c r="Q359" s="53"/>
      <c r="R359" s="53">
        <v>1980</v>
      </c>
      <c r="S359" s="53"/>
      <c r="T359" s="53"/>
      <c r="U359" s="53"/>
      <c r="V359" s="53"/>
      <c r="W359" s="53">
        <v>4950</v>
      </c>
    </row>
    <row r="360" spans="1:23">
      <c r="A360" s="47">
        <v>358</v>
      </c>
      <c r="B360" s="56">
        <v>4971710578782</v>
      </c>
      <c r="C360" s="57" t="s">
        <v>642</v>
      </c>
      <c r="D360" s="75" t="s">
        <v>884</v>
      </c>
      <c r="E360" s="48" t="s">
        <v>643</v>
      </c>
      <c r="F360" s="50">
        <v>0</v>
      </c>
      <c r="G360" s="52">
        <v>0</v>
      </c>
      <c r="H360" s="50">
        <v>4950</v>
      </c>
      <c r="I360" s="50">
        <v>0</v>
      </c>
      <c r="J360" s="50">
        <v>495</v>
      </c>
      <c r="K360" s="53">
        <v>0</v>
      </c>
      <c r="L360" s="59"/>
      <c r="M360" s="61"/>
      <c r="N360" s="59"/>
      <c r="O360" s="50">
        <v>1980</v>
      </c>
      <c r="P360" s="50"/>
      <c r="Q360" s="53"/>
      <c r="R360" s="53"/>
      <c r="S360" s="53"/>
      <c r="T360" s="53"/>
      <c r="U360" s="53"/>
      <c r="V360" s="53"/>
      <c r="W360" s="53">
        <v>4950</v>
      </c>
    </row>
    <row r="361" spans="1:23" hidden="1">
      <c r="A361" s="47">
        <v>359</v>
      </c>
      <c r="B361" s="56">
        <v>4971710568707</v>
      </c>
      <c r="C361" s="57" t="s">
        <v>535</v>
      </c>
      <c r="D361" s="75" t="s">
        <v>884</v>
      </c>
      <c r="E361" s="48" t="s">
        <v>536</v>
      </c>
      <c r="F361" s="50">
        <v>8250</v>
      </c>
      <c r="G361" s="52">
        <v>0</v>
      </c>
      <c r="H361" s="50">
        <v>0</v>
      </c>
      <c r="I361" s="50">
        <v>0</v>
      </c>
      <c r="J361" s="50">
        <v>0</v>
      </c>
      <c r="K361" s="53">
        <v>0</v>
      </c>
      <c r="L361" s="59"/>
      <c r="M361" s="61">
        <v>1650</v>
      </c>
      <c r="N361" s="59"/>
      <c r="O361" s="50"/>
      <c r="P361" s="50"/>
      <c r="Q361" s="53"/>
      <c r="R361" s="53">
        <v>8250</v>
      </c>
      <c r="S361" s="53"/>
      <c r="T361" s="53">
        <v>1650</v>
      </c>
      <c r="U361" s="53"/>
      <c r="V361" s="53"/>
      <c r="W361" s="53"/>
    </row>
    <row r="362" spans="1:23" hidden="1">
      <c r="A362" s="47">
        <v>360</v>
      </c>
      <c r="B362" s="56">
        <v>4971710519457</v>
      </c>
      <c r="C362" s="57" t="s">
        <v>356</v>
      </c>
      <c r="D362" s="75" t="s">
        <v>884</v>
      </c>
      <c r="E362" s="48" t="s">
        <v>357</v>
      </c>
      <c r="F362" s="50">
        <v>0</v>
      </c>
      <c r="G362" s="52">
        <v>0</v>
      </c>
      <c r="H362" s="50">
        <v>0</v>
      </c>
      <c r="I362" s="50">
        <v>5500</v>
      </c>
      <c r="J362" s="50">
        <v>0</v>
      </c>
      <c r="K362" s="53">
        <v>0</v>
      </c>
      <c r="L362" s="59"/>
      <c r="M362" s="61">
        <v>2200</v>
      </c>
      <c r="N362" s="59">
        <v>5500</v>
      </c>
      <c r="O362" s="50"/>
      <c r="P362" s="50"/>
      <c r="Q362" s="53"/>
      <c r="R362" s="53"/>
      <c r="S362" s="53"/>
      <c r="T362" s="53"/>
      <c r="U362" s="53"/>
      <c r="V362" s="53"/>
      <c r="W362" s="53"/>
    </row>
    <row r="363" spans="1:23">
      <c r="A363" s="47">
        <v>361</v>
      </c>
      <c r="B363" s="56">
        <v>4971710592528</v>
      </c>
      <c r="C363" s="57" t="s">
        <v>833</v>
      </c>
      <c r="D363" s="75" t="s">
        <v>880</v>
      </c>
      <c r="E363" s="48" t="s">
        <v>1026</v>
      </c>
      <c r="F363" s="50">
        <v>0</v>
      </c>
      <c r="G363" s="52">
        <v>0</v>
      </c>
      <c r="H363" s="50">
        <v>0</v>
      </c>
      <c r="I363" s="50">
        <v>0</v>
      </c>
      <c r="J363" s="50">
        <v>0</v>
      </c>
      <c r="K363" s="53">
        <v>0</v>
      </c>
      <c r="L363" s="59"/>
      <c r="M363" s="61"/>
      <c r="N363" s="59"/>
      <c r="O363" s="50"/>
      <c r="P363" s="50"/>
      <c r="Q363" s="53"/>
      <c r="R363" s="53">
        <v>1210</v>
      </c>
      <c r="S363" s="53"/>
      <c r="T363" s="53"/>
      <c r="U363" s="53"/>
      <c r="V363" s="53"/>
      <c r="W363" s="53">
        <v>6050</v>
      </c>
    </row>
    <row r="364" spans="1:23" hidden="1">
      <c r="A364" s="47">
        <v>362</v>
      </c>
      <c r="B364" s="56">
        <v>4971710579314</v>
      </c>
      <c r="C364" s="57" t="s">
        <v>652</v>
      </c>
      <c r="D364" s="75" t="s">
        <v>884</v>
      </c>
      <c r="E364" s="48" t="s">
        <v>653</v>
      </c>
      <c r="F364" s="50">
        <v>0</v>
      </c>
      <c r="G364" s="52">
        <v>0</v>
      </c>
      <c r="H364" s="50">
        <v>18480</v>
      </c>
      <c r="I364" s="50">
        <v>0</v>
      </c>
      <c r="J364" s="50">
        <v>0</v>
      </c>
      <c r="K364" s="53">
        <v>0</v>
      </c>
      <c r="L364" s="59">
        <v>9240</v>
      </c>
      <c r="M364" s="61"/>
      <c r="N364" s="59"/>
      <c r="O364" s="50"/>
      <c r="P364" s="50"/>
      <c r="Q364" s="53"/>
      <c r="R364" s="53"/>
      <c r="S364" s="53"/>
      <c r="T364" s="53"/>
      <c r="U364" s="53"/>
      <c r="V364" s="53"/>
      <c r="W364" s="53"/>
    </row>
    <row r="365" spans="1:23" hidden="1">
      <c r="A365" s="47">
        <v>363</v>
      </c>
      <c r="B365" s="56">
        <v>4971710590043</v>
      </c>
      <c r="C365" s="57" t="s">
        <v>728</v>
      </c>
      <c r="D365" s="75" t="s">
        <v>884</v>
      </c>
      <c r="E365" s="48" t="s">
        <v>729</v>
      </c>
      <c r="F365" s="50">
        <v>0</v>
      </c>
      <c r="G365" s="52">
        <v>0</v>
      </c>
      <c r="H365" s="50">
        <v>0</v>
      </c>
      <c r="I365" s="50">
        <v>0</v>
      </c>
      <c r="J365" s="50">
        <v>231000</v>
      </c>
      <c r="K365" s="53">
        <v>0</v>
      </c>
      <c r="L365" s="59"/>
      <c r="M365" s="61">
        <v>1540</v>
      </c>
      <c r="N365" s="59">
        <v>1540</v>
      </c>
      <c r="O365" s="50"/>
      <c r="P365" s="50">
        <v>1540</v>
      </c>
      <c r="Q365" s="53">
        <v>3850</v>
      </c>
      <c r="R365" s="53"/>
      <c r="S365" s="53"/>
      <c r="T365" s="53"/>
      <c r="U365" s="53"/>
      <c r="V365" s="53"/>
      <c r="W365" s="53"/>
    </row>
    <row r="366" spans="1:23">
      <c r="A366" s="47">
        <v>364</v>
      </c>
      <c r="B366" s="56">
        <v>4971710575828</v>
      </c>
      <c r="C366" s="57" t="s">
        <v>590</v>
      </c>
      <c r="D366" s="75" t="s">
        <v>884</v>
      </c>
      <c r="E366" s="48" t="s">
        <v>591</v>
      </c>
      <c r="F366" s="50">
        <v>0</v>
      </c>
      <c r="G366" s="52">
        <v>0</v>
      </c>
      <c r="H366" s="50">
        <v>9900</v>
      </c>
      <c r="I366" s="50">
        <v>0</v>
      </c>
      <c r="J366" s="50">
        <v>0</v>
      </c>
      <c r="K366" s="53">
        <v>0</v>
      </c>
      <c r="L366" s="59"/>
      <c r="M366" s="61"/>
      <c r="N366" s="59"/>
      <c r="O366" s="50"/>
      <c r="P366" s="50"/>
      <c r="Q366" s="53"/>
      <c r="R366" s="53"/>
      <c r="S366" s="53"/>
      <c r="T366" s="53"/>
      <c r="U366" s="53"/>
      <c r="V366" s="53"/>
      <c r="W366" s="53">
        <v>4950</v>
      </c>
    </row>
    <row r="367" spans="1:23">
      <c r="A367" s="47">
        <v>365</v>
      </c>
      <c r="B367" s="56">
        <v>4971710575781</v>
      </c>
      <c r="C367" s="57" t="s">
        <v>588</v>
      </c>
      <c r="D367" s="75" t="s">
        <v>884</v>
      </c>
      <c r="E367" s="48" t="s">
        <v>589</v>
      </c>
      <c r="F367" s="50">
        <v>0</v>
      </c>
      <c r="G367" s="52">
        <v>0</v>
      </c>
      <c r="H367" s="50">
        <v>4950</v>
      </c>
      <c r="I367" s="50">
        <v>0</v>
      </c>
      <c r="J367" s="50">
        <v>0</v>
      </c>
      <c r="K367" s="53">
        <v>0</v>
      </c>
      <c r="L367" s="59"/>
      <c r="M367" s="61"/>
      <c r="N367" s="59"/>
      <c r="O367" s="50"/>
      <c r="P367" s="50"/>
      <c r="Q367" s="53"/>
      <c r="R367" s="53"/>
      <c r="S367" s="53"/>
      <c r="T367" s="53"/>
      <c r="U367" s="53"/>
      <c r="V367" s="53"/>
      <c r="W367" s="53">
        <v>4950</v>
      </c>
    </row>
    <row r="368" spans="1:23">
      <c r="A368" s="47">
        <v>366</v>
      </c>
      <c r="B368" s="56">
        <v>4971710575866</v>
      </c>
      <c r="C368" s="57" t="s">
        <v>594</v>
      </c>
      <c r="D368" s="75" t="s">
        <v>884</v>
      </c>
      <c r="E368" s="48" t="s">
        <v>595</v>
      </c>
      <c r="F368" s="50">
        <v>0</v>
      </c>
      <c r="G368" s="52">
        <v>0</v>
      </c>
      <c r="H368" s="50">
        <v>4950</v>
      </c>
      <c r="I368" s="50">
        <v>0</v>
      </c>
      <c r="J368" s="50">
        <v>0</v>
      </c>
      <c r="K368" s="53">
        <v>0</v>
      </c>
      <c r="L368" s="59"/>
      <c r="M368" s="61"/>
      <c r="N368" s="59"/>
      <c r="O368" s="50"/>
      <c r="P368" s="50"/>
      <c r="Q368" s="53"/>
      <c r="R368" s="53"/>
      <c r="S368" s="53"/>
      <c r="T368" s="53"/>
      <c r="U368" s="53"/>
      <c r="V368" s="53"/>
      <c r="W368" s="53">
        <v>4950</v>
      </c>
    </row>
    <row r="369" spans="1:23">
      <c r="A369" s="47">
        <v>367</v>
      </c>
      <c r="B369" s="56">
        <v>4971710578812</v>
      </c>
      <c r="C369" s="57" t="s">
        <v>648</v>
      </c>
      <c r="D369" s="75" t="s">
        <v>884</v>
      </c>
      <c r="E369" s="48" t="s">
        <v>649</v>
      </c>
      <c r="F369" s="50">
        <v>0</v>
      </c>
      <c r="G369" s="52">
        <v>0</v>
      </c>
      <c r="H369" s="50">
        <v>4950</v>
      </c>
      <c r="I369" s="50">
        <v>0</v>
      </c>
      <c r="J369" s="50">
        <v>0</v>
      </c>
      <c r="K369" s="53">
        <v>0</v>
      </c>
      <c r="L369" s="59"/>
      <c r="M369" s="61"/>
      <c r="N369" s="59"/>
      <c r="O369" s="50"/>
      <c r="P369" s="50"/>
      <c r="Q369" s="53"/>
      <c r="R369" s="53"/>
      <c r="S369" s="53"/>
      <c r="T369" s="53"/>
      <c r="U369" s="53"/>
      <c r="V369" s="53"/>
      <c r="W369" s="53">
        <v>4950</v>
      </c>
    </row>
    <row r="370" spans="1:23">
      <c r="A370" s="47">
        <v>368</v>
      </c>
      <c r="B370" s="56">
        <v>4971710270389</v>
      </c>
      <c r="C370" s="57" t="s">
        <v>1029</v>
      </c>
      <c r="D370" s="75" t="s">
        <v>1076</v>
      </c>
      <c r="E370" s="48" t="s">
        <v>1030</v>
      </c>
      <c r="F370" s="50"/>
      <c r="G370" s="52"/>
      <c r="H370" s="50"/>
      <c r="I370" s="50"/>
      <c r="J370" s="50"/>
      <c r="K370" s="53"/>
      <c r="L370" s="59"/>
      <c r="M370" s="61"/>
      <c r="N370" s="59"/>
      <c r="O370" s="50"/>
      <c r="P370" s="50"/>
      <c r="Q370" s="53"/>
      <c r="R370" s="53"/>
      <c r="S370" s="53"/>
      <c r="T370" s="53"/>
      <c r="U370" s="53"/>
      <c r="V370" s="53"/>
      <c r="W370" s="53">
        <v>8250</v>
      </c>
    </row>
    <row r="371" spans="1:23">
      <c r="A371" s="47">
        <v>369</v>
      </c>
      <c r="B371" s="56">
        <v>4971710593525</v>
      </c>
      <c r="C371" s="57" t="s">
        <v>924</v>
      </c>
      <c r="D371" s="75" t="s">
        <v>1076</v>
      </c>
      <c r="E371" s="48" t="s">
        <v>940</v>
      </c>
      <c r="F371" s="50"/>
      <c r="G371" s="52"/>
      <c r="H371" s="50"/>
      <c r="I371" s="50"/>
      <c r="J371" s="50"/>
      <c r="K371" s="53"/>
      <c r="L371" s="59"/>
      <c r="M371" s="61"/>
      <c r="N371" s="59"/>
      <c r="O371" s="50"/>
      <c r="P371" s="50"/>
      <c r="Q371" s="53"/>
      <c r="R371" s="53"/>
      <c r="S371" s="53"/>
      <c r="T371" s="53">
        <v>12925</v>
      </c>
      <c r="U371" s="53"/>
      <c r="V371" s="53"/>
      <c r="W371" s="53">
        <v>12925</v>
      </c>
    </row>
    <row r="372" spans="1:23" hidden="1">
      <c r="A372" s="47">
        <v>370</v>
      </c>
      <c r="B372" s="56">
        <v>4971710551754</v>
      </c>
      <c r="C372" s="57" t="s">
        <v>916</v>
      </c>
      <c r="D372" s="75" t="s">
        <v>1076</v>
      </c>
      <c r="E372" s="48" t="s">
        <v>933</v>
      </c>
      <c r="F372" s="50"/>
      <c r="G372" s="52"/>
      <c r="H372" s="50"/>
      <c r="I372" s="50"/>
      <c r="J372" s="50"/>
      <c r="K372" s="53"/>
      <c r="L372" s="59"/>
      <c r="M372" s="61"/>
      <c r="N372" s="59"/>
      <c r="O372" s="50"/>
      <c r="P372" s="50"/>
      <c r="Q372" s="53"/>
      <c r="R372" s="53"/>
      <c r="S372" s="53"/>
      <c r="T372" s="53">
        <v>16500</v>
      </c>
      <c r="U372" s="53"/>
      <c r="V372" s="53"/>
      <c r="W372" s="53"/>
    </row>
    <row r="373" spans="1:23" hidden="1">
      <c r="A373" s="47">
        <v>371</v>
      </c>
      <c r="B373" s="56">
        <v>4971710475029</v>
      </c>
      <c r="C373" s="57" t="s">
        <v>969</v>
      </c>
      <c r="D373" s="75" t="s">
        <v>884</v>
      </c>
      <c r="E373" s="48" t="s">
        <v>970</v>
      </c>
      <c r="F373" s="50"/>
      <c r="G373" s="52"/>
      <c r="H373" s="50"/>
      <c r="I373" s="50"/>
      <c r="J373" s="50"/>
      <c r="K373" s="53"/>
      <c r="L373" s="59"/>
      <c r="M373" s="61"/>
      <c r="N373" s="59"/>
      <c r="O373" s="50"/>
      <c r="P373" s="50"/>
      <c r="Q373" s="53"/>
      <c r="R373" s="53"/>
      <c r="S373" s="53"/>
      <c r="T373" s="53">
        <v>4400</v>
      </c>
      <c r="U373" s="53"/>
      <c r="V373" s="53"/>
      <c r="W373" s="53"/>
    </row>
    <row r="374" spans="1:23" hidden="1">
      <c r="A374" s="47">
        <v>372</v>
      </c>
      <c r="B374" s="56">
        <v>4971710563399</v>
      </c>
      <c r="C374" s="57" t="s">
        <v>481</v>
      </c>
      <c r="D374" s="75" t="s">
        <v>880</v>
      </c>
      <c r="E374" s="48" t="s">
        <v>482</v>
      </c>
      <c r="F374" s="50">
        <v>0</v>
      </c>
      <c r="G374" s="52">
        <v>0</v>
      </c>
      <c r="H374" s="50">
        <v>0</v>
      </c>
      <c r="I374" s="50">
        <v>0</v>
      </c>
      <c r="J374" s="50">
        <v>715</v>
      </c>
      <c r="K374" s="53">
        <v>0</v>
      </c>
      <c r="L374" s="59"/>
      <c r="M374" s="61">
        <v>1430</v>
      </c>
      <c r="N374" s="59"/>
      <c r="O374" s="50"/>
      <c r="P374" s="50">
        <v>1430</v>
      </c>
      <c r="Q374" s="53"/>
      <c r="R374" s="53">
        <v>2860</v>
      </c>
      <c r="S374" s="53"/>
      <c r="T374" s="53">
        <v>1430</v>
      </c>
      <c r="U374" s="53"/>
      <c r="V374" s="53"/>
      <c r="W374" s="53"/>
    </row>
    <row r="375" spans="1:23" hidden="1">
      <c r="A375" s="47">
        <v>373</v>
      </c>
      <c r="B375" s="56">
        <v>4971710573237</v>
      </c>
      <c r="C375" s="57" t="s">
        <v>571</v>
      </c>
      <c r="D375" s="75" t="s">
        <v>880</v>
      </c>
      <c r="E375" s="48" t="s">
        <v>572</v>
      </c>
      <c r="F375" s="50">
        <v>0</v>
      </c>
      <c r="G375" s="52">
        <v>0</v>
      </c>
      <c r="H375" s="50">
        <v>0</v>
      </c>
      <c r="I375" s="50">
        <v>13200</v>
      </c>
      <c r="J375" s="50">
        <v>0</v>
      </c>
      <c r="K375" s="53">
        <v>0</v>
      </c>
      <c r="L375" s="59"/>
      <c r="M375" s="61"/>
      <c r="N375" s="59"/>
      <c r="O375" s="50">
        <v>6600</v>
      </c>
      <c r="P375" s="50"/>
      <c r="Q375" s="53"/>
      <c r="R375" s="53"/>
      <c r="S375" s="53"/>
      <c r="T375" s="53"/>
      <c r="U375" s="53"/>
      <c r="V375" s="53"/>
      <c r="W375" s="53"/>
    </row>
    <row r="376" spans="1:23" hidden="1">
      <c r="A376" s="47">
        <v>374</v>
      </c>
      <c r="B376" s="56">
        <v>4971710487725</v>
      </c>
      <c r="C376" s="57" t="s">
        <v>56</v>
      </c>
      <c r="D376" s="75" t="s">
        <v>884</v>
      </c>
      <c r="E376" s="48" t="s">
        <v>57</v>
      </c>
      <c r="F376" s="50">
        <v>0</v>
      </c>
      <c r="G376" s="52">
        <v>0</v>
      </c>
      <c r="H376" s="50">
        <v>12320</v>
      </c>
      <c r="I376" s="50">
        <v>0</v>
      </c>
      <c r="J376" s="50">
        <v>880</v>
      </c>
      <c r="K376" s="53">
        <v>0</v>
      </c>
      <c r="L376" s="59"/>
      <c r="M376" s="61"/>
      <c r="N376" s="59"/>
      <c r="O376" s="50"/>
      <c r="P376" s="50">
        <v>8800</v>
      </c>
      <c r="Q376" s="53"/>
      <c r="R376" s="53"/>
      <c r="S376" s="53"/>
      <c r="T376" s="53"/>
      <c r="U376" s="53"/>
      <c r="V376" s="53"/>
      <c r="W376" s="53"/>
    </row>
    <row r="377" spans="1:23" hidden="1">
      <c r="A377" s="47">
        <v>375</v>
      </c>
      <c r="B377" s="56">
        <v>4971710517835</v>
      </c>
      <c r="C377" s="57" t="s">
        <v>334</v>
      </c>
      <c r="D377" s="75" t="s">
        <v>884</v>
      </c>
      <c r="E377" s="48" t="s">
        <v>335</v>
      </c>
      <c r="F377" s="50">
        <v>0</v>
      </c>
      <c r="G377" s="52">
        <v>0</v>
      </c>
      <c r="H377" s="50">
        <v>0</v>
      </c>
      <c r="I377" s="50">
        <v>0</v>
      </c>
      <c r="J377" s="50">
        <v>0</v>
      </c>
      <c r="K377" s="53">
        <v>0</v>
      </c>
      <c r="L377" s="59"/>
      <c r="M377" s="61">
        <v>3960</v>
      </c>
      <c r="N377" s="59"/>
      <c r="O377" s="50"/>
      <c r="P377" s="50">
        <v>2640</v>
      </c>
      <c r="Q377" s="53"/>
      <c r="R377" s="53"/>
      <c r="S377" s="53"/>
      <c r="T377" s="53"/>
      <c r="U377" s="53"/>
      <c r="V377" s="53"/>
      <c r="W377" s="53"/>
    </row>
    <row r="378" spans="1:23" hidden="1">
      <c r="A378" s="47">
        <v>376</v>
      </c>
      <c r="B378" s="56">
        <v>4971710491852</v>
      </c>
      <c r="C378" s="57" t="s">
        <v>811</v>
      </c>
      <c r="D378" s="75" t="s">
        <v>884</v>
      </c>
      <c r="E378" s="48" t="s">
        <v>1020</v>
      </c>
      <c r="F378" s="50">
        <v>0</v>
      </c>
      <c r="G378" s="52">
        <v>0</v>
      </c>
      <c r="H378" s="50">
        <v>0</v>
      </c>
      <c r="I378" s="50">
        <v>0</v>
      </c>
      <c r="J378" s="50">
        <v>0</v>
      </c>
      <c r="K378" s="53">
        <v>0</v>
      </c>
      <c r="L378" s="59"/>
      <c r="M378" s="61"/>
      <c r="N378" s="59"/>
      <c r="O378" s="50"/>
      <c r="P378" s="50"/>
      <c r="Q378" s="53">
        <v>4400</v>
      </c>
      <c r="R378" s="53"/>
      <c r="S378" s="53"/>
      <c r="T378" s="53"/>
      <c r="U378" s="53"/>
      <c r="V378" s="53"/>
      <c r="W378" s="53"/>
    </row>
    <row r="379" spans="1:23" hidden="1">
      <c r="A379" s="47">
        <v>377</v>
      </c>
      <c r="B379" s="56">
        <v>4971710463729</v>
      </c>
      <c r="C379" s="57" t="s">
        <v>814</v>
      </c>
      <c r="D379" s="75" t="s">
        <v>884</v>
      </c>
      <c r="E379" s="48" t="s">
        <v>1021</v>
      </c>
      <c r="F379" s="50">
        <v>0</v>
      </c>
      <c r="G379" s="52">
        <v>0</v>
      </c>
      <c r="H379" s="50">
        <v>0</v>
      </c>
      <c r="I379" s="50">
        <v>0</v>
      </c>
      <c r="J379" s="50">
        <v>0</v>
      </c>
      <c r="K379" s="53">
        <v>0</v>
      </c>
      <c r="L379" s="59"/>
      <c r="M379" s="61"/>
      <c r="N379" s="59"/>
      <c r="O379" s="50"/>
      <c r="P379" s="50"/>
      <c r="Q379" s="53">
        <v>4400</v>
      </c>
      <c r="R379" s="53"/>
      <c r="S379" s="53"/>
      <c r="T379" s="53"/>
      <c r="U379" s="53"/>
      <c r="V379" s="53"/>
      <c r="W379" s="53"/>
    </row>
    <row r="380" spans="1:23">
      <c r="A380" s="47">
        <v>378</v>
      </c>
      <c r="B380" s="56">
        <v>4971710487732</v>
      </c>
      <c r="C380" s="57" t="s">
        <v>58</v>
      </c>
      <c r="D380" s="75" t="s">
        <v>884</v>
      </c>
      <c r="E380" s="48" t="s">
        <v>59</v>
      </c>
      <c r="F380" s="50">
        <v>0</v>
      </c>
      <c r="G380" s="52">
        <v>0</v>
      </c>
      <c r="H380" s="50">
        <v>21120</v>
      </c>
      <c r="I380" s="50">
        <v>0</v>
      </c>
      <c r="J380" s="50">
        <v>0</v>
      </c>
      <c r="K380" s="53">
        <v>0</v>
      </c>
      <c r="L380" s="59"/>
      <c r="M380" s="61"/>
      <c r="N380" s="59">
        <v>3520</v>
      </c>
      <c r="O380" s="50"/>
      <c r="P380" s="50"/>
      <c r="Q380" s="53"/>
      <c r="R380" s="53"/>
      <c r="S380" s="53"/>
      <c r="T380" s="53"/>
      <c r="U380" s="53"/>
      <c r="V380" s="53"/>
      <c r="W380" s="53">
        <v>3520</v>
      </c>
    </row>
    <row r="381" spans="1:23" hidden="1">
      <c r="A381" s="47">
        <v>379</v>
      </c>
      <c r="B381" s="56">
        <v>4971710494907</v>
      </c>
      <c r="C381" s="57" t="s">
        <v>130</v>
      </c>
      <c r="D381" s="75" t="s">
        <v>884</v>
      </c>
      <c r="E381" s="48" t="s">
        <v>131</v>
      </c>
      <c r="F381" s="50">
        <v>0</v>
      </c>
      <c r="G381" s="52">
        <v>0</v>
      </c>
      <c r="H381" s="50">
        <v>0</v>
      </c>
      <c r="I381" s="50">
        <v>0</v>
      </c>
      <c r="J381" s="50">
        <v>0</v>
      </c>
      <c r="K381" s="53">
        <v>0</v>
      </c>
      <c r="L381" s="59"/>
      <c r="M381" s="61"/>
      <c r="N381" s="59"/>
      <c r="O381" s="50"/>
      <c r="P381" s="50"/>
      <c r="Q381" s="53"/>
      <c r="R381" s="53">
        <v>2640</v>
      </c>
      <c r="S381" s="53"/>
      <c r="T381" s="53">
        <v>2640</v>
      </c>
      <c r="U381" s="53"/>
      <c r="V381" s="53"/>
      <c r="W381" s="53"/>
    </row>
    <row r="382" spans="1:23" hidden="1">
      <c r="A382" s="47">
        <v>380</v>
      </c>
      <c r="B382" s="56">
        <v>4971710568691</v>
      </c>
      <c r="C382" s="57" t="s">
        <v>533</v>
      </c>
      <c r="D382" s="75" t="s">
        <v>884</v>
      </c>
      <c r="E382" s="48" t="s">
        <v>534</v>
      </c>
      <c r="F382" s="50">
        <v>8250</v>
      </c>
      <c r="G382" s="52">
        <v>0</v>
      </c>
      <c r="H382" s="50">
        <v>0</v>
      </c>
      <c r="I382" s="50">
        <v>0</v>
      </c>
      <c r="J382" s="50">
        <v>0</v>
      </c>
      <c r="K382" s="53">
        <v>0</v>
      </c>
      <c r="L382" s="59"/>
      <c r="M382" s="61">
        <v>1650</v>
      </c>
      <c r="N382" s="59"/>
      <c r="O382" s="50">
        <v>1650</v>
      </c>
      <c r="P382" s="50"/>
      <c r="Q382" s="53"/>
      <c r="R382" s="53">
        <v>1650</v>
      </c>
      <c r="S382" s="53"/>
      <c r="T382" s="53">
        <v>1650</v>
      </c>
      <c r="U382" s="53"/>
      <c r="V382" s="53"/>
      <c r="W382" s="53"/>
    </row>
    <row r="383" spans="1:23" hidden="1">
      <c r="A383" s="47">
        <v>381</v>
      </c>
      <c r="B383" s="56">
        <v>4971710495027</v>
      </c>
      <c r="C383" s="57" t="s">
        <v>154</v>
      </c>
      <c r="D383" s="75" t="s">
        <v>884</v>
      </c>
      <c r="E383" s="48" t="s">
        <v>155</v>
      </c>
      <c r="F383" s="50">
        <v>0</v>
      </c>
      <c r="G383" s="52">
        <v>0</v>
      </c>
      <c r="H383" s="50">
        <v>0</v>
      </c>
      <c r="I383" s="50">
        <v>0</v>
      </c>
      <c r="J383" s="50">
        <v>0</v>
      </c>
      <c r="K383" s="53">
        <v>0</v>
      </c>
      <c r="L383" s="59"/>
      <c r="M383" s="61"/>
      <c r="N383" s="59">
        <v>2640</v>
      </c>
      <c r="O383" s="50"/>
      <c r="P383" s="50">
        <v>2640</v>
      </c>
      <c r="Q383" s="53"/>
      <c r="R383" s="53"/>
      <c r="S383" s="53"/>
      <c r="T383" s="53"/>
      <c r="U383" s="53"/>
      <c r="V383" s="53"/>
      <c r="W383" s="53"/>
    </row>
    <row r="384" spans="1:23" hidden="1">
      <c r="A384" s="47">
        <v>382</v>
      </c>
      <c r="B384" s="56">
        <v>4971710494990</v>
      </c>
      <c r="C384" s="57" t="s">
        <v>148</v>
      </c>
      <c r="D384" s="75" t="s">
        <v>884</v>
      </c>
      <c r="E384" s="48" t="s">
        <v>149</v>
      </c>
      <c r="F384" s="50">
        <v>0</v>
      </c>
      <c r="G384" s="52">
        <v>0</v>
      </c>
      <c r="H384" s="50">
        <v>0</v>
      </c>
      <c r="I384" s="50">
        <v>0</v>
      </c>
      <c r="J384" s="50">
        <v>0</v>
      </c>
      <c r="K384" s="53">
        <v>0</v>
      </c>
      <c r="L384" s="59"/>
      <c r="M384" s="61"/>
      <c r="N384" s="59"/>
      <c r="O384" s="50">
        <v>2640</v>
      </c>
      <c r="P384" s="50">
        <v>2640</v>
      </c>
      <c r="Q384" s="53"/>
      <c r="R384" s="53"/>
      <c r="S384" s="53"/>
      <c r="T384" s="53"/>
      <c r="U384" s="53"/>
      <c r="V384" s="53"/>
      <c r="W384" s="53"/>
    </row>
    <row r="385" spans="1:23">
      <c r="A385" s="47">
        <v>383</v>
      </c>
      <c r="B385" s="56">
        <v>4971710282153</v>
      </c>
      <c r="C385" s="57" t="s">
        <v>1042</v>
      </c>
      <c r="D385" s="75" t="s">
        <v>1076</v>
      </c>
      <c r="E385" s="48" t="s">
        <v>1043</v>
      </c>
      <c r="F385" s="50"/>
      <c r="G385" s="52"/>
      <c r="H385" s="50"/>
      <c r="I385" s="50"/>
      <c r="J385" s="50"/>
      <c r="K385" s="53"/>
      <c r="L385" s="59"/>
      <c r="M385" s="61"/>
      <c r="N385" s="59"/>
      <c r="O385" s="50"/>
      <c r="P385" s="50"/>
      <c r="Q385" s="53"/>
      <c r="R385" s="53"/>
      <c r="S385" s="53"/>
      <c r="T385" s="53"/>
      <c r="U385" s="53"/>
      <c r="V385" s="53"/>
      <c r="W385" s="53">
        <v>11550</v>
      </c>
    </row>
    <row r="386" spans="1:23">
      <c r="A386" s="47">
        <v>384</v>
      </c>
      <c r="B386" s="56">
        <v>4971710615814</v>
      </c>
      <c r="C386" s="57" t="s">
        <v>1044</v>
      </c>
      <c r="D386" s="75" t="s">
        <v>1076</v>
      </c>
      <c r="E386" s="48" t="s">
        <v>1045</v>
      </c>
      <c r="F386" s="50"/>
      <c r="G386" s="52"/>
      <c r="H386" s="50"/>
      <c r="I386" s="50"/>
      <c r="J386" s="50"/>
      <c r="K386" s="53"/>
      <c r="L386" s="59"/>
      <c r="M386" s="61"/>
      <c r="N386" s="59"/>
      <c r="O386" s="50"/>
      <c r="P386" s="50"/>
      <c r="Q386" s="53"/>
      <c r="R386" s="53"/>
      <c r="S386" s="53"/>
      <c r="T386" s="53"/>
      <c r="U386" s="53"/>
      <c r="V386" s="53"/>
      <c r="W386" s="53">
        <v>33000</v>
      </c>
    </row>
    <row r="387" spans="1:23" hidden="1">
      <c r="A387" s="47">
        <v>385</v>
      </c>
      <c r="B387" s="56">
        <v>4971710463637</v>
      </c>
      <c r="C387" s="57" t="s">
        <v>967</v>
      </c>
      <c r="D387" s="75" t="s">
        <v>884</v>
      </c>
      <c r="E387" s="48" t="s">
        <v>968</v>
      </c>
      <c r="F387" s="50"/>
      <c r="G387" s="52"/>
      <c r="H387" s="50"/>
      <c r="I387" s="50"/>
      <c r="J387" s="50"/>
      <c r="K387" s="53"/>
      <c r="L387" s="59"/>
      <c r="M387" s="61"/>
      <c r="N387" s="59"/>
      <c r="O387" s="50"/>
      <c r="P387" s="50"/>
      <c r="Q387" s="53"/>
      <c r="R387" s="53"/>
      <c r="S387" s="53"/>
      <c r="T387" s="53">
        <v>2640</v>
      </c>
      <c r="U387" s="53"/>
      <c r="V387" s="53"/>
      <c r="W387" s="53"/>
    </row>
    <row r="388" spans="1:23" hidden="1">
      <c r="A388" s="47">
        <v>386</v>
      </c>
      <c r="B388" s="56">
        <v>4971710584745</v>
      </c>
      <c r="C388" s="57" t="s">
        <v>712</v>
      </c>
      <c r="D388" s="75" t="s">
        <v>880</v>
      </c>
      <c r="E388" s="48" t="s">
        <v>713</v>
      </c>
      <c r="F388" s="50">
        <v>0</v>
      </c>
      <c r="G388" s="52">
        <v>0</v>
      </c>
      <c r="H388" s="50">
        <v>0</v>
      </c>
      <c r="I388" s="50">
        <v>0</v>
      </c>
      <c r="J388" s="50">
        <v>0</v>
      </c>
      <c r="K388" s="53">
        <v>0</v>
      </c>
      <c r="L388" s="59"/>
      <c r="M388" s="61">
        <v>1100</v>
      </c>
      <c r="N388" s="59"/>
      <c r="O388" s="50"/>
      <c r="P388" s="50">
        <v>1100</v>
      </c>
      <c r="Q388" s="53"/>
      <c r="R388" s="53"/>
      <c r="S388" s="53">
        <v>1100</v>
      </c>
      <c r="T388" s="53"/>
      <c r="U388" s="53"/>
      <c r="V388" s="53"/>
      <c r="W388" s="53"/>
    </row>
    <row r="389" spans="1:23" hidden="1">
      <c r="A389" s="47">
        <v>387</v>
      </c>
      <c r="B389" s="56">
        <v>4971710573947</v>
      </c>
      <c r="C389" s="57" t="s">
        <v>575</v>
      </c>
      <c r="D389" s="75" t="s">
        <v>884</v>
      </c>
      <c r="E389" s="48" t="s">
        <v>576</v>
      </c>
      <c r="F389" s="50">
        <v>0</v>
      </c>
      <c r="G389" s="52">
        <v>0</v>
      </c>
      <c r="H389" s="50">
        <v>0</v>
      </c>
      <c r="I389" s="50">
        <v>0</v>
      </c>
      <c r="J389" s="50">
        <v>0</v>
      </c>
      <c r="K389" s="53">
        <v>7700</v>
      </c>
      <c r="L389" s="59"/>
      <c r="M389" s="61">
        <v>9240</v>
      </c>
      <c r="N389" s="59"/>
      <c r="O389" s="50"/>
      <c r="P389" s="50"/>
      <c r="Q389" s="53"/>
      <c r="R389" s="53"/>
      <c r="S389" s="53"/>
      <c r="T389" s="53"/>
      <c r="U389" s="53"/>
      <c r="V389" s="53"/>
      <c r="W389" s="53"/>
    </row>
    <row r="390" spans="1:23" hidden="1">
      <c r="A390" s="47">
        <v>388</v>
      </c>
      <c r="B390" s="56">
        <v>4971710507751</v>
      </c>
      <c r="C390" s="57" t="s">
        <v>198</v>
      </c>
      <c r="D390" s="75" t="s">
        <v>884</v>
      </c>
      <c r="E390" s="48" t="s">
        <v>199</v>
      </c>
      <c r="F390" s="50">
        <v>0</v>
      </c>
      <c r="G390" s="52">
        <v>0</v>
      </c>
      <c r="H390" s="50">
        <v>0</v>
      </c>
      <c r="I390" s="50">
        <v>0</v>
      </c>
      <c r="J390" s="50">
        <v>0</v>
      </c>
      <c r="K390" s="53">
        <v>0</v>
      </c>
      <c r="L390" s="59"/>
      <c r="M390" s="61">
        <v>3960</v>
      </c>
      <c r="N390" s="59"/>
      <c r="O390" s="50"/>
      <c r="P390" s="50"/>
      <c r="Q390" s="53"/>
      <c r="R390" s="53"/>
      <c r="S390" s="53"/>
      <c r="T390" s="53"/>
      <c r="U390" s="53"/>
      <c r="V390" s="53"/>
      <c r="W390" s="53"/>
    </row>
    <row r="391" spans="1:23" hidden="1">
      <c r="A391" s="47">
        <v>389</v>
      </c>
      <c r="B391" s="56">
        <v>4971710513998</v>
      </c>
      <c r="C391" s="57" t="s">
        <v>792</v>
      </c>
      <c r="D391" s="75" t="s">
        <v>880</v>
      </c>
      <c r="E391" s="48" t="s">
        <v>793</v>
      </c>
      <c r="F391" s="50">
        <v>0</v>
      </c>
      <c r="G391" s="52">
        <v>0</v>
      </c>
      <c r="H391" s="50">
        <v>0</v>
      </c>
      <c r="I391" s="50">
        <v>0</v>
      </c>
      <c r="J391" s="50">
        <v>0</v>
      </c>
      <c r="K391" s="53">
        <v>0</v>
      </c>
      <c r="L391" s="59"/>
      <c r="M391" s="61"/>
      <c r="N391" s="59"/>
      <c r="O391" s="50">
        <v>2970</v>
      </c>
      <c r="P391" s="50"/>
      <c r="Q391" s="53"/>
      <c r="R391" s="53"/>
      <c r="S391" s="53"/>
      <c r="T391" s="53"/>
      <c r="U391" s="53"/>
      <c r="V391" s="53"/>
      <c r="W391" s="53"/>
    </row>
    <row r="392" spans="1:23" hidden="1">
      <c r="A392" s="47">
        <v>390</v>
      </c>
      <c r="B392" s="56">
        <v>4971710518962</v>
      </c>
      <c r="C392" s="57" t="s">
        <v>794</v>
      </c>
      <c r="D392" s="75" t="s">
        <v>880</v>
      </c>
      <c r="E392" s="48" t="s">
        <v>793</v>
      </c>
      <c r="F392" s="50">
        <v>0</v>
      </c>
      <c r="G392" s="52">
        <v>0</v>
      </c>
      <c r="H392" s="50">
        <v>0</v>
      </c>
      <c r="I392" s="50">
        <v>0</v>
      </c>
      <c r="J392" s="50">
        <v>0</v>
      </c>
      <c r="K392" s="53">
        <v>0</v>
      </c>
      <c r="L392" s="59"/>
      <c r="M392" s="61"/>
      <c r="N392" s="59"/>
      <c r="O392" s="50">
        <v>2970</v>
      </c>
      <c r="P392" s="50"/>
      <c r="Q392" s="53"/>
      <c r="R392" s="53"/>
      <c r="S392" s="53"/>
      <c r="T392" s="53"/>
      <c r="U392" s="53"/>
      <c r="V392" s="53"/>
      <c r="W392" s="53"/>
    </row>
    <row r="393" spans="1:23" hidden="1">
      <c r="A393" s="47">
        <v>391</v>
      </c>
      <c r="B393" s="56">
        <v>4971710514261</v>
      </c>
      <c r="C393" s="57" t="s">
        <v>795</v>
      </c>
      <c r="D393" s="75" t="s">
        <v>880</v>
      </c>
      <c r="E393" s="48" t="s">
        <v>793</v>
      </c>
      <c r="F393" s="50">
        <v>0</v>
      </c>
      <c r="G393" s="52">
        <v>0</v>
      </c>
      <c r="H393" s="50">
        <v>0</v>
      </c>
      <c r="I393" s="50">
        <v>0</v>
      </c>
      <c r="J393" s="50">
        <v>0</v>
      </c>
      <c r="K393" s="53">
        <v>0</v>
      </c>
      <c r="L393" s="59"/>
      <c r="M393" s="61"/>
      <c r="N393" s="59"/>
      <c r="O393" s="50">
        <v>2970</v>
      </c>
      <c r="P393" s="50"/>
      <c r="Q393" s="53"/>
      <c r="R393" s="53"/>
      <c r="S393" s="53"/>
      <c r="T393" s="53"/>
      <c r="U393" s="53"/>
      <c r="V393" s="53"/>
      <c r="W393" s="53"/>
    </row>
    <row r="394" spans="1:23" hidden="1">
      <c r="A394" s="47">
        <v>392</v>
      </c>
      <c r="B394" s="56">
        <v>4971710514209</v>
      </c>
      <c r="C394" s="57" t="s">
        <v>796</v>
      </c>
      <c r="D394" s="75" t="s">
        <v>880</v>
      </c>
      <c r="E394" s="48" t="s">
        <v>793</v>
      </c>
      <c r="F394" s="50">
        <v>0</v>
      </c>
      <c r="G394" s="52">
        <v>0</v>
      </c>
      <c r="H394" s="50">
        <v>0</v>
      </c>
      <c r="I394" s="50">
        <v>0</v>
      </c>
      <c r="J394" s="50">
        <v>0</v>
      </c>
      <c r="K394" s="53">
        <v>0</v>
      </c>
      <c r="L394" s="59"/>
      <c r="M394" s="61"/>
      <c r="N394" s="59"/>
      <c r="O394" s="50">
        <v>2970</v>
      </c>
      <c r="P394" s="50"/>
      <c r="Q394" s="53"/>
      <c r="R394" s="53"/>
      <c r="S394" s="53"/>
      <c r="T394" s="53"/>
      <c r="U394" s="53"/>
      <c r="V394" s="53"/>
      <c r="W394" s="53"/>
    </row>
    <row r="395" spans="1:23" hidden="1">
      <c r="A395" s="47">
        <v>393</v>
      </c>
      <c r="B395" s="56">
        <v>4971710514193</v>
      </c>
      <c r="C395" s="57" t="s">
        <v>797</v>
      </c>
      <c r="D395" s="75" t="s">
        <v>880</v>
      </c>
      <c r="E395" s="48" t="s">
        <v>793</v>
      </c>
      <c r="F395" s="50">
        <v>0</v>
      </c>
      <c r="G395" s="52">
        <v>0</v>
      </c>
      <c r="H395" s="50">
        <v>0</v>
      </c>
      <c r="I395" s="50">
        <v>0</v>
      </c>
      <c r="J395" s="50">
        <v>0</v>
      </c>
      <c r="K395" s="53">
        <v>0</v>
      </c>
      <c r="L395" s="59"/>
      <c r="M395" s="61"/>
      <c r="N395" s="59"/>
      <c r="O395" s="50">
        <v>2970</v>
      </c>
      <c r="P395" s="50"/>
      <c r="Q395" s="53"/>
      <c r="R395" s="53"/>
      <c r="S395" s="53"/>
      <c r="T395" s="53"/>
      <c r="U395" s="53"/>
      <c r="V395" s="53"/>
      <c r="W395" s="53"/>
    </row>
    <row r="396" spans="1:23" hidden="1">
      <c r="A396" s="47">
        <v>394</v>
      </c>
      <c r="B396" s="56">
        <v>4971710514186</v>
      </c>
      <c r="C396" s="57" t="s">
        <v>798</v>
      </c>
      <c r="D396" s="75" t="s">
        <v>880</v>
      </c>
      <c r="E396" s="48" t="s">
        <v>793</v>
      </c>
      <c r="F396" s="50">
        <v>0</v>
      </c>
      <c r="G396" s="52">
        <v>0</v>
      </c>
      <c r="H396" s="50">
        <v>0</v>
      </c>
      <c r="I396" s="50">
        <v>0</v>
      </c>
      <c r="J396" s="50">
        <v>0</v>
      </c>
      <c r="K396" s="53">
        <v>0</v>
      </c>
      <c r="L396" s="59"/>
      <c r="M396" s="61"/>
      <c r="N396" s="59"/>
      <c r="O396" s="50">
        <v>2970</v>
      </c>
      <c r="P396" s="50"/>
      <c r="Q396" s="53"/>
      <c r="R396" s="53"/>
      <c r="S396" s="53"/>
      <c r="T396" s="53"/>
      <c r="U396" s="53"/>
      <c r="V396" s="53"/>
      <c r="W396" s="53"/>
    </row>
    <row r="397" spans="1:23" hidden="1">
      <c r="A397" s="47">
        <v>395</v>
      </c>
      <c r="B397" s="56">
        <v>4971710514148</v>
      </c>
      <c r="C397" s="57" t="s">
        <v>799</v>
      </c>
      <c r="D397" s="75" t="s">
        <v>880</v>
      </c>
      <c r="E397" s="48" t="s">
        <v>793</v>
      </c>
      <c r="F397" s="50">
        <v>0</v>
      </c>
      <c r="G397" s="52">
        <v>0</v>
      </c>
      <c r="H397" s="50">
        <v>0</v>
      </c>
      <c r="I397" s="50">
        <v>0</v>
      </c>
      <c r="J397" s="50">
        <v>0</v>
      </c>
      <c r="K397" s="53">
        <v>0</v>
      </c>
      <c r="L397" s="59"/>
      <c r="M397" s="61"/>
      <c r="N397" s="59"/>
      <c r="O397" s="50">
        <v>2970</v>
      </c>
      <c r="P397" s="50"/>
      <c r="Q397" s="53"/>
      <c r="R397" s="53"/>
      <c r="S397" s="53"/>
      <c r="T397" s="53"/>
      <c r="U397" s="53"/>
      <c r="V397" s="53"/>
      <c r="W397" s="53"/>
    </row>
    <row r="398" spans="1:23">
      <c r="A398" s="47">
        <v>396</v>
      </c>
      <c r="B398" s="56">
        <v>4971710551778</v>
      </c>
      <c r="C398" s="57" t="s">
        <v>1028</v>
      </c>
      <c r="D398" s="75" t="s">
        <v>1076</v>
      </c>
      <c r="E398" s="48" t="s">
        <v>933</v>
      </c>
      <c r="F398" s="50"/>
      <c r="G398" s="52"/>
      <c r="H398" s="50"/>
      <c r="I398" s="50"/>
      <c r="J398" s="50"/>
      <c r="K398" s="53"/>
      <c r="L398" s="59"/>
      <c r="M398" s="61"/>
      <c r="N398" s="59"/>
      <c r="O398" s="50"/>
      <c r="P398" s="50"/>
      <c r="Q398" s="53"/>
      <c r="R398" s="53"/>
      <c r="S398" s="53"/>
      <c r="T398" s="53"/>
      <c r="U398" s="53"/>
      <c r="V398" s="53"/>
      <c r="W398" s="53">
        <v>3300</v>
      </c>
    </row>
    <row r="399" spans="1:23">
      <c r="A399" s="47">
        <v>397</v>
      </c>
      <c r="B399" s="56">
        <v>4971710294767</v>
      </c>
      <c r="C399" s="57" t="s">
        <v>1031</v>
      </c>
      <c r="D399" s="75" t="s">
        <v>1076</v>
      </c>
      <c r="E399" s="48" t="s">
        <v>1032</v>
      </c>
      <c r="F399" s="50"/>
      <c r="G399" s="52"/>
      <c r="H399" s="50"/>
      <c r="I399" s="50"/>
      <c r="J399" s="50"/>
      <c r="K399" s="53"/>
      <c r="L399" s="59"/>
      <c r="M399" s="61"/>
      <c r="N399" s="59"/>
      <c r="O399" s="50"/>
      <c r="P399" s="50"/>
      <c r="Q399" s="53"/>
      <c r="R399" s="53"/>
      <c r="S399" s="53"/>
      <c r="T399" s="53"/>
      <c r="U399" s="53"/>
      <c r="V399" s="53"/>
      <c r="W399" s="53">
        <v>4125</v>
      </c>
    </row>
    <row r="400" spans="1:23">
      <c r="A400" s="47">
        <v>398</v>
      </c>
      <c r="B400" s="56">
        <v>4971710282283</v>
      </c>
      <c r="C400" s="57" t="s">
        <v>1033</v>
      </c>
      <c r="D400" s="75" t="s">
        <v>1076</v>
      </c>
      <c r="E400" s="48" t="s">
        <v>1034</v>
      </c>
      <c r="F400" s="50"/>
      <c r="G400" s="52"/>
      <c r="H400" s="50"/>
      <c r="I400" s="50"/>
      <c r="J400" s="50"/>
      <c r="K400" s="53"/>
      <c r="L400" s="59"/>
      <c r="M400" s="61"/>
      <c r="N400" s="59"/>
      <c r="O400" s="50"/>
      <c r="P400" s="50"/>
      <c r="Q400" s="53"/>
      <c r="R400" s="53"/>
      <c r="S400" s="53"/>
      <c r="T400" s="53"/>
      <c r="U400" s="53"/>
      <c r="V400" s="53"/>
      <c r="W400" s="53">
        <v>8250</v>
      </c>
    </row>
    <row r="401" spans="1:23">
      <c r="A401" s="47">
        <v>399</v>
      </c>
      <c r="B401" s="56">
        <v>4971710294750</v>
      </c>
      <c r="C401" s="57" t="s">
        <v>1035</v>
      </c>
      <c r="D401" s="75" t="s">
        <v>1076</v>
      </c>
      <c r="E401" s="48" t="s">
        <v>1036</v>
      </c>
      <c r="F401" s="50"/>
      <c r="G401" s="52"/>
      <c r="H401" s="50"/>
      <c r="I401" s="50"/>
      <c r="J401" s="50"/>
      <c r="K401" s="53"/>
      <c r="L401" s="59"/>
      <c r="M401" s="61"/>
      <c r="N401" s="59"/>
      <c r="O401" s="50"/>
      <c r="P401" s="50"/>
      <c r="Q401" s="53"/>
      <c r="R401" s="53"/>
      <c r="S401" s="53"/>
      <c r="T401" s="53"/>
      <c r="U401" s="53"/>
      <c r="V401" s="53"/>
      <c r="W401" s="53">
        <v>13750</v>
      </c>
    </row>
    <row r="402" spans="1:23">
      <c r="A402" s="47">
        <v>400</v>
      </c>
      <c r="B402" s="56">
        <v>4971710294774</v>
      </c>
      <c r="C402" s="57" t="s">
        <v>1037</v>
      </c>
      <c r="D402" s="75" t="s">
        <v>1076</v>
      </c>
      <c r="E402" s="48" t="s">
        <v>1032</v>
      </c>
      <c r="F402" s="50"/>
      <c r="G402" s="52"/>
      <c r="H402" s="50"/>
      <c r="I402" s="50"/>
      <c r="J402" s="50"/>
      <c r="K402" s="53"/>
      <c r="L402" s="59"/>
      <c r="M402" s="61"/>
      <c r="N402" s="59"/>
      <c r="O402" s="50"/>
      <c r="P402" s="50"/>
      <c r="Q402" s="53"/>
      <c r="R402" s="53"/>
      <c r="S402" s="53"/>
      <c r="T402" s="53"/>
      <c r="U402" s="53"/>
      <c r="V402" s="53"/>
      <c r="W402" s="53">
        <v>19250</v>
      </c>
    </row>
    <row r="403" spans="1:23">
      <c r="A403" s="47">
        <v>401</v>
      </c>
      <c r="B403" s="56">
        <v>4971710570137</v>
      </c>
      <c r="C403" s="57" t="s">
        <v>1038</v>
      </c>
      <c r="D403" s="75" t="s">
        <v>1076</v>
      </c>
      <c r="E403" s="48" t="s">
        <v>935</v>
      </c>
      <c r="F403" s="50"/>
      <c r="G403" s="52"/>
      <c r="H403" s="50"/>
      <c r="I403" s="50"/>
      <c r="J403" s="50"/>
      <c r="K403" s="53"/>
      <c r="L403" s="66"/>
      <c r="M403" s="68"/>
      <c r="N403" s="66"/>
      <c r="O403" s="50"/>
      <c r="P403" s="50"/>
      <c r="Q403" s="53"/>
      <c r="R403" s="53"/>
      <c r="S403" s="53"/>
      <c r="T403" s="53"/>
      <c r="U403" s="53"/>
      <c r="V403" s="53"/>
      <c r="W403" s="53">
        <v>20625</v>
      </c>
    </row>
    <row r="404" spans="1:23">
      <c r="A404" s="47">
        <v>402</v>
      </c>
      <c r="B404" s="56">
        <v>4971710570151</v>
      </c>
      <c r="C404" s="57" t="s">
        <v>1039</v>
      </c>
      <c r="D404" s="75" t="s">
        <v>1076</v>
      </c>
      <c r="E404" s="48" t="s">
        <v>936</v>
      </c>
      <c r="F404" s="50"/>
      <c r="G404" s="52"/>
      <c r="H404" s="50"/>
      <c r="I404" s="50"/>
      <c r="J404" s="50"/>
      <c r="K404" s="53"/>
      <c r="L404" s="66"/>
      <c r="M404" s="66"/>
      <c r="N404" s="66"/>
      <c r="O404" s="50"/>
      <c r="P404" s="50"/>
      <c r="Q404" s="53"/>
      <c r="R404" s="53"/>
      <c r="S404" s="53"/>
      <c r="T404" s="53"/>
      <c r="U404" s="53"/>
      <c r="V404" s="53"/>
      <c r="W404" s="53">
        <v>20625</v>
      </c>
    </row>
    <row r="405" spans="1:23">
      <c r="A405" s="47">
        <v>403</v>
      </c>
      <c r="B405" s="56">
        <v>4971710615883</v>
      </c>
      <c r="C405" s="57" t="s">
        <v>1040</v>
      </c>
      <c r="D405" s="75" t="s">
        <v>1076</v>
      </c>
      <c r="E405" s="48" t="s">
        <v>1041</v>
      </c>
      <c r="F405" s="50"/>
      <c r="G405" s="52"/>
      <c r="H405" s="50"/>
      <c r="I405" s="50"/>
      <c r="J405" s="50"/>
      <c r="K405" s="53"/>
      <c r="L405" s="66"/>
      <c r="M405" s="66"/>
      <c r="N405" s="66"/>
      <c r="O405" s="50"/>
      <c r="P405" s="50"/>
      <c r="Q405" s="53"/>
      <c r="R405" s="53"/>
      <c r="S405" s="53"/>
      <c r="T405" s="53"/>
      <c r="U405" s="53"/>
      <c r="V405" s="53"/>
      <c r="W405" s="53">
        <v>23925</v>
      </c>
    </row>
    <row r="406" spans="1:23" hidden="1">
      <c r="A406" s="47">
        <v>404</v>
      </c>
      <c r="B406" s="56">
        <v>4971710615845</v>
      </c>
      <c r="C406" s="57" t="s">
        <v>930</v>
      </c>
      <c r="D406" s="75" t="s">
        <v>1076</v>
      </c>
      <c r="E406" s="48" t="s">
        <v>946</v>
      </c>
      <c r="F406" s="50"/>
      <c r="G406" s="52"/>
      <c r="H406" s="50"/>
      <c r="I406" s="50"/>
      <c r="J406" s="50"/>
      <c r="K406" s="53"/>
      <c r="L406" s="66"/>
      <c r="M406" s="66"/>
      <c r="N406" s="66"/>
      <c r="O406" s="50"/>
      <c r="P406" s="50"/>
      <c r="Q406" s="53"/>
      <c r="R406" s="53"/>
      <c r="S406" s="53"/>
      <c r="T406" s="53">
        <v>17050</v>
      </c>
      <c r="U406" s="53"/>
      <c r="V406" s="53"/>
      <c r="W406" s="53"/>
    </row>
    <row r="407" spans="1:23" hidden="1">
      <c r="A407" s="47">
        <v>405</v>
      </c>
      <c r="B407" s="56">
        <v>4971710593532</v>
      </c>
      <c r="C407" s="57" t="s">
        <v>925</v>
      </c>
      <c r="D407" s="75" t="s">
        <v>1076</v>
      </c>
      <c r="E407" s="48" t="s">
        <v>941</v>
      </c>
      <c r="F407" s="50"/>
      <c r="G407" s="52"/>
      <c r="H407" s="50"/>
      <c r="I407" s="50"/>
      <c r="J407" s="50"/>
      <c r="K407" s="53"/>
      <c r="L407" s="66"/>
      <c r="M407" s="66"/>
      <c r="N407" s="66"/>
      <c r="O407" s="50"/>
      <c r="P407" s="50"/>
      <c r="Q407" s="53"/>
      <c r="R407" s="53"/>
      <c r="S407" s="53"/>
      <c r="T407" s="53">
        <v>12925</v>
      </c>
      <c r="U407" s="53"/>
      <c r="V407" s="53"/>
      <c r="W407" s="53"/>
    </row>
    <row r="408" spans="1:23" hidden="1">
      <c r="A408" s="47">
        <v>406</v>
      </c>
      <c r="B408" s="56">
        <v>4971710593549</v>
      </c>
      <c r="C408" s="57" t="s">
        <v>926</v>
      </c>
      <c r="D408" s="75" t="s">
        <v>1076</v>
      </c>
      <c r="E408" s="48" t="s">
        <v>942</v>
      </c>
      <c r="F408" s="50"/>
      <c r="G408" s="52"/>
      <c r="H408" s="50"/>
      <c r="I408" s="50"/>
      <c r="J408" s="50"/>
      <c r="K408" s="53"/>
      <c r="L408" s="66"/>
      <c r="M408" s="66"/>
      <c r="N408" s="66"/>
      <c r="O408" s="50"/>
      <c r="P408" s="50"/>
      <c r="Q408" s="53"/>
      <c r="R408" s="53"/>
      <c r="S408" s="53"/>
      <c r="T408" s="53">
        <v>12925</v>
      </c>
      <c r="U408" s="53"/>
      <c r="V408" s="53"/>
      <c r="W408" s="53"/>
    </row>
    <row r="409" spans="1:23" hidden="1">
      <c r="A409" s="47">
        <v>407</v>
      </c>
      <c r="B409" s="56">
        <v>4971710593570</v>
      </c>
      <c r="C409" s="57" t="s">
        <v>929</v>
      </c>
      <c r="D409" s="75" t="s">
        <v>1076</v>
      </c>
      <c r="E409" s="48" t="s">
        <v>945</v>
      </c>
      <c r="F409" s="50"/>
      <c r="G409" s="52"/>
      <c r="H409" s="50"/>
      <c r="I409" s="50"/>
      <c r="J409" s="50"/>
      <c r="K409" s="53"/>
      <c r="L409" s="66"/>
      <c r="M409" s="66"/>
      <c r="N409" s="66"/>
      <c r="O409" s="50"/>
      <c r="P409" s="50"/>
      <c r="Q409" s="53"/>
      <c r="R409" s="53"/>
      <c r="S409" s="53"/>
      <c r="T409" s="53">
        <v>12925</v>
      </c>
      <c r="U409" s="53"/>
      <c r="V409" s="53"/>
      <c r="W409" s="53"/>
    </row>
    <row r="410" spans="1:23" hidden="1">
      <c r="A410" s="47">
        <v>408</v>
      </c>
      <c r="B410" s="56">
        <v>4971710568684</v>
      </c>
      <c r="C410" s="57" t="s">
        <v>531</v>
      </c>
      <c r="D410" s="75" t="s">
        <v>884</v>
      </c>
      <c r="E410" s="48" t="s">
        <v>532</v>
      </c>
      <c r="F410" s="50">
        <v>8250</v>
      </c>
      <c r="G410" s="52">
        <v>0</v>
      </c>
      <c r="H410" s="50">
        <v>0</v>
      </c>
      <c r="I410" s="50">
        <v>0</v>
      </c>
      <c r="J410" s="50">
        <v>0</v>
      </c>
      <c r="K410" s="53">
        <v>0</v>
      </c>
      <c r="L410" s="66"/>
      <c r="M410" s="66"/>
      <c r="N410" s="66"/>
      <c r="O410" s="50"/>
      <c r="P410" s="50"/>
      <c r="Q410" s="53"/>
      <c r="R410" s="53">
        <v>4125</v>
      </c>
      <c r="S410" s="53"/>
      <c r="T410" s="53"/>
      <c r="U410" s="53"/>
      <c r="V410" s="53"/>
      <c r="W410" s="53"/>
    </row>
    <row r="411" spans="1:23" hidden="1">
      <c r="A411" s="47">
        <v>409</v>
      </c>
      <c r="B411" s="56">
        <v>4971710494945</v>
      </c>
      <c r="C411" s="57" t="s">
        <v>138</v>
      </c>
      <c r="D411" s="75" t="s">
        <v>884</v>
      </c>
      <c r="E411" s="48" t="s">
        <v>139</v>
      </c>
      <c r="F411" s="50">
        <v>0</v>
      </c>
      <c r="G411" s="52">
        <v>0</v>
      </c>
      <c r="H411" s="50">
        <v>0</v>
      </c>
      <c r="I411" s="50">
        <v>0</v>
      </c>
      <c r="J411" s="50">
        <v>0</v>
      </c>
      <c r="K411" s="53">
        <v>0</v>
      </c>
      <c r="L411" s="66"/>
      <c r="M411" s="66"/>
      <c r="N411" s="66"/>
      <c r="O411" s="50"/>
      <c r="P411" s="50">
        <v>3300</v>
      </c>
      <c r="Q411" s="53"/>
      <c r="R411" s="53"/>
      <c r="S411" s="53"/>
      <c r="T411" s="53"/>
      <c r="U411" s="53"/>
      <c r="V411" s="53"/>
      <c r="W411" s="53"/>
    </row>
    <row r="412" spans="1:23">
      <c r="A412" s="47">
        <v>410</v>
      </c>
      <c r="B412" s="56">
        <v>4971710540048</v>
      </c>
      <c r="C412" s="57" t="s">
        <v>418</v>
      </c>
      <c r="D412" s="75" t="s">
        <v>884</v>
      </c>
      <c r="E412" s="48" t="s">
        <v>419</v>
      </c>
      <c r="F412" s="50">
        <v>7700</v>
      </c>
      <c r="G412" s="52">
        <v>0</v>
      </c>
      <c r="H412" s="50">
        <v>0</v>
      </c>
      <c r="I412" s="50">
        <v>0</v>
      </c>
      <c r="J412" s="50">
        <v>0</v>
      </c>
      <c r="K412" s="53">
        <v>0</v>
      </c>
      <c r="L412" s="66"/>
      <c r="M412" s="66"/>
      <c r="N412" s="66"/>
      <c r="O412" s="50"/>
      <c r="P412" s="50"/>
      <c r="Q412" s="53"/>
      <c r="R412" s="53"/>
      <c r="S412" s="53"/>
      <c r="T412" s="53"/>
      <c r="U412" s="53"/>
      <c r="V412" s="53"/>
      <c r="W412" s="53">
        <v>3080</v>
      </c>
    </row>
    <row r="413" spans="1:23">
      <c r="A413" s="47">
        <v>411</v>
      </c>
      <c r="B413" s="56">
        <v>4971710578775</v>
      </c>
      <c r="C413" s="57" t="s">
        <v>640</v>
      </c>
      <c r="D413" s="75" t="s">
        <v>884</v>
      </c>
      <c r="E413" s="48" t="s">
        <v>641</v>
      </c>
      <c r="F413" s="50">
        <v>0</v>
      </c>
      <c r="G413" s="52">
        <v>0</v>
      </c>
      <c r="H413" s="50">
        <v>4950</v>
      </c>
      <c r="I413" s="50">
        <v>0</v>
      </c>
      <c r="J413" s="50">
        <v>0</v>
      </c>
      <c r="K413" s="53">
        <v>0</v>
      </c>
      <c r="L413" s="66"/>
      <c r="M413" s="66"/>
      <c r="N413" s="66"/>
      <c r="O413" s="50"/>
      <c r="P413" s="50"/>
      <c r="Q413" s="53"/>
      <c r="R413" s="53"/>
      <c r="S413" s="53"/>
      <c r="T413" s="53"/>
      <c r="U413" s="53"/>
      <c r="V413" s="53"/>
      <c r="W413" s="53">
        <v>1980</v>
      </c>
    </row>
    <row r="414" spans="1:23">
      <c r="A414" s="47">
        <v>412</v>
      </c>
      <c r="B414" s="56">
        <v>4971710578805</v>
      </c>
      <c r="C414" s="57" t="s">
        <v>646</v>
      </c>
      <c r="D414" s="75" t="s">
        <v>884</v>
      </c>
      <c r="E414" s="48" t="s">
        <v>647</v>
      </c>
      <c r="F414" s="50">
        <v>0</v>
      </c>
      <c r="G414" s="52">
        <v>0</v>
      </c>
      <c r="H414" s="50">
        <v>4950</v>
      </c>
      <c r="I414" s="50">
        <v>0</v>
      </c>
      <c r="J414" s="50">
        <v>0</v>
      </c>
      <c r="K414" s="53">
        <v>0</v>
      </c>
      <c r="L414" s="66"/>
      <c r="M414" s="66"/>
      <c r="N414" s="66"/>
      <c r="O414" s="50"/>
      <c r="P414" s="50"/>
      <c r="Q414" s="53"/>
      <c r="R414" s="53"/>
      <c r="S414" s="53"/>
      <c r="T414" s="53"/>
      <c r="U414" s="53"/>
      <c r="V414" s="53"/>
      <c r="W414" s="53">
        <v>1980</v>
      </c>
    </row>
    <row r="415" spans="1:23" hidden="1">
      <c r="A415" s="47">
        <v>413</v>
      </c>
      <c r="B415" s="56">
        <v>4971710578799</v>
      </c>
      <c r="C415" s="57" t="s">
        <v>644</v>
      </c>
      <c r="D415" s="75" t="s">
        <v>884</v>
      </c>
      <c r="E415" s="48" t="s">
        <v>645</v>
      </c>
      <c r="F415" s="50">
        <v>0</v>
      </c>
      <c r="G415" s="52">
        <v>0</v>
      </c>
      <c r="H415" s="50">
        <v>4950</v>
      </c>
      <c r="I415" s="50">
        <v>0</v>
      </c>
      <c r="J415" s="50">
        <v>0</v>
      </c>
      <c r="K415" s="53">
        <v>0</v>
      </c>
      <c r="L415" s="66"/>
      <c r="M415" s="66"/>
      <c r="N415" s="66"/>
      <c r="O415" s="50"/>
      <c r="P415" s="50"/>
      <c r="Q415" s="53"/>
      <c r="R415" s="53"/>
      <c r="S415" s="53"/>
      <c r="T415" s="53">
        <v>1980</v>
      </c>
      <c r="U415" s="53"/>
      <c r="V415" s="53"/>
      <c r="W415" s="53"/>
    </row>
    <row r="416" spans="1:23" hidden="1">
      <c r="A416" s="47">
        <v>414</v>
      </c>
      <c r="B416" s="56">
        <v>4971710584738</v>
      </c>
      <c r="C416" s="57" t="s">
        <v>800</v>
      </c>
      <c r="D416" s="75" t="s">
        <v>880</v>
      </c>
      <c r="E416" s="48" t="s">
        <v>1024</v>
      </c>
      <c r="F416" s="50">
        <v>0</v>
      </c>
      <c r="G416" s="52">
        <v>0</v>
      </c>
      <c r="H416" s="50">
        <v>0</v>
      </c>
      <c r="I416" s="50">
        <v>0</v>
      </c>
      <c r="J416" s="50">
        <v>0</v>
      </c>
      <c r="K416" s="53">
        <v>0</v>
      </c>
      <c r="L416" s="66"/>
      <c r="M416" s="66"/>
      <c r="N416" s="66"/>
      <c r="O416" s="50">
        <v>1100</v>
      </c>
      <c r="P416" s="50"/>
      <c r="Q416" s="53"/>
      <c r="R416" s="53"/>
      <c r="S416" s="53"/>
      <c r="T416" s="53">
        <v>1100</v>
      </c>
      <c r="U416" s="53"/>
      <c r="V416" s="53"/>
      <c r="W416" s="53"/>
    </row>
    <row r="417" spans="1:23" hidden="1">
      <c r="A417" s="47">
        <v>415</v>
      </c>
      <c r="B417" s="56">
        <v>4971710515831</v>
      </c>
      <c r="C417" s="57" t="s">
        <v>832</v>
      </c>
      <c r="D417" s="75" t="s">
        <v>884</v>
      </c>
      <c r="E417" s="48" t="s">
        <v>1025</v>
      </c>
      <c r="F417" s="50">
        <v>0</v>
      </c>
      <c r="G417" s="52">
        <v>0</v>
      </c>
      <c r="H417" s="50">
        <v>0</v>
      </c>
      <c r="I417" s="50">
        <v>0</v>
      </c>
      <c r="J417" s="50">
        <v>0</v>
      </c>
      <c r="K417" s="53">
        <v>0</v>
      </c>
      <c r="L417" s="66"/>
      <c r="M417" s="66"/>
      <c r="N417" s="66"/>
      <c r="O417" s="50"/>
      <c r="P417" s="50"/>
      <c r="Q417" s="53"/>
      <c r="R417" s="53">
        <v>1044</v>
      </c>
      <c r="S417" s="53"/>
      <c r="T417" s="53">
        <v>1044</v>
      </c>
      <c r="U417" s="53"/>
      <c r="V417" s="53"/>
      <c r="W417" s="53"/>
    </row>
    <row r="418" spans="1:23" hidden="1">
      <c r="A418" s="47">
        <v>416</v>
      </c>
      <c r="B418" s="56">
        <v>4971710584721</v>
      </c>
      <c r="C418" s="57" t="s">
        <v>801</v>
      </c>
      <c r="D418" s="75" t="s">
        <v>880</v>
      </c>
      <c r="E418" s="48" t="s">
        <v>1024</v>
      </c>
      <c r="F418" s="50">
        <v>0</v>
      </c>
      <c r="G418" s="52">
        <v>0</v>
      </c>
      <c r="H418" s="50">
        <v>0</v>
      </c>
      <c r="I418" s="50">
        <v>0</v>
      </c>
      <c r="J418" s="50">
        <v>0</v>
      </c>
      <c r="K418" s="53">
        <v>0</v>
      </c>
      <c r="L418" s="66"/>
      <c r="M418" s="66"/>
      <c r="N418" s="66"/>
      <c r="O418" s="50">
        <v>1100</v>
      </c>
      <c r="P418" s="50"/>
      <c r="Q418" s="53"/>
      <c r="R418" s="53"/>
      <c r="S418" s="53">
        <v>1100</v>
      </c>
      <c r="T418" s="53"/>
      <c r="U418" s="53"/>
      <c r="V418" s="53"/>
      <c r="W418" s="53"/>
    </row>
    <row r="419" spans="1:23" hidden="1">
      <c r="A419" s="47">
        <v>417</v>
      </c>
      <c r="B419" s="56">
        <v>4971710519471</v>
      </c>
      <c r="C419" s="57" t="s">
        <v>360</v>
      </c>
      <c r="D419" s="75" t="s">
        <v>884</v>
      </c>
      <c r="E419" s="48" t="s">
        <v>361</v>
      </c>
      <c r="F419" s="50">
        <v>0</v>
      </c>
      <c r="G419" s="52">
        <v>0</v>
      </c>
      <c r="H419" s="50">
        <v>0</v>
      </c>
      <c r="I419" s="50">
        <v>16500</v>
      </c>
      <c r="J419" s="50">
        <v>0</v>
      </c>
      <c r="K419" s="53">
        <v>0</v>
      </c>
      <c r="L419" s="66"/>
      <c r="M419" s="66">
        <v>2200</v>
      </c>
      <c r="N419" s="66"/>
      <c r="O419" s="50"/>
      <c r="P419" s="50"/>
      <c r="Q419" s="53"/>
      <c r="R419" s="53"/>
      <c r="S419" s="53"/>
      <c r="T419" s="53"/>
      <c r="U419" s="53"/>
      <c r="V419" s="53"/>
      <c r="W419" s="53"/>
    </row>
    <row r="420" spans="1:23" hidden="1">
      <c r="A420" s="47">
        <v>418</v>
      </c>
      <c r="B420" s="56">
        <v>4971710494983</v>
      </c>
      <c r="C420" s="57" t="s">
        <v>146</v>
      </c>
      <c r="D420" s="75" t="s">
        <v>884</v>
      </c>
      <c r="E420" s="48" t="s">
        <v>147</v>
      </c>
      <c r="F420" s="50">
        <v>0</v>
      </c>
      <c r="G420" s="52">
        <v>0</v>
      </c>
      <c r="H420" s="50">
        <v>0</v>
      </c>
      <c r="I420" s="50">
        <v>0</v>
      </c>
      <c r="J420" s="50">
        <v>660</v>
      </c>
      <c r="K420" s="53">
        <v>0</v>
      </c>
      <c r="L420" s="66"/>
      <c r="M420" s="66"/>
      <c r="N420" s="66"/>
      <c r="O420" s="50"/>
      <c r="P420" s="50">
        <v>2640</v>
      </c>
      <c r="Q420" s="53"/>
      <c r="R420" s="53"/>
      <c r="S420" s="53"/>
      <c r="T420" s="53"/>
      <c r="U420" s="53"/>
      <c r="V420" s="53"/>
      <c r="W420" s="53"/>
    </row>
    <row r="421" spans="1:23" hidden="1">
      <c r="A421" s="47">
        <v>419</v>
      </c>
      <c r="B421" s="56">
        <v>4971710495034</v>
      </c>
      <c r="C421" s="57" t="s">
        <v>156</v>
      </c>
      <c r="D421" s="75" t="s">
        <v>884</v>
      </c>
      <c r="E421" s="48" t="s">
        <v>157</v>
      </c>
      <c r="F421" s="50">
        <v>0</v>
      </c>
      <c r="G421" s="52">
        <v>0</v>
      </c>
      <c r="H421" s="50">
        <v>0</v>
      </c>
      <c r="I421" s="50">
        <v>0</v>
      </c>
      <c r="J421" s="50">
        <v>660</v>
      </c>
      <c r="K421" s="53">
        <v>0</v>
      </c>
      <c r="L421" s="66"/>
      <c r="M421" s="66"/>
      <c r="N421" s="66"/>
      <c r="O421" s="50"/>
      <c r="P421" s="50">
        <v>2640</v>
      </c>
      <c r="Q421" s="53"/>
      <c r="R421" s="53"/>
      <c r="S421" s="53"/>
      <c r="T421" s="53"/>
      <c r="U421" s="53"/>
      <c r="V421" s="53"/>
      <c r="W421" s="53"/>
    </row>
    <row r="422" spans="1:23" hidden="1">
      <c r="A422" s="47">
        <v>420</v>
      </c>
      <c r="B422" s="56">
        <v>4971710495010</v>
      </c>
      <c r="C422" s="57" t="s">
        <v>152</v>
      </c>
      <c r="D422" s="75" t="s">
        <v>884</v>
      </c>
      <c r="E422" s="48" t="s">
        <v>153</v>
      </c>
      <c r="F422" s="50">
        <v>0</v>
      </c>
      <c r="G422" s="52">
        <v>0</v>
      </c>
      <c r="H422" s="50">
        <v>0</v>
      </c>
      <c r="I422" s="50">
        <v>0</v>
      </c>
      <c r="J422" s="50">
        <v>0</v>
      </c>
      <c r="K422" s="53">
        <v>0</v>
      </c>
      <c r="L422" s="66"/>
      <c r="M422" s="66"/>
      <c r="N422" s="66"/>
      <c r="O422" s="50">
        <v>2640</v>
      </c>
      <c r="P422" s="50"/>
      <c r="Q422" s="53"/>
      <c r="R422" s="53"/>
      <c r="S422" s="53"/>
      <c r="T422" s="53"/>
      <c r="U422" s="53"/>
      <c r="V422" s="53"/>
      <c r="W422" s="53"/>
    </row>
    <row r="423" spans="1:23" hidden="1">
      <c r="A423" s="47">
        <v>421</v>
      </c>
      <c r="B423" s="56">
        <v>4971710495003</v>
      </c>
      <c r="C423" s="57" t="s">
        <v>150</v>
      </c>
      <c r="D423" s="75" t="s">
        <v>884</v>
      </c>
      <c r="E423" s="48" t="s">
        <v>151</v>
      </c>
      <c r="F423" s="50">
        <v>0</v>
      </c>
      <c r="G423" s="52">
        <v>0</v>
      </c>
      <c r="H423" s="50">
        <v>0</v>
      </c>
      <c r="I423" s="50">
        <v>0</v>
      </c>
      <c r="J423" s="50">
        <v>0</v>
      </c>
      <c r="K423" s="53">
        <v>0</v>
      </c>
      <c r="L423" s="66"/>
      <c r="M423" s="66"/>
      <c r="N423" s="66"/>
      <c r="O423" s="50"/>
      <c r="P423" s="50">
        <v>2640</v>
      </c>
      <c r="Q423" s="53"/>
      <c r="R423" s="53"/>
      <c r="S423" s="53"/>
      <c r="T423" s="53"/>
      <c r="U423" s="53"/>
      <c r="V423" s="53"/>
      <c r="W423" s="53"/>
    </row>
    <row r="424" spans="1:23" hidden="1">
      <c r="A424" s="47">
        <v>422</v>
      </c>
      <c r="B424" s="56">
        <v>4971710610741</v>
      </c>
      <c r="C424" s="57" t="s">
        <v>898</v>
      </c>
      <c r="D424" s="75" t="s">
        <v>880</v>
      </c>
      <c r="E424" s="48" t="s">
        <v>907</v>
      </c>
      <c r="F424" s="50"/>
      <c r="G424" s="52"/>
      <c r="H424" s="50"/>
      <c r="I424" s="50"/>
      <c r="J424" s="50"/>
      <c r="K424" s="53"/>
      <c r="L424" s="66"/>
      <c r="M424" s="66"/>
      <c r="N424" s="66"/>
      <c r="O424" s="50"/>
      <c r="P424" s="50"/>
      <c r="Q424" s="53"/>
      <c r="R424" s="53"/>
      <c r="S424" s="53">
        <v>1430</v>
      </c>
      <c r="T424" s="53"/>
      <c r="U424" s="53"/>
      <c r="V424" s="53"/>
      <c r="W424" s="53"/>
    </row>
    <row r="425" spans="1:23" hidden="1">
      <c r="A425" s="47">
        <v>423</v>
      </c>
      <c r="B425" s="56">
        <v>4971710610758</v>
      </c>
      <c r="C425" s="57" t="s">
        <v>899</v>
      </c>
      <c r="D425" s="75" t="s">
        <v>880</v>
      </c>
      <c r="E425" s="48" t="s">
        <v>908</v>
      </c>
      <c r="F425" s="50"/>
      <c r="G425" s="52"/>
      <c r="H425" s="50"/>
      <c r="I425" s="50"/>
      <c r="J425" s="50"/>
      <c r="K425" s="53"/>
      <c r="L425" s="66"/>
      <c r="M425" s="66"/>
      <c r="N425" s="66"/>
      <c r="O425" s="50"/>
      <c r="P425" s="50"/>
      <c r="Q425" s="53"/>
      <c r="R425" s="53"/>
      <c r="S425" s="53">
        <v>1430</v>
      </c>
      <c r="T425" s="53"/>
      <c r="U425" s="53"/>
      <c r="V425" s="53"/>
      <c r="W425" s="53"/>
    </row>
    <row r="426" spans="1:23" hidden="1">
      <c r="A426" s="47">
        <v>424</v>
      </c>
      <c r="B426" s="56">
        <v>4971710573985</v>
      </c>
      <c r="C426" s="57" t="s">
        <v>581</v>
      </c>
      <c r="D426" s="75" t="s">
        <v>884</v>
      </c>
      <c r="E426" s="48" t="s">
        <v>582</v>
      </c>
      <c r="F426" s="50">
        <v>0</v>
      </c>
      <c r="G426" s="52">
        <v>0</v>
      </c>
      <c r="H426" s="50">
        <v>0</v>
      </c>
      <c r="I426" s="50">
        <v>0</v>
      </c>
      <c r="J426" s="50">
        <v>0</v>
      </c>
      <c r="K426" s="53">
        <v>0</v>
      </c>
      <c r="L426" s="66"/>
      <c r="M426" s="66">
        <v>1540</v>
      </c>
      <c r="N426" s="66"/>
      <c r="O426" s="50"/>
      <c r="P426" s="50"/>
      <c r="Q426" s="53"/>
      <c r="R426" s="53"/>
      <c r="S426" s="53"/>
      <c r="T426" s="53"/>
      <c r="U426" s="53"/>
      <c r="V426" s="53"/>
      <c r="W426" s="53"/>
    </row>
    <row r="427" spans="1:23" hidden="1">
      <c r="A427" s="47">
        <v>425</v>
      </c>
      <c r="B427" s="56">
        <v>4971710471991</v>
      </c>
      <c r="C427" s="57" t="s">
        <v>20</v>
      </c>
      <c r="D427" s="75" t="s">
        <v>884</v>
      </c>
      <c r="E427" s="48" t="s">
        <v>21</v>
      </c>
      <c r="F427" s="50">
        <v>0</v>
      </c>
      <c r="G427" s="52">
        <v>0</v>
      </c>
      <c r="H427" s="50">
        <v>0</v>
      </c>
      <c r="I427" s="50">
        <v>460680</v>
      </c>
      <c r="J427" s="50">
        <v>539880</v>
      </c>
      <c r="K427" s="53">
        <v>0</v>
      </c>
      <c r="L427" s="66"/>
      <c r="M427" s="66"/>
      <c r="N427" s="66"/>
      <c r="O427" s="50"/>
      <c r="P427" s="50"/>
      <c r="Q427" s="53"/>
      <c r="R427" s="53"/>
      <c r="S427" s="53"/>
      <c r="T427" s="53"/>
      <c r="U427" s="53"/>
      <c r="V427" s="53"/>
      <c r="W427" s="53"/>
    </row>
    <row r="428" spans="1:23" hidden="1">
      <c r="A428" s="47">
        <v>426</v>
      </c>
      <c r="B428" s="56">
        <v>4971710571851</v>
      </c>
      <c r="C428" s="57" t="s">
        <v>567</v>
      </c>
      <c r="D428" s="75" t="s">
        <v>884</v>
      </c>
      <c r="E428" s="48" t="s">
        <v>568</v>
      </c>
      <c r="F428" s="50">
        <v>0</v>
      </c>
      <c r="G428" s="52">
        <v>0</v>
      </c>
      <c r="H428" s="66">
        <v>221650</v>
      </c>
      <c r="I428" s="50">
        <v>3575</v>
      </c>
      <c r="J428" s="50">
        <v>0</v>
      </c>
      <c r="K428" s="53">
        <v>0</v>
      </c>
      <c r="L428" s="66"/>
      <c r="M428" s="66"/>
      <c r="N428" s="66"/>
      <c r="O428" s="50"/>
      <c r="P428" s="50"/>
      <c r="Q428" s="53"/>
      <c r="R428" s="53"/>
      <c r="S428" s="53"/>
      <c r="T428" s="53"/>
      <c r="U428" s="53"/>
      <c r="V428" s="53"/>
      <c r="W428" s="53"/>
    </row>
    <row r="429" spans="1:23" hidden="1">
      <c r="A429" s="47">
        <v>427</v>
      </c>
      <c r="B429" s="56">
        <v>4971710484274</v>
      </c>
      <c r="C429" s="57" t="s">
        <v>36</v>
      </c>
      <c r="D429" s="75" t="s">
        <v>884</v>
      </c>
      <c r="E429" s="48" t="s">
        <v>37</v>
      </c>
      <c r="F429" s="50">
        <v>0</v>
      </c>
      <c r="G429" s="52">
        <v>0</v>
      </c>
      <c r="H429" s="66"/>
      <c r="I429" s="50">
        <v>101640</v>
      </c>
      <c r="J429" s="50">
        <v>71940</v>
      </c>
      <c r="K429" s="53">
        <v>27720</v>
      </c>
      <c r="L429" s="66"/>
      <c r="M429" s="66"/>
      <c r="N429" s="66"/>
      <c r="O429" s="50"/>
      <c r="P429" s="50"/>
      <c r="Q429" s="53"/>
      <c r="R429" s="53"/>
      <c r="S429" s="53"/>
      <c r="T429" s="53"/>
      <c r="U429" s="53"/>
      <c r="V429" s="53"/>
      <c r="W429" s="53"/>
    </row>
    <row r="430" spans="1:23" hidden="1">
      <c r="A430" s="47">
        <v>428</v>
      </c>
      <c r="B430" s="56">
        <v>4971710513738</v>
      </c>
      <c r="C430" s="57" t="s">
        <v>282</v>
      </c>
      <c r="D430" s="75" t="s">
        <v>879</v>
      </c>
      <c r="E430" s="48" t="s">
        <v>283</v>
      </c>
      <c r="F430" s="50">
        <v>0</v>
      </c>
      <c r="G430" s="52">
        <v>0</v>
      </c>
      <c r="H430" s="66"/>
      <c r="I430" s="50">
        <v>27500</v>
      </c>
      <c r="J430" s="50">
        <v>27500</v>
      </c>
      <c r="K430" s="53"/>
      <c r="L430" s="66"/>
      <c r="M430" s="66"/>
      <c r="N430" s="66"/>
      <c r="O430" s="50"/>
      <c r="P430" s="50"/>
      <c r="Q430" s="53"/>
      <c r="R430" s="53"/>
      <c r="S430" s="53"/>
      <c r="T430" s="53"/>
      <c r="U430" s="53"/>
      <c r="V430" s="53"/>
      <c r="W430" s="53"/>
    </row>
    <row r="431" spans="1:23" hidden="1">
      <c r="A431" s="47">
        <v>429</v>
      </c>
      <c r="B431" s="56">
        <v>4971710524819</v>
      </c>
      <c r="C431" s="57" t="s">
        <v>402</v>
      </c>
      <c r="D431" s="75" t="s">
        <v>879</v>
      </c>
      <c r="E431" s="48" t="s">
        <v>403</v>
      </c>
      <c r="F431" s="50">
        <v>0</v>
      </c>
      <c r="G431" s="66">
        <v>19800</v>
      </c>
      <c r="H431" s="66">
        <v>6600</v>
      </c>
      <c r="I431" s="50"/>
      <c r="J431" s="50">
        <v>34320</v>
      </c>
      <c r="K431" s="53">
        <v>0</v>
      </c>
      <c r="L431" s="66"/>
      <c r="M431" s="66"/>
      <c r="N431" s="66"/>
      <c r="O431" s="50"/>
      <c r="P431" s="50"/>
      <c r="Q431" s="53"/>
      <c r="R431" s="53"/>
      <c r="S431" s="53"/>
      <c r="T431" s="53"/>
      <c r="U431" s="53"/>
      <c r="V431" s="53"/>
      <c r="W431" s="53"/>
    </row>
    <row r="432" spans="1:23" hidden="1">
      <c r="A432" s="47">
        <v>430</v>
      </c>
      <c r="B432" s="56">
        <v>4971710519129</v>
      </c>
      <c r="C432" s="57" t="s">
        <v>338</v>
      </c>
      <c r="D432" s="75" t="s">
        <v>884</v>
      </c>
      <c r="E432" s="48" t="s">
        <v>339</v>
      </c>
      <c r="F432" s="50">
        <v>0</v>
      </c>
      <c r="G432" s="66"/>
      <c r="H432" s="66"/>
      <c r="I432" s="50">
        <v>33000</v>
      </c>
      <c r="J432" s="50">
        <v>11000</v>
      </c>
      <c r="K432" s="53"/>
      <c r="L432" s="66"/>
      <c r="M432" s="66"/>
      <c r="N432" s="66"/>
      <c r="O432" s="50"/>
      <c r="P432" s="50"/>
      <c r="Q432" s="53"/>
      <c r="R432" s="53"/>
      <c r="S432" s="53"/>
      <c r="T432" s="53"/>
      <c r="U432" s="53"/>
      <c r="V432" s="53"/>
      <c r="W432" s="53"/>
    </row>
    <row r="433" spans="1:23" hidden="1">
      <c r="A433" s="47">
        <v>431</v>
      </c>
      <c r="B433" s="56">
        <v>4971710519242</v>
      </c>
      <c r="C433" s="57" t="s">
        <v>344</v>
      </c>
      <c r="D433" s="75" t="s">
        <v>879</v>
      </c>
      <c r="E433" s="48" t="s">
        <v>345</v>
      </c>
      <c r="F433" s="50">
        <v>0</v>
      </c>
      <c r="G433" s="66"/>
      <c r="H433" s="66"/>
      <c r="I433" s="50">
        <v>35750</v>
      </c>
      <c r="J433" s="50">
        <v>21450</v>
      </c>
      <c r="K433" s="53"/>
      <c r="L433" s="66"/>
      <c r="M433" s="66"/>
      <c r="N433" s="66"/>
      <c r="O433" s="50"/>
      <c r="P433" s="50"/>
      <c r="Q433" s="53"/>
      <c r="R433" s="53"/>
      <c r="S433" s="53"/>
      <c r="T433" s="53"/>
      <c r="U433" s="53"/>
      <c r="V433" s="53"/>
      <c r="W433" s="53"/>
    </row>
    <row r="434" spans="1:23" hidden="1">
      <c r="A434" s="47">
        <v>432</v>
      </c>
      <c r="B434" s="56">
        <v>4971710519259</v>
      </c>
      <c r="C434" s="57" t="s">
        <v>346</v>
      </c>
      <c r="D434" s="75" t="s">
        <v>879</v>
      </c>
      <c r="E434" s="48" t="s">
        <v>347</v>
      </c>
      <c r="F434" s="50">
        <v>0</v>
      </c>
      <c r="G434" s="66"/>
      <c r="H434" s="66"/>
      <c r="I434" s="50">
        <v>35750</v>
      </c>
      <c r="J434" s="50">
        <v>21450</v>
      </c>
      <c r="K434" s="53"/>
      <c r="L434" s="66"/>
      <c r="M434" s="66"/>
      <c r="N434" s="66"/>
      <c r="O434" s="50"/>
      <c r="P434" s="50"/>
      <c r="Q434" s="53"/>
      <c r="R434" s="53"/>
      <c r="S434" s="53"/>
      <c r="T434" s="53"/>
      <c r="U434" s="53"/>
      <c r="V434" s="53"/>
      <c r="W434" s="53"/>
    </row>
    <row r="435" spans="1:23" hidden="1">
      <c r="A435" s="47">
        <v>433</v>
      </c>
      <c r="B435" s="56">
        <v>4971710521535</v>
      </c>
      <c r="C435" s="57" t="s">
        <v>370</v>
      </c>
      <c r="D435" s="75" t="s">
        <v>884</v>
      </c>
      <c r="E435" s="48" t="s">
        <v>371</v>
      </c>
      <c r="F435" s="50">
        <v>0</v>
      </c>
      <c r="G435" s="66">
        <v>17160</v>
      </c>
      <c r="H435" s="66">
        <v>17160</v>
      </c>
      <c r="I435" s="50">
        <v>1430</v>
      </c>
      <c r="J435" s="50">
        <v>14300</v>
      </c>
      <c r="K435" s="53"/>
      <c r="L435" s="66"/>
      <c r="M435" s="66"/>
      <c r="N435" s="66"/>
      <c r="O435" s="50"/>
      <c r="P435" s="50"/>
      <c r="Q435" s="53"/>
      <c r="R435" s="53"/>
      <c r="S435" s="53"/>
      <c r="T435" s="53"/>
      <c r="U435" s="53"/>
      <c r="V435" s="53"/>
      <c r="W435" s="53"/>
    </row>
    <row r="436" spans="1:23" hidden="1">
      <c r="A436" s="47">
        <v>434</v>
      </c>
      <c r="B436" s="56">
        <v>4971710514490</v>
      </c>
      <c r="C436" s="57" t="s">
        <v>300</v>
      </c>
      <c r="D436" s="75" t="s">
        <v>884</v>
      </c>
      <c r="E436" s="48" t="s">
        <v>301</v>
      </c>
      <c r="F436" s="50">
        <v>0</v>
      </c>
      <c r="G436" s="66">
        <v>13200</v>
      </c>
      <c r="H436" s="66">
        <v>13200</v>
      </c>
      <c r="I436" s="50"/>
      <c r="J436" s="50"/>
      <c r="K436" s="53"/>
      <c r="L436" s="66"/>
      <c r="M436" s="66"/>
      <c r="N436" s="66"/>
      <c r="O436" s="50"/>
      <c r="P436" s="50"/>
      <c r="Q436" s="53"/>
      <c r="R436" s="53"/>
      <c r="S436" s="53"/>
      <c r="T436" s="53"/>
      <c r="U436" s="53"/>
      <c r="V436" s="53"/>
      <c r="W436" s="53"/>
    </row>
    <row r="437" spans="1:23" hidden="1">
      <c r="A437" s="47">
        <v>435</v>
      </c>
      <c r="B437" s="56">
        <v>4971710514506</v>
      </c>
      <c r="C437" s="57" t="s">
        <v>302</v>
      </c>
      <c r="D437" s="75" t="s">
        <v>884</v>
      </c>
      <c r="E437" s="48" t="s">
        <v>303</v>
      </c>
      <c r="F437" s="50">
        <v>0</v>
      </c>
      <c r="G437" s="66">
        <v>13200</v>
      </c>
      <c r="H437" s="66">
        <v>13200</v>
      </c>
      <c r="I437" s="50"/>
      <c r="J437" s="50"/>
      <c r="K437" s="53"/>
      <c r="L437" s="66"/>
      <c r="M437" s="66"/>
      <c r="N437" s="66"/>
      <c r="O437" s="50"/>
      <c r="P437" s="50"/>
      <c r="Q437" s="53"/>
      <c r="R437" s="53"/>
      <c r="S437" s="53"/>
      <c r="T437" s="53"/>
      <c r="U437" s="53"/>
      <c r="V437" s="53"/>
      <c r="W437" s="53"/>
    </row>
    <row r="438" spans="1:23" hidden="1">
      <c r="A438" s="47">
        <v>436</v>
      </c>
      <c r="B438" s="56">
        <v>4971710471953</v>
      </c>
      <c r="C438" s="57" t="s">
        <v>18</v>
      </c>
      <c r="D438" s="75" t="s">
        <v>884</v>
      </c>
      <c r="E438" s="48" t="s">
        <v>19</v>
      </c>
      <c r="F438" s="50">
        <v>0</v>
      </c>
      <c r="G438" s="66"/>
      <c r="H438" s="66"/>
      <c r="I438" s="50"/>
      <c r="J438" s="50">
        <v>19800</v>
      </c>
      <c r="K438" s="53">
        <v>3300</v>
      </c>
      <c r="L438" s="66"/>
      <c r="M438" s="66"/>
      <c r="N438" s="66"/>
      <c r="O438" s="50"/>
      <c r="P438" s="50"/>
      <c r="Q438" s="53"/>
      <c r="R438" s="53"/>
      <c r="S438" s="53"/>
      <c r="T438" s="53"/>
      <c r="U438" s="53"/>
      <c r="V438" s="53"/>
      <c r="W438" s="53"/>
    </row>
    <row r="439" spans="1:23" hidden="1">
      <c r="A439" s="47">
        <v>437</v>
      </c>
      <c r="B439" s="56">
        <v>4971710484281</v>
      </c>
      <c r="C439" s="57" t="s">
        <v>38</v>
      </c>
      <c r="D439" s="75" t="s">
        <v>884</v>
      </c>
      <c r="E439" s="48" t="s">
        <v>39</v>
      </c>
      <c r="F439" s="50">
        <v>0</v>
      </c>
      <c r="G439" s="66"/>
      <c r="H439" s="66">
        <v>3300</v>
      </c>
      <c r="I439" s="50"/>
      <c r="J439" s="50">
        <v>19800</v>
      </c>
      <c r="K439" s="53"/>
      <c r="L439" s="66"/>
      <c r="M439" s="66"/>
      <c r="N439" s="66"/>
      <c r="O439" s="50"/>
      <c r="P439" s="50"/>
      <c r="Q439" s="53"/>
      <c r="R439" s="53"/>
      <c r="S439" s="53"/>
      <c r="T439" s="53"/>
      <c r="U439" s="53"/>
      <c r="V439" s="53"/>
      <c r="W439" s="53"/>
    </row>
    <row r="440" spans="1:23" hidden="1">
      <c r="A440" s="47">
        <v>438</v>
      </c>
      <c r="B440" s="56">
        <v>4971710563443</v>
      </c>
      <c r="C440" s="57" t="s">
        <v>485</v>
      </c>
      <c r="D440" s="75" t="s">
        <v>879</v>
      </c>
      <c r="E440" s="48" t="s">
        <v>486</v>
      </c>
      <c r="F440" s="50">
        <v>0</v>
      </c>
      <c r="G440" s="66"/>
      <c r="H440" s="66"/>
      <c r="I440" s="50"/>
      <c r="J440" s="50">
        <v>11440</v>
      </c>
      <c r="K440" s="53">
        <v>11440</v>
      </c>
      <c r="L440" s="66"/>
      <c r="M440" s="66"/>
      <c r="N440" s="66"/>
      <c r="O440" s="50"/>
      <c r="P440" s="50"/>
      <c r="Q440" s="53"/>
      <c r="R440" s="53"/>
      <c r="S440" s="53"/>
      <c r="T440" s="53"/>
      <c r="U440" s="53"/>
      <c r="V440" s="53"/>
      <c r="W440" s="53"/>
    </row>
    <row r="441" spans="1:23" hidden="1">
      <c r="A441" s="47">
        <v>439</v>
      </c>
      <c r="B441" s="56">
        <v>4971710484267</v>
      </c>
      <c r="C441" s="57" t="s">
        <v>34</v>
      </c>
      <c r="D441" s="75" t="s">
        <v>884</v>
      </c>
      <c r="E441" s="48" t="s">
        <v>35</v>
      </c>
      <c r="F441" s="50">
        <v>0</v>
      </c>
      <c r="G441" s="66"/>
      <c r="H441" s="66"/>
      <c r="I441" s="50"/>
      <c r="J441" s="50">
        <v>19800</v>
      </c>
      <c r="K441" s="53"/>
      <c r="L441" s="66"/>
      <c r="M441" s="66"/>
      <c r="N441" s="66"/>
      <c r="O441" s="50"/>
      <c r="P441" s="50"/>
      <c r="Q441" s="53"/>
      <c r="R441" s="53"/>
      <c r="S441" s="53"/>
      <c r="T441" s="53"/>
      <c r="U441" s="53"/>
      <c r="V441" s="53"/>
      <c r="W441" s="53"/>
    </row>
    <row r="442" spans="1:23" hidden="1">
      <c r="A442" s="47">
        <v>440</v>
      </c>
      <c r="B442" s="56">
        <v>4971710479560</v>
      </c>
      <c r="C442" s="57" t="s">
        <v>30</v>
      </c>
      <c r="D442" s="75" t="s">
        <v>884</v>
      </c>
      <c r="E442" s="48" t="s">
        <v>31</v>
      </c>
      <c r="F442" s="50">
        <v>0</v>
      </c>
      <c r="G442" s="66"/>
      <c r="H442" s="66">
        <v>23760</v>
      </c>
      <c r="I442" s="50"/>
      <c r="J442" s="50"/>
      <c r="K442" s="53"/>
      <c r="L442" s="66"/>
      <c r="M442" s="66"/>
      <c r="N442" s="66"/>
      <c r="O442" s="50"/>
      <c r="P442" s="50"/>
      <c r="Q442" s="53"/>
      <c r="R442" s="53"/>
      <c r="S442" s="53"/>
      <c r="T442" s="53"/>
      <c r="U442" s="53"/>
      <c r="V442" s="53"/>
      <c r="W442" s="53"/>
    </row>
    <row r="443" spans="1:23" hidden="1">
      <c r="A443" s="47">
        <v>441</v>
      </c>
      <c r="B443" s="56">
        <v>4971710487688</v>
      </c>
      <c r="C443" s="57" t="s">
        <v>50</v>
      </c>
      <c r="D443" s="75" t="s">
        <v>884</v>
      </c>
      <c r="E443" s="48" t="s">
        <v>51</v>
      </c>
      <c r="F443" s="50">
        <v>0</v>
      </c>
      <c r="G443" s="66"/>
      <c r="H443" s="66">
        <v>21120</v>
      </c>
      <c r="I443" s="50"/>
      <c r="J443" s="50"/>
      <c r="K443" s="53"/>
      <c r="L443" s="66"/>
      <c r="M443" s="66"/>
      <c r="N443" s="66"/>
      <c r="O443" s="50"/>
      <c r="P443" s="50"/>
      <c r="Q443" s="53"/>
      <c r="R443" s="53"/>
      <c r="S443" s="53"/>
      <c r="T443" s="53"/>
      <c r="U443" s="53"/>
      <c r="V443" s="53"/>
      <c r="W443" s="53"/>
    </row>
    <row r="444" spans="1:23" hidden="1">
      <c r="A444" s="47">
        <v>442</v>
      </c>
      <c r="B444" s="56">
        <v>4971710487855</v>
      </c>
      <c r="C444" s="57" t="s">
        <v>78</v>
      </c>
      <c r="D444" s="75" t="s">
        <v>884</v>
      </c>
      <c r="E444" s="48" t="s">
        <v>79</v>
      </c>
      <c r="F444" s="50">
        <v>0</v>
      </c>
      <c r="G444" s="66"/>
      <c r="H444" s="66">
        <v>21120</v>
      </c>
      <c r="I444" s="50"/>
      <c r="J444" s="50"/>
      <c r="K444" s="53"/>
      <c r="L444" s="66"/>
      <c r="M444" s="66"/>
      <c r="N444" s="66"/>
      <c r="O444" s="50"/>
      <c r="P444" s="50"/>
      <c r="Q444" s="53"/>
      <c r="R444" s="53"/>
      <c r="S444" s="53"/>
      <c r="T444" s="53"/>
      <c r="U444" s="53"/>
      <c r="V444" s="53"/>
      <c r="W444" s="53"/>
    </row>
    <row r="445" spans="1:23" hidden="1">
      <c r="A445" s="47">
        <v>443</v>
      </c>
      <c r="B445" s="56">
        <v>4971710495386</v>
      </c>
      <c r="C445" s="57" t="s">
        <v>160</v>
      </c>
      <c r="D445" s="75" t="s">
        <v>884</v>
      </c>
      <c r="E445" s="48" t="s">
        <v>161</v>
      </c>
      <c r="F445" s="50">
        <v>0</v>
      </c>
      <c r="G445" s="66"/>
      <c r="H445" s="66">
        <v>21120</v>
      </c>
      <c r="I445" s="50"/>
      <c r="J445" s="50"/>
      <c r="K445" s="53"/>
      <c r="L445" s="66"/>
      <c r="M445" s="66"/>
      <c r="N445" s="66"/>
      <c r="O445" s="50"/>
      <c r="P445" s="50"/>
      <c r="Q445" s="53"/>
      <c r="R445" s="53"/>
      <c r="S445" s="53"/>
      <c r="T445" s="53"/>
      <c r="U445" s="53"/>
      <c r="V445" s="53"/>
      <c r="W445" s="53"/>
    </row>
    <row r="446" spans="1:23" hidden="1">
      <c r="A446" s="47">
        <v>444</v>
      </c>
      <c r="B446" s="56">
        <v>4971710511895</v>
      </c>
      <c r="C446" s="57" t="s">
        <v>230</v>
      </c>
      <c r="D446" s="75" t="s">
        <v>884</v>
      </c>
      <c r="E446" s="48" t="s">
        <v>231</v>
      </c>
      <c r="F446" s="50">
        <v>0</v>
      </c>
      <c r="G446" s="66"/>
      <c r="H446" s="66">
        <v>21120</v>
      </c>
      <c r="I446" s="50"/>
      <c r="J446" s="50"/>
      <c r="K446" s="53"/>
      <c r="L446" s="66"/>
      <c r="M446" s="66"/>
      <c r="N446" s="66"/>
      <c r="O446" s="50"/>
      <c r="P446" s="50"/>
      <c r="Q446" s="53"/>
      <c r="R446" s="53"/>
      <c r="S446" s="53"/>
      <c r="T446" s="53"/>
      <c r="U446" s="53"/>
      <c r="V446" s="53"/>
      <c r="W446" s="53"/>
    </row>
    <row r="447" spans="1:23" hidden="1">
      <c r="A447" s="47">
        <v>445</v>
      </c>
      <c r="B447" s="56">
        <v>4971710522495</v>
      </c>
      <c r="C447" s="57" t="s">
        <v>388</v>
      </c>
      <c r="D447" s="75" t="s">
        <v>884</v>
      </c>
      <c r="E447" s="48" t="s">
        <v>389</v>
      </c>
      <c r="F447" s="50">
        <v>0</v>
      </c>
      <c r="G447" s="66"/>
      <c r="H447" s="66">
        <v>17160</v>
      </c>
      <c r="I447" s="50"/>
      <c r="J447" s="50"/>
      <c r="K447" s="53"/>
      <c r="L447" s="66"/>
      <c r="M447" s="66"/>
      <c r="N447" s="66"/>
      <c r="O447" s="50"/>
      <c r="P447" s="50"/>
      <c r="Q447" s="53"/>
      <c r="R447" s="53"/>
      <c r="S447" s="53"/>
      <c r="T447" s="53"/>
      <c r="U447" s="53"/>
      <c r="V447" s="53"/>
      <c r="W447" s="53"/>
    </row>
    <row r="448" spans="1:23" hidden="1">
      <c r="A448" s="47">
        <v>446</v>
      </c>
      <c r="B448" s="56">
        <v>4971710580037</v>
      </c>
      <c r="C448" s="57" t="s">
        <v>672</v>
      </c>
      <c r="D448" s="75" t="s">
        <v>1094</v>
      </c>
      <c r="E448" s="48" t="s">
        <v>673</v>
      </c>
      <c r="F448" s="50">
        <v>0</v>
      </c>
      <c r="G448" s="66"/>
      <c r="H448" s="66">
        <v>13200</v>
      </c>
      <c r="I448" s="50"/>
      <c r="J448" s="50"/>
      <c r="K448" s="53"/>
      <c r="L448" s="66"/>
      <c r="M448" s="66"/>
      <c r="N448" s="66"/>
      <c r="O448" s="50"/>
      <c r="P448" s="50"/>
      <c r="Q448" s="53"/>
      <c r="R448" s="53"/>
      <c r="S448" s="53"/>
      <c r="T448" s="53"/>
      <c r="U448" s="53"/>
      <c r="V448" s="53"/>
      <c r="W448" s="53"/>
    </row>
    <row r="449" spans="1:23" hidden="1">
      <c r="A449" s="47">
        <v>447</v>
      </c>
      <c r="B449" s="56">
        <v>4971710487671</v>
      </c>
      <c r="C449" s="57" t="s">
        <v>48</v>
      </c>
      <c r="D449" s="75" t="s">
        <v>884</v>
      </c>
      <c r="E449" s="48" t="s">
        <v>49</v>
      </c>
      <c r="F449" s="50">
        <v>0</v>
      </c>
      <c r="G449" s="66"/>
      <c r="H449" s="66">
        <v>12320</v>
      </c>
      <c r="I449" s="50"/>
      <c r="J449" s="50"/>
      <c r="K449" s="53"/>
      <c r="L449" s="66"/>
      <c r="M449" s="66"/>
      <c r="N449" s="66"/>
      <c r="O449" s="50"/>
      <c r="P449" s="50"/>
      <c r="Q449" s="53"/>
      <c r="R449" s="53"/>
      <c r="S449" s="53"/>
      <c r="T449" s="53"/>
      <c r="U449" s="53"/>
      <c r="V449" s="53"/>
      <c r="W449" s="53"/>
    </row>
    <row r="450" spans="1:23" hidden="1">
      <c r="A450" s="47">
        <v>448</v>
      </c>
      <c r="B450" s="56">
        <v>4971710487749</v>
      </c>
      <c r="C450" s="57" t="s">
        <v>60</v>
      </c>
      <c r="D450" s="75" t="s">
        <v>884</v>
      </c>
      <c r="E450" s="48" t="s">
        <v>61</v>
      </c>
      <c r="F450" s="50">
        <v>0</v>
      </c>
      <c r="G450" s="66"/>
      <c r="H450" s="66">
        <v>12320</v>
      </c>
      <c r="I450" s="50"/>
      <c r="J450" s="50"/>
      <c r="K450" s="53"/>
      <c r="L450" s="66"/>
      <c r="M450" s="66"/>
      <c r="N450" s="66"/>
      <c r="O450" s="50"/>
      <c r="P450" s="50"/>
      <c r="Q450" s="53"/>
      <c r="R450" s="53"/>
      <c r="S450" s="53"/>
      <c r="T450" s="53"/>
      <c r="U450" s="53"/>
      <c r="V450" s="53"/>
      <c r="W450" s="53"/>
    </row>
    <row r="451" spans="1:23" hidden="1">
      <c r="A451" s="47">
        <v>449</v>
      </c>
      <c r="B451" s="56">
        <v>4971710495393</v>
      </c>
      <c r="C451" s="57" t="s">
        <v>162</v>
      </c>
      <c r="D451" s="75" t="s">
        <v>884</v>
      </c>
      <c r="E451" s="48" t="s">
        <v>163</v>
      </c>
      <c r="F451" s="50">
        <v>0</v>
      </c>
      <c r="G451" s="66"/>
      <c r="H451" s="66">
        <v>12320</v>
      </c>
      <c r="I451" s="50"/>
      <c r="J451" s="50"/>
      <c r="K451" s="53"/>
      <c r="L451" s="66"/>
      <c r="M451" s="66"/>
      <c r="N451" s="66"/>
      <c r="O451" s="50"/>
      <c r="P451" s="50"/>
      <c r="Q451" s="53"/>
      <c r="R451" s="53"/>
      <c r="S451" s="53"/>
      <c r="T451" s="53"/>
      <c r="U451" s="53"/>
      <c r="V451" s="53"/>
      <c r="W451" s="53"/>
    </row>
    <row r="452" spans="1:23" hidden="1">
      <c r="A452" s="47">
        <v>450</v>
      </c>
      <c r="B452" s="56">
        <v>4971710495409</v>
      </c>
      <c r="C452" s="57" t="s">
        <v>164</v>
      </c>
      <c r="D452" s="75" t="s">
        <v>884</v>
      </c>
      <c r="E452" s="48" t="s">
        <v>165</v>
      </c>
      <c r="F452" s="50">
        <v>0</v>
      </c>
      <c r="G452" s="66"/>
      <c r="H452" s="66">
        <v>12320</v>
      </c>
      <c r="I452" s="50"/>
      <c r="J452" s="50"/>
      <c r="K452" s="53"/>
      <c r="L452" s="66"/>
      <c r="M452" s="66"/>
      <c r="N452" s="66"/>
      <c r="O452" s="50"/>
      <c r="P452" s="50"/>
      <c r="Q452" s="53"/>
      <c r="R452" s="53"/>
      <c r="S452" s="53"/>
      <c r="T452" s="53"/>
      <c r="U452" s="53"/>
      <c r="V452" s="53"/>
      <c r="W452" s="53"/>
    </row>
    <row r="453" spans="1:23" hidden="1">
      <c r="A453" s="47">
        <v>451</v>
      </c>
      <c r="B453" s="56">
        <v>4971710511871</v>
      </c>
      <c r="C453" s="57" t="s">
        <v>226</v>
      </c>
      <c r="D453" s="75" t="s">
        <v>884</v>
      </c>
      <c r="E453" s="48" t="s">
        <v>227</v>
      </c>
      <c r="F453" s="50">
        <v>0</v>
      </c>
      <c r="G453" s="66"/>
      <c r="H453" s="66">
        <v>12320</v>
      </c>
      <c r="I453" s="50"/>
      <c r="J453" s="50"/>
      <c r="K453" s="53"/>
      <c r="L453" s="66"/>
      <c r="M453" s="66"/>
      <c r="N453" s="66"/>
      <c r="O453" s="50"/>
      <c r="P453" s="50"/>
      <c r="Q453" s="53"/>
      <c r="R453" s="53"/>
      <c r="S453" s="53"/>
      <c r="T453" s="53"/>
      <c r="U453" s="53"/>
      <c r="V453" s="53"/>
      <c r="W453" s="53"/>
    </row>
    <row r="454" spans="1:23" hidden="1">
      <c r="A454" s="47">
        <v>452</v>
      </c>
      <c r="B454" s="56">
        <v>4971710511918</v>
      </c>
      <c r="C454" s="57" t="s">
        <v>234</v>
      </c>
      <c r="D454" s="75" t="s">
        <v>884</v>
      </c>
      <c r="E454" s="48" t="s">
        <v>235</v>
      </c>
      <c r="F454" s="50">
        <v>0</v>
      </c>
      <c r="G454" s="66"/>
      <c r="H454" s="66">
        <v>12320</v>
      </c>
      <c r="I454" s="50"/>
      <c r="J454" s="50"/>
      <c r="K454" s="53"/>
      <c r="L454" s="66"/>
      <c r="M454" s="66"/>
      <c r="N454" s="66"/>
      <c r="O454" s="50"/>
      <c r="P454" s="50"/>
      <c r="Q454" s="53"/>
      <c r="R454" s="53"/>
      <c r="S454" s="53"/>
      <c r="T454" s="53"/>
      <c r="U454" s="53"/>
      <c r="V454" s="53"/>
      <c r="W454" s="53"/>
    </row>
    <row r="455" spans="1:23" hidden="1">
      <c r="A455" s="47">
        <v>453</v>
      </c>
      <c r="B455" s="56">
        <v>4971710511932</v>
      </c>
      <c r="C455" s="57" t="s">
        <v>238</v>
      </c>
      <c r="D455" s="75" t="s">
        <v>884</v>
      </c>
      <c r="E455" s="48" t="s">
        <v>239</v>
      </c>
      <c r="F455" s="50">
        <v>0</v>
      </c>
      <c r="G455" s="66"/>
      <c r="H455" s="66">
        <v>12320</v>
      </c>
      <c r="I455" s="50"/>
      <c r="J455" s="50"/>
      <c r="K455" s="53"/>
      <c r="L455" s="66"/>
      <c r="M455" s="66"/>
      <c r="N455" s="66"/>
      <c r="O455" s="50"/>
      <c r="P455" s="50"/>
      <c r="Q455" s="53"/>
      <c r="R455" s="53"/>
      <c r="S455" s="53"/>
      <c r="T455" s="53"/>
      <c r="U455" s="53"/>
      <c r="V455" s="53"/>
      <c r="W455" s="53"/>
    </row>
    <row r="456" spans="1:23" hidden="1">
      <c r="A456" s="47">
        <v>454</v>
      </c>
      <c r="B456" s="56">
        <v>4971710514674</v>
      </c>
      <c r="C456" s="57" t="s">
        <v>306</v>
      </c>
      <c r="D456" s="75" t="s">
        <v>884</v>
      </c>
      <c r="E456" s="48" t="s">
        <v>307</v>
      </c>
      <c r="F456" s="50">
        <v>0</v>
      </c>
      <c r="G456" s="66"/>
      <c r="H456" s="66">
        <v>12320</v>
      </c>
      <c r="I456" s="50"/>
      <c r="J456" s="50"/>
      <c r="K456" s="53"/>
      <c r="L456" s="66"/>
      <c r="M456" s="66"/>
      <c r="N456" s="66"/>
      <c r="O456" s="50"/>
      <c r="P456" s="50"/>
      <c r="Q456" s="53"/>
      <c r="R456" s="53"/>
      <c r="S456" s="53"/>
      <c r="T456" s="53"/>
      <c r="U456" s="53"/>
      <c r="V456" s="53"/>
      <c r="W456" s="53"/>
    </row>
    <row r="457" spans="1:23" hidden="1">
      <c r="A457" s="47">
        <v>455</v>
      </c>
      <c r="B457" s="56">
        <v>4971710578768</v>
      </c>
      <c r="C457" s="57" t="s">
        <v>638</v>
      </c>
      <c r="D457" s="75" t="s">
        <v>884</v>
      </c>
      <c r="E457" s="48" t="s">
        <v>639</v>
      </c>
      <c r="F457" s="50">
        <v>0</v>
      </c>
      <c r="G457" s="66"/>
      <c r="H457" s="66">
        <v>4950</v>
      </c>
      <c r="I457" s="50">
        <v>1485</v>
      </c>
      <c r="J457" s="50"/>
      <c r="K457" s="53"/>
      <c r="L457" s="66"/>
      <c r="M457" s="66"/>
      <c r="N457" s="66"/>
      <c r="O457" s="50"/>
      <c r="P457" s="50"/>
      <c r="Q457" s="53"/>
      <c r="R457" s="53"/>
      <c r="S457" s="53"/>
      <c r="T457" s="53"/>
      <c r="U457" s="53"/>
      <c r="V457" s="53"/>
      <c r="W457" s="53"/>
    </row>
    <row r="458" spans="1:23" hidden="1">
      <c r="A458" s="47">
        <v>456</v>
      </c>
      <c r="B458" s="56">
        <v>4971710519228</v>
      </c>
      <c r="C458" s="57" t="s">
        <v>342</v>
      </c>
      <c r="D458" s="75" t="s">
        <v>884</v>
      </c>
      <c r="E458" s="48" t="s">
        <v>343</v>
      </c>
      <c r="F458" s="50">
        <v>0</v>
      </c>
      <c r="G458" s="66"/>
      <c r="H458" s="66"/>
      <c r="I458" s="50"/>
      <c r="J458" s="50">
        <v>10560</v>
      </c>
      <c r="K458" s="53"/>
      <c r="L458" s="66"/>
      <c r="M458" s="66"/>
      <c r="N458" s="66"/>
      <c r="O458" s="50"/>
      <c r="P458" s="50"/>
      <c r="Q458" s="53"/>
      <c r="R458" s="53"/>
      <c r="S458" s="53"/>
      <c r="T458" s="53"/>
      <c r="U458" s="53"/>
      <c r="V458" s="53"/>
      <c r="W458" s="53"/>
    </row>
    <row r="459" spans="1:23" hidden="1">
      <c r="A459" s="47">
        <v>457</v>
      </c>
      <c r="B459" s="56">
        <v>4971710571776</v>
      </c>
      <c r="C459" s="57" t="s">
        <v>551</v>
      </c>
      <c r="D459" s="75" t="s">
        <v>884</v>
      </c>
      <c r="E459" s="48" t="s">
        <v>552</v>
      </c>
      <c r="F459" s="50">
        <v>0</v>
      </c>
      <c r="G459" s="66"/>
      <c r="H459" s="66"/>
      <c r="I459" s="50"/>
      <c r="J459" s="50">
        <v>6600</v>
      </c>
      <c r="K459" s="53"/>
      <c r="L459" s="66"/>
      <c r="M459" s="66"/>
      <c r="N459" s="66"/>
      <c r="O459" s="50"/>
      <c r="P459" s="50"/>
      <c r="Q459" s="53"/>
      <c r="R459" s="53"/>
      <c r="S459" s="53"/>
      <c r="T459" s="53"/>
      <c r="U459" s="53"/>
      <c r="V459" s="53"/>
      <c r="W459" s="53"/>
    </row>
    <row r="460" spans="1:23" hidden="1">
      <c r="A460" s="47">
        <v>458</v>
      </c>
      <c r="B460" s="56">
        <v>4971710522280</v>
      </c>
      <c r="C460" s="57" t="s">
        <v>372</v>
      </c>
      <c r="D460" s="75" t="s">
        <v>1094</v>
      </c>
      <c r="E460" s="48" t="s">
        <v>373</v>
      </c>
      <c r="F460" s="50">
        <v>0</v>
      </c>
      <c r="G460" s="66"/>
      <c r="H460" s="66">
        <v>0</v>
      </c>
      <c r="I460" s="50">
        <v>5500</v>
      </c>
      <c r="J460" s="50"/>
      <c r="K460" s="53"/>
      <c r="L460" s="66"/>
      <c r="M460" s="66"/>
      <c r="N460" s="66"/>
      <c r="O460" s="50"/>
      <c r="P460" s="50"/>
      <c r="Q460" s="53"/>
      <c r="R460" s="53"/>
      <c r="S460" s="53"/>
      <c r="T460" s="53"/>
      <c r="U460" s="53"/>
      <c r="V460" s="53"/>
      <c r="W460" s="53"/>
    </row>
    <row r="461" spans="1:23" hidden="1">
      <c r="A461" s="47">
        <v>459</v>
      </c>
      <c r="B461" s="56">
        <v>4971710540000</v>
      </c>
      <c r="C461" s="57" t="s">
        <v>410</v>
      </c>
      <c r="D461" s="75" t="s">
        <v>884</v>
      </c>
      <c r="E461" s="48" t="s">
        <v>411</v>
      </c>
      <c r="F461" s="66">
        <v>7700</v>
      </c>
      <c r="G461" s="66"/>
      <c r="H461" s="66"/>
      <c r="I461" s="50"/>
      <c r="J461" s="50"/>
      <c r="K461" s="53"/>
      <c r="L461" s="66"/>
      <c r="M461" s="66"/>
      <c r="N461" s="66"/>
      <c r="O461" s="50"/>
      <c r="P461" s="50"/>
      <c r="Q461" s="53"/>
      <c r="R461" s="53"/>
      <c r="S461" s="53"/>
      <c r="T461" s="53"/>
      <c r="U461" s="53"/>
      <c r="V461" s="53"/>
      <c r="W461" s="53"/>
    </row>
    <row r="462" spans="1:23" hidden="1">
      <c r="A462" s="47">
        <v>460</v>
      </c>
      <c r="B462" s="56">
        <v>4971710540017</v>
      </c>
      <c r="C462" s="57" t="s">
        <v>412</v>
      </c>
      <c r="D462" s="75" t="s">
        <v>884</v>
      </c>
      <c r="E462" s="48" t="s">
        <v>413</v>
      </c>
      <c r="F462" s="66">
        <v>7700</v>
      </c>
      <c r="G462" s="66"/>
      <c r="H462" s="66"/>
      <c r="I462" s="50"/>
      <c r="J462" s="50"/>
      <c r="K462" s="53"/>
      <c r="L462" s="66"/>
      <c r="M462" s="66"/>
      <c r="N462" s="66"/>
      <c r="O462" s="50"/>
      <c r="P462" s="50"/>
      <c r="Q462" s="53"/>
      <c r="R462" s="53"/>
      <c r="S462" s="53"/>
      <c r="T462" s="53"/>
      <c r="U462" s="53"/>
      <c r="V462" s="53"/>
      <c r="W462" s="53"/>
    </row>
    <row r="463" spans="1:23" hidden="1">
      <c r="A463" s="47">
        <v>461</v>
      </c>
      <c r="B463" s="56">
        <v>4971710540024</v>
      </c>
      <c r="C463" s="57" t="s">
        <v>414</v>
      </c>
      <c r="D463" s="75" t="s">
        <v>884</v>
      </c>
      <c r="E463" s="48" t="s">
        <v>415</v>
      </c>
      <c r="F463" s="66">
        <v>7700</v>
      </c>
      <c r="G463" s="66"/>
      <c r="H463" s="66"/>
      <c r="I463" s="50"/>
      <c r="J463" s="50"/>
      <c r="K463" s="53"/>
      <c r="L463" s="66"/>
      <c r="M463" s="66"/>
      <c r="N463" s="66"/>
      <c r="O463" s="50"/>
      <c r="P463" s="50"/>
      <c r="Q463" s="53"/>
      <c r="R463" s="53"/>
      <c r="S463" s="53"/>
      <c r="T463" s="53"/>
      <c r="U463" s="53"/>
      <c r="V463" s="53"/>
      <c r="W463" s="53"/>
    </row>
    <row r="464" spans="1:23" hidden="1">
      <c r="A464" s="47">
        <v>462</v>
      </c>
      <c r="B464" s="56">
        <v>4971710540031</v>
      </c>
      <c r="C464" s="57" t="s">
        <v>416</v>
      </c>
      <c r="D464" s="75" t="s">
        <v>884</v>
      </c>
      <c r="E464" s="48" t="s">
        <v>417</v>
      </c>
      <c r="F464" s="66">
        <v>7700</v>
      </c>
      <c r="G464" s="66"/>
      <c r="H464" s="66"/>
      <c r="I464" s="50"/>
      <c r="J464" s="50"/>
      <c r="K464" s="53"/>
      <c r="L464" s="66"/>
      <c r="M464" s="66"/>
      <c r="N464" s="66"/>
      <c r="O464" s="50"/>
      <c r="P464" s="50"/>
      <c r="Q464" s="53"/>
      <c r="R464" s="53"/>
      <c r="S464" s="53"/>
      <c r="T464" s="53"/>
      <c r="U464" s="53"/>
      <c r="V464" s="53"/>
      <c r="W464" s="53"/>
    </row>
    <row r="465" spans="1:23" hidden="1">
      <c r="A465" s="47">
        <v>463</v>
      </c>
      <c r="B465" s="56">
        <v>4971710540055</v>
      </c>
      <c r="C465" s="57" t="s">
        <v>420</v>
      </c>
      <c r="D465" s="75" t="s">
        <v>884</v>
      </c>
      <c r="E465" s="48" t="s">
        <v>421</v>
      </c>
      <c r="F465" s="66">
        <v>7700</v>
      </c>
      <c r="G465" s="66"/>
      <c r="H465" s="66"/>
      <c r="I465" s="50"/>
      <c r="J465" s="50"/>
      <c r="K465" s="53"/>
      <c r="L465" s="66"/>
      <c r="M465" s="66"/>
      <c r="N465" s="66"/>
      <c r="O465" s="50"/>
      <c r="P465" s="50"/>
      <c r="Q465" s="53"/>
      <c r="R465" s="53"/>
      <c r="S465" s="53"/>
      <c r="T465" s="53"/>
      <c r="U465" s="53"/>
      <c r="V465" s="53"/>
      <c r="W465" s="53"/>
    </row>
    <row r="466" spans="1:23" hidden="1">
      <c r="A466" s="47">
        <v>464</v>
      </c>
      <c r="B466" s="56">
        <v>4971710575903</v>
      </c>
      <c r="C466" s="57" t="s">
        <v>596</v>
      </c>
      <c r="D466" s="75" t="s">
        <v>884</v>
      </c>
      <c r="E466" s="48" t="s">
        <v>597</v>
      </c>
      <c r="F466" s="66"/>
      <c r="G466" s="66"/>
      <c r="H466" s="66">
        <v>4950</v>
      </c>
      <c r="I466" s="50"/>
      <c r="J466" s="50"/>
      <c r="K466" s="53"/>
      <c r="L466" s="66"/>
      <c r="M466" s="66"/>
      <c r="N466" s="66"/>
      <c r="O466" s="50"/>
      <c r="P466" s="50"/>
      <c r="Q466" s="53"/>
      <c r="R466" s="53"/>
      <c r="S466" s="53"/>
      <c r="T466" s="53"/>
      <c r="U466" s="53"/>
      <c r="V466" s="53"/>
      <c r="W466" s="53"/>
    </row>
    <row r="467" spans="1:23" hidden="1">
      <c r="A467" s="47">
        <v>465</v>
      </c>
      <c r="B467" s="56">
        <v>4971710578751</v>
      </c>
      <c r="C467" s="57" t="s">
        <v>636</v>
      </c>
      <c r="D467" s="75" t="s">
        <v>884</v>
      </c>
      <c r="E467" s="48" t="s">
        <v>637</v>
      </c>
      <c r="F467" s="66"/>
      <c r="G467" s="66"/>
      <c r="H467" s="66">
        <v>4950</v>
      </c>
      <c r="I467" s="50"/>
      <c r="J467" s="50"/>
      <c r="K467" s="53"/>
      <c r="L467" s="66"/>
      <c r="M467" s="66"/>
      <c r="N467" s="66"/>
      <c r="O467" s="50"/>
      <c r="P467" s="50"/>
      <c r="Q467" s="53"/>
      <c r="R467" s="53"/>
      <c r="S467" s="53"/>
      <c r="T467" s="53"/>
      <c r="U467" s="53"/>
      <c r="V467" s="53"/>
      <c r="W467" s="53"/>
    </row>
    <row r="468" spans="1:23" hidden="1">
      <c r="A468" s="47">
        <v>466</v>
      </c>
      <c r="B468" s="56">
        <v>4971710474435</v>
      </c>
      <c r="C468" s="57" t="s">
        <v>22</v>
      </c>
      <c r="D468" s="75" t="s">
        <v>884</v>
      </c>
      <c r="E468" s="48" t="s">
        <v>23</v>
      </c>
      <c r="F468" s="66"/>
      <c r="G468" s="66"/>
      <c r="H468" s="66"/>
      <c r="I468" s="50"/>
      <c r="J468" s="50"/>
      <c r="K468" s="53">
        <v>4950</v>
      </c>
      <c r="L468" s="66"/>
      <c r="M468" s="66"/>
      <c r="N468" s="66"/>
      <c r="O468" s="50"/>
      <c r="P468" s="50"/>
      <c r="Q468" s="53"/>
      <c r="R468" s="53"/>
      <c r="S468" s="53"/>
      <c r="T468" s="53"/>
      <c r="U468" s="53"/>
      <c r="V468" s="53"/>
      <c r="W468" s="53"/>
    </row>
    <row r="469" spans="1:23" hidden="1">
      <c r="A469" s="47">
        <v>467</v>
      </c>
      <c r="B469" s="56">
        <v>4971710563436</v>
      </c>
      <c r="C469" s="57" t="s">
        <v>483</v>
      </c>
      <c r="D469" s="75" t="s">
        <v>879</v>
      </c>
      <c r="E469" s="48" t="s">
        <v>484</v>
      </c>
      <c r="F469" s="66"/>
      <c r="G469" s="66"/>
      <c r="H469" s="66">
        <v>3575</v>
      </c>
      <c r="I469" s="50"/>
      <c r="J469" s="50"/>
      <c r="K469" s="53"/>
      <c r="L469" s="66"/>
      <c r="M469" s="66"/>
      <c r="N469" s="66"/>
      <c r="O469" s="50"/>
      <c r="P469" s="50"/>
      <c r="Q469" s="53"/>
      <c r="R469" s="53"/>
      <c r="S469" s="53"/>
      <c r="T469" s="53"/>
      <c r="U469" s="53"/>
      <c r="V469" s="53"/>
      <c r="W469" s="53"/>
    </row>
    <row r="470" spans="1:23" hidden="1">
      <c r="A470" s="47">
        <v>468</v>
      </c>
      <c r="B470" s="56">
        <v>4971710571769</v>
      </c>
      <c r="C470" s="57" t="s">
        <v>549</v>
      </c>
      <c r="D470" s="75" t="s">
        <v>884</v>
      </c>
      <c r="E470" s="48" t="s">
        <v>550</v>
      </c>
      <c r="F470" s="66"/>
      <c r="G470" s="66"/>
      <c r="H470" s="66"/>
      <c r="I470" s="50"/>
      <c r="J470" s="50">
        <v>1980</v>
      </c>
      <c r="K470" s="53"/>
      <c r="L470" s="66"/>
      <c r="M470" s="66"/>
      <c r="N470" s="66"/>
      <c r="O470" s="50"/>
      <c r="P470" s="50"/>
      <c r="Q470" s="53"/>
      <c r="R470" s="53"/>
      <c r="S470" s="53"/>
      <c r="T470" s="53"/>
      <c r="U470" s="53"/>
      <c r="V470" s="53"/>
      <c r="W470" s="53"/>
    </row>
    <row r="471" spans="1:23" hidden="1">
      <c r="A471" s="47">
        <v>469</v>
      </c>
      <c r="B471" s="56">
        <v>4971710495379</v>
      </c>
      <c r="C471" s="57" t="s">
        <v>158</v>
      </c>
      <c r="D471" s="75" t="s">
        <v>884</v>
      </c>
      <c r="E471" s="48" t="s">
        <v>159</v>
      </c>
      <c r="F471" s="66"/>
      <c r="G471" s="66"/>
      <c r="H471" s="66"/>
      <c r="I471" s="50"/>
      <c r="J471" s="50">
        <v>1760</v>
      </c>
      <c r="K471" s="53"/>
      <c r="L471" s="66"/>
      <c r="M471" s="66"/>
      <c r="N471" s="66"/>
      <c r="O471" s="50"/>
      <c r="P471" s="50"/>
      <c r="Q471" s="53"/>
      <c r="R471" s="53"/>
      <c r="S471" s="53"/>
      <c r="T471" s="53"/>
      <c r="U471" s="53"/>
      <c r="V471" s="53"/>
      <c r="W471" s="53"/>
    </row>
    <row r="472" spans="1:23" hidden="1">
      <c r="A472" s="47">
        <v>470</v>
      </c>
      <c r="B472" s="56">
        <v>4971710550962</v>
      </c>
      <c r="C472" s="57" t="s">
        <v>440</v>
      </c>
      <c r="D472" s="75" t="s">
        <v>884</v>
      </c>
      <c r="E472" s="48" t="s">
        <v>441</v>
      </c>
      <c r="F472" s="66"/>
      <c r="G472" s="66"/>
      <c r="H472" s="66"/>
      <c r="I472" s="50"/>
      <c r="J472" s="50"/>
      <c r="K472" s="53">
        <v>1320</v>
      </c>
      <c r="L472" s="66"/>
      <c r="M472" s="66"/>
      <c r="N472" s="66"/>
      <c r="O472" s="50"/>
      <c r="P472" s="50"/>
      <c r="Q472" s="53"/>
      <c r="R472" s="53"/>
      <c r="S472" s="53"/>
      <c r="T472" s="53"/>
      <c r="U472" s="53"/>
      <c r="V472" s="53"/>
      <c r="W472" s="53"/>
    </row>
    <row r="473" spans="1:23" hidden="1">
      <c r="A473" s="47">
        <v>471</v>
      </c>
      <c r="B473" s="56">
        <v>4971710487640</v>
      </c>
      <c r="C473" s="57" t="s">
        <v>46</v>
      </c>
      <c r="D473" s="75" t="s">
        <v>884</v>
      </c>
      <c r="E473" s="48" t="s">
        <v>47</v>
      </c>
      <c r="F473" s="66"/>
      <c r="G473" s="66"/>
      <c r="H473" s="66"/>
      <c r="I473" s="50"/>
      <c r="J473" s="50"/>
      <c r="K473" s="53">
        <v>1650</v>
      </c>
      <c r="L473" s="66"/>
      <c r="M473" s="66"/>
      <c r="N473" s="66"/>
      <c r="O473" s="50"/>
      <c r="P473" s="50"/>
      <c r="Q473" s="53"/>
      <c r="R473" s="53"/>
      <c r="S473" s="53"/>
      <c r="T473" s="53"/>
      <c r="U473" s="53"/>
      <c r="V473" s="53"/>
      <c r="W473" s="53"/>
    </row>
    <row r="474" spans="1:23" hidden="1">
      <c r="A474" s="47">
        <v>472</v>
      </c>
      <c r="B474" s="56">
        <v>4971710550955</v>
      </c>
      <c r="C474" s="57" t="s">
        <v>438</v>
      </c>
      <c r="D474" s="75" t="s">
        <v>884</v>
      </c>
      <c r="E474" s="48" t="s">
        <v>439</v>
      </c>
      <c r="F474" s="66"/>
      <c r="G474" s="66"/>
      <c r="H474" s="66"/>
      <c r="I474" s="50"/>
      <c r="J474" s="50">
        <v>660</v>
      </c>
      <c r="K474" s="53"/>
      <c r="L474" s="66"/>
      <c r="M474" s="66"/>
      <c r="N474" s="66"/>
      <c r="O474" s="50"/>
      <c r="P474" s="50"/>
      <c r="Q474" s="53"/>
      <c r="R474" s="53"/>
      <c r="S474" s="53"/>
      <c r="T474" s="53"/>
      <c r="U474" s="53"/>
      <c r="V474" s="53"/>
      <c r="W474" s="53"/>
    </row>
    <row r="475" spans="1:23" hidden="1">
      <c r="A475" s="47">
        <v>473</v>
      </c>
      <c r="B475" s="56">
        <v>4971710493559</v>
      </c>
      <c r="C475" s="57" t="s">
        <v>110</v>
      </c>
      <c r="D475" s="75" t="s">
        <v>884</v>
      </c>
      <c r="E475" s="48" t="s">
        <v>111</v>
      </c>
      <c r="F475" s="66"/>
      <c r="G475" s="66"/>
      <c r="H475" s="66"/>
      <c r="I475" s="50"/>
      <c r="J475" s="50">
        <v>550</v>
      </c>
      <c r="K475" s="53"/>
      <c r="L475" s="66"/>
      <c r="M475" s="66"/>
      <c r="N475" s="66"/>
      <c r="O475" s="50"/>
      <c r="P475" s="50"/>
      <c r="Q475" s="53"/>
      <c r="R475" s="53"/>
      <c r="S475" s="53"/>
      <c r="T475" s="53"/>
      <c r="U475" s="53"/>
      <c r="V475" s="53"/>
      <c r="W475" s="53"/>
    </row>
    <row r="476" spans="1:23" hidden="1">
      <c r="A476" s="47">
        <v>474</v>
      </c>
      <c r="B476" s="56">
        <v>4971710471946</v>
      </c>
      <c r="C476" s="57" t="s">
        <v>16</v>
      </c>
      <c r="D476" s="75" t="s">
        <v>884</v>
      </c>
      <c r="E476" s="48" t="s">
        <v>17</v>
      </c>
      <c r="F476" s="66"/>
      <c r="G476" s="66"/>
      <c r="H476" s="66"/>
      <c r="I476" s="50"/>
      <c r="J476" s="50"/>
      <c r="K476" s="53"/>
      <c r="L476" s="66"/>
      <c r="M476" s="66"/>
      <c r="N476" s="66"/>
      <c r="O476" s="50"/>
      <c r="P476" s="50"/>
      <c r="Q476" s="53"/>
      <c r="R476" s="53"/>
      <c r="S476" s="53"/>
      <c r="T476" s="53"/>
      <c r="U476" s="53"/>
      <c r="V476" s="53"/>
      <c r="W476" s="53"/>
    </row>
    <row r="477" spans="1:23" hidden="1">
      <c r="A477" s="47">
        <v>475</v>
      </c>
      <c r="B477" s="56">
        <v>4971710472127</v>
      </c>
      <c r="C477" s="57" t="s">
        <v>1090</v>
      </c>
      <c r="D477" s="75" t="s">
        <v>884</v>
      </c>
      <c r="E477" s="48" t="s">
        <v>773</v>
      </c>
      <c r="F477" s="66"/>
      <c r="G477" s="66"/>
      <c r="H477" s="66"/>
      <c r="I477" s="50"/>
      <c r="J477" s="50"/>
      <c r="K477" s="53"/>
      <c r="L477" s="66"/>
      <c r="M477" s="66"/>
      <c r="N477" s="66"/>
      <c r="O477" s="50"/>
      <c r="P477" s="50"/>
      <c r="Q477" s="53"/>
      <c r="R477" s="53"/>
      <c r="S477" s="53"/>
      <c r="T477" s="53"/>
      <c r="U477" s="53"/>
      <c r="V477" s="53"/>
      <c r="W477" s="53"/>
    </row>
    <row r="478" spans="1:23" hidden="1">
      <c r="A478" s="47">
        <v>476</v>
      </c>
      <c r="B478" s="56">
        <v>4971710472134</v>
      </c>
      <c r="C478" s="57" t="s">
        <v>1091</v>
      </c>
      <c r="D478" s="75" t="s">
        <v>884</v>
      </c>
      <c r="E478" s="48" t="s">
        <v>773</v>
      </c>
      <c r="F478" s="66"/>
      <c r="G478" s="66"/>
      <c r="H478" s="66"/>
      <c r="I478" s="50"/>
      <c r="J478" s="50"/>
      <c r="K478" s="53"/>
      <c r="L478" s="66"/>
      <c r="M478" s="66"/>
      <c r="N478" s="66"/>
      <c r="O478" s="50"/>
      <c r="P478" s="50"/>
      <c r="Q478" s="53"/>
      <c r="R478" s="53"/>
      <c r="S478" s="53"/>
      <c r="T478" s="53"/>
      <c r="U478" s="53"/>
      <c r="V478" s="53"/>
      <c r="W478" s="53"/>
    </row>
    <row r="479" spans="1:23" hidden="1">
      <c r="A479" s="47">
        <v>477</v>
      </c>
      <c r="B479" s="56">
        <v>4971710472141</v>
      </c>
      <c r="C479" s="57" t="s">
        <v>1092</v>
      </c>
      <c r="D479" s="75" t="s">
        <v>884</v>
      </c>
      <c r="E479" s="48" t="s">
        <v>773</v>
      </c>
      <c r="F479" s="66"/>
      <c r="G479" s="66"/>
      <c r="H479" s="66"/>
      <c r="I479" s="50"/>
      <c r="J479" s="50"/>
      <c r="K479" s="53"/>
      <c r="L479" s="66"/>
      <c r="M479" s="66"/>
      <c r="N479" s="66"/>
      <c r="O479" s="50"/>
      <c r="P479" s="50"/>
      <c r="Q479" s="53"/>
      <c r="R479" s="53"/>
      <c r="S479" s="53"/>
      <c r="T479" s="53"/>
      <c r="U479" s="53"/>
      <c r="V479" s="53"/>
      <c r="W479" s="53"/>
    </row>
    <row r="480" spans="1:23" hidden="1">
      <c r="A480" s="47">
        <v>478</v>
      </c>
      <c r="B480" s="56">
        <v>4971710472158</v>
      </c>
      <c r="C480" s="57" t="s">
        <v>1093</v>
      </c>
      <c r="D480" s="75" t="s">
        <v>884</v>
      </c>
      <c r="E480" s="48" t="s">
        <v>773</v>
      </c>
      <c r="F480" s="66"/>
      <c r="G480" s="66"/>
      <c r="H480" s="66"/>
      <c r="I480" s="50"/>
      <c r="J480" s="50"/>
      <c r="K480" s="53"/>
      <c r="L480" s="66"/>
      <c r="M480" s="66"/>
      <c r="N480" s="66"/>
      <c r="O480" s="50"/>
      <c r="P480" s="50"/>
      <c r="Q480" s="53"/>
      <c r="R480" s="53"/>
      <c r="S480" s="53"/>
      <c r="T480" s="53"/>
      <c r="U480" s="53"/>
      <c r="V480" s="53"/>
      <c r="W480" s="53"/>
    </row>
    <row r="481" spans="1:23" hidden="1">
      <c r="A481" s="47">
        <v>479</v>
      </c>
      <c r="B481" s="56">
        <v>4971710479539</v>
      </c>
      <c r="C481" s="57" t="s">
        <v>24</v>
      </c>
      <c r="D481" s="75" t="s">
        <v>884</v>
      </c>
      <c r="E481" s="48" t="s">
        <v>25</v>
      </c>
      <c r="F481" s="66"/>
      <c r="G481" s="66"/>
      <c r="H481" s="66"/>
      <c r="I481" s="50"/>
      <c r="J481" s="50"/>
      <c r="K481" s="53"/>
      <c r="L481" s="66"/>
      <c r="M481" s="66"/>
      <c r="N481" s="66"/>
      <c r="O481" s="50"/>
      <c r="P481" s="50"/>
      <c r="Q481" s="53"/>
      <c r="R481" s="53"/>
      <c r="S481" s="53"/>
      <c r="T481" s="53"/>
      <c r="U481" s="53"/>
      <c r="V481" s="53"/>
      <c r="W481" s="53"/>
    </row>
    <row r="482" spans="1:23" hidden="1">
      <c r="A482" s="47">
        <v>480</v>
      </c>
      <c r="B482" s="56">
        <v>4971710479546</v>
      </c>
      <c r="C482" s="57" t="s">
        <v>26</v>
      </c>
      <c r="D482" s="75" t="s">
        <v>884</v>
      </c>
      <c r="E482" s="48" t="s">
        <v>27</v>
      </c>
      <c r="F482" s="66"/>
      <c r="G482" s="66"/>
      <c r="H482" s="66"/>
      <c r="I482" s="50"/>
      <c r="J482" s="50"/>
      <c r="K482" s="53"/>
      <c r="L482" s="66"/>
      <c r="M482" s="66"/>
      <c r="N482" s="66"/>
      <c r="O482" s="50"/>
      <c r="P482" s="50"/>
      <c r="Q482" s="53"/>
      <c r="R482" s="53"/>
      <c r="S482" s="53"/>
      <c r="T482" s="53"/>
      <c r="U482" s="53"/>
      <c r="V482" s="53"/>
      <c r="W482" s="53"/>
    </row>
    <row r="483" spans="1:23" hidden="1">
      <c r="A483" s="47">
        <v>481</v>
      </c>
      <c r="B483" s="56">
        <v>4971710479553</v>
      </c>
      <c r="C483" s="57" t="s">
        <v>28</v>
      </c>
      <c r="D483" s="75" t="s">
        <v>884</v>
      </c>
      <c r="E483" s="48" t="s">
        <v>29</v>
      </c>
      <c r="F483" s="66"/>
      <c r="G483" s="66"/>
      <c r="H483" s="66"/>
      <c r="I483" s="50"/>
      <c r="J483" s="50"/>
      <c r="K483" s="53"/>
      <c r="L483" s="66"/>
      <c r="M483" s="66"/>
      <c r="N483" s="66"/>
      <c r="O483" s="50"/>
      <c r="P483" s="50"/>
      <c r="Q483" s="53"/>
      <c r="R483" s="53"/>
      <c r="S483" s="53"/>
      <c r="T483" s="53"/>
      <c r="U483" s="53"/>
      <c r="V483" s="53"/>
      <c r="W483" s="53"/>
    </row>
    <row r="484" spans="1:23" hidden="1">
      <c r="A484" s="47">
        <v>482</v>
      </c>
      <c r="B484" s="56">
        <v>4971710487695</v>
      </c>
      <c r="C484" s="57" t="s">
        <v>52</v>
      </c>
      <c r="D484" s="75" t="s">
        <v>884</v>
      </c>
      <c r="E484" s="48" t="s">
        <v>53</v>
      </c>
      <c r="F484" s="66"/>
      <c r="G484" s="66"/>
      <c r="H484" s="66"/>
      <c r="I484" s="50"/>
      <c r="J484" s="50"/>
      <c r="K484" s="53"/>
      <c r="L484" s="66"/>
      <c r="M484" s="66"/>
      <c r="N484" s="66"/>
      <c r="O484" s="50"/>
      <c r="P484" s="50"/>
      <c r="Q484" s="53"/>
      <c r="R484" s="53"/>
      <c r="S484" s="53"/>
      <c r="T484" s="53"/>
      <c r="U484" s="53"/>
      <c r="V484" s="53"/>
      <c r="W484" s="53"/>
    </row>
    <row r="485" spans="1:23" hidden="1">
      <c r="A485" s="47">
        <v>483</v>
      </c>
      <c r="B485" s="56">
        <v>4971710487756</v>
      </c>
      <c r="C485" s="57" t="s">
        <v>62</v>
      </c>
      <c r="D485" s="75" t="s">
        <v>884</v>
      </c>
      <c r="E485" s="48" t="s">
        <v>63</v>
      </c>
      <c r="F485" s="66"/>
      <c r="G485" s="66"/>
      <c r="H485" s="66"/>
      <c r="I485" s="50"/>
      <c r="J485" s="50"/>
      <c r="K485" s="53"/>
      <c r="L485" s="66"/>
      <c r="M485" s="66"/>
      <c r="N485" s="66"/>
      <c r="O485" s="50"/>
      <c r="P485" s="50"/>
      <c r="Q485" s="53"/>
      <c r="R485" s="53"/>
      <c r="S485" s="53"/>
      <c r="T485" s="53"/>
      <c r="U485" s="53"/>
      <c r="V485" s="53"/>
      <c r="W485" s="53"/>
    </row>
    <row r="486" spans="1:23" hidden="1">
      <c r="A486" s="47">
        <v>484</v>
      </c>
      <c r="B486" s="56">
        <v>4971710487770</v>
      </c>
      <c r="C486" s="57" t="s">
        <v>64</v>
      </c>
      <c r="D486" s="75" t="s">
        <v>884</v>
      </c>
      <c r="E486" s="48" t="s">
        <v>65</v>
      </c>
      <c r="F486" s="66"/>
      <c r="G486" s="66"/>
      <c r="H486" s="66"/>
      <c r="I486" s="50"/>
      <c r="J486" s="50"/>
      <c r="K486" s="53"/>
      <c r="L486" s="66"/>
      <c r="M486" s="66"/>
      <c r="N486" s="66"/>
      <c r="O486" s="50"/>
      <c r="P486" s="50"/>
      <c r="Q486" s="53"/>
      <c r="R486" s="53"/>
      <c r="S486" s="53"/>
      <c r="T486" s="53"/>
      <c r="U486" s="53"/>
      <c r="V486" s="53"/>
      <c r="W486" s="53"/>
    </row>
    <row r="487" spans="1:23" hidden="1">
      <c r="A487" s="47">
        <v>485</v>
      </c>
      <c r="B487" s="56">
        <v>4971710487787</v>
      </c>
      <c r="C487" s="57" t="s">
        <v>66</v>
      </c>
      <c r="D487" s="75" t="s">
        <v>884</v>
      </c>
      <c r="E487" s="48" t="s">
        <v>67</v>
      </c>
      <c r="F487" s="66"/>
      <c r="G487" s="66"/>
      <c r="H487" s="66"/>
      <c r="I487" s="50"/>
      <c r="J487" s="50"/>
      <c r="K487" s="53"/>
      <c r="L487" s="66"/>
      <c r="M487" s="66"/>
      <c r="N487" s="66"/>
      <c r="O487" s="50"/>
      <c r="P487" s="50"/>
      <c r="Q487" s="53"/>
      <c r="R487" s="53"/>
      <c r="S487" s="53"/>
      <c r="T487" s="53"/>
      <c r="U487" s="53"/>
      <c r="V487" s="53"/>
      <c r="W487" s="53"/>
    </row>
    <row r="488" spans="1:23" hidden="1">
      <c r="A488" s="47">
        <v>486</v>
      </c>
      <c r="B488" s="56">
        <v>4971710487800</v>
      </c>
      <c r="C488" s="57" t="s">
        <v>70</v>
      </c>
      <c r="D488" s="75" t="s">
        <v>884</v>
      </c>
      <c r="E488" s="48" t="s">
        <v>71</v>
      </c>
      <c r="F488" s="66"/>
      <c r="G488" s="66"/>
      <c r="H488" s="66"/>
      <c r="I488" s="50"/>
      <c r="J488" s="50"/>
      <c r="K488" s="53"/>
      <c r="L488" s="66"/>
      <c r="M488" s="66"/>
      <c r="N488" s="66"/>
      <c r="O488" s="50"/>
      <c r="P488" s="50"/>
      <c r="Q488" s="53"/>
      <c r="R488" s="53"/>
      <c r="S488" s="53"/>
      <c r="T488" s="53"/>
      <c r="U488" s="53"/>
      <c r="V488" s="53"/>
      <c r="W488" s="53"/>
    </row>
    <row r="489" spans="1:23" hidden="1">
      <c r="A489" s="47">
        <v>487</v>
      </c>
      <c r="B489" s="56">
        <v>4971710487817</v>
      </c>
      <c r="C489" s="57" t="s">
        <v>72</v>
      </c>
      <c r="D489" s="75" t="s">
        <v>884</v>
      </c>
      <c r="E489" s="48" t="s">
        <v>73</v>
      </c>
      <c r="F489" s="66"/>
      <c r="G489" s="66"/>
      <c r="H489" s="66"/>
      <c r="I489" s="50"/>
      <c r="J489" s="50"/>
      <c r="K489" s="53"/>
      <c r="L489" s="66"/>
      <c r="M489" s="66"/>
      <c r="N489" s="66"/>
      <c r="O489" s="50"/>
      <c r="P489" s="50"/>
      <c r="Q489" s="53"/>
      <c r="R489" s="53"/>
      <c r="S489" s="53"/>
      <c r="T489" s="53"/>
      <c r="U489" s="53"/>
      <c r="V489" s="53"/>
      <c r="W489" s="53"/>
    </row>
    <row r="490" spans="1:23" hidden="1">
      <c r="A490" s="47">
        <v>488</v>
      </c>
      <c r="B490" s="56">
        <v>4971710487824</v>
      </c>
      <c r="C490" s="57" t="s">
        <v>74</v>
      </c>
      <c r="D490" s="75" t="s">
        <v>884</v>
      </c>
      <c r="E490" s="48" t="s">
        <v>75</v>
      </c>
      <c r="F490" s="66"/>
      <c r="G490" s="66"/>
      <c r="H490" s="66"/>
      <c r="I490" s="50"/>
      <c r="J490" s="50"/>
      <c r="K490" s="53"/>
      <c r="L490" s="66"/>
      <c r="M490" s="66"/>
      <c r="N490" s="66"/>
      <c r="O490" s="50"/>
      <c r="P490" s="50"/>
      <c r="Q490" s="53"/>
      <c r="R490" s="53"/>
      <c r="S490" s="53"/>
      <c r="T490" s="53"/>
      <c r="U490" s="53"/>
      <c r="V490" s="53"/>
      <c r="W490" s="53"/>
    </row>
    <row r="491" spans="1:23" hidden="1">
      <c r="A491" s="47">
        <v>489</v>
      </c>
      <c r="B491" s="56">
        <v>4971710487848</v>
      </c>
      <c r="C491" s="57" t="s">
        <v>76</v>
      </c>
      <c r="D491" s="75" t="s">
        <v>884</v>
      </c>
      <c r="E491" s="48" t="s">
        <v>77</v>
      </c>
      <c r="F491" s="66"/>
      <c r="G491" s="66"/>
      <c r="H491" s="66"/>
      <c r="I491" s="50"/>
      <c r="J491" s="50"/>
      <c r="K491" s="53"/>
      <c r="L491" s="66"/>
      <c r="M491" s="66"/>
      <c r="N491" s="66"/>
      <c r="O491" s="50"/>
      <c r="P491" s="50"/>
      <c r="Q491" s="53"/>
      <c r="R491" s="53"/>
      <c r="S491" s="53"/>
      <c r="T491" s="53"/>
      <c r="U491" s="53"/>
      <c r="V491" s="53"/>
      <c r="W491" s="53"/>
    </row>
    <row r="492" spans="1:23" hidden="1">
      <c r="A492" s="47">
        <v>490</v>
      </c>
      <c r="B492" s="56">
        <v>4971710487862</v>
      </c>
      <c r="C492" s="57" t="s">
        <v>80</v>
      </c>
      <c r="D492" s="75" t="s">
        <v>884</v>
      </c>
      <c r="E492" s="48" t="s">
        <v>81</v>
      </c>
      <c r="F492" s="66"/>
      <c r="G492" s="66"/>
      <c r="H492" s="66"/>
      <c r="I492" s="50"/>
      <c r="J492" s="50"/>
      <c r="K492" s="53"/>
      <c r="L492" s="66"/>
      <c r="M492" s="66"/>
      <c r="N492" s="66"/>
      <c r="O492" s="50"/>
      <c r="P492" s="50"/>
      <c r="Q492" s="53"/>
      <c r="R492" s="53"/>
      <c r="S492" s="53"/>
      <c r="T492" s="53"/>
      <c r="U492" s="53"/>
      <c r="V492" s="53"/>
      <c r="W492" s="53"/>
    </row>
    <row r="493" spans="1:23" hidden="1">
      <c r="A493" s="47">
        <v>491</v>
      </c>
      <c r="B493" s="56">
        <v>4971710488081</v>
      </c>
      <c r="C493" s="57" t="s">
        <v>82</v>
      </c>
      <c r="D493" s="75" t="s">
        <v>884</v>
      </c>
      <c r="E493" s="48" t="s">
        <v>83</v>
      </c>
      <c r="F493" s="66"/>
      <c r="G493" s="66"/>
      <c r="H493" s="66"/>
      <c r="I493" s="50"/>
      <c r="J493" s="50"/>
      <c r="K493" s="53"/>
      <c r="L493" s="66"/>
      <c r="M493" s="66"/>
      <c r="N493" s="66"/>
      <c r="O493" s="50"/>
      <c r="P493" s="50"/>
      <c r="Q493" s="53"/>
      <c r="R493" s="53"/>
      <c r="S493" s="53"/>
      <c r="T493" s="53"/>
      <c r="U493" s="53"/>
      <c r="V493" s="53"/>
      <c r="W493" s="53"/>
    </row>
    <row r="494" spans="1:23" hidden="1">
      <c r="A494" s="47">
        <v>492</v>
      </c>
      <c r="B494" s="56">
        <v>4971710491135</v>
      </c>
      <c r="C494" s="57" t="s">
        <v>96</v>
      </c>
      <c r="D494" s="75" t="s">
        <v>884</v>
      </c>
      <c r="E494" s="48" t="s">
        <v>97</v>
      </c>
      <c r="F494" s="66"/>
      <c r="G494" s="66"/>
      <c r="H494" s="66"/>
      <c r="I494" s="50"/>
      <c r="J494" s="50"/>
      <c r="K494" s="53"/>
      <c r="L494" s="66"/>
      <c r="M494" s="66"/>
      <c r="N494" s="66"/>
      <c r="O494" s="50"/>
      <c r="P494" s="50"/>
      <c r="Q494" s="53"/>
      <c r="R494" s="53"/>
      <c r="S494" s="53"/>
      <c r="T494" s="53"/>
      <c r="U494" s="53"/>
      <c r="V494" s="53"/>
      <c r="W494" s="53"/>
    </row>
    <row r="495" spans="1:23" hidden="1">
      <c r="A495" s="47">
        <v>493</v>
      </c>
      <c r="B495" s="56">
        <v>4971710491142</v>
      </c>
      <c r="C495" s="57" t="s">
        <v>98</v>
      </c>
      <c r="D495" s="75" t="s">
        <v>884</v>
      </c>
      <c r="E495" s="48" t="s">
        <v>99</v>
      </c>
      <c r="F495" s="66"/>
      <c r="G495" s="66"/>
      <c r="H495" s="66"/>
      <c r="I495" s="50"/>
      <c r="J495" s="50"/>
      <c r="K495" s="53"/>
      <c r="L495" s="66"/>
      <c r="M495" s="66"/>
      <c r="N495" s="66"/>
      <c r="O495" s="50"/>
      <c r="P495" s="50"/>
      <c r="Q495" s="53"/>
      <c r="R495" s="53"/>
      <c r="S495" s="53"/>
      <c r="T495" s="53"/>
      <c r="U495" s="53"/>
      <c r="V495" s="53"/>
      <c r="W495" s="53"/>
    </row>
    <row r="496" spans="1:23" hidden="1">
      <c r="A496" s="47">
        <v>494</v>
      </c>
      <c r="B496" s="56">
        <v>4971710491159</v>
      </c>
      <c r="C496" s="57" t="s">
        <v>100</v>
      </c>
      <c r="D496" s="75" t="s">
        <v>884</v>
      </c>
      <c r="E496" s="48" t="s">
        <v>101</v>
      </c>
      <c r="F496" s="66"/>
      <c r="G496" s="66"/>
      <c r="H496" s="66"/>
      <c r="I496" s="50"/>
      <c r="J496" s="50"/>
      <c r="K496" s="53"/>
      <c r="L496" s="66"/>
      <c r="M496" s="66"/>
      <c r="N496" s="66"/>
      <c r="O496" s="50"/>
      <c r="P496" s="50"/>
      <c r="Q496" s="53"/>
      <c r="R496" s="53"/>
      <c r="S496" s="53"/>
      <c r="T496" s="53"/>
      <c r="U496" s="53"/>
      <c r="V496" s="53"/>
      <c r="W496" s="53"/>
    </row>
    <row r="497" spans="1:23" hidden="1">
      <c r="A497" s="47">
        <v>495</v>
      </c>
      <c r="B497" s="56">
        <v>4971710491166</v>
      </c>
      <c r="C497" s="57" t="s">
        <v>102</v>
      </c>
      <c r="D497" s="75" t="s">
        <v>884</v>
      </c>
      <c r="E497" s="48" t="s">
        <v>103</v>
      </c>
      <c r="F497" s="66"/>
      <c r="G497" s="66"/>
      <c r="H497" s="66"/>
      <c r="I497" s="50"/>
      <c r="J497" s="50"/>
      <c r="K497" s="53"/>
      <c r="L497" s="66"/>
      <c r="M497" s="66"/>
      <c r="N497" s="66"/>
      <c r="O497" s="50"/>
      <c r="P497" s="50"/>
      <c r="Q497" s="53"/>
      <c r="R497" s="53"/>
      <c r="S497" s="53"/>
      <c r="T497" s="53"/>
      <c r="U497" s="53"/>
      <c r="V497" s="53"/>
      <c r="W497" s="53"/>
    </row>
    <row r="498" spans="1:23" hidden="1">
      <c r="A498" s="47">
        <v>496</v>
      </c>
      <c r="B498" s="56">
        <v>4971710491173</v>
      </c>
      <c r="C498" s="57" t="s">
        <v>104</v>
      </c>
      <c r="D498" s="75" t="s">
        <v>884</v>
      </c>
      <c r="E498" s="48" t="s">
        <v>105</v>
      </c>
      <c r="F498" s="66"/>
      <c r="G498" s="66"/>
      <c r="H498" s="66"/>
      <c r="I498" s="50"/>
      <c r="J498" s="50"/>
      <c r="K498" s="53"/>
      <c r="L498" s="66"/>
      <c r="M498" s="66"/>
      <c r="N498" s="66"/>
      <c r="O498" s="50"/>
      <c r="P498" s="50"/>
      <c r="Q498" s="53"/>
      <c r="R498" s="53"/>
      <c r="S498" s="53"/>
      <c r="T498" s="53"/>
      <c r="U498" s="53"/>
      <c r="V498" s="53"/>
      <c r="W498" s="53"/>
    </row>
    <row r="499" spans="1:23" hidden="1">
      <c r="A499" s="47">
        <v>497</v>
      </c>
      <c r="B499" s="56">
        <v>4971710491609</v>
      </c>
      <c r="C499" s="57" t="s">
        <v>106</v>
      </c>
      <c r="D499" s="75" t="s">
        <v>884</v>
      </c>
      <c r="E499" s="48" t="s">
        <v>107</v>
      </c>
      <c r="F499" s="66"/>
      <c r="G499" s="66"/>
      <c r="H499" s="66"/>
      <c r="I499" s="50"/>
      <c r="J499" s="50"/>
      <c r="K499" s="53"/>
      <c r="L499" s="66"/>
      <c r="M499" s="66"/>
      <c r="N499" s="66"/>
      <c r="O499" s="50"/>
      <c r="P499" s="50"/>
      <c r="Q499" s="53"/>
      <c r="R499" s="53"/>
      <c r="S499" s="53"/>
      <c r="T499" s="53"/>
      <c r="U499" s="53"/>
      <c r="V499" s="53"/>
      <c r="W499" s="53"/>
    </row>
    <row r="500" spans="1:23" hidden="1">
      <c r="A500" s="47">
        <v>498</v>
      </c>
      <c r="B500" s="56">
        <v>4971710494969</v>
      </c>
      <c r="C500" s="57" t="s">
        <v>142</v>
      </c>
      <c r="D500" s="75" t="s">
        <v>884</v>
      </c>
      <c r="E500" s="48" t="s">
        <v>143</v>
      </c>
      <c r="F500" s="66"/>
      <c r="G500" s="66"/>
      <c r="H500" s="66"/>
      <c r="I500" s="50"/>
      <c r="J500" s="50"/>
      <c r="K500" s="53"/>
      <c r="L500" s="66"/>
      <c r="M500" s="66"/>
      <c r="N500" s="66"/>
      <c r="O500" s="50"/>
      <c r="P500" s="50"/>
      <c r="Q500" s="53"/>
      <c r="R500" s="53"/>
      <c r="S500" s="53"/>
      <c r="T500" s="53"/>
      <c r="U500" s="53"/>
      <c r="V500" s="53"/>
      <c r="W500" s="53"/>
    </row>
    <row r="501" spans="1:23" hidden="1">
      <c r="A501" s="47">
        <v>499</v>
      </c>
      <c r="B501" s="56">
        <v>4971710494976</v>
      </c>
      <c r="C501" s="57" t="s">
        <v>144</v>
      </c>
      <c r="D501" s="75" t="s">
        <v>884</v>
      </c>
      <c r="E501" s="48" t="s">
        <v>145</v>
      </c>
      <c r="F501" s="66"/>
      <c r="G501" s="66"/>
      <c r="H501" s="66"/>
      <c r="I501" s="50"/>
      <c r="J501" s="50"/>
      <c r="K501" s="53"/>
      <c r="L501" s="66"/>
      <c r="M501" s="66"/>
      <c r="N501" s="66"/>
      <c r="O501" s="50"/>
      <c r="P501" s="50"/>
      <c r="Q501" s="53"/>
      <c r="R501" s="53"/>
      <c r="S501" s="53"/>
      <c r="T501" s="53"/>
      <c r="U501" s="53"/>
      <c r="V501" s="53"/>
      <c r="W501" s="53"/>
    </row>
    <row r="502" spans="1:23" hidden="1">
      <c r="A502" s="47">
        <v>500</v>
      </c>
      <c r="B502" s="56">
        <v>4971710507706</v>
      </c>
      <c r="C502" s="57" t="s">
        <v>188</v>
      </c>
      <c r="D502" s="75" t="s">
        <v>884</v>
      </c>
      <c r="E502" s="48" t="s">
        <v>189</v>
      </c>
      <c r="F502" s="66"/>
      <c r="G502" s="66"/>
      <c r="H502" s="66"/>
      <c r="I502" s="50"/>
      <c r="J502" s="50"/>
      <c r="K502" s="53"/>
      <c r="L502" s="66"/>
      <c r="M502" s="66"/>
      <c r="N502" s="66"/>
      <c r="O502" s="50"/>
      <c r="P502" s="50"/>
      <c r="Q502" s="53"/>
      <c r="R502" s="53"/>
      <c r="S502" s="53"/>
      <c r="T502" s="53"/>
      <c r="U502" s="53"/>
      <c r="V502" s="53"/>
      <c r="W502" s="53"/>
    </row>
    <row r="503" spans="1:23" hidden="1">
      <c r="A503" s="47">
        <v>501</v>
      </c>
      <c r="B503" s="56">
        <v>4971710507713</v>
      </c>
      <c r="C503" s="57" t="s">
        <v>190</v>
      </c>
      <c r="D503" s="75" t="s">
        <v>884</v>
      </c>
      <c r="E503" s="48" t="s">
        <v>191</v>
      </c>
      <c r="F503" s="66"/>
      <c r="G503" s="66"/>
      <c r="H503" s="66"/>
      <c r="I503" s="50"/>
      <c r="J503" s="50"/>
      <c r="K503" s="53"/>
      <c r="L503" s="66"/>
      <c r="M503" s="66"/>
      <c r="N503" s="66"/>
      <c r="O503" s="50"/>
      <c r="P503" s="50"/>
      <c r="Q503" s="53"/>
      <c r="R503" s="53"/>
      <c r="S503" s="53"/>
      <c r="T503" s="53"/>
      <c r="U503" s="53"/>
      <c r="V503" s="53"/>
      <c r="W503" s="53"/>
    </row>
    <row r="504" spans="1:23" hidden="1">
      <c r="A504" s="47">
        <v>502</v>
      </c>
      <c r="B504" s="56">
        <v>4971710507720</v>
      </c>
      <c r="C504" s="57" t="s">
        <v>192</v>
      </c>
      <c r="D504" s="75" t="s">
        <v>884</v>
      </c>
      <c r="E504" s="48" t="s">
        <v>193</v>
      </c>
      <c r="F504" s="66"/>
      <c r="G504" s="66"/>
      <c r="H504" s="66"/>
      <c r="I504" s="50"/>
      <c r="J504" s="50"/>
      <c r="K504" s="53"/>
      <c r="L504" s="66"/>
      <c r="M504" s="66"/>
      <c r="N504" s="66"/>
      <c r="O504" s="50"/>
      <c r="P504" s="50"/>
      <c r="Q504" s="53"/>
      <c r="R504" s="53"/>
      <c r="S504" s="53"/>
      <c r="T504" s="53"/>
      <c r="U504" s="53"/>
      <c r="V504" s="53"/>
      <c r="W504" s="53"/>
    </row>
    <row r="505" spans="1:23" hidden="1">
      <c r="A505" s="47">
        <v>503</v>
      </c>
      <c r="B505" s="56">
        <v>4971710507737</v>
      </c>
      <c r="C505" s="57" t="s">
        <v>194</v>
      </c>
      <c r="D505" s="75" t="s">
        <v>884</v>
      </c>
      <c r="E505" s="48" t="s">
        <v>195</v>
      </c>
      <c r="F505" s="66"/>
      <c r="G505" s="66"/>
      <c r="H505" s="66"/>
      <c r="I505" s="50"/>
      <c r="J505" s="50"/>
      <c r="K505" s="53"/>
      <c r="L505" s="66"/>
      <c r="M505" s="66"/>
      <c r="N505" s="66"/>
      <c r="O505" s="50"/>
      <c r="P505" s="50"/>
      <c r="Q505" s="53"/>
      <c r="R505" s="53"/>
      <c r="S505" s="53"/>
      <c r="T505" s="53"/>
      <c r="U505" s="53"/>
      <c r="V505" s="53"/>
      <c r="W505" s="53"/>
    </row>
    <row r="506" spans="1:23" hidden="1">
      <c r="A506" s="47">
        <v>504</v>
      </c>
      <c r="B506" s="56">
        <v>4971710507744</v>
      </c>
      <c r="C506" s="57" t="s">
        <v>196</v>
      </c>
      <c r="D506" s="75" t="s">
        <v>884</v>
      </c>
      <c r="E506" s="48" t="s">
        <v>197</v>
      </c>
      <c r="F506" s="66"/>
      <c r="G506" s="66"/>
      <c r="H506" s="66"/>
      <c r="I506" s="50"/>
      <c r="J506" s="50"/>
      <c r="K506" s="53"/>
      <c r="L506" s="66"/>
      <c r="M506" s="66"/>
      <c r="N506" s="66"/>
      <c r="O506" s="50"/>
      <c r="P506" s="50"/>
      <c r="Q506" s="53"/>
      <c r="R506" s="53"/>
      <c r="S506" s="53"/>
      <c r="T506" s="53"/>
      <c r="U506" s="53"/>
      <c r="V506" s="53"/>
      <c r="W506" s="53"/>
    </row>
    <row r="507" spans="1:23" hidden="1">
      <c r="A507" s="47">
        <v>505</v>
      </c>
      <c r="B507" s="56">
        <v>4971710510225</v>
      </c>
      <c r="C507" s="57" t="s">
        <v>208</v>
      </c>
      <c r="D507" s="75" t="s">
        <v>884</v>
      </c>
      <c r="E507" s="48" t="s">
        <v>209</v>
      </c>
      <c r="F507" s="66"/>
      <c r="G507" s="66"/>
      <c r="H507" s="66"/>
      <c r="I507" s="50"/>
      <c r="J507" s="50"/>
      <c r="K507" s="53"/>
      <c r="L507" s="66"/>
      <c r="M507" s="66"/>
      <c r="N507" s="66"/>
      <c r="O507" s="50"/>
      <c r="P507" s="50"/>
      <c r="Q507" s="53"/>
      <c r="R507" s="53"/>
      <c r="S507" s="53"/>
      <c r="T507" s="53"/>
      <c r="U507" s="53"/>
      <c r="V507" s="53"/>
      <c r="W507" s="53"/>
    </row>
    <row r="508" spans="1:23" hidden="1">
      <c r="A508" s="47">
        <v>506</v>
      </c>
      <c r="B508" s="56">
        <v>4971710510232</v>
      </c>
      <c r="C508" s="57" t="s">
        <v>210</v>
      </c>
      <c r="D508" s="75" t="s">
        <v>884</v>
      </c>
      <c r="E508" s="48" t="s">
        <v>211</v>
      </c>
      <c r="F508" s="66"/>
      <c r="G508" s="66"/>
      <c r="H508" s="66"/>
      <c r="I508" s="50"/>
      <c r="J508" s="50"/>
      <c r="K508" s="53"/>
      <c r="L508" s="66"/>
      <c r="M508" s="66"/>
      <c r="N508" s="66"/>
      <c r="O508" s="50"/>
      <c r="P508" s="50"/>
      <c r="Q508" s="53"/>
      <c r="R508" s="53"/>
      <c r="S508" s="53"/>
      <c r="T508" s="53"/>
      <c r="U508" s="53"/>
      <c r="V508" s="53"/>
      <c r="W508" s="53"/>
    </row>
    <row r="509" spans="1:23" hidden="1">
      <c r="A509" s="47">
        <v>507</v>
      </c>
      <c r="B509" s="56">
        <v>4971710511802</v>
      </c>
      <c r="C509" s="57" t="s">
        <v>216</v>
      </c>
      <c r="D509" s="75" t="s">
        <v>884</v>
      </c>
      <c r="E509" s="48" t="s">
        <v>217</v>
      </c>
      <c r="F509" s="66"/>
      <c r="G509" s="66"/>
      <c r="H509" s="66"/>
      <c r="I509" s="50"/>
      <c r="J509" s="50"/>
      <c r="K509" s="53"/>
      <c r="L509" s="66"/>
      <c r="M509" s="66"/>
      <c r="N509" s="66"/>
      <c r="O509" s="50"/>
      <c r="P509" s="50"/>
      <c r="Q509" s="53"/>
      <c r="R509" s="53"/>
      <c r="S509" s="53"/>
      <c r="T509" s="53"/>
      <c r="U509" s="53"/>
      <c r="V509" s="53"/>
      <c r="W509" s="53"/>
    </row>
    <row r="510" spans="1:23" hidden="1">
      <c r="A510" s="47">
        <v>508</v>
      </c>
      <c r="B510" s="56">
        <v>4971710511819</v>
      </c>
      <c r="C510" s="57" t="s">
        <v>218</v>
      </c>
      <c r="D510" s="75" t="s">
        <v>884</v>
      </c>
      <c r="E510" s="48" t="s">
        <v>219</v>
      </c>
      <c r="F510" s="66"/>
      <c r="G510" s="66"/>
      <c r="H510" s="66"/>
      <c r="I510" s="50"/>
      <c r="J510" s="50"/>
      <c r="K510" s="53"/>
      <c r="L510" s="66"/>
      <c r="M510" s="66"/>
      <c r="N510" s="66"/>
      <c r="O510" s="50"/>
      <c r="P510" s="50"/>
      <c r="Q510" s="53"/>
      <c r="R510" s="53"/>
      <c r="S510" s="53"/>
      <c r="T510" s="53"/>
      <c r="U510" s="53"/>
      <c r="V510" s="53"/>
      <c r="W510" s="53"/>
    </row>
    <row r="511" spans="1:23" hidden="1">
      <c r="A511" s="47">
        <v>509</v>
      </c>
      <c r="B511" s="56">
        <v>4971710511826</v>
      </c>
      <c r="C511" s="57" t="s">
        <v>220</v>
      </c>
      <c r="D511" s="75" t="s">
        <v>884</v>
      </c>
      <c r="E511" s="48" t="s">
        <v>221</v>
      </c>
      <c r="F511" s="66"/>
      <c r="G511" s="66"/>
      <c r="H511" s="66"/>
      <c r="I511" s="50"/>
      <c r="J511" s="50"/>
      <c r="K511" s="53"/>
      <c r="L511" s="66"/>
      <c r="M511" s="66"/>
      <c r="N511" s="66"/>
      <c r="O511" s="50"/>
      <c r="P511" s="50"/>
      <c r="Q511" s="53"/>
      <c r="R511" s="53"/>
      <c r="S511" s="53"/>
      <c r="T511" s="53"/>
      <c r="U511" s="53"/>
      <c r="V511" s="53"/>
      <c r="W511" s="53"/>
    </row>
    <row r="512" spans="1:23" hidden="1">
      <c r="A512" s="47">
        <v>510</v>
      </c>
      <c r="B512" s="56">
        <v>4971710511888</v>
      </c>
      <c r="C512" s="57" t="s">
        <v>228</v>
      </c>
      <c r="D512" s="75" t="s">
        <v>884</v>
      </c>
      <c r="E512" s="48" t="s">
        <v>229</v>
      </c>
      <c r="F512" s="66"/>
      <c r="G512" s="66"/>
      <c r="H512" s="66"/>
      <c r="I512" s="50"/>
      <c r="J512" s="50"/>
      <c r="K512" s="53"/>
      <c r="L512" s="66"/>
      <c r="M512" s="66"/>
      <c r="N512" s="66"/>
      <c r="O512" s="50"/>
      <c r="P512" s="50"/>
      <c r="Q512" s="53"/>
      <c r="R512" s="53"/>
      <c r="S512" s="53"/>
      <c r="T512" s="53"/>
      <c r="U512" s="53"/>
      <c r="V512" s="53"/>
      <c r="W512" s="53"/>
    </row>
    <row r="513" spans="1:23" hidden="1">
      <c r="A513" s="47">
        <v>511</v>
      </c>
      <c r="B513" s="56">
        <v>4971710511901</v>
      </c>
      <c r="C513" s="57" t="s">
        <v>232</v>
      </c>
      <c r="D513" s="75" t="s">
        <v>884</v>
      </c>
      <c r="E513" s="48" t="s">
        <v>233</v>
      </c>
      <c r="F513" s="66"/>
      <c r="G513" s="66"/>
      <c r="H513" s="66"/>
      <c r="I513" s="50"/>
      <c r="J513" s="50"/>
      <c r="K513" s="53"/>
      <c r="L513" s="66"/>
      <c r="M513" s="66"/>
      <c r="N513" s="66"/>
      <c r="O513" s="50"/>
      <c r="P513" s="50"/>
      <c r="Q513" s="53"/>
      <c r="R513" s="53"/>
      <c r="S513" s="53"/>
      <c r="T513" s="53"/>
      <c r="U513" s="53"/>
      <c r="V513" s="53"/>
      <c r="W513" s="53"/>
    </row>
    <row r="514" spans="1:23" hidden="1">
      <c r="A514" s="47">
        <v>512</v>
      </c>
      <c r="B514" s="56">
        <v>4971710511925</v>
      </c>
      <c r="C514" s="57" t="s">
        <v>236</v>
      </c>
      <c r="D514" s="75" t="s">
        <v>884</v>
      </c>
      <c r="E514" s="48" t="s">
        <v>237</v>
      </c>
      <c r="F514" s="66"/>
      <c r="G514" s="66"/>
      <c r="H514" s="66"/>
      <c r="I514" s="50"/>
      <c r="J514" s="50"/>
      <c r="K514" s="53"/>
      <c r="L514" s="66"/>
      <c r="M514" s="66"/>
      <c r="N514" s="66"/>
      <c r="O514" s="50"/>
      <c r="P514" s="50"/>
      <c r="Q514" s="53"/>
      <c r="R514" s="53"/>
      <c r="S514" s="53"/>
      <c r="T514" s="53"/>
      <c r="U514" s="53"/>
      <c r="V514" s="53"/>
      <c r="W514" s="53"/>
    </row>
    <row r="515" spans="1:23" hidden="1">
      <c r="A515" s="47">
        <v>513</v>
      </c>
      <c r="B515" s="56">
        <v>4971710511949</v>
      </c>
      <c r="C515" s="57" t="s">
        <v>240</v>
      </c>
      <c r="D515" s="75" t="s">
        <v>884</v>
      </c>
      <c r="E515" s="48" t="s">
        <v>241</v>
      </c>
      <c r="F515" s="66"/>
      <c r="G515" s="66"/>
      <c r="H515" s="66"/>
      <c r="I515" s="50"/>
      <c r="J515" s="50"/>
      <c r="K515" s="53"/>
      <c r="L515" s="66"/>
      <c r="M515" s="66"/>
      <c r="N515" s="66"/>
      <c r="O515" s="50"/>
      <c r="P515" s="50"/>
      <c r="Q515" s="53"/>
      <c r="R515" s="53"/>
      <c r="S515" s="53"/>
      <c r="T515" s="53"/>
      <c r="U515" s="53"/>
      <c r="V515" s="53"/>
      <c r="W515" s="53"/>
    </row>
    <row r="516" spans="1:23" hidden="1">
      <c r="A516" s="47">
        <v>514</v>
      </c>
      <c r="B516" s="56">
        <v>4971710514681</v>
      </c>
      <c r="C516" s="57" t="s">
        <v>308</v>
      </c>
      <c r="D516" s="75" t="s">
        <v>884</v>
      </c>
      <c r="E516" s="48" t="s">
        <v>309</v>
      </c>
      <c r="F516" s="66"/>
      <c r="G516" s="66"/>
      <c r="H516" s="66"/>
      <c r="I516" s="50"/>
      <c r="J516" s="50"/>
      <c r="K516" s="53"/>
      <c r="L516" s="66"/>
      <c r="M516" s="66"/>
      <c r="N516" s="66"/>
      <c r="O516" s="50"/>
      <c r="P516" s="50"/>
      <c r="Q516" s="53"/>
      <c r="R516" s="53"/>
      <c r="S516" s="53"/>
      <c r="T516" s="53"/>
      <c r="U516" s="53"/>
      <c r="V516" s="53"/>
      <c r="W516" s="53"/>
    </row>
    <row r="517" spans="1:23" hidden="1">
      <c r="A517" s="47">
        <v>515</v>
      </c>
      <c r="B517" s="56">
        <v>4971710519143</v>
      </c>
      <c r="C517" s="57" t="s">
        <v>340</v>
      </c>
      <c r="D517" s="75" t="s">
        <v>884</v>
      </c>
      <c r="E517" s="48" t="s">
        <v>341</v>
      </c>
      <c r="F517" s="66"/>
      <c r="G517" s="66"/>
      <c r="H517" s="66"/>
      <c r="I517" s="50"/>
      <c r="J517" s="50"/>
      <c r="K517" s="53"/>
      <c r="L517" s="66"/>
      <c r="M517" s="66"/>
      <c r="N517" s="66"/>
      <c r="O517" s="50"/>
      <c r="P517" s="50"/>
      <c r="Q517" s="53"/>
      <c r="R517" s="53"/>
      <c r="S517" s="53"/>
      <c r="T517" s="53"/>
      <c r="U517" s="53"/>
      <c r="V517" s="53"/>
      <c r="W517" s="53"/>
    </row>
    <row r="518" spans="1:23" hidden="1">
      <c r="A518" s="47">
        <v>516</v>
      </c>
      <c r="B518" s="56">
        <v>4971710522457</v>
      </c>
      <c r="C518" s="57" t="s">
        <v>386</v>
      </c>
      <c r="D518" s="75" t="s">
        <v>884</v>
      </c>
      <c r="E518" s="48" t="s">
        <v>387</v>
      </c>
      <c r="F518" s="66"/>
      <c r="G518" s="66"/>
      <c r="H518" s="66"/>
      <c r="I518" s="50"/>
      <c r="J518" s="50"/>
      <c r="K518" s="53"/>
      <c r="L518" s="66"/>
      <c r="M518" s="66"/>
      <c r="N518" s="66"/>
      <c r="O518" s="50"/>
      <c r="P518" s="50"/>
      <c r="Q518" s="53"/>
      <c r="R518" s="53"/>
      <c r="S518" s="53"/>
      <c r="T518" s="53"/>
      <c r="U518" s="53"/>
      <c r="V518" s="53"/>
      <c r="W518" s="53"/>
    </row>
    <row r="519" spans="1:23" hidden="1">
      <c r="A519" s="47">
        <v>517</v>
      </c>
      <c r="B519" s="56">
        <v>4971710524871</v>
      </c>
      <c r="C519" s="57" t="s">
        <v>404</v>
      </c>
      <c r="D519" s="75" t="s">
        <v>884</v>
      </c>
      <c r="E519" s="48" t="s">
        <v>405</v>
      </c>
      <c r="F519" s="66"/>
      <c r="G519" s="66"/>
      <c r="H519" s="66"/>
      <c r="I519" s="50"/>
      <c r="J519" s="50"/>
      <c r="K519" s="53"/>
      <c r="L519" s="66"/>
      <c r="M519" s="66"/>
      <c r="N519" s="66"/>
      <c r="O519" s="50"/>
      <c r="P519" s="50"/>
      <c r="Q519" s="53"/>
      <c r="R519" s="53"/>
      <c r="S519" s="53"/>
      <c r="T519" s="53"/>
      <c r="U519" s="53"/>
      <c r="V519" s="53"/>
      <c r="W519" s="53"/>
    </row>
    <row r="520" spans="1:23" hidden="1">
      <c r="A520" s="47">
        <v>518</v>
      </c>
      <c r="B520" s="56">
        <v>4971710524888</v>
      </c>
      <c r="C520" s="57" t="s">
        <v>406</v>
      </c>
      <c r="D520" s="75" t="s">
        <v>884</v>
      </c>
      <c r="E520" s="48" t="s">
        <v>407</v>
      </c>
      <c r="F520" s="66"/>
      <c r="G520" s="66"/>
      <c r="H520" s="66"/>
      <c r="I520" s="50"/>
      <c r="J520" s="50"/>
      <c r="K520" s="53"/>
      <c r="L520" s="66"/>
      <c r="M520" s="66"/>
      <c r="N520" s="66"/>
      <c r="O520" s="50"/>
      <c r="P520" s="50"/>
      <c r="Q520" s="53"/>
      <c r="R520" s="53"/>
      <c r="S520" s="53"/>
      <c r="T520" s="53"/>
      <c r="U520" s="53"/>
      <c r="V520" s="53"/>
      <c r="W520" s="53"/>
    </row>
    <row r="521" spans="1:23" hidden="1">
      <c r="A521" s="47">
        <v>519</v>
      </c>
      <c r="B521" s="56">
        <v>4971710561319</v>
      </c>
      <c r="C521" s="57" t="s">
        <v>475</v>
      </c>
      <c r="D521" s="75" t="s">
        <v>884</v>
      </c>
      <c r="E521" s="48" t="s">
        <v>476</v>
      </c>
      <c r="F521" s="66"/>
      <c r="G521" s="66"/>
      <c r="H521" s="66"/>
      <c r="I521" s="50"/>
      <c r="J521" s="50"/>
      <c r="K521" s="53"/>
      <c r="L521" s="66"/>
      <c r="M521" s="66"/>
      <c r="N521" s="66"/>
      <c r="O521" s="50"/>
      <c r="P521" s="50"/>
      <c r="Q521" s="53"/>
      <c r="R521" s="53"/>
      <c r="S521" s="53"/>
      <c r="T521" s="53"/>
      <c r="U521" s="53"/>
      <c r="V521" s="53"/>
      <c r="W521" s="53"/>
    </row>
    <row r="522" spans="1:23" hidden="1">
      <c r="A522" s="47">
        <v>520</v>
      </c>
      <c r="B522" s="56">
        <v>4971710564792</v>
      </c>
      <c r="C522" s="57" t="s">
        <v>493</v>
      </c>
      <c r="D522" s="75" t="s">
        <v>884</v>
      </c>
      <c r="E522" s="48" t="s">
        <v>494</v>
      </c>
      <c r="F522" s="66"/>
      <c r="G522" s="66"/>
      <c r="H522" s="66"/>
      <c r="I522" s="50"/>
      <c r="J522" s="50"/>
      <c r="K522" s="53"/>
      <c r="L522" s="66"/>
      <c r="M522" s="66"/>
      <c r="N522" s="66"/>
      <c r="O522" s="50"/>
      <c r="P522" s="50"/>
      <c r="Q522" s="53"/>
      <c r="R522" s="53"/>
      <c r="S522" s="53"/>
      <c r="T522" s="53"/>
      <c r="U522" s="53"/>
      <c r="V522" s="53"/>
      <c r="W522" s="53"/>
    </row>
    <row r="523" spans="1:23" hidden="1">
      <c r="A523" s="47">
        <v>521</v>
      </c>
      <c r="B523" s="56">
        <v>4971710568653</v>
      </c>
      <c r="C523" s="57" t="s">
        <v>527</v>
      </c>
      <c r="D523" s="75" t="s">
        <v>884</v>
      </c>
      <c r="E523" s="48" t="s">
        <v>528</v>
      </c>
      <c r="F523" s="66"/>
      <c r="G523" s="66"/>
      <c r="H523" s="66"/>
      <c r="I523" s="50"/>
      <c r="J523" s="50"/>
      <c r="K523" s="53"/>
      <c r="L523" s="66"/>
      <c r="M523" s="66"/>
      <c r="N523" s="66"/>
      <c r="O523" s="50"/>
      <c r="P523" s="50"/>
      <c r="Q523" s="53"/>
      <c r="R523" s="53"/>
      <c r="S523" s="53"/>
      <c r="T523" s="53"/>
      <c r="U523" s="53"/>
      <c r="V523" s="53"/>
      <c r="W523" s="53"/>
    </row>
    <row r="524" spans="1:23" hidden="1">
      <c r="A524" s="47">
        <v>522</v>
      </c>
      <c r="B524" s="56">
        <v>4971710570717</v>
      </c>
      <c r="C524" s="57" t="s">
        <v>545</v>
      </c>
      <c r="D524" s="75" t="s">
        <v>884</v>
      </c>
      <c r="E524" s="48" t="s">
        <v>546</v>
      </c>
      <c r="F524" s="66"/>
      <c r="G524" s="66"/>
      <c r="H524" s="66"/>
      <c r="I524" s="50"/>
      <c r="J524" s="50"/>
      <c r="K524" s="53"/>
      <c r="L524" s="66"/>
      <c r="M524" s="66"/>
      <c r="N524" s="66"/>
      <c r="O524" s="50"/>
      <c r="P524" s="50"/>
      <c r="Q524" s="53"/>
      <c r="R524" s="53"/>
      <c r="S524" s="53"/>
      <c r="T524" s="53"/>
      <c r="U524" s="53"/>
      <c r="V524" s="53"/>
      <c r="W524" s="53"/>
    </row>
    <row r="525" spans="1:23" hidden="1">
      <c r="A525" s="47">
        <v>523</v>
      </c>
      <c r="B525" s="56">
        <v>4971710570724</v>
      </c>
      <c r="C525" s="57" t="s">
        <v>547</v>
      </c>
      <c r="D525" s="75" t="s">
        <v>884</v>
      </c>
      <c r="E525" s="48" t="s">
        <v>548</v>
      </c>
      <c r="F525" s="66"/>
      <c r="G525" s="66"/>
      <c r="H525" s="66"/>
      <c r="I525" s="50"/>
      <c r="J525" s="50"/>
      <c r="K525" s="53"/>
      <c r="L525" s="66"/>
      <c r="M525" s="66"/>
      <c r="N525" s="66"/>
      <c r="O525" s="50"/>
      <c r="P525" s="50"/>
      <c r="Q525" s="53"/>
      <c r="R525" s="53"/>
      <c r="S525" s="53"/>
      <c r="T525" s="53"/>
      <c r="U525" s="53"/>
      <c r="V525" s="53"/>
      <c r="W525" s="53"/>
    </row>
    <row r="526" spans="1:23" hidden="1">
      <c r="A526" s="47">
        <v>524</v>
      </c>
      <c r="B526" s="56">
        <v>4971710573954</v>
      </c>
      <c r="C526" s="57" t="s">
        <v>577</v>
      </c>
      <c r="D526" s="75" t="s">
        <v>884</v>
      </c>
      <c r="E526" s="48" t="s">
        <v>578</v>
      </c>
      <c r="F526" s="66"/>
      <c r="G526" s="66"/>
      <c r="H526" s="66"/>
      <c r="I526" s="50"/>
      <c r="J526" s="50"/>
      <c r="K526" s="53"/>
      <c r="L526" s="66"/>
      <c r="M526" s="66"/>
      <c r="N526" s="66"/>
      <c r="O526" s="50"/>
      <c r="P526" s="50"/>
      <c r="Q526" s="53"/>
      <c r="R526" s="53"/>
      <c r="S526" s="53"/>
      <c r="T526" s="53"/>
      <c r="U526" s="53"/>
      <c r="V526" s="53"/>
      <c r="W526" s="53"/>
    </row>
    <row r="527" spans="1:23" hidden="1">
      <c r="A527" s="47">
        <v>525</v>
      </c>
      <c r="B527" s="56">
        <v>4971710573961</v>
      </c>
      <c r="C527" s="57" t="s">
        <v>579</v>
      </c>
      <c r="D527" s="75" t="s">
        <v>884</v>
      </c>
      <c r="E527" s="48" t="s">
        <v>580</v>
      </c>
      <c r="F527" s="66"/>
      <c r="G527" s="66"/>
      <c r="H527" s="66"/>
      <c r="I527" s="50"/>
      <c r="J527" s="50"/>
      <c r="K527" s="53"/>
      <c r="L527" s="66"/>
      <c r="M527" s="66"/>
      <c r="N527" s="66"/>
      <c r="O527" s="50"/>
      <c r="P527" s="50"/>
      <c r="Q527" s="53"/>
      <c r="R527" s="53"/>
      <c r="S527" s="53"/>
      <c r="T527" s="53"/>
      <c r="U527" s="53"/>
      <c r="V527" s="53"/>
      <c r="W527" s="53"/>
    </row>
    <row r="528" spans="1:23" hidden="1">
      <c r="A528" s="47">
        <v>526</v>
      </c>
      <c r="B528" s="56">
        <v>4971710577358</v>
      </c>
      <c r="C528" s="57" t="s">
        <v>620</v>
      </c>
      <c r="D528" s="75" t="s">
        <v>884</v>
      </c>
      <c r="E528" s="48" t="s">
        <v>621</v>
      </c>
      <c r="F528" s="66"/>
      <c r="G528" s="66"/>
      <c r="H528" s="66"/>
      <c r="I528" s="50"/>
      <c r="J528" s="50"/>
      <c r="K528" s="53"/>
      <c r="L528" s="66"/>
      <c r="M528" s="66"/>
      <c r="N528" s="66"/>
      <c r="O528" s="50"/>
      <c r="P528" s="50"/>
      <c r="Q528" s="53"/>
      <c r="R528" s="53"/>
      <c r="S528" s="53"/>
      <c r="T528" s="53"/>
      <c r="U528" s="53"/>
      <c r="V528" s="53"/>
      <c r="W528" s="53"/>
    </row>
    <row r="529" spans="1:23" hidden="1">
      <c r="A529" s="47">
        <v>527</v>
      </c>
      <c r="B529" s="56">
        <v>4971710487794</v>
      </c>
      <c r="C529" s="57" t="s">
        <v>68</v>
      </c>
      <c r="D529" s="75" t="s">
        <v>884</v>
      </c>
      <c r="E529" s="48" t="s">
        <v>69</v>
      </c>
      <c r="F529" s="66"/>
      <c r="G529" s="66"/>
      <c r="H529" s="66">
        <v>0</v>
      </c>
      <c r="I529" s="50"/>
      <c r="J529" s="50"/>
      <c r="K529" s="53"/>
      <c r="L529" s="66"/>
      <c r="M529" s="66"/>
      <c r="N529" s="66"/>
      <c r="O529" s="50"/>
      <c r="P529" s="50"/>
      <c r="Q529" s="53"/>
      <c r="R529" s="53"/>
      <c r="S529" s="53"/>
      <c r="T529" s="53"/>
      <c r="U529" s="53"/>
      <c r="V529" s="53"/>
      <c r="W529" s="53"/>
    </row>
    <row r="530" spans="1:23" hidden="1">
      <c r="A530" s="47">
        <v>528</v>
      </c>
      <c r="B530" s="56">
        <v>4971710491647</v>
      </c>
      <c r="C530" s="57" t="s">
        <v>108</v>
      </c>
      <c r="D530" s="75" t="s">
        <v>884</v>
      </c>
      <c r="E530" s="48" t="s">
        <v>109</v>
      </c>
      <c r="F530" s="66"/>
      <c r="G530" s="66"/>
      <c r="H530" s="66">
        <v>0</v>
      </c>
      <c r="I530" s="50"/>
      <c r="J530" s="50"/>
      <c r="K530" s="53"/>
      <c r="L530" s="66"/>
      <c r="M530" s="66"/>
      <c r="N530" s="66"/>
      <c r="O530" s="50"/>
      <c r="P530" s="50"/>
      <c r="Q530" s="53"/>
      <c r="R530" s="53"/>
      <c r="S530" s="53"/>
      <c r="T530" s="53"/>
      <c r="U530" s="53"/>
      <c r="V530" s="53"/>
      <c r="W530" s="53"/>
    </row>
    <row r="531" spans="1:23" hidden="1">
      <c r="A531" s="47">
        <v>529</v>
      </c>
      <c r="B531" s="56">
        <v>4971710511864</v>
      </c>
      <c r="C531" s="57" t="s">
        <v>224</v>
      </c>
      <c r="D531" s="75" t="s">
        <v>884</v>
      </c>
      <c r="E531" s="48" t="s">
        <v>225</v>
      </c>
      <c r="F531" s="66"/>
      <c r="G531" s="66"/>
      <c r="H531" s="66">
        <v>0</v>
      </c>
      <c r="I531" s="50"/>
      <c r="J531" s="50"/>
      <c r="K531" s="53"/>
      <c r="L531" s="66"/>
      <c r="M531" s="66"/>
      <c r="N531" s="66"/>
      <c r="O531" s="50"/>
      <c r="P531" s="50"/>
      <c r="Q531" s="53"/>
      <c r="R531" s="53"/>
      <c r="S531" s="53"/>
      <c r="T531" s="53"/>
      <c r="U531" s="53"/>
      <c r="V531" s="53"/>
      <c r="W531" s="53"/>
    </row>
    <row r="532" spans="1:23" hidden="1">
      <c r="A532" s="47">
        <v>530</v>
      </c>
      <c r="B532" s="56">
        <v>4971710573220</v>
      </c>
      <c r="C532" s="57" t="s">
        <v>569</v>
      </c>
      <c r="D532" s="75" t="s">
        <v>879</v>
      </c>
      <c r="E532" s="48" t="s">
        <v>570</v>
      </c>
      <c r="F532" s="66"/>
      <c r="G532" s="66"/>
      <c r="H532" s="66"/>
      <c r="I532" s="50"/>
      <c r="J532" s="50"/>
      <c r="K532" s="53"/>
      <c r="L532" s="66"/>
      <c r="M532" s="66"/>
      <c r="N532" s="66"/>
      <c r="O532" s="50"/>
      <c r="P532" s="50"/>
      <c r="Q532" s="53"/>
      <c r="R532" s="53"/>
      <c r="S532" s="53"/>
      <c r="T532" s="53"/>
      <c r="U532" s="53"/>
      <c r="V532" s="53"/>
      <c r="W532" s="53"/>
    </row>
    <row r="533" spans="1:23" hidden="1">
      <c r="A533" s="47">
        <v>531</v>
      </c>
      <c r="B533" s="56"/>
      <c r="C533" s="57"/>
      <c r="D533" s="75"/>
      <c r="E533" s="48"/>
      <c r="F533" s="66"/>
      <c r="G533" s="66"/>
      <c r="H533" s="66"/>
      <c r="I533" s="50"/>
      <c r="J533" s="50"/>
      <c r="K533" s="53"/>
      <c r="L533" s="66"/>
      <c r="M533" s="66"/>
      <c r="N533" s="66"/>
      <c r="O533" s="50"/>
      <c r="P533" s="50"/>
      <c r="Q533" s="53"/>
      <c r="R533" s="53"/>
      <c r="S533" s="53"/>
      <c r="T533" s="53"/>
      <c r="U533" s="53"/>
      <c r="V533" s="53"/>
      <c r="W533" s="53"/>
    </row>
    <row r="534" spans="1:23" hidden="1">
      <c r="A534" s="47">
        <v>532</v>
      </c>
      <c r="B534" s="56"/>
      <c r="C534" s="57"/>
      <c r="D534" s="75"/>
      <c r="E534" s="48"/>
      <c r="F534" s="66"/>
      <c r="G534" s="66"/>
      <c r="H534" s="66"/>
      <c r="I534" s="50"/>
      <c r="J534" s="50"/>
      <c r="K534" s="53"/>
      <c r="L534" s="66"/>
      <c r="M534" s="66"/>
      <c r="N534" s="66"/>
      <c r="O534" s="50"/>
      <c r="P534" s="50"/>
      <c r="Q534" s="53"/>
      <c r="R534" s="53"/>
      <c r="S534" s="53"/>
      <c r="T534" s="53"/>
      <c r="U534" s="53"/>
      <c r="V534" s="53"/>
      <c r="W534" s="53"/>
    </row>
    <row r="535" spans="1:23" hidden="1">
      <c r="A535" s="47">
        <v>533</v>
      </c>
      <c r="B535" s="56"/>
      <c r="C535" s="57"/>
      <c r="D535" s="75"/>
      <c r="E535" s="48"/>
      <c r="F535" s="66"/>
      <c r="G535" s="66"/>
      <c r="H535" s="66"/>
      <c r="I535" s="50"/>
      <c r="J535" s="50"/>
      <c r="K535" s="53"/>
      <c r="L535" s="66"/>
      <c r="M535" s="66"/>
      <c r="N535" s="66"/>
      <c r="O535" s="50"/>
      <c r="P535" s="50"/>
      <c r="Q535" s="53"/>
      <c r="R535" s="53"/>
      <c r="S535" s="53"/>
      <c r="T535" s="53"/>
      <c r="U535" s="53"/>
      <c r="V535" s="53"/>
      <c r="W535" s="53"/>
    </row>
    <row r="536" spans="1:23" hidden="1">
      <c r="A536" s="47">
        <v>534</v>
      </c>
      <c r="B536" s="56"/>
      <c r="C536" s="57"/>
      <c r="D536" s="75"/>
      <c r="E536" s="48"/>
      <c r="F536" s="66"/>
      <c r="G536" s="66"/>
      <c r="H536" s="66"/>
      <c r="I536" s="50"/>
      <c r="J536" s="50"/>
      <c r="K536" s="53"/>
      <c r="L536" s="66"/>
      <c r="M536" s="66"/>
      <c r="N536" s="66"/>
      <c r="O536" s="50"/>
      <c r="P536" s="50"/>
      <c r="Q536" s="53"/>
      <c r="R536" s="53"/>
      <c r="S536" s="53"/>
      <c r="T536" s="53"/>
      <c r="U536" s="53"/>
      <c r="V536" s="53"/>
      <c r="W536" s="53"/>
    </row>
    <row r="537" spans="1:23" hidden="1">
      <c r="A537" s="47">
        <v>535</v>
      </c>
      <c r="B537" s="56"/>
      <c r="C537" s="57"/>
      <c r="D537" s="75"/>
      <c r="E537" s="48"/>
      <c r="F537" s="66"/>
      <c r="G537" s="66"/>
      <c r="H537" s="66"/>
      <c r="I537" s="50"/>
      <c r="J537" s="50"/>
      <c r="K537" s="53"/>
      <c r="L537" s="66"/>
      <c r="M537" s="66"/>
      <c r="N537" s="66"/>
      <c r="O537" s="50"/>
      <c r="P537" s="50"/>
      <c r="Q537" s="53"/>
      <c r="R537" s="53"/>
      <c r="S537" s="53"/>
      <c r="T537" s="53"/>
      <c r="U537" s="53"/>
      <c r="V537" s="53"/>
      <c r="W537" s="53"/>
    </row>
    <row r="538" spans="1:23" hidden="1">
      <c r="A538" s="47">
        <v>536</v>
      </c>
      <c r="B538" s="56"/>
      <c r="C538" s="57"/>
      <c r="D538" s="75"/>
      <c r="E538" s="48"/>
      <c r="F538" s="66"/>
      <c r="G538" s="66"/>
      <c r="H538" s="66"/>
      <c r="I538" s="50"/>
      <c r="J538" s="50"/>
      <c r="K538" s="53"/>
      <c r="L538" s="66"/>
      <c r="M538" s="66"/>
      <c r="N538" s="66"/>
      <c r="O538" s="50"/>
      <c r="P538" s="50"/>
      <c r="Q538" s="53"/>
      <c r="R538" s="53"/>
      <c r="S538" s="53"/>
      <c r="T538" s="53"/>
      <c r="U538" s="53"/>
      <c r="V538" s="53"/>
      <c r="W538" s="53"/>
    </row>
    <row r="539" spans="1:23" hidden="1">
      <c r="A539" s="47">
        <v>537</v>
      </c>
      <c r="B539" s="56"/>
      <c r="C539" s="57"/>
      <c r="D539" s="75"/>
      <c r="E539" s="48"/>
      <c r="F539" s="66"/>
      <c r="G539" s="66"/>
      <c r="H539" s="66"/>
      <c r="I539" s="50"/>
      <c r="J539" s="50"/>
      <c r="K539" s="53"/>
      <c r="L539" s="66"/>
      <c r="M539" s="66"/>
      <c r="N539" s="66"/>
      <c r="O539" s="50"/>
      <c r="P539" s="50"/>
      <c r="Q539" s="53"/>
      <c r="R539" s="53"/>
      <c r="S539" s="53"/>
      <c r="T539" s="53"/>
      <c r="U539" s="53"/>
      <c r="V539" s="53"/>
      <c r="W539" s="53"/>
    </row>
    <row r="540" spans="1:23" hidden="1">
      <c r="A540" s="47">
        <v>538</v>
      </c>
      <c r="B540" s="56"/>
      <c r="C540" s="57"/>
      <c r="D540" s="75"/>
      <c r="E540" s="48"/>
      <c r="F540" s="66"/>
      <c r="G540" s="66"/>
      <c r="H540" s="66"/>
      <c r="I540" s="50"/>
      <c r="J540" s="50"/>
      <c r="K540" s="53"/>
      <c r="L540" s="66"/>
      <c r="M540" s="66"/>
      <c r="N540" s="66"/>
      <c r="O540" s="50"/>
      <c r="P540" s="50"/>
      <c r="Q540" s="53"/>
      <c r="R540" s="53"/>
      <c r="S540" s="53"/>
      <c r="T540" s="53"/>
      <c r="U540" s="53"/>
      <c r="V540" s="53"/>
      <c r="W540" s="53"/>
    </row>
    <row r="541" spans="1:23" hidden="1">
      <c r="A541" s="47">
        <v>539</v>
      </c>
      <c r="B541" s="56"/>
      <c r="C541" s="57"/>
      <c r="D541" s="75"/>
      <c r="E541" s="48"/>
      <c r="F541" s="66"/>
      <c r="G541" s="66"/>
      <c r="H541" s="66"/>
      <c r="I541" s="50"/>
      <c r="J541" s="50"/>
      <c r="K541" s="53"/>
      <c r="L541" s="66"/>
      <c r="M541" s="66"/>
      <c r="N541" s="66"/>
      <c r="O541" s="50"/>
      <c r="P541" s="50"/>
      <c r="Q541" s="53"/>
      <c r="R541" s="53"/>
      <c r="S541" s="53"/>
      <c r="T541" s="53"/>
      <c r="U541" s="53"/>
      <c r="V541" s="53"/>
      <c r="W541" s="53"/>
    </row>
    <row r="542" spans="1:23" hidden="1">
      <c r="A542" s="47">
        <v>540</v>
      </c>
      <c r="B542" s="56"/>
      <c r="C542" s="57"/>
      <c r="D542" s="75"/>
      <c r="E542" s="48"/>
      <c r="F542" s="66"/>
      <c r="G542" s="66"/>
      <c r="H542" s="66"/>
      <c r="I542" s="50"/>
      <c r="J542" s="50"/>
      <c r="K542" s="53"/>
      <c r="L542" s="66"/>
      <c r="M542" s="66"/>
      <c r="N542" s="66"/>
      <c r="O542" s="50"/>
      <c r="P542" s="50"/>
      <c r="Q542" s="53"/>
      <c r="R542" s="53"/>
      <c r="S542" s="53"/>
      <c r="T542" s="53"/>
      <c r="U542" s="53"/>
      <c r="V542" s="53"/>
      <c r="W542" s="53"/>
    </row>
    <row r="543" spans="1:23" hidden="1">
      <c r="A543" s="47">
        <v>541</v>
      </c>
      <c r="B543" s="56"/>
      <c r="C543" s="57"/>
      <c r="D543" s="75"/>
      <c r="E543" s="48"/>
      <c r="F543" s="66"/>
      <c r="G543" s="66"/>
      <c r="H543" s="66"/>
      <c r="I543" s="50"/>
      <c r="J543" s="50"/>
      <c r="K543" s="53"/>
      <c r="L543" s="66"/>
      <c r="M543" s="66"/>
      <c r="N543" s="66"/>
      <c r="O543" s="50"/>
      <c r="P543" s="50"/>
      <c r="Q543" s="53"/>
      <c r="R543" s="53"/>
      <c r="S543" s="53"/>
      <c r="T543" s="53"/>
      <c r="U543" s="53"/>
      <c r="V543" s="53"/>
      <c r="W543" s="53"/>
    </row>
    <row r="544" spans="1:23" hidden="1">
      <c r="A544" s="47">
        <v>542</v>
      </c>
      <c r="B544" s="56"/>
      <c r="C544" s="57"/>
      <c r="D544" s="75"/>
      <c r="E544" s="48"/>
      <c r="F544" s="66"/>
      <c r="G544" s="66"/>
      <c r="H544" s="66"/>
      <c r="I544" s="50"/>
      <c r="J544" s="50"/>
      <c r="K544" s="53"/>
      <c r="L544" s="66"/>
      <c r="M544" s="66"/>
      <c r="N544" s="66"/>
      <c r="O544" s="50"/>
      <c r="P544" s="50"/>
      <c r="Q544" s="53"/>
      <c r="R544" s="53"/>
      <c r="S544" s="53"/>
      <c r="T544" s="53"/>
      <c r="U544" s="53"/>
      <c r="V544" s="53"/>
      <c r="W544" s="53"/>
    </row>
    <row r="545" spans="1:23" hidden="1">
      <c r="A545" s="47">
        <v>543</v>
      </c>
      <c r="B545" s="56"/>
      <c r="C545" s="57"/>
      <c r="D545" s="75"/>
      <c r="E545" s="48"/>
      <c r="F545" s="66"/>
      <c r="G545" s="66"/>
      <c r="H545" s="66"/>
      <c r="I545" s="50"/>
      <c r="J545" s="50"/>
      <c r="K545" s="53"/>
      <c r="L545" s="66"/>
      <c r="M545" s="66"/>
      <c r="N545" s="66"/>
      <c r="O545" s="50"/>
      <c r="P545" s="50"/>
      <c r="Q545" s="53"/>
      <c r="R545" s="53"/>
      <c r="S545" s="53"/>
      <c r="T545" s="53"/>
      <c r="U545" s="53"/>
      <c r="V545" s="53"/>
      <c r="W545" s="53"/>
    </row>
    <row r="546" spans="1:23" hidden="1">
      <c r="A546" s="47">
        <v>544</v>
      </c>
      <c r="B546" s="56"/>
      <c r="C546" s="57"/>
      <c r="D546" s="75"/>
      <c r="E546" s="48"/>
      <c r="F546" s="66"/>
      <c r="G546" s="66"/>
      <c r="H546" s="66"/>
      <c r="I546" s="50"/>
      <c r="J546" s="50"/>
      <c r="K546" s="53"/>
      <c r="L546" s="66"/>
      <c r="M546" s="66"/>
      <c r="N546" s="66"/>
      <c r="O546" s="50"/>
      <c r="P546" s="50"/>
      <c r="Q546" s="53"/>
      <c r="R546" s="53"/>
      <c r="S546" s="53"/>
      <c r="T546" s="53"/>
      <c r="U546" s="53"/>
      <c r="V546" s="53"/>
      <c r="W546" s="53"/>
    </row>
    <row r="547" spans="1:23" hidden="1">
      <c r="A547" s="47">
        <v>573</v>
      </c>
      <c r="B547" s="56"/>
      <c r="C547" s="57"/>
      <c r="D547" s="75"/>
      <c r="E547" s="48"/>
      <c r="F547" s="66"/>
      <c r="G547" s="66"/>
      <c r="H547" s="66"/>
      <c r="I547" s="50"/>
      <c r="J547" s="50"/>
      <c r="K547" s="53"/>
      <c r="L547" s="66"/>
      <c r="M547" s="66"/>
      <c r="N547" s="66"/>
      <c r="O547" s="50"/>
      <c r="P547" s="50"/>
      <c r="Q547" s="53"/>
      <c r="R547" s="53"/>
      <c r="S547" s="53"/>
      <c r="T547" s="53"/>
      <c r="U547" s="53"/>
      <c r="V547" s="53"/>
      <c r="W547" s="53"/>
    </row>
    <row r="548" spans="1:23" s="72" customFormat="1">
      <c r="A548" s="145" t="s">
        <v>0</v>
      </c>
      <c r="B548" s="146"/>
      <c r="C548" s="146"/>
      <c r="D548" s="146"/>
      <c r="E548" s="147"/>
      <c r="F548" s="70">
        <f t="shared" ref="F548:W548" si="0">SUM(F3:F532)</f>
        <v>2958890</v>
      </c>
      <c r="G548" s="91">
        <f t="shared" si="0"/>
        <v>3926400</v>
      </c>
      <c r="H548" s="70">
        <f t="shared" si="0"/>
        <v>2963305</v>
      </c>
      <c r="I548" s="70">
        <f t="shared" si="0"/>
        <v>5776537</v>
      </c>
      <c r="J548" s="70">
        <f t="shared" si="0"/>
        <v>10656443</v>
      </c>
      <c r="K548" s="70">
        <f t="shared" si="0"/>
        <v>7364980</v>
      </c>
      <c r="L548" s="70">
        <f t="shared" si="0"/>
        <v>30890606</v>
      </c>
      <c r="M548" s="91">
        <f t="shared" si="0"/>
        <v>20628740</v>
      </c>
      <c r="N548" s="70">
        <f t="shared" si="0"/>
        <v>17188097</v>
      </c>
      <c r="O548" s="70">
        <f t="shared" si="0"/>
        <v>28318053</v>
      </c>
      <c r="P548" s="70">
        <f t="shared" si="0"/>
        <v>66469658</v>
      </c>
      <c r="Q548" s="70">
        <f t="shared" si="0"/>
        <v>21138327</v>
      </c>
      <c r="R548" s="70">
        <f t="shared" si="0"/>
        <v>50492853</v>
      </c>
      <c r="S548" s="91">
        <f t="shared" si="0"/>
        <v>50070954</v>
      </c>
      <c r="T548" s="70">
        <f t="shared" si="0"/>
        <v>165876901</v>
      </c>
      <c r="U548" s="70">
        <f t="shared" si="0"/>
        <v>0</v>
      </c>
      <c r="V548" s="70">
        <f t="shared" si="0"/>
        <v>0</v>
      </c>
      <c r="W548" s="70">
        <f t="shared" si="0"/>
        <v>19330999</v>
      </c>
    </row>
  </sheetData>
  <autoFilter ref="A1:W548" xr:uid="{D207C608-DA44-4F95-9D5E-448A98158862}">
    <filterColumn colId="22">
      <customFilters>
        <customFilter operator="notEqual" val=" "/>
      </customFilters>
    </filterColumn>
  </autoFilter>
  <mergeCells count="6">
    <mergeCell ref="A548:E548"/>
    <mergeCell ref="A1:A2"/>
    <mergeCell ref="C1:C2"/>
    <mergeCell ref="D1:D2"/>
    <mergeCell ref="E1:E2"/>
    <mergeCell ref="B1:B2"/>
  </mergeCells>
  <phoneticPr fontId="2"/>
  <conditionalFormatting sqref="B549:B1048576 B1 B3:B426 B547">
    <cfRule type="duplicateValues" dxfId="110" priority="738"/>
  </conditionalFormatting>
  <conditionalFormatting sqref="B549:B1048576">
    <cfRule type="duplicateValues" dxfId="109" priority="739"/>
  </conditionalFormatting>
  <conditionalFormatting sqref="B549:B1048576">
    <cfRule type="duplicateValues" dxfId="108" priority="740"/>
  </conditionalFormatting>
  <conditionalFormatting sqref="B549:B1048576">
    <cfRule type="duplicateValues" dxfId="107" priority="741"/>
  </conditionalFormatting>
  <conditionalFormatting sqref="C547:C1048576 C1:C426">
    <cfRule type="duplicateValues" dxfId="106" priority="750"/>
  </conditionalFormatting>
  <conditionalFormatting sqref="B500:B502">
    <cfRule type="duplicateValues" dxfId="105" priority="698"/>
  </conditionalFormatting>
  <conditionalFormatting sqref="C500:C502">
    <cfRule type="duplicateValues" dxfId="104" priority="707"/>
  </conditionalFormatting>
  <conditionalFormatting sqref="B497:B499">
    <cfRule type="duplicateValues" dxfId="103" priority="684"/>
  </conditionalFormatting>
  <conditionalFormatting sqref="C497:C499">
    <cfRule type="duplicateValues" dxfId="102" priority="693"/>
  </conditionalFormatting>
  <conditionalFormatting sqref="B477 B495:B496">
    <cfRule type="duplicateValues" dxfId="101" priority="670"/>
  </conditionalFormatting>
  <conditionalFormatting sqref="C477 C495:C496">
    <cfRule type="duplicateValues" dxfId="100" priority="679"/>
  </conditionalFormatting>
  <conditionalFormatting sqref="B450:B451">
    <cfRule type="duplicateValues" dxfId="99" priority="656"/>
  </conditionalFormatting>
  <conditionalFormatting sqref="C450:C451">
    <cfRule type="duplicateValues" dxfId="98" priority="665"/>
  </conditionalFormatting>
  <conditionalFormatting sqref="B447:B449">
    <cfRule type="duplicateValues" dxfId="97" priority="642"/>
  </conditionalFormatting>
  <conditionalFormatting sqref="C447:C449">
    <cfRule type="duplicateValues" dxfId="96" priority="651"/>
  </conditionalFormatting>
  <conditionalFormatting sqref="B444:B446">
    <cfRule type="duplicateValues" dxfId="95" priority="628"/>
  </conditionalFormatting>
  <conditionalFormatting sqref="C444:C446">
    <cfRule type="duplicateValues" dxfId="94" priority="637"/>
  </conditionalFormatting>
  <conditionalFormatting sqref="B441:B443">
    <cfRule type="duplicateValues" dxfId="93" priority="614"/>
  </conditionalFormatting>
  <conditionalFormatting sqref="C441:C443">
    <cfRule type="duplicateValues" dxfId="92" priority="623"/>
  </conditionalFormatting>
  <conditionalFormatting sqref="B439:B440">
    <cfRule type="duplicateValues" dxfId="91" priority="600"/>
  </conditionalFormatting>
  <conditionalFormatting sqref="C439:C440">
    <cfRule type="duplicateValues" dxfId="90" priority="609"/>
  </conditionalFormatting>
  <conditionalFormatting sqref="B436:B438">
    <cfRule type="duplicateValues" dxfId="89" priority="586"/>
  </conditionalFormatting>
  <conditionalFormatting sqref="C436:C438">
    <cfRule type="duplicateValues" dxfId="88" priority="595"/>
  </conditionalFormatting>
  <conditionalFormatting sqref="B433:B435">
    <cfRule type="duplicateValues" dxfId="87" priority="572"/>
  </conditionalFormatting>
  <conditionalFormatting sqref="C433:C435">
    <cfRule type="duplicateValues" dxfId="86" priority="581"/>
  </conditionalFormatting>
  <conditionalFormatting sqref="B430:B432">
    <cfRule type="duplicateValues" dxfId="85" priority="558"/>
  </conditionalFormatting>
  <conditionalFormatting sqref="C430:C432">
    <cfRule type="duplicateValues" dxfId="84" priority="567"/>
  </conditionalFormatting>
  <conditionalFormatting sqref="B428:B429">
    <cfRule type="duplicateValues" dxfId="83" priority="544"/>
  </conditionalFormatting>
  <conditionalFormatting sqref="C428:C429">
    <cfRule type="duplicateValues" dxfId="82" priority="553"/>
  </conditionalFormatting>
  <conditionalFormatting sqref="B493:B494">
    <cfRule type="duplicateValues" dxfId="81" priority="530"/>
  </conditionalFormatting>
  <conditionalFormatting sqref="C493:C494">
    <cfRule type="duplicateValues" dxfId="80" priority="539"/>
  </conditionalFormatting>
  <conditionalFormatting sqref="B490:B492">
    <cfRule type="duplicateValues" dxfId="79" priority="516"/>
  </conditionalFormatting>
  <conditionalFormatting sqref="C490:C492">
    <cfRule type="duplicateValues" dxfId="78" priority="525"/>
  </conditionalFormatting>
  <conditionalFormatting sqref="B487:B489">
    <cfRule type="duplicateValues" dxfId="77" priority="502"/>
  </conditionalFormatting>
  <conditionalFormatting sqref="C487:C489">
    <cfRule type="duplicateValues" dxfId="76" priority="511"/>
  </conditionalFormatting>
  <conditionalFormatting sqref="B485:B486">
    <cfRule type="duplicateValues" dxfId="75" priority="488"/>
  </conditionalFormatting>
  <conditionalFormatting sqref="C485:C486">
    <cfRule type="duplicateValues" dxfId="74" priority="497"/>
  </conditionalFormatting>
  <conditionalFormatting sqref="B482:B484">
    <cfRule type="duplicateValues" dxfId="73" priority="474"/>
  </conditionalFormatting>
  <conditionalFormatting sqref="C482:C484">
    <cfRule type="duplicateValues" dxfId="72" priority="483"/>
  </conditionalFormatting>
  <conditionalFormatting sqref="B479:B481">
    <cfRule type="duplicateValues" dxfId="71" priority="460"/>
  </conditionalFormatting>
  <conditionalFormatting sqref="C479:C481">
    <cfRule type="duplicateValues" dxfId="70" priority="469"/>
  </conditionalFormatting>
  <conditionalFormatting sqref="B478">
    <cfRule type="duplicateValues" dxfId="69" priority="446"/>
  </conditionalFormatting>
  <conditionalFormatting sqref="C478">
    <cfRule type="duplicateValues" dxfId="68" priority="455"/>
  </conditionalFormatting>
  <conditionalFormatting sqref="B452">
    <cfRule type="duplicateValues" dxfId="67" priority="432"/>
  </conditionalFormatting>
  <conditionalFormatting sqref="C452">
    <cfRule type="duplicateValues" dxfId="66" priority="441"/>
  </conditionalFormatting>
  <conditionalFormatting sqref="B475:B476">
    <cfRule type="duplicateValues" dxfId="65" priority="418"/>
  </conditionalFormatting>
  <conditionalFormatting sqref="C475:C476">
    <cfRule type="duplicateValues" dxfId="64" priority="427"/>
  </conditionalFormatting>
  <conditionalFormatting sqref="B472:B474">
    <cfRule type="duplicateValues" dxfId="63" priority="404"/>
  </conditionalFormatting>
  <conditionalFormatting sqref="C472:C474">
    <cfRule type="duplicateValues" dxfId="62" priority="413"/>
  </conditionalFormatting>
  <conditionalFormatting sqref="B469:B471">
    <cfRule type="duplicateValues" dxfId="61" priority="390"/>
  </conditionalFormatting>
  <conditionalFormatting sqref="C469:C471">
    <cfRule type="duplicateValues" dxfId="60" priority="399"/>
  </conditionalFormatting>
  <conditionalFormatting sqref="B466:B468">
    <cfRule type="duplicateValues" dxfId="59" priority="376"/>
  </conditionalFormatting>
  <conditionalFormatting sqref="C466:C468">
    <cfRule type="duplicateValues" dxfId="58" priority="385"/>
  </conditionalFormatting>
  <conditionalFormatting sqref="B464:B465">
    <cfRule type="duplicateValues" dxfId="57" priority="362"/>
  </conditionalFormatting>
  <conditionalFormatting sqref="C464:C465">
    <cfRule type="duplicateValues" dxfId="56" priority="371"/>
  </conditionalFormatting>
  <conditionalFormatting sqref="B461:B463">
    <cfRule type="duplicateValues" dxfId="55" priority="348"/>
  </conditionalFormatting>
  <conditionalFormatting sqref="C461:C463">
    <cfRule type="duplicateValues" dxfId="54" priority="357"/>
  </conditionalFormatting>
  <conditionalFormatting sqref="B458:B460">
    <cfRule type="duplicateValues" dxfId="53" priority="334"/>
  </conditionalFormatting>
  <conditionalFormatting sqref="C458:C460">
    <cfRule type="duplicateValues" dxfId="52" priority="343"/>
  </conditionalFormatting>
  <conditionalFormatting sqref="B455:B457">
    <cfRule type="duplicateValues" dxfId="51" priority="320"/>
  </conditionalFormatting>
  <conditionalFormatting sqref="C455:C457">
    <cfRule type="duplicateValues" dxfId="50" priority="329"/>
  </conditionalFormatting>
  <conditionalFormatting sqref="B453:B454">
    <cfRule type="duplicateValues" dxfId="49" priority="306"/>
  </conditionalFormatting>
  <conditionalFormatting sqref="C453:C454">
    <cfRule type="duplicateValues" dxfId="48" priority="315"/>
  </conditionalFormatting>
  <conditionalFormatting sqref="B503:B505">
    <cfRule type="duplicateValues" dxfId="47" priority="292"/>
  </conditionalFormatting>
  <conditionalFormatting sqref="C503:C505">
    <cfRule type="duplicateValues" dxfId="46" priority="301"/>
  </conditionalFormatting>
  <conditionalFormatting sqref="B541:B542">
    <cfRule type="duplicateValues" dxfId="45" priority="278"/>
  </conditionalFormatting>
  <conditionalFormatting sqref="C541:C542">
    <cfRule type="duplicateValues" dxfId="44" priority="287"/>
  </conditionalFormatting>
  <conditionalFormatting sqref="B538:B540">
    <cfRule type="duplicateValues" dxfId="43" priority="263"/>
  </conditionalFormatting>
  <conditionalFormatting sqref="C538:C540">
    <cfRule type="duplicateValues" dxfId="42" priority="272"/>
  </conditionalFormatting>
  <conditionalFormatting sqref="B535:B537">
    <cfRule type="duplicateValues" dxfId="41" priority="248"/>
  </conditionalFormatting>
  <conditionalFormatting sqref="C535:C537">
    <cfRule type="duplicateValues" dxfId="40" priority="257"/>
  </conditionalFormatting>
  <conditionalFormatting sqref="B533:B534">
    <cfRule type="duplicateValues" dxfId="39" priority="233"/>
  </conditionalFormatting>
  <conditionalFormatting sqref="C533:C534">
    <cfRule type="duplicateValues" dxfId="38" priority="242"/>
  </conditionalFormatting>
  <conditionalFormatting sqref="B544:B546">
    <cfRule type="duplicateValues" dxfId="37" priority="218"/>
  </conditionalFormatting>
  <conditionalFormatting sqref="C544:C546">
    <cfRule type="duplicateValues" dxfId="36" priority="227"/>
  </conditionalFormatting>
  <conditionalFormatting sqref="B543">
    <cfRule type="duplicateValues" dxfId="35" priority="203"/>
  </conditionalFormatting>
  <conditionalFormatting sqref="C543">
    <cfRule type="duplicateValues" dxfId="34" priority="212"/>
  </conditionalFormatting>
  <conditionalFormatting sqref="B529:B530">
    <cfRule type="duplicateValues" dxfId="33" priority="188"/>
  </conditionalFormatting>
  <conditionalFormatting sqref="C529:C530">
    <cfRule type="duplicateValues" dxfId="32" priority="197"/>
  </conditionalFormatting>
  <conditionalFormatting sqref="B532">
    <cfRule type="duplicateValues" dxfId="31" priority="174"/>
  </conditionalFormatting>
  <conditionalFormatting sqref="C532">
    <cfRule type="duplicateValues" dxfId="30" priority="183"/>
  </conditionalFormatting>
  <conditionalFormatting sqref="B531">
    <cfRule type="duplicateValues" dxfId="29" priority="159"/>
  </conditionalFormatting>
  <conditionalFormatting sqref="C531">
    <cfRule type="duplicateValues" dxfId="28" priority="168"/>
  </conditionalFormatting>
  <conditionalFormatting sqref="B519:B520">
    <cfRule type="duplicateValues" dxfId="27" priority="145"/>
  </conditionalFormatting>
  <conditionalFormatting sqref="C519:C520">
    <cfRule type="duplicateValues" dxfId="26" priority="154"/>
  </conditionalFormatting>
  <conditionalFormatting sqref="B516:B518">
    <cfRule type="duplicateValues" dxfId="25" priority="131"/>
  </conditionalFormatting>
  <conditionalFormatting sqref="C516:C518">
    <cfRule type="duplicateValues" dxfId="24" priority="140"/>
  </conditionalFormatting>
  <conditionalFormatting sqref="B513:B515">
    <cfRule type="duplicateValues" dxfId="23" priority="117"/>
  </conditionalFormatting>
  <conditionalFormatting sqref="C513:C515">
    <cfRule type="duplicateValues" dxfId="22" priority="126"/>
  </conditionalFormatting>
  <conditionalFormatting sqref="B511:B512">
    <cfRule type="duplicateValues" dxfId="21" priority="103"/>
  </conditionalFormatting>
  <conditionalFormatting sqref="C511:C512">
    <cfRule type="duplicateValues" dxfId="20" priority="112"/>
  </conditionalFormatting>
  <conditionalFormatting sqref="B528">
    <cfRule type="duplicateValues" dxfId="19" priority="89"/>
  </conditionalFormatting>
  <conditionalFormatting sqref="C528">
    <cfRule type="duplicateValues" dxfId="18" priority="98"/>
  </conditionalFormatting>
  <conditionalFormatting sqref="B525:B527">
    <cfRule type="duplicateValues" dxfId="17" priority="75"/>
  </conditionalFormatting>
  <conditionalFormatting sqref="C525:C527">
    <cfRule type="duplicateValues" dxfId="16" priority="84"/>
  </conditionalFormatting>
  <conditionalFormatting sqref="B522:B524">
    <cfRule type="duplicateValues" dxfId="15" priority="61"/>
  </conditionalFormatting>
  <conditionalFormatting sqref="C522:C524">
    <cfRule type="duplicateValues" dxfId="14" priority="70"/>
  </conditionalFormatting>
  <conditionalFormatting sqref="B521">
    <cfRule type="duplicateValues" dxfId="13" priority="47"/>
  </conditionalFormatting>
  <conditionalFormatting sqref="C521">
    <cfRule type="duplicateValues" dxfId="12" priority="56"/>
  </conditionalFormatting>
  <conditionalFormatting sqref="B507:B508">
    <cfRule type="duplicateValues" dxfId="11" priority="33"/>
  </conditionalFormatting>
  <conditionalFormatting sqref="C507:C508">
    <cfRule type="duplicateValues" dxfId="10" priority="42"/>
  </conditionalFormatting>
  <conditionalFormatting sqref="B510">
    <cfRule type="duplicateValues" dxfId="9" priority="19"/>
  </conditionalFormatting>
  <conditionalFormatting sqref="C510">
    <cfRule type="duplicateValues" dxfId="8" priority="28"/>
  </conditionalFormatting>
  <conditionalFormatting sqref="B509">
    <cfRule type="duplicateValues" dxfId="7" priority="5"/>
  </conditionalFormatting>
  <conditionalFormatting sqref="C509">
    <cfRule type="duplicateValues" dxfId="6" priority="14"/>
  </conditionalFormatting>
  <conditionalFormatting sqref="B427">
    <cfRule type="duplicateValues" dxfId="5" priority="751"/>
  </conditionalFormatting>
  <conditionalFormatting sqref="C427">
    <cfRule type="duplicateValues" dxfId="4" priority="761"/>
  </conditionalFormatting>
  <conditionalFormatting sqref="B506">
    <cfRule type="duplicateValues" dxfId="3" priority="765"/>
  </conditionalFormatting>
  <conditionalFormatting sqref="C506">
    <cfRule type="duplicateValues" dxfId="2" priority="775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9"/>
  <sheetViews>
    <sheetView zoomScale="80" zoomScaleNormal="80" workbookViewId="0">
      <selection activeCell="H11" sqref="H11:S11"/>
    </sheetView>
  </sheetViews>
  <sheetFormatPr defaultRowHeight="13.5"/>
  <cols>
    <col min="1" max="1" width="19.26953125" style="38" customWidth="1"/>
    <col min="2" max="2" width="8.6328125" style="74" customWidth="1"/>
    <col min="3" max="19" width="8.6328125" style="38" customWidth="1"/>
    <col min="20" max="20" width="10.36328125" style="38" customWidth="1"/>
    <col min="21" max="16384" width="8.7265625" style="38"/>
  </cols>
  <sheetData>
    <row r="1" spans="1:21">
      <c r="A1" s="117"/>
      <c r="B1" s="118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 t="s">
        <v>886</v>
      </c>
      <c r="U1" s="117"/>
    </row>
    <row r="2" spans="1:21" ht="14.5" customHeight="1">
      <c r="A2" s="150" t="s">
        <v>885</v>
      </c>
      <c r="B2" s="152">
        <v>2024</v>
      </c>
      <c r="C2" s="152"/>
      <c r="D2" s="152"/>
      <c r="E2" s="152"/>
      <c r="F2" s="152"/>
      <c r="G2" s="152"/>
      <c r="H2" s="153">
        <v>2025</v>
      </c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5"/>
      <c r="T2" s="151" t="s">
        <v>0</v>
      </c>
      <c r="U2" s="151"/>
    </row>
    <row r="3" spans="1:21" ht="15.5" customHeight="1">
      <c r="A3" s="150"/>
      <c r="B3" s="119" t="s">
        <v>837</v>
      </c>
      <c r="C3" s="119" t="s">
        <v>838</v>
      </c>
      <c r="D3" s="119" t="s">
        <v>839</v>
      </c>
      <c r="E3" s="119" t="s">
        <v>840</v>
      </c>
      <c r="F3" s="119" t="s">
        <v>841</v>
      </c>
      <c r="G3" s="119" t="s">
        <v>842</v>
      </c>
      <c r="H3" s="119" t="s">
        <v>843</v>
      </c>
      <c r="I3" s="119" t="s">
        <v>844</v>
      </c>
      <c r="J3" s="119" t="s">
        <v>845</v>
      </c>
      <c r="K3" s="119" t="s">
        <v>846</v>
      </c>
      <c r="L3" s="119" t="s">
        <v>847</v>
      </c>
      <c r="M3" s="119" t="s">
        <v>848</v>
      </c>
      <c r="N3" s="119" t="s">
        <v>836</v>
      </c>
      <c r="O3" s="119" t="s">
        <v>838</v>
      </c>
      <c r="P3" s="119" t="s">
        <v>839</v>
      </c>
      <c r="Q3" s="119" t="s">
        <v>840</v>
      </c>
      <c r="R3" s="119" t="s">
        <v>841</v>
      </c>
      <c r="S3" s="119" t="s">
        <v>842</v>
      </c>
      <c r="T3" s="120" t="s">
        <v>887</v>
      </c>
      <c r="U3" s="120" t="s">
        <v>850</v>
      </c>
    </row>
    <row r="4" spans="1:21" ht="15.5" customHeight="1">
      <c r="A4" s="121" t="s">
        <v>896</v>
      </c>
      <c r="B4" s="122">
        <f ca="1">SUMIF(金額!D:F,$A4,金額!F:F)/1000</f>
        <v>0</v>
      </c>
      <c r="C4" s="122">
        <f ca="1">SUMIF(金額!$D:G,$A4,金額!G:G)/1000</f>
        <v>501.6</v>
      </c>
      <c r="D4" s="122">
        <f ca="1">SUMIF(金額!$D:H,$A4,金額!H:H)/1000</f>
        <v>128.69999999999999</v>
      </c>
      <c r="E4" s="122">
        <f ca="1">SUMIF(金額!$D:I,$A4,金額!I:I)/1000</f>
        <v>120.34</v>
      </c>
      <c r="F4" s="122">
        <f ca="1">SUMIF(金額!$D:J,$A4,金額!J:J)/1000</f>
        <v>729.96</v>
      </c>
      <c r="G4" s="122">
        <f ca="1">SUMIF(金額!$D:K,$A4,金額!K:K)/1000</f>
        <v>126.5</v>
      </c>
      <c r="H4" s="122">
        <f ca="1">SUMIF(金額!$D:L,$A4,金額!L:L)/1000</f>
        <v>2071.08</v>
      </c>
      <c r="I4" s="122">
        <f ca="1">SUMIF(金額!$D:M,$A4,金額!M:M)/1000</f>
        <v>1773.64</v>
      </c>
      <c r="J4" s="122">
        <f ca="1">SUMIF(金額!$D:N,$A4,金額!N:N)/1000</f>
        <v>5663.68</v>
      </c>
      <c r="K4" s="122">
        <f ca="1">SUMIF(金額!$D:O,$A4,金額!O:O)/1000</f>
        <v>11066</v>
      </c>
      <c r="L4" s="122">
        <f ca="1">SUMIF(金額!$D:P,$A4,金額!P:P)/1000</f>
        <v>21080.84</v>
      </c>
      <c r="M4" s="122">
        <f ca="1">SUMIF(金額!$D:Q,$A4,金額!Q:Q)/1000</f>
        <v>11346.075999999999</v>
      </c>
      <c r="N4" s="122">
        <f ca="1">SUMIF(金額!$D:R,$A4,金額!R:R)/1000</f>
        <v>29216.901999999998</v>
      </c>
      <c r="O4" s="122">
        <f ca="1">SUMIF(金額!$D:S,$A4,金額!S:S)/1000</f>
        <v>26968.58</v>
      </c>
      <c r="P4" s="122">
        <f ca="1">SUMIF(金額!$D:T,$A4,金額!T:T)/1000</f>
        <v>44998.908000000003</v>
      </c>
      <c r="Q4" s="122">
        <f ca="1">SUMIF(金額!$D:U,$A4,金額!U:U)/1000</f>
        <v>0</v>
      </c>
      <c r="R4" s="122">
        <f ca="1">SUMIF(金額!$D:V,$A4,金額!V:V)/1000</f>
        <v>0</v>
      </c>
      <c r="S4" s="122">
        <f ca="1">SUMIF(金額!$D:W,$A4,金額!W:W)/1000</f>
        <v>237.78700000000001</v>
      </c>
      <c r="T4" s="123">
        <f ca="1">SUM(B4:S4)</f>
        <v>156030.59300000002</v>
      </c>
      <c r="U4" s="124">
        <f t="shared" ref="U4:U11" ca="1" si="0">T4/$T$11</f>
        <v>0.30955272978790199</v>
      </c>
    </row>
    <row r="5" spans="1:21" ht="15" customHeight="1">
      <c r="A5" s="121" t="s">
        <v>1095</v>
      </c>
      <c r="B5" s="122">
        <f ca="1">SUMIF(金額!D:F,A5,金額!F:F)/1000</f>
        <v>0</v>
      </c>
      <c r="C5" s="122">
        <f ca="1">SUMIF(金額!$D:G,$A5,金額!G:G)/1000</f>
        <v>53.35</v>
      </c>
      <c r="D5" s="122">
        <f ca="1">SUMIF(金額!$D:H,$A5,金額!H:H)/1000</f>
        <v>25.85</v>
      </c>
      <c r="E5" s="122">
        <f ca="1">SUMIF(金額!$D:I,$A5,金額!I:I)/1000</f>
        <v>0</v>
      </c>
      <c r="F5" s="122">
        <f ca="1">SUMIF(金額!$D:J,$A5,金額!J:J)/1000</f>
        <v>284.24</v>
      </c>
      <c r="G5" s="122">
        <f ca="1">SUMIF(金額!$D:K,$A5,金額!K:K)/1000</f>
        <v>16.5</v>
      </c>
      <c r="H5" s="122">
        <f ca="1">SUMIF(金額!$D:L,$A5,金額!L:L)/1000</f>
        <v>1515.8</v>
      </c>
      <c r="I5" s="122">
        <f ca="1">SUMIF(金額!$D:M,$A5,金額!M:M)/1000</f>
        <v>1485</v>
      </c>
      <c r="J5" s="122">
        <f ca="1">SUMIF(金額!$D:N,$A5,金額!N:N)/1000</f>
        <v>70.400000000000006</v>
      </c>
      <c r="K5" s="122">
        <f ca="1">SUMIF(金額!$D:O,$A5,金額!O:O)/1000</f>
        <v>1100.8800000000001</v>
      </c>
      <c r="L5" s="122">
        <f ca="1">SUMIF(金額!$D:P,$A5,金額!P:P)/1000</f>
        <v>24.75</v>
      </c>
      <c r="M5" s="122">
        <f ca="1">SUMIF(金額!$D:Q,$A5,金額!Q:Q)/1000</f>
        <v>87.23</v>
      </c>
      <c r="N5" s="122">
        <f ca="1">SUMIF(金額!$D:R,$A5,金額!R:R)/1000</f>
        <v>2032.25</v>
      </c>
      <c r="O5" s="122">
        <f ca="1">SUMIF(金額!$D:S,$A5,金額!S:S)/1000</f>
        <v>1136.3</v>
      </c>
      <c r="P5" s="122">
        <f ca="1">SUMIF(金額!$D:T,$A5,金額!T:T)/1000</f>
        <v>4734.3450000000003</v>
      </c>
      <c r="Q5" s="122">
        <f ca="1">SUMIF(金額!$D:U,$A5,金額!U:U)/1000</f>
        <v>0</v>
      </c>
      <c r="R5" s="122">
        <f ca="1">SUMIF(金額!$D:V,$A5,金額!V:V)/1000</f>
        <v>0</v>
      </c>
      <c r="S5" s="122">
        <f ca="1">SUMIF(金額!$D:W,$A5,金額!W:W)/1000</f>
        <v>21.45</v>
      </c>
      <c r="T5" s="123">
        <f t="shared" ref="T5:T10" ca="1" si="1">SUM(B5:S5)</f>
        <v>12588.345000000001</v>
      </c>
      <c r="U5" s="125">
        <f t="shared" ca="1" si="0"/>
        <v>2.4974311020287455E-2</v>
      </c>
    </row>
    <row r="6" spans="1:21" s="72" customFormat="1" ht="15" customHeight="1">
      <c r="A6" s="126" t="s">
        <v>879</v>
      </c>
      <c r="B6" s="122">
        <f ca="1">SUMIF(金額!D:F,A6,金額!F:F)/1000</f>
        <v>73.48</v>
      </c>
      <c r="C6" s="122">
        <f ca="1">SUMIF(金額!$D:G,$A6,金額!G:G)/1000</f>
        <v>418.78</v>
      </c>
      <c r="D6" s="122">
        <f ca="1">SUMIF(金額!$D:H,$A6,金額!H:H)/1000</f>
        <v>279.89499999999998</v>
      </c>
      <c r="E6" s="122">
        <f ca="1">SUMIF(金額!$D:I,$A6,金額!I:I)/1000</f>
        <v>564.44000000000005</v>
      </c>
      <c r="F6" s="122">
        <f ca="1">SUMIF(金額!$D:J,$A6,金額!J:J)/1000</f>
        <v>956.005</v>
      </c>
      <c r="G6" s="122">
        <f ca="1">SUMIF(金額!$D:K,$A6,金額!K:K)/1000</f>
        <v>308.14999999999998</v>
      </c>
      <c r="H6" s="122">
        <f ca="1">SUMIF(金額!$D:L,$A6,金額!L:L)/1000</f>
        <v>1944.557</v>
      </c>
      <c r="I6" s="122">
        <f ca="1">SUMIF(金額!$D:M,$A6,金額!M:M)/1000</f>
        <v>243.15299999999999</v>
      </c>
      <c r="J6" s="122">
        <f ca="1">SUMIF(金額!$D:N,$A6,金額!N:N)/1000</f>
        <v>420.93200000000002</v>
      </c>
      <c r="K6" s="122">
        <f ca="1">SUMIF(金額!$D:O,$A6,金額!O:O)/1000</f>
        <v>955.09400000000005</v>
      </c>
      <c r="L6" s="122">
        <f ca="1">SUMIF(金額!$D:P,$A6,金額!P:P)/1000</f>
        <v>1416.2639999999999</v>
      </c>
      <c r="M6" s="122">
        <f ca="1">SUMIF(金額!$D:Q,$A6,金額!Q:Q)/1000</f>
        <v>230.40600000000001</v>
      </c>
      <c r="N6" s="122">
        <f ca="1">SUMIF(金額!$D:R,$A6,金額!R:R)/1000</f>
        <v>1344.808</v>
      </c>
      <c r="O6" s="122">
        <f ca="1">SUMIF(金額!$D:S,$A6,金額!S:S)/1000</f>
        <v>1050.9639999999999</v>
      </c>
      <c r="P6" s="122">
        <f ca="1">SUMIF(金額!$D:T,$A6,金額!T:T)/1000</f>
        <v>1141.9739999999999</v>
      </c>
      <c r="Q6" s="122">
        <f ca="1">SUMIF(金額!$D:U,$A6,金額!U:U)/1000</f>
        <v>0</v>
      </c>
      <c r="R6" s="122">
        <f ca="1">SUMIF(金額!$D:V,$A6,金額!V:V)/1000</f>
        <v>0</v>
      </c>
      <c r="S6" s="122">
        <f ca="1">SUMIF(金額!$D:W,$A6,金額!W:W)/1000</f>
        <v>1785.1659999999999</v>
      </c>
      <c r="T6" s="123">
        <f t="shared" ca="1" si="1"/>
        <v>13134.067999999999</v>
      </c>
      <c r="U6" s="125">
        <f t="shared" ca="1" si="0"/>
        <v>2.6056983598209675E-2</v>
      </c>
    </row>
    <row r="7" spans="1:21" s="72" customFormat="1" ht="15" customHeight="1">
      <c r="A7" s="126" t="s">
        <v>881</v>
      </c>
      <c r="B7" s="122">
        <f ca="1">SUMIF(金額!D:F,A7,金額!F:F)/1000</f>
        <v>452.1</v>
      </c>
      <c r="C7" s="122">
        <f ca="1">SUMIF(金額!$D:G,$A7,金額!G:G)/1000</f>
        <v>1771.2750000000001</v>
      </c>
      <c r="D7" s="122">
        <f ca="1">SUMIF(金額!$D:H,$A7,金額!H:H)/1000</f>
        <v>763.4</v>
      </c>
      <c r="E7" s="122">
        <f ca="1">SUMIF(金額!$D:I,$A7,金額!I:I)/1000</f>
        <v>1588.4</v>
      </c>
      <c r="F7" s="122">
        <f ca="1">SUMIF(金額!$D:J,$A7,金額!J:J)/1000</f>
        <v>4290.0550000000003</v>
      </c>
      <c r="G7" s="122">
        <f ca="1">SUMIF(金額!$D:K,$A7,金額!K:K)/1000</f>
        <v>5379.4949999999999</v>
      </c>
      <c r="H7" s="122">
        <f ca="1">SUMIF(金額!$D:L,$A7,金額!L:L)/1000</f>
        <v>18711.055</v>
      </c>
      <c r="I7" s="122">
        <f ca="1">SUMIF(金額!$D:M,$A7,金額!M:M)/1000</f>
        <v>10823.56</v>
      </c>
      <c r="J7" s="122">
        <f ca="1">SUMIF(金額!$D:N,$A7,金額!N:N)/1000</f>
        <v>7069.26</v>
      </c>
      <c r="K7" s="122">
        <f ca="1">SUMIF(金額!$D:O,$A7,金額!O:O)/1000</f>
        <v>11290.014999999999</v>
      </c>
      <c r="L7" s="122">
        <f ca="1">SUMIF(金額!$D:P,$A7,金額!P:P)/1000</f>
        <v>33670.065000000002</v>
      </c>
      <c r="M7" s="122">
        <f ca="1">SUMIF(金額!$D:Q,$A7,金額!Q:Q)/1000</f>
        <v>6478.01</v>
      </c>
      <c r="N7" s="122">
        <f ca="1">SUMIF(金額!$D:R,$A7,金額!R:R)/1000</f>
        <v>13014.375</v>
      </c>
      <c r="O7" s="122">
        <f ca="1">SUMIF(金額!$D:S,$A7,金額!S:S)/1000</f>
        <v>11533.06</v>
      </c>
      <c r="P7" s="122">
        <f ca="1">SUMIF(金額!$D:T,$A7,金額!T:T)/1000</f>
        <v>90481.27</v>
      </c>
      <c r="Q7" s="122">
        <f ca="1">SUMIF(金額!$D:U,$A7,金額!U:U)/1000</f>
        <v>0</v>
      </c>
      <c r="R7" s="122">
        <f ca="1">SUMIF(金額!$D:V,$A7,金額!V:V)/1000</f>
        <v>0</v>
      </c>
      <c r="S7" s="122">
        <f ca="1">SUMIF(金額!$D:W,$A7,金額!W:W)/1000</f>
        <v>4150.74</v>
      </c>
      <c r="T7" s="123">
        <f t="shared" ca="1" si="1"/>
        <v>221466.13499999998</v>
      </c>
      <c r="U7" s="125">
        <f t="shared" ca="1" si="0"/>
        <v>0.43937182655471935</v>
      </c>
    </row>
    <row r="8" spans="1:21" ht="15" customHeight="1">
      <c r="A8" s="127" t="s">
        <v>1096</v>
      </c>
      <c r="B8" s="122">
        <f ca="1">SUMIF(金額!D:F,A8,金額!F:F)/1000</f>
        <v>0</v>
      </c>
      <c r="C8" s="122">
        <f ca="1">SUMIF(金額!$D:G,$A8,金額!G:G)/1000</f>
        <v>0</v>
      </c>
      <c r="D8" s="122">
        <f ca="1">SUMIF(金額!$D:H,$A8,金額!H:H)/1000</f>
        <v>0</v>
      </c>
      <c r="E8" s="122">
        <f ca="1">SUMIF(金額!$D:I,$A8,金額!I:I)/1000</f>
        <v>0</v>
      </c>
      <c r="F8" s="122">
        <f ca="1">SUMIF(金額!$D:J,$A8,金額!J:J)/1000</f>
        <v>0</v>
      </c>
      <c r="G8" s="122">
        <f ca="1">SUMIF(金額!$D:K,$A8,金額!K:K)/1000</f>
        <v>0</v>
      </c>
      <c r="H8" s="122">
        <f ca="1">SUMIF(金額!$D:L,$A8,金額!L:L)/1000</f>
        <v>0</v>
      </c>
      <c r="I8" s="122">
        <f ca="1">SUMIF(金額!$D:M,$A8,金額!M:M)/1000</f>
        <v>0</v>
      </c>
      <c r="J8" s="122">
        <f ca="1">SUMIF(金額!$D:N,$A8,金額!N:N)/1000</f>
        <v>0</v>
      </c>
      <c r="K8" s="122">
        <f ca="1">SUMIF(金額!$D:O,$A8,金額!O:O)/1000</f>
        <v>0</v>
      </c>
      <c r="L8" s="122">
        <f ca="1">SUMIF(金額!$D:P,$A8,金額!P:P)/1000</f>
        <v>6288.4250000000002</v>
      </c>
      <c r="M8" s="122">
        <f ca="1">SUMIF(金額!$D:Q,$A8,金額!Q:Q)/1000</f>
        <v>136.4</v>
      </c>
      <c r="N8" s="122">
        <f ca="1">SUMIF(金額!$D:R,$A8,金額!R:R)/1000</f>
        <v>1681.68</v>
      </c>
      <c r="O8" s="122">
        <f ca="1">SUMIF(金額!$D:S,$A8,金額!S:S)/1000</f>
        <v>6664.68</v>
      </c>
      <c r="P8" s="122">
        <f ca="1">SUMIF(金額!$D:T,$A8,金額!T:T)/1000</f>
        <v>12432.31</v>
      </c>
      <c r="Q8" s="122">
        <f ca="1">SUMIF(金額!$D:U,$A8,金額!U:U)/1000</f>
        <v>0</v>
      </c>
      <c r="R8" s="122">
        <f ca="1">SUMIF(金額!$D:V,$A8,金額!V:V)/1000</f>
        <v>0</v>
      </c>
      <c r="S8" s="122">
        <f ca="1">SUMIF(金額!$D:W,$A8,金額!W:W)/1000</f>
        <v>4806.835</v>
      </c>
      <c r="T8" s="123">
        <f t="shared" ca="1" si="1"/>
        <v>32010.33</v>
      </c>
      <c r="U8" s="125">
        <f t="shared" ca="1" si="0"/>
        <v>6.350603969640474E-2</v>
      </c>
    </row>
    <row r="9" spans="1:21" ht="15" customHeight="1">
      <c r="A9" s="128" t="s">
        <v>884</v>
      </c>
      <c r="B9" s="122">
        <f ca="1">SUMIF(金額!D:F,A9,金額!F:F)/1000</f>
        <v>2433.31</v>
      </c>
      <c r="C9" s="122">
        <f ca="1">SUMIF(金額!$D:G,$A9,金額!G:G)/1000</f>
        <v>1181.395</v>
      </c>
      <c r="D9" s="122">
        <f ca="1">SUMIF(金額!$D:H,$A9,金額!H:H)/1000</f>
        <v>1765.46</v>
      </c>
      <c r="E9" s="122">
        <f ca="1">SUMIF(金額!$D:I,$A9,金額!I:I)/1000</f>
        <v>3503.357</v>
      </c>
      <c r="F9" s="122">
        <f ca="1">SUMIF(金額!$D:J,$A9,金額!J:J)/1000</f>
        <v>4396.183</v>
      </c>
      <c r="G9" s="122">
        <f ca="1">SUMIF(金額!$D:K,$A9,金額!K:K)/1000</f>
        <v>1534.335</v>
      </c>
      <c r="H9" s="122">
        <f ca="1">SUMIF(金額!$D:L,$A9,金額!L:L)/1000</f>
        <v>6648.1139999999996</v>
      </c>
      <c r="I9" s="122">
        <f ca="1">SUMIF(金額!$D:M,$A9,金額!M:M)/1000</f>
        <v>6303.3869999999997</v>
      </c>
      <c r="J9" s="122">
        <f ca="1">SUMIF(金額!$D:N,$A9,金額!N:N)/1000</f>
        <v>3963.8249999999998</v>
      </c>
      <c r="K9" s="122">
        <f ca="1">SUMIF(金額!$D:O,$A9,金額!O:O)/1000</f>
        <v>3906.0639999999999</v>
      </c>
      <c r="L9" s="122">
        <f ca="1">SUMIF(金額!$D:P,$A9,金額!P:P)/1000</f>
        <v>3989.3139999999999</v>
      </c>
      <c r="M9" s="122">
        <f ca="1">SUMIF(金額!$D:Q,$A9,金額!Q:Q)/1000</f>
        <v>2860.2049999999999</v>
      </c>
      <c r="N9" s="122">
        <f ca="1">SUMIF(金額!$D:R,$A9,金額!R:R)/1000</f>
        <v>3202.8380000000002</v>
      </c>
      <c r="O9" s="122">
        <f ca="1">SUMIF(金額!$D:S,$A9,金額!S:S)/1000</f>
        <v>2717.37</v>
      </c>
      <c r="P9" s="122">
        <f ca="1">SUMIF(金額!$D:T,$A9,金額!T:T)/1000</f>
        <v>11704.744000000001</v>
      </c>
      <c r="Q9" s="122">
        <f ca="1">SUMIF(金額!$D:U,$A9,金額!U:U)/1000</f>
        <v>0</v>
      </c>
      <c r="R9" s="122">
        <f ca="1">SUMIF(金額!$D:V,$A9,金額!V:V)/1000</f>
        <v>0</v>
      </c>
      <c r="S9" s="122">
        <f ca="1">SUMIF(金額!$D:W,$A9,金額!W:W)/1000</f>
        <v>6698.2160000000003</v>
      </c>
      <c r="T9" s="123">
        <f t="shared" ca="1" si="1"/>
        <v>66808.116999999998</v>
      </c>
      <c r="U9" s="125">
        <f t="shared" ca="1" si="0"/>
        <v>0.13254218029754933</v>
      </c>
    </row>
    <row r="10" spans="1:21" ht="15" customHeight="1">
      <c r="A10" s="128" t="s">
        <v>1098</v>
      </c>
      <c r="B10" s="122">
        <f ca="1">SUMIF(金額!D:F,A10,金額!F:F)/1000</f>
        <v>0</v>
      </c>
      <c r="C10" s="122">
        <f ca="1">SUMIF(金額!$D:G,$A10,金額!G:G)/1000</f>
        <v>0</v>
      </c>
      <c r="D10" s="122">
        <f ca="1">SUMIF(金額!$D:H,$A10,金額!H:H)/1000</f>
        <v>0</v>
      </c>
      <c r="E10" s="122">
        <f ca="1">SUMIF(金額!$D:I,$A10,金額!I:I)/1000</f>
        <v>0</v>
      </c>
      <c r="F10" s="122">
        <f ca="1">SUMIF(金額!$D:J,$A10,金額!J:J)/1000</f>
        <v>0</v>
      </c>
      <c r="G10" s="122">
        <f ca="1">SUMIF(金額!$D:K,$A10,金額!K:K)/1000</f>
        <v>0</v>
      </c>
      <c r="H10" s="122">
        <f ca="1">SUMIF(金額!$D:L,$A10,金額!L:L)/1000</f>
        <v>0</v>
      </c>
      <c r="I10" s="122">
        <f ca="1">SUMIF(金額!$D:M,$A10,金額!M:M)/1000</f>
        <v>0</v>
      </c>
      <c r="J10" s="122">
        <f ca="1">SUMIF(金額!$D:N,$A10,金額!N:N)/1000</f>
        <v>0</v>
      </c>
      <c r="K10" s="122">
        <f ca="1">SUMIF(金額!$D:O,$A10,金額!O:O)/1000</f>
        <v>0</v>
      </c>
      <c r="L10" s="122">
        <f ca="1">SUMIF(金額!$D:P,$A10,金額!P:P)/1000</f>
        <v>0</v>
      </c>
      <c r="M10" s="122">
        <f ca="1">SUMIF(金額!$D:Q,$A10,金額!Q:Q)/1000</f>
        <v>0</v>
      </c>
      <c r="N10" s="122">
        <f ca="1">SUMIF(金額!$D:R,$A10,金額!R:R)/1000</f>
        <v>0</v>
      </c>
      <c r="O10" s="122">
        <f ca="1">SUMIF(金額!$D:S,$A10,金額!S:S)/1000</f>
        <v>0</v>
      </c>
      <c r="P10" s="122">
        <f ca="1">SUMIF(金額!$D:T,$A10,金額!T:T)/1000</f>
        <v>383.35</v>
      </c>
      <c r="Q10" s="122">
        <f ca="1">SUMIF(金額!$D:U,$A10,金額!U:U)/1000</f>
        <v>0</v>
      </c>
      <c r="R10" s="122">
        <f ca="1">SUMIF(金額!$D:V,$A10,金額!V:V)/1000</f>
        <v>0</v>
      </c>
      <c r="S10" s="122">
        <f ca="1">SUMIF(金額!$D:W,$A10,金額!W:W)/1000</f>
        <v>1630.8050000000001</v>
      </c>
      <c r="T10" s="123">
        <f t="shared" ca="1" si="1"/>
        <v>2014.1550000000002</v>
      </c>
      <c r="U10" s="125">
        <f t="shared" ca="1" si="0"/>
        <v>3.9959290449274373E-3</v>
      </c>
    </row>
    <row r="11" spans="1:21" ht="20.5" customHeight="1">
      <c r="A11" s="129" t="s">
        <v>865</v>
      </c>
      <c r="B11" s="130">
        <f ca="1">SUM(B4:B10)</f>
        <v>2958.89</v>
      </c>
      <c r="C11" s="130">
        <f t="shared" ref="C11:S11" ca="1" si="2">SUM(C4:C10)</f>
        <v>3926.4</v>
      </c>
      <c r="D11" s="130">
        <f t="shared" ca="1" si="2"/>
        <v>2963.3049999999998</v>
      </c>
      <c r="E11" s="130">
        <f t="shared" ca="1" si="2"/>
        <v>5776.5370000000003</v>
      </c>
      <c r="F11" s="130">
        <f t="shared" ca="1" si="2"/>
        <v>10656.442999999999</v>
      </c>
      <c r="G11" s="130">
        <f t="shared" ca="1" si="2"/>
        <v>7364.98</v>
      </c>
      <c r="H11" s="130">
        <f t="shared" ca="1" si="2"/>
        <v>30890.606</v>
      </c>
      <c r="I11" s="130">
        <f t="shared" ca="1" si="2"/>
        <v>20628.739999999998</v>
      </c>
      <c r="J11" s="130">
        <f t="shared" ca="1" si="2"/>
        <v>17188.097000000002</v>
      </c>
      <c r="K11" s="130">
        <f t="shared" ca="1" si="2"/>
        <v>28318.053</v>
      </c>
      <c r="L11" s="130">
        <f t="shared" ca="1" si="2"/>
        <v>66469.65800000001</v>
      </c>
      <c r="M11" s="130">
        <f t="shared" ca="1" si="2"/>
        <v>21138.327000000005</v>
      </c>
      <c r="N11" s="130">
        <f t="shared" ca="1" si="2"/>
        <v>50492.853000000003</v>
      </c>
      <c r="O11" s="130">
        <f t="shared" ca="1" si="2"/>
        <v>50070.954000000005</v>
      </c>
      <c r="P11" s="130">
        <f t="shared" ca="1" si="2"/>
        <v>165876.90100000001</v>
      </c>
      <c r="Q11" s="130">
        <f t="shared" ca="1" si="2"/>
        <v>0</v>
      </c>
      <c r="R11" s="130">
        <f t="shared" ca="1" si="2"/>
        <v>0</v>
      </c>
      <c r="S11" s="130">
        <f t="shared" ca="1" si="2"/>
        <v>19330.999</v>
      </c>
      <c r="T11" s="130">
        <f ca="1">SUM(T4:T10)</f>
        <v>504051.74300000002</v>
      </c>
      <c r="U11" s="131">
        <f t="shared" ca="1" si="0"/>
        <v>1</v>
      </c>
    </row>
    <row r="13" spans="1:21">
      <c r="B13" s="74">
        <v>2958890</v>
      </c>
      <c r="C13" s="38">
        <v>3926400</v>
      </c>
      <c r="D13" s="38">
        <v>2963305</v>
      </c>
      <c r="E13" s="38">
        <v>5776537</v>
      </c>
      <c r="F13" s="38">
        <v>10656443</v>
      </c>
      <c r="G13" s="38">
        <v>7364980</v>
      </c>
      <c r="H13" s="38">
        <v>30890606</v>
      </c>
      <c r="I13" s="38">
        <v>20628740</v>
      </c>
      <c r="J13" s="38">
        <v>17188097</v>
      </c>
      <c r="K13" s="38">
        <v>28318053</v>
      </c>
      <c r="L13" s="38">
        <v>66469658</v>
      </c>
      <c r="M13" s="38">
        <v>21138327</v>
      </c>
      <c r="N13" s="38">
        <v>50492853</v>
      </c>
      <c r="O13" s="38">
        <v>50070954</v>
      </c>
      <c r="P13" s="38">
        <v>165876901</v>
      </c>
      <c r="Q13" s="38">
        <v>0</v>
      </c>
      <c r="R13" s="38">
        <v>0</v>
      </c>
      <c r="S13" s="38">
        <v>19330999</v>
      </c>
    </row>
    <row r="18" spans="20:20">
      <c r="T18" s="38">
        <f>SUM(C18:N18)</f>
        <v>0</v>
      </c>
    </row>
    <row r="19" spans="20:20">
      <c r="T19" s="38">
        <f>SUM(C19:N19)</f>
        <v>0</v>
      </c>
    </row>
  </sheetData>
  <mergeCells count="4">
    <mergeCell ref="A2:A3"/>
    <mergeCell ref="T2:U2"/>
    <mergeCell ref="B2:G2"/>
    <mergeCell ref="H2:S2"/>
  </mergeCells>
  <phoneticPr fontId="2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"/>
  <sheetViews>
    <sheetView workbookViewId="0">
      <selection activeCell="W14" sqref="W14"/>
    </sheetView>
  </sheetViews>
  <sheetFormatPr defaultRowHeight="13"/>
  <cols>
    <col min="1" max="1" width="3.26953125" customWidth="1"/>
    <col min="2" max="2" width="9.08984375" customWidth="1"/>
    <col min="3" max="3" width="35.54296875" customWidth="1"/>
    <col min="4" max="4" width="12" customWidth="1"/>
    <col min="5" max="5" width="6.7265625" customWidth="1"/>
    <col min="6" max="6" width="13.453125" customWidth="1"/>
    <col min="7" max="7" width="6.7265625" customWidth="1"/>
  </cols>
  <sheetData>
    <row r="1" spans="1:7" ht="14">
      <c r="A1" s="156" t="s">
        <v>781</v>
      </c>
      <c r="B1" s="156" t="s">
        <v>3</v>
      </c>
      <c r="C1" s="156" t="s">
        <v>4</v>
      </c>
      <c r="D1" s="158" t="s">
        <v>1097</v>
      </c>
      <c r="E1" s="159"/>
      <c r="F1" s="159"/>
      <c r="G1" s="160"/>
    </row>
    <row r="2" spans="1:7">
      <c r="A2" s="156"/>
      <c r="B2" s="156"/>
      <c r="C2" s="156"/>
      <c r="D2" s="109" t="s">
        <v>864</v>
      </c>
      <c r="E2" s="109" t="s">
        <v>850</v>
      </c>
      <c r="F2" s="109" t="s">
        <v>867</v>
      </c>
      <c r="G2" s="109" t="s">
        <v>850</v>
      </c>
    </row>
    <row r="3" spans="1:7" ht="14">
      <c r="A3" s="110">
        <v>1</v>
      </c>
      <c r="B3" s="110" t="s">
        <v>608</v>
      </c>
      <c r="C3" s="110" t="s">
        <v>609</v>
      </c>
      <c r="D3" s="111">
        <v>181809</v>
      </c>
      <c r="E3" s="112">
        <f>D3/$D$14</f>
        <v>0.35378146027841884</v>
      </c>
      <c r="F3" s="111">
        <v>119682.42</v>
      </c>
      <c r="G3" s="112">
        <f>F3/$F$14</f>
        <v>0.23744074226919198</v>
      </c>
    </row>
    <row r="4" spans="1:7" ht="14">
      <c r="A4" s="110">
        <v>2</v>
      </c>
      <c r="B4" s="110" t="s">
        <v>503</v>
      </c>
      <c r="C4" s="110" t="s">
        <v>504</v>
      </c>
      <c r="D4" s="111">
        <v>40625</v>
      </c>
      <c r="E4" s="112">
        <f t="shared" ref="E4:E14" si="0">D4/$D$14</f>
        <v>7.9052037158835728E-2</v>
      </c>
      <c r="F4" s="111">
        <v>106884.25</v>
      </c>
      <c r="G4" s="112">
        <f t="shared" ref="G4:G14" si="1">F4/$F$14</f>
        <v>0.2120501545413761</v>
      </c>
    </row>
    <row r="5" spans="1:7" ht="14">
      <c r="A5" s="110">
        <v>3</v>
      </c>
      <c r="B5" s="110" t="s">
        <v>583</v>
      </c>
      <c r="C5" s="110" t="s">
        <v>888</v>
      </c>
      <c r="D5" s="111">
        <v>36263</v>
      </c>
      <c r="E5" s="112">
        <f t="shared" si="0"/>
        <v>7.0564037501313487E-2</v>
      </c>
      <c r="F5" s="111">
        <v>29235.525000000001</v>
      </c>
      <c r="G5" s="112">
        <f t="shared" si="1"/>
        <v>5.8001039389323175E-2</v>
      </c>
    </row>
    <row r="6" spans="1:7" ht="14">
      <c r="A6" s="110">
        <v>4</v>
      </c>
      <c r="B6" s="110" t="s">
        <v>889</v>
      </c>
      <c r="C6" s="110" t="s">
        <v>980</v>
      </c>
      <c r="D6" s="111">
        <v>23558</v>
      </c>
      <c r="E6" s="112">
        <f t="shared" si="0"/>
        <v>4.5841425018777901E-2</v>
      </c>
      <c r="F6" s="111">
        <v>16325.694</v>
      </c>
      <c r="G6" s="112">
        <f t="shared" si="1"/>
        <v>3.238892480131747E-2</v>
      </c>
    </row>
    <row r="7" spans="1:7" ht="14">
      <c r="A7" s="110">
        <v>5</v>
      </c>
      <c r="B7" s="110" t="s">
        <v>212</v>
      </c>
      <c r="C7" s="110" t="s">
        <v>213</v>
      </c>
      <c r="D7" s="113">
        <v>21800</v>
      </c>
      <c r="E7" s="114">
        <f t="shared" si="0"/>
        <v>4.2420539324618312E-2</v>
      </c>
      <c r="F7" s="111">
        <v>9306</v>
      </c>
      <c r="G7" s="112">
        <f t="shared" si="1"/>
        <v>1.8462390278848811E-2</v>
      </c>
    </row>
    <row r="8" spans="1:7" ht="14">
      <c r="A8" s="110">
        <v>6</v>
      </c>
      <c r="B8" s="110" t="s">
        <v>442</v>
      </c>
      <c r="C8" s="110" t="s">
        <v>443</v>
      </c>
      <c r="D8" s="111">
        <v>9498</v>
      </c>
      <c r="E8" s="112">
        <f t="shared" si="0"/>
        <v>1.8482123050698383E-2</v>
      </c>
      <c r="F8" s="111">
        <v>6343.48</v>
      </c>
      <c r="G8" s="112">
        <f t="shared" si="1"/>
        <v>1.2584977808518359E-2</v>
      </c>
    </row>
    <row r="9" spans="1:7" ht="14">
      <c r="A9" s="110">
        <v>7</v>
      </c>
      <c r="B9" s="110" t="s">
        <v>674</v>
      </c>
      <c r="C9" s="110" t="s">
        <v>675</v>
      </c>
      <c r="D9" s="111">
        <v>7815</v>
      </c>
      <c r="E9" s="112">
        <f t="shared" si="0"/>
        <v>1.5207179578985876E-2</v>
      </c>
      <c r="F9" s="111">
        <v>5157.8999999999996</v>
      </c>
      <c r="G9" s="112">
        <f t="shared" si="1"/>
        <v>1.0232878016255564E-2</v>
      </c>
    </row>
    <row r="10" spans="1:7" ht="14">
      <c r="A10" s="110">
        <v>8</v>
      </c>
      <c r="B10" s="110" t="s">
        <v>890</v>
      </c>
      <c r="C10" s="110" t="s">
        <v>891</v>
      </c>
      <c r="D10" s="111">
        <v>6700</v>
      </c>
      <c r="E10" s="112">
        <f t="shared" si="0"/>
        <v>1.3037505205272601E-2</v>
      </c>
      <c r="F10" s="111">
        <v>4422</v>
      </c>
      <c r="G10" s="112">
        <f t="shared" si="1"/>
        <v>8.772908855906883E-3</v>
      </c>
    </row>
    <row r="11" spans="1:7" ht="14">
      <c r="A11" s="110">
        <v>9</v>
      </c>
      <c r="B11" s="110" t="s">
        <v>892</v>
      </c>
      <c r="C11" s="110" t="s">
        <v>893</v>
      </c>
      <c r="D11" s="111">
        <v>6456</v>
      </c>
      <c r="E11" s="112">
        <f t="shared" si="0"/>
        <v>1.2562706508244762E-2</v>
      </c>
      <c r="F11" s="111">
        <v>4260.96</v>
      </c>
      <c r="G11" s="112">
        <f t="shared" si="1"/>
        <v>8.4534178468260949E-3</v>
      </c>
    </row>
    <row r="12" spans="1:7" ht="14">
      <c r="A12" s="110">
        <v>10</v>
      </c>
      <c r="B12" s="110" t="s">
        <v>563</v>
      </c>
      <c r="C12" s="110" t="s">
        <v>564</v>
      </c>
      <c r="D12" s="111">
        <v>6288</v>
      </c>
      <c r="E12" s="112">
        <f t="shared" si="0"/>
        <v>1.22357959299633E-2</v>
      </c>
      <c r="F12" s="111">
        <v>3903.9</v>
      </c>
      <c r="G12" s="112">
        <f t="shared" si="1"/>
        <v>7.7450381914461507E-3</v>
      </c>
    </row>
    <row r="13" spans="1:7" ht="14">
      <c r="A13" s="110">
        <v>11</v>
      </c>
      <c r="B13" s="110" t="s">
        <v>866</v>
      </c>
      <c r="C13" s="110"/>
      <c r="D13" s="111">
        <f>D14-SUM(D3:D12)</f>
        <v>173090</v>
      </c>
      <c r="E13" s="112">
        <f t="shared" si="0"/>
        <v>0.33681519044487079</v>
      </c>
      <c r="F13" s="111">
        <f>F14-SUM(F3:F12)</f>
        <v>198529.614</v>
      </c>
      <c r="G13" s="112">
        <f t="shared" si="1"/>
        <v>0.39386752800098934</v>
      </c>
    </row>
    <row r="14" spans="1:7" ht="14">
      <c r="A14" s="157" t="s">
        <v>865</v>
      </c>
      <c r="B14" s="157"/>
      <c r="C14" s="115" t="s">
        <v>0</v>
      </c>
      <c r="D14" s="115">
        <v>513902</v>
      </c>
      <c r="E14" s="116">
        <f t="shared" si="0"/>
        <v>1</v>
      </c>
      <c r="F14" s="115">
        <v>504051.74300000002</v>
      </c>
      <c r="G14" s="116">
        <f t="shared" si="1"/>
        <v>1</v>
      </c>
    </row>
    <row r="16" spans="1:7">
      <c r="G16" s="37"/>
    </row>
    <row r="17" spans="7:7">
      <c r="G17" s="37"/>
    </row>
    <row r="18" spans="7:7">
      <c r="G18" s="37"/>
    </row>
    <row r="19" spans="7:7">
      <c r="G19" s="37"/>
    </row>
    <row r="20" spans="7:7">
      <c r="G20" s="37"/>
    </row>
    <row r="21" spans="7:7">
      <c r="G21" s="37"/>
    </row>
    <row r="22" spans="7:7">
      <c r="G22" s="37"/>
    </row>
    <row r="23" spans="7:7">
      <c r="G23" s="37"/>
    </row>
    <row r="24" spans="7:7">
      <c r="G24" s="37"/>
    </row>
    <row r="25" spans="7:7">
      <c r="G25" s="37"/>
    </row>
  </sheetData>
  <mergeCells count="5">
    <mergeCell ref="A1:A2"/>
    <mergeCell ref="B1:B2"/>
    <mergeCell ref="C1:C2"/>
    <mergeCell ref="A14:B14"/>
    <mergeCell ref="D1:G1"/>
  </mergeCells>
  <phoneticPr fontId="2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"/>
  <sheetViews>
    <sheetView workbookViewId="0">
      <selection activeCell="F4" sqref="F4:F13"/>
    </sheetView>
  </sheetViews>
  <sheetFormatPr defaultRowHeight="14.5"/>
  <cols>
    <col min="1" max="1" width="4" style="92" customWidth="1"/>
    <col min="2" max="2" width="10.08984375" style="92" customWidth="1"/>
    <col min="3" max="3" width="43.453125" style="92" customWidth="1"/>
    <col min="4" max="4" width="9.81640625" style="92" bestFit="1" customWidth="1"/>
    <col min="5" max="5" width="13.81640625" style="92" customWidth="1"/>
    <col min="6" max="6" width="12.54296875" style="92" bestFit="1" customWidth="1"/>
    <col min="7" max="16384" width="8.7265625" style="92"/>
  </cols>
  <sheetData>
    <row r="1" spans="1:6" ht="15" thickBot="1">
      <c r="A1" s="92" t="s">
        <v>895</v>
      </c>
    </row>
    <row r="2" spans="1:6">
      <c r="A2" s="162" t="s">
        <v>781</v>
      </c>
      <c r="B2" s="161" t="s">
        <v>3</v>
      </c>
      <c r="C2" s="161" t="s">
        <v>4</v>
      </c>
      <c r="D2" s="164" t="s">
        <v>0</v>
      </c>
      <c r="E2" s="165"/>
    </row>
    <row r="3" spans="1:6">
      <c r="A3" s="163"/>
      <c r="B3" s="144"/>
      <c r="C3" s="144"/>
      <c r="D3" s="93" t="s">
        <v>1</v>
      </c>
      <c r="E3" s="94" t="s">
        <v>2</v>
      </c>
    </row>
    <row r="4" spans="1:6">
      <c r="A4" s="95">
        <v>1</v>
      </c>
      <c r="B4" s="47" t="s">
        <v>608</v>
      </c>
      <c r="C4" s="48" t="s">
        <v>609</v>
      </c>
      <c r="D4" s="96">
        <v>181809</v>
      </c>
      <c r="E4" s="97">
        <v>119682420</v>
      </c>
      <c r="F4" s="92">
        <f>E4/1000</f>
        <v>119682.42</v>
      </c>
    </row>
    <row r="5" spans="1:6">
      <c r="A5" s="98">
        <v>2</v>
      </c>
      <c r="B5" s="57" t="s">
        <v>503</v>
      </c>
      <c r="C5" s="99" t="s">
        <v>504</v>
      </c>
      <c r="D5" s="100">
        <v>40625</v>
      </c>
      <c r="E5" s="97">
        <v>106884250</v>
      </c>
      <c r="F5" s="92">
        <f t="shared" ref="F5:F13" si="0">E5/1000</f>
        <v>106884.25</v>
      </c>
    </row>
    <row r="6" spans="1:6">
      <c r="A6" s="98">
        <v>3</v>
      </c>
      <c r="B6" s="57" t="s">
        <v>583</v>
      </c>
      <c r="C6" s="99" t="s">
        <v>888</v>
      </c>
      <c r="D6" s="100">
        <v>36263</v>
      </c>
      <c r="E6" s="97">
        <v>29235525</v>
      </c>
      <c r="F6" s="92">
        <f t="shared" si="0"/>
        <v>29235.525000000001</v>
      </c>
    </row>
    <row r="7" spans="1:6">
      <c r="A7" s="98">
        <v>4</v>
      </c>
      <c r="B7" s="57" t="s">
        <v>889</v>
      </c>
      <c r="C7" s="99" t="s">
        <v>980</v>
      </c>
      <c r="D7" s="100">
        <v>23558</v>
      </c>
      <c r="E7" s="97">
        <v>16325694</v>
      </c>
      <c r="F7" s="92">
        <f t="shared" si="0"/>
        <v>16325.694</v>
      </c>
    </row>
    <row r="8" spans="1:6">
      <c r="A8" s="98">
        <v>5</v>
      </c>
      <c r="B8" s="57" t="s">
        <v>212</v>
      </c>
      <c r="C8" s="99" t="s">
        <v>213</v>
      </c>
      <c r="D8" s="100">
        <v>21800</v>
      </c>
      <c r="E8" s="97">
        <v>9306000</v>
      </c>
      <c r="F8" s="92">
        <f t="shared" si="0"/>
        <v>9306</v>
      </c>
    </row>
    <row r="9" spans="1:6">
      <c r="A9" s="98">
        <v>6</v>
      </c>
      <c r="B9" s="57" t="s">
        <v>442</v>
      </c>
      <c r="C9" s="99" t="s">
        <v>443</v>
      </c>
      <c r="D9" s="100">
        <v>9498</v>
      </c>
      <c r="E9" s="97">
        <v>6343480</v>
      </c>
      <c r="F9" s="92">
        <f t="shared" si="0"/>
        <v>6343.48</v>
      </c>
    </row>
    <row r="10" spans="1:6">
      <c r="A10" s="98">
        <v>7</v>
      </c>
      <c r="B10" s="57" t="s">
        <v>674</v>
      </c>
      <c r="C10" s="99" t="s">
        <v>675</v>
      </c>
      <c r="D10" s="100">
        <v>7815</v>
      </c>
      <c r="E10" s="97">
        <v>5157900</v>
      </c>
      <c r="F10" s="92">
        <f t="shared" si="0"/>
        <v>5157.8999999999996</v>
      </c>
    </row>
    <row r="11" spans="1:6">
      <c r="A11" s="98">
        <v>8</v>
      </c>
      <c r="B11" s="57" t="s">
        <v>890</v>
      </c>
      <c r="C11" s="99" t="s">
        <v>891</v>
      </c>
      <c r="D11" s="100">
        <v>6700</v>
      </c>
      <c r="E11" s="97">
        <v>4422000</v>
      </c>
      <c r="F11" s="92">
        <f t="shared" si="0"/>
        <v>4422</v>
      </c>
    </row>
    <row r="12" spans="1:6">
      <c r="A12" s="98">
        <v>9</v>
      </c>
      <c r="B12" s="57" t="s">
        <v>892</v>
      </c>
      <c r="C12" s="99" t="s">
        <v>893</v>
      </c>
      <c r="D12" s="100">
        <v>6456</v>
      </c>
      <c r="E12" s="97">
        <v>4260960</v>
      </c>
      <c r="F12" s="92">
        <f t="shared" si="0"/>
        <v>4260.96</v>
      </c>
    </row>
    <row r="13" spans="1:6" ht="15" thickBot="1">
      <c r="A13" s="101">
        <v>10</v>
      </c>
      <c r="B13" s="102" t="s">
        <v>563</v>
      </c>
      <c r="C13" s="103" t="s">
        <v>564</v>
      </c>
      <c r="D13" s="104">
        <v>6288</v>
      </c>
      <c r="E13" s="105">
        <v>3903900</v>
      </c>
      <c r="F13" s="92">
        <f t="shared" si="0"/>
        <v>3903.9</v>
      </c>
    </row>
  </sheetData>
  <mergeCells count="4">
    <mergeCell ref="C2:C3"/>
    <mergeCell ref="B2:B3"/>
    <mergeCell ref="A2:A3"/>
    <mergeCell ref="D2:E2"/>
  </mergeCells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B0375-3513-4D63-ABA6-01BA1ECD7933}">
  <dimension ref="A1:Q205"/>
  <sheetViews>
    <sheetView zoomScale="90" zoomScaleNormal="90" workbookViewId="0">
      <selection activeCell="B9" sqref="B9"/>
    </sheetView>
  </sheetViews>
  <sheetFormatPr defaultRowHeight="13"/>
  <cols>
    <col min="1" max="1" width="20.6328125" customWidth="1"/>
    <col min="2" max="2" width="15.7265625" customWidth="1"/>
    <col min="3" max="3" width="11.1796875" customWidth="1"/>
    <col min="4" max="4" width="17.81640625" customWidth="1"/>
    <col min="5" max="5" width="10.90625" customWidth="1"/>
  </cols>
  <sheetData>
    <row r="1" spans="1:5">
      <c r="A1" s="81" t="s">
        <v>883</v>
      </c>
      <c r="B1" s="90" t="s">
        <v>1</v>
      </c>
      <c r="C1" s="89" t="s">
        <v>850</v>
      </c>
      <c r="D1" s="82" t="s">
        <v>2</v>
      </c>
      <c r="E1" s="82" t="s">
        <v>850</v>
      </c>
    </row>
    <row r="2" spans="1:5" ht="14.5">
      <c r="A2" s="47" t="s">
        <v>884</v>
      </c>
      <c r="B2" s="76">
        <v>72449</v>
      </c>
      <c r="C2" s="85">
        <f>B2/$B$9</f>
        <v>0.15128273661614791</v>
      </c>
      <c r="D2" s="77">
        <v>51994077</v>
      </c>
      <c r="E2" s="84">
        <f t="shared" ref="E2:E9" si="0">D2/$D$9</f>
        <v>0.1105304072454235</v>
      </c>
    </row>
    <row r="3" spans="1:5" ht="14.5">
      <c r="A3" s="47" t="s">
        <v>1078</v>
      </c>
      <c r="B3" s="78">
        <v>18216</v>
      </c>
      <c r="C3" s="86">
        <f t="shared" ref="C3:C8" si="1">B3/$B$9</f>
        <v>3.8037327364073351E-2</v>
      </c>
      <c r="D3" s="77">
        <v>10533318</v>
      </c>
      <c r="E3" s="84">
        <f t="shared" si="0"/>
        <v>2.2392010693555533E-2</v>
      </c>
    </row>
    <row r="4" spans="1:5" ht="14.5">
      <c r="A4" s="47" t="s">
        <v>1080</v>
      </c>
      <c r="B4" s="78">
        <v>111157</v>
      </c>
      <c r="C4" s="86">
        <f t="shared" si="1"/>
        <v>0.23210996913747814</v>
      </c>
      <c r="D4" s="79">
        <v>207221410</v>
      </c>
      <c r="E4" s="84">
        <f t="shared" si="0"/>
        <v>0.44051684651062989</v>
      </c>
    </row>
    <row r="5" spans="1:5" ht="14.5">
      <c r="A5" s="47" t="s">
        <v>1089</v>
      </c>
      <c r="B5" s="78">
        <v>234688</v>
      </c>
      <c r="C5" s="86">
        <f t="shared" si="1"/>
        <v>0.49005842580257175</v>
      </c>
      <c r="D5" s="107">
        <v>154423493</v>
      </c>
      <c r="E5" s="84">
        <f t="shared" si="0"/>
        <v>0.32827761457426785</v>
      </c>
    </row>
    <row r="6" spans="1:5" ht="14.5">
      <c r="A6" s="47" t="s">
        <v>1082</v>
      </c>
      <c r="B6" s="79">
        <v>26607</v>
      </c>
      <c r="C6" s="86">
        <f t="shared" si="1"/>
        <v>5.5558803753617679E-2</v>
      </c>
      <c r="D6" s="77">
        <v>12208405</v>
      </c>
      <c r="E6" s="84">
        <f t="shared" si="0"/>
        <v>2.5952955688915574E-2</v>
      </c>
    </row>
    <row r="7" spans="1:5" ht="14.5">
      <c r="A7" s="47" t="s">
        <v>1085</v>
      </c>
      <c r="B7" s="78">
        <v>15031</v>
      </c>
      <c r="C7" s="86">
        <f t="shared" si="1"/>
        <v>3.1386641831872342E-2</v>
      </c>
      <c r="D7" s="77">
        <v>32010330</v>
      </c>
      <c r="E7" s="84">
        <f t="shared" si="0"/>
        <v>6.8048420418356445E-2</v>
      </c>
    </row>
    <row r="8" spans="1:5" ht="14.5">
      <c r="A8" s="47" t="s">
        <v>1076</v>
      </c>
      <c r="B8" s="78">
        <v>750</v>
      </c>
      <c r="C8" s="86">
        <f t="shared" si="1"/>
        <v>1.5660954942388566E-3</v>
      </c>
      <c r="D8" s="77">
        <v>2014155</v>
      </c>
      <c r="E8" s="84">
        <f t="shared" si="0"/>
        <v>4.2817448688512337E-3</v>
      </c>
    </row>
    <row r="9" spans="1:5" ht="14.5">
      <c r="A9" s="83" t="s">
        <v>0</v>
      </c>
      <c r="B9" s="80">
        <f>SUM(B2:B8)</f>
        <v>478898</v>
      </c>
      <c r="C9" s="87">
        <f t="shared" ref="C9" si="2">B9/$B$9</f>
        <v>1</v>
      </c>
      <c r="D9" s="80">
        <f>SUM(D2:D8)</f>
        <v>470405188</v>
      </c>
      <c r="E9" s="88">
        <f t="shared" si="0"/>
        <v>1</v>
      </c>
    </row>
    <row r="205" spans="17:17">
      <c r="Q205">
        <f>SUM(Q206:Q212)</f>
        <v>0</v>
      </c>
    </row>
  </sheetData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7"/>
  <sheetViews>
    <sheetView zoomScale="80" zoomScaleNormal="80" workbookViewId="0">
      <selection activeCell="A2" sqref="A2:T7"/>
    </sheetView>
  </sheetViews>
  <sheetFormatPr defaultRowHeight="12"/>
  <cols>
    <col min="1" max="1" width="14.1796875" style="1" customWidth="1"/>
    <col min="2" max="2" width="8.1796875" style="132" customWidth="1"/>
    <col min="3" max="3" width="10.36328125" style="132" customWidth="1"/>
    <col min="4" max="19" width="8.1796875" style="132" customWidth="1"/>
    <col min="20" max="20" width="9.90625" style="133" customWidth="1"/>
    <col min="21" max="21" width="8.7265625" style="1"/>
    <col min="22" max="22" width="8.7265625" style="1" customWidth="1"/>
    <col min="23" max="16384" width="8.7265625" style="1"/>
  </cols>
  <sheetData>
    <row r="1" spans="1:20">
      <c r="N1" s="133"/>
      <c r="O1" s="133"/>
      <c r="P1" s="133"/>
      <c r="Q1" s="133"/>
      <c r="R1" s="133"/>
      <c r="S1" s="133"/>
    </row>
    <row r="2" spans="1:20" ht="14.5" customHeight="1">
      <c r="A2" s="168" t="s">
        <v>853</v>
      </c>
      <c r="B2" s="166">
        <v>2024</v>
      </c>
      <c r="C2" s="166"/>
      <c r="D2" s="166"/>
      <c r="E2" s="166"/>
      <c r="F2" s="166"/>
      <c r="G2" s="166"/>
      <c r="H2" s="170">
        <v>2025</v>
      </c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2"/>
      <c r="T2" s="167" t="s">
        <v>0</v>
      </c>
    </row>
    <row r="3" spans="1:20" ht="14.5" customHeight="1">
      <c r="A3" s="169"/>
      <c r="B3" s="134" t="s">
        <v>837</v>
      </c>
      <c r="C3" s="134" t="s">
        <v>838</v>
      </c>
      <c r="D3" s="134" t="s">
        <v>839</v>
      </c>
      <c r="E3" s="134" t="s">
        <v>840</v>
      </c>
      <c r="F3" s="134" t="s">
        <v>841</v>
      </c>
      <c r="G3" s="134" t="s">
        <v>842</v>
      </c>
      <c r="H3" s="134" t="s">
        <v>843</v>
      </c>
      <c r="I3" s="134" t="s">
        <v>844</v>
      </c>
      <c r="J3" s="134" t="s">
        <v>845</v>
      </c>
      <c r="K3" s="134" t="s">
        <v>846</v>
      </c>
      <c r="L3" s="134" t="s">
        <v>847</v>
      </c>
      <c r="M3" s="134" t="s">
        <v>848</v>
      </c>
      <c r="N3" s="134" t="s">
        <v>836</v>
      </c>
      <c r="O3" s="134" t="s">
        <v>838</v>
      </c>
      <c r="P3" s="134" t="s">
        <v>839</v>
      </c>
      <c r="Q3" s="134" t="s">
        <v>840</v>
      </c>
      <c r="R3" s="134" t="s">
        <v>841</v>
      </c>
      <c r="S3" s="134" t="s">
        <v>842</v>
      </c>
      <c r="T3" s="167"/>
    </row>
    <row r="4" spans="1:20" ht="13.5">
      <c r="A4" s="128" t="s">
        <v>851</v>
      </c>
      <c r="B4" s="110">
        <v>6619.6350000000002</v>
      </c>
      <c r="C4" s="110">
        <v>5543.8950000000004</v>
      </c>
      <c r="D4" s="110">
        <v>5423.8950000000004</v>
      </c>
      <c r="E4" s="110">
        <v>12794.087</v>
      </c>
      <c r="F4" s="110">
        <v>15671.343000000001</v>
      </c>
      <c r="G4" s="110">
        <v>7639.98</v>
      </c>
      <c r="H4" s="110">
        <v>28082.369090909095</v>
      </c>
      <c r="I4" s="110">
        <v>21375</v>
      </c>
      <c r="J4" s="110">
        <v>15625.542727272728</v>
      </c>
      <c r="K4" s="110">
        <v>25743.684545454547</v>
      </c>
      <c r="L4" s="110">
        <v>62630.611818181816</v>
      </c>
      <c r="M4" s="110">
        <v>26933.610909090909</v>
      </c>
      <c r="N4" s="110">
        <v>45902.593636363636</v>
      </c>
      <c r="O4" s="110">
        <v>45519.049090909095</v>
      </c>
      <c r="P4" s="110">
        <v>150797.18272727271</v>
      </c>
      <c r="Q4" s="110">
        <v>0</v>
      </c>
      <c r="R4" s="110">
        <v>0</v>
      </c>
      <c r="S4" s="110">
        <v>17573.635454545456</v>
      </c>
      <c r="T4" s="135">
        <f>SUM(B4:S4)</f>
        <v>493876.11499999993</v>
      </c>
    </row>
    <row r="5" spans="1:20" s="15" customFormat="1" ht="13.5">
      <c r="A5" s="136" t="s">
        <v>852</v>
      </c>
      <c r="B5" s="137">
        <v>2958.89</v>
      </c>
      <c r="C5" s="137">
        <v>3926.4</v>
      </c>
      <c r="D5" s="137">
        <v>2963.3049999999998</v>
      </c>
      <c r="E5" s="137">
        <v>5776.5370000000003</v>
      </c>
      <c r="F5" s="137">
        <v>10656.442999999999</v>
      </c>
      <c r="G5" s="110">
        <v>7364.98</v>
      </c>
      <c r="H5" s="137">
        <v>28082.369090909095</v>
      </c>
      <c r="I5" s="137">
        <v>18753.400000000001</v>
      </c>
      <c r="J5" s="137">
        <v>15625.542727272728</v>
      </c>
      <c r="K5" s="137">
        <v>25743.684545454547</v>
      </c>
      <c r="L5" s="137">
        <v>60426.961818181822</v>
      </c>
      <c r="M5" s="137">
        <v>19216.660909090911</v>
      </c>
      <c r="N5" s="137">
        <v>45902.593636363636</v>
      </c>
      <c r="O5" s="137">
        <v>45519.049090909095</v>
      </c>
      <c r="P5" s="137">
        <v>150797.18272727271</v>
      </c>
      <c r="Q5" s="137">
        <v>0</v>
      </c>
      <c r="R5" s="137">
        <v>0</v>
      </c>
      <c r="S5" s="137">
        <v>16383.285454545456</v>
      </c>
      <c r="T5" s="135">
        <f t="shared" ref="T5:T6" si="0">SUM(B5:S5)</f>
        <v>460097.28499999997</v>
      </c>
    </row>
    <row r="6" spans="1:20" s="15" customFormat="1" ht="13.5">
      <c r="A6" s="136" t="s">
        <v>854</v>
      </c>
      <c r="B6" s="137">
        <f>B4-B5</f>
        <v>3660.7450000000003</v>
      </c>
      <c r="C6" s="137">
        <f t="shared" ref="C6:N6" si="1">C4-C5</f>
        <v>1617.4950000000003</v>
      </c>
      <c r="D6" s="137">
        <f t="shared" si="1"/>
        <v>2460.5900000000006</v>
      </c>
      <c r="E6" s="137">
        <f t="shared" si="1"/>
        <v>7017.5499999999993</v>
      </c>
      <c r="F6" s="137">
        <f t="shared" si="1"/>
        <v>5014.9000000000015</v>
      </c>
      <c r="G6" s="110">
        <f t="shared" si="1"/>
        <v>275</v>
      </c>
      <c r="H6" s="137">
        <f t="shared" si="1"/>
        <v>0</v>
      </c>
      <c r="I6" s="137">
        <f t="shared" si="1"/>
        <v>2621.5999999999985</v>
      </c>
      <c r="J6" s="137">
        <f t="shared" si="1"/>
        <v>0</v>
      </c>
      <c r="K6" s="137">
        <f t="shared" si="1"/>
        <v>0</v>
      </c>
      <c r="L6" s="137">
        <f t="shared" si="1"/>
        <v>2203.6499999999942</v>
      </c>
      <c r="M6" s="137">
        <f t="shared" si="1"/>
        <v>7716.9499999999971</v>
      </c>
      <c r="N6" s="137">
        <f t="shared" si="1"/>
        <v>0</v>
      </c>
      <c r="O6" s="137"/>
      <c r="P6" s="137"/>
      <c r="Q6" s="137"/>
      <c r="R6" s="137"/>
      <c r="S6" s="137"/>
      <c r="T6" s="135">
        <f t="shared" si="0"/>
        <v>32588.479999999992</v>
      </c>
    </row>
    <row r="7" spans="1:20" ht="13.5">
      <c r="A7" s="138" t="s">
        <v>849</v>
      </c>
      <c r="B7" s="139">
        <f t="shared" ref="B7:T7" si="2">B5/B4</f>
        <v>0.44698688069659426</v>
      </c>
      <c r="C7" s="139">
        <f t="shared" si="2"/>
        <v>0.70823852183347624</v>
      </c>
      <c r="D7" s="139">
        <f t="shared" si="2"/>
        <v>0.54634261909568671</v>
      </c>
      <c r="E7" s="139">
        <f t="shared" si="2"/>
        <v>0.45150052520355693</v>
      </c>
      <c r="F7" s="139">
        <f t="shared" si="2"/>
        <v>0.6799955179335937</v>
      </c>
      <c r="G7" s="139">
        <f t="shared" si="2"/>
        <v>0.9640051413747156</v>
      </c>
      <c r="H7" s="139">
        <f t="shared" si="2"/>
        <v>1</v>
      </c>
      <c r="I7" s="139">
        <f t="shared" si="2"/>
        <v>0.87735204678362577</v>
      </c>
      <c r="J7" s="139">
        <f t="shared" si="2"/>
        <v>1</v>
      </c>
      <c r="K7" s="139">
        <f t="shared" si="2"/>
        <v>1</v>
      </c>
      <c r="L7" s="139">
        <f t="shared" si="2"/>
        <v>0.96481512895966526</v>
      </c>
      <c r="M7" s="139">
        <f t="shared" si="2"/>
        <v>0.71348253206571377</v>
      </c>
      <c r="N7" s="139">
        <f t="shared" si="2"/>
        <v>1</v>
      </c>
      <c r="O7" s="139">
        <f t="shared" si="2"/>
        <v>1</v>
      </c>
      <c r="P7" s="139">
        <f t="shared" si="2"/>
        <v>1</v>
      </c>
      <c r="Q7" s="139" t="e">
        <f t="shared" si="2"/>
        <v>#DIV/0!</v>
      </c>
      <c r="R7" s="139" t="e">
        <f t="shared" si="2"/>
        <v>#DIV/0!</v>
      </c>
      <c r="S7" s="139">
        <f t="shared" si="2"/>
        <v>0.9322650112392018</v>
      </c>
      <c r="T7" s="140">
        <f t="shared" si="2"/>
        <v>0.93160464947773403</v>
      </c>
    </row>
  </sheetData>
  <mergeCells count="4">
    <mergeCell ref="B2:G2"/>
    <mergeCell ref="T2:T3"/>
    <mergeCell ref="A2:A3"/>
    <mergeCell ref="H2:S2"/>
  </mergeCells>
  <phoneticPr fontId="2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4"/>
  <sheetViews>
    <sheetView zoomScale="60" zoomScaleNormal="60" workbookViewId="0">
      <selection activeCell="Q25" sqref="Q25"/>
    </sheetView>
  </sheetViews>
  <sheetFormatPr defaultRowHeight="12"/>
  <cols>
    <col min="1" max="1" width="4.6328125" style="1" customWidth="1"/>
    <col min="2" max="2" width="19.7265625" style="1" customWidth="1"/>
    <col min="3" max="3" width="10.1796875" style="1" customWidth="1"/>
    <col min="4" max="4" width="42.36328125" style="1" customWidth="1"/>
    <col min="5" max="11" width="13.26953125" style="2" customWidth="1"/>
    <col min="12" max="12" width="13.6328125" style="1" customWidth="1"/>
    <col min="13" max="13" width="14" style="1" customWidth="1"/>
    <col min="14" max="16384" width="8.7265625" style="1"/>
  </cols>
  <sheetData>
    <row r="1" spans="1:13" ht="14.5" customHeight="1">
      <c r="A1" s="18" t="s">
        <v>781</v>
      </c>
      <c r="B1" s="19" t="s">
        <v>782</v>
      </c>
      <c r="C1" s="18" t="s">
        <v>3</v>
      </c>
      <c r="D1" s="18" t="s">
        <v>4</v>
      </c>
      <c r="E1" s="21">
        <v>45658</v>
      </c>
      <c r="F1" s="21">
        <v>45690</v>
      </c>
      <c r="G1" s="21">
        <v>45722</v>
      </c>
      <c r="H1" s="21">
        <v>45754</v>
      </c>
      <c r="I1" s="21">
        <v>45786</v>
      </c>
      <c r="J1" s="21">
        <v>45818</v>
      </c>
      <c r="K1" s="21">
        <v>45848</v>
      </c>
      <c r="L1" s="21">
        <v>45880</v>
      </c>
      <c r="M1" s="21">
        <v>45912</v>
      </c>
    </row>
    <row r="2" spans="1:13" s="15" customFormat="1">
      <c r="A2" s="16" t="s">
        <v>0</v>
      </c>
      <c r="B2" s="17"/>
      <c r="C2" s="17"/>
      <c r="D2" s="20" t="s">
        <v>0</v>
      </c>
      <c r="E2" s="14">
        <v>30890.606000000003</v>
      </c>
      <c r="F2" s="14">
        <v>20628.739999999998</v>
      </c>
      <c r="G2" s="14">
        <v>17188.097000000002</v>
      </c>
      <c r="H2" s="14">
        <v>28318.053</v>
      </c>
      <c r="I2" s="14">
        <v>66469.657999999996</v>
      </c>
      <c r="J2" s="14">
        <v>21138.327000000001</v>
      </c>
      <c r="K2" s="14">
        <v>50492.853000000003</v>
      </c>
      <c r="L2" s="14">
        <v>39510.953999999998</v>
      </c>
      <c r="M2" s="14">
        <v>165876.90100000001</v>
      </c>
    </row>
    <row r="3" spans="1:13">
      <c r="A3" s="3">
        <v>1</v>
      </c>
      <c r="B3" s="4">
        <v>4971710576306</v>
      </c>
      <c r="C3" s="5" t="s">
        <v>608</v>
      </c>
      <c r="D3" s="6" t="s">
        <v>609</v>
      </c>
      <c r="E3" s="7">
        <v>1333.2</v>
      </c>
      <c r="F3" s="8">
        <v>2360.8200000000002</v>
      </c>
      <c r="G3" s="7">
        <v>5488.56</v>
      </c>
      <c r="H3" s="7">
        <v>8102.16</v>
      </c>
      <c r="I3" s="7">
        <v>13332.66</v>
      </c>
      <c r="J3" s="7">
        <v>9139.68</v>
      </c>
      <c r="K3" s="7">
        <v>20606.52</v>
      </c>
      <c r="L3" s="15">
        <v>6600</v>
      </c>
      <c r="M3" s="15">
        <v>42472.32</v>
      </c>
    </row>
    <row r="4" spans="1:13">
      <c r="A4" s="5">
        <v>2</v>
      </c>
      <c r="B4" s="9">
        <v>4971710565065</v>
      </c>
      <c r="C4" s="10" t="s">
        <v>503</v>
      </c>
      <c r="D4" s="11" t="s">
        <v>504</v>
      </c>
      <c r="E4" s="12">
        <v>9190.5</v>
      </c>
      <c r="F4" s="13">
        <v>7312.25</v>
      </c>
      <c r="G4" s="12">
        <v>2546.5</v>
      </c>
      <c r="H4" s="7">
        <v>6083</v>
      </c>
      <c r="I4" s="7">
        <v>16464.25</v>
      </c>
      <c r="J4" s="7">
        <v>3080</v>
      </c>
      <c r="K4" s="7">
        <v>7144.5</v>
      </c>
      <c r="L4" s="1">
        <v>4675</v>
      </c>
      <c r="M4" s="15">
        <v>45254</v>
      </c>
    </row>
  </sheetData>
  <phoneticPr fontId="2"/>
  <conditionalFormatting sqref="B2">
    <cfRule type="duplicateValues" dxfId="1" priority="1"/>
  </conditionalFormatting>
  <conditionalFormatting sqref="B1 B3:B1048576">
    <cfRule type="duplicateValues" dxfId="0" priority="67"/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3"/>
  <sheetViews>
    <sheetView workbookViewId="0">
      <selection activeCell="Q25" sqref="Q25"/>
    </sheetView>
  </sheetViews>
  <sheetFormatPr defaultRowHeight="13"/>
  <cols>
    <col min="1" max="1" width="2.26953125" style="22" customWidth="1"/>
    <col min="2" max="2" width="6.90625" style="22" customWidth="1"/>
    <col min="3" max="3" width="24" style="22" customWidth="1"/>
    <col min="4" max="6" width="8.7265625" style="22"/>
    <col min="7" max="12" width="7.6328125" style="22" customWidth="1"/>
    <col min="13" max="13" width="7.1796875" style="22" customWidth="1"/>
    <col min="14" max="16384" width="8.7265625" style="22"/>
  </cols>
  <sheetData>
    <row r="1" spans="1:12">
      <c r="K1" s="23" t="s">
        <v>873</v>
      </c>
    </row>
    <row r="2" spans="1:12" ht="15" customHeight="1">
      <c r="A2" s="176" t="s">
        <v>868</v>
      </c>
      <c r="B2" s="175" t="s">
        <v>3</v>
      </c>
      <c r="C2" s="175" t="s">
        <v>4</v>
      </c>
      <c r="D2" s="177" t="s">
        <v>878</v>
      </c>
      <c r="E2" s="173" t="s">
        <v>875</v>
      </c>
      <c r="F2" s="174"/>
      <c r="G2" s="173" t="s">
        <v>869</v>
      </c>
      <c r="H2" s="174"/>
      <c r="I2" s="173" t="s">
        <v>872</v>
      </c>
      <c r="J2" s="174"/>
      <c r="K2" s="173" t="s">
        <v>835</v>
      </c>
      <c r="L2" s="174"/>
    </row>
    <row r="3" spans="1:12">
      <c r="A3" s="176"/>
      <c r="B3" s="175"/>
      <c r="C3" s="175"/>
      <c r="D3" s="178"/>
      <c r="E3" s="24" t="s">
        <v>874</v>
      </c>
      <c r="F3" s="24" t="s">
        <v>871</v>
      </c>
      <c r="G3" s="24" t="s">
        <v>874</v>
      </c>
      <c r="H3" s="24" t="s">
        <v>871</v>
      </c>
      <c r="I3" s="24" t="s">
        <v>874</v>
      </c>
      <c r="J3" s="24" t="s">
        <v>871</v>
      </c>
      <c r="K3" s="24" t="s">
        <v>870</v>
      </c>
      <c r="L3" s="24" t="s">
        <v>871</v>
      </c>
    </row>
    <row r="4" spans="1:12">
      <c r="A4" s="25">
        <v>1</v>
      </c>
      <c r="B4" s="25" t="s">
        <v>608</v>
      </c>
      <c r="C4" s="26" t="s">
        <v>877</v>
      </c>
      <c r="D4" s="27">
        <v>1200</v>
      </c>
      <c r="E4" s="27">
        <v>89</v>
      </c>
      <c r="F4" s="27">
        <v>55</v>
      </c>
      <c r="G4" s="28">
        <v>89</v>
      </c>
      <c r="H4" s="27">
        <v>69</v>
      </c>
      <c r="I4" s="28">
        <v>89</v>
      </c>
      <c r="J4" s="27">
        <v>69</v>
      </c>
      <c r="K4" s="27">
        <v>82</v>
      </c>
      <c r="L4" s="27">
        <v>69</v>
      </c>
    </row>
    <row r="5" spans="1:12">
      <c r="A5" s="29">
        <v>2</v>
      </c>
      <c r="B5" s="29" t="s">
        <v>503</v>
      </c>
      <c r="C5" s="30" t="s">
        <v>504</v>
      </c>
      <c r="D5" s="27">
        <v>5000</v>
      </c>
      <c r="E5" s="31">
        <v>280</v>
      </c>
      <c r="F5" s="32" t="s">
        <v>876</v>
      </c>
      <c r="G5" s="33">
        <v>279</v>
      </c>
      <c r="H5" s="34">
        <v>199</v>
      </c>
      <c r="I5" s="33">
        <v>279</v>
      </c>
      <c r="J5" s="34">
        <v>199</v>
      </c>
      <c r="K5" s="35">
        <v>259</v>
      </c>
      <c r="L5" s="31">
        <v>239</v>
      </c>
    </row>
    <row r="13" spans="1:12">
      <c r="C13" s="36"/>
    </row>
  </sheetData>
  <mergeCells count="8">
    <mergeCell ref="G2:H2"/>
    <mergeCell ref="I2:J2"/>
    <mergeCell ref="K2:L2"/>
    <mergeCell ref="C2:C3"/>
    <mergeCell ref="A2:A3"/>
    <mergeCell ref="B2:B3"/>
    <mergeCell ref="D2:D3"/>
    <mergeCell ref="E2:F2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2025累計</vt:lpstr>
      <vt:lpstr>2407から</vt:lpstr>
      <vt:lpstr>金額</vt:lpstr>
      <vt:lpstr>ブランド別売上推移</vt:lpstr>
      <vt:lpstr>アイテム別売上推移</vt:lpstr>
      <vt:lpstr>top10</vt:lpstr>
      <vt:lpstr>ブランド別実績</vt:lpstr>
      <vt:lpstr>月別実績</vt:lpstr>
      <vt:lpstr>グラフ作成用</vt:lpstr>
      <vt:lpstr>価格設定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李 暁晴</cp:lastModifiedBy>
  <dcterms:created xsi:type="dcterms:W3CDTF">2025-04-11T08:53:58Z</dcterms:created>
  <dcterms:modified xsi:type="dcterms:W3CDTF">2026-05-22T08:25:33Z</dcterms:modified>
</cp:coreProperties>
</file>