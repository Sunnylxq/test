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30.事業推進課\★★直轄事業チーム\越境EC\NOVARCA\"/>
    </mc:Choice>
  </mc:AlternateContent>
  <xr:revisionPtr revIDLastSave="0" documentId="13_ncr:1_{702E22D0-553C-4F89-BDB5-0374AFCD536C}" xr6:coauthVersionLast="36" xr6:coauthVersionMax="36" xr10:uidLastSave="{00000000-0000-0000-0000-000000000000}"/>
  <bookViews>
    <workbookView xWindow="0" yWindow="0" windowWidth="19200" windowHeight="7900" xr2:uid="{00000000-000D-0000-FFFF-FFFF00000000}"/>
  </bookViews>
  <sheets>
    <sheet name="月別詳細" sheetId="10" r:id="rId1"/>
    <sheet name="ブランド別" sheetId="11" r:id="rId2"/>
    <sheet name="ブランド別TOP10" sheetId="2" r:id="rId3"/>
  </sheets>
  <definedNames>
    <definedName name="_xlnm._FilterDatabase" localSheetId="0" hidden="1">月別詳細!$A$1:$AD$494</definedName>
  </definedNames>
  <calcPr calcId="191029"/>
</workbook>
</file>

<file path=xl/calcChain.xml><?xml version="1.0" encoding="utf-8"?>
<calcChain xmlns="http://schemas.openxmlformats.org/spreadsheetml/2006/main">
  <c r="D40" i="11" l="1"/>
  <c r="D41" i="11"/>
  <c r="D42" i="11"/>
  <c r="D43" i="11"/>
  <c r="D39" i="11"/>
  <c r="B40" i="11"/>
  <c r="B41" i="11"/>
  <c r="B42" i="11"/>
  <c r="B43" i="11"/>
  <c r="B39" i="11"/>
  <c r="D44" i="11" l="1"/>
  <c r="B44" i="11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E495" i="10"/>
  <c r="AG495" i="10" l="1"/>
  <c r="AH495" i="10" s="1"/>
  <c r="AF495" i="10"/>
  <c r="AD362" i="10"/>
  <c r="AD378" i="10"/>
  <c r="AD213" i="10"/>
  <c r="AD75" i="10"/>
  <c r="AD70" i="10"/>
  <c r="AC342" i="10"/>
  <c r="AC362" i="10"/>
  <c r="AC378" i="10"/>
  <c r="AC213" i="10"/>
  <c r="AC75" i="10"/>
  <c r="AD376" i="10"/>
  <c r="AD332" i="10"/>
  <c r="AD312" i="10"/>
  <c r="AD69" i="10"/>
  <c r="AD76" i="10"/>
  <c r="AC376" i="10"/>
  <c r="AC332" i="10"/>
  <c r="AC312" i="10"/>
  <c r="AC69" i="10"/>
  <c r="AC76" i="10"/>
  <c r="B376" i="10"/>
  <c r="B342" i="10"/>
  <c r="B362" i="10"/>
  <c r="B377" i="10"/>
  <c r="B332" i="10"/>
  <c r="B378" i="10"/>
  <c r="B312" i="10"/>
  <c r="B213" i="10"/>
  <c r="B75" i="10"/>
  <c r="B69" i="10"/>
  <c r="B76" i="10"/>
  <c r="B70" i="10"/>
  <c r="B77" i="10"/>
  <c r="B80" i="10"/>
  <c r="B141" i="10"/>
  <c r="B142" i="10"/>
  <c r="B119" i="10"/>
  <c r="B126" i="10"/>
  <c r="AD342" i="10"/>
  <c r="AD377" i="10"/>
  <c r="AC377" i="10"/>
  <c r="T51" i="2" l="1"/>
  <c r="T19" i="2"/>
  <c r="T20" i="2"/>
  <c r="T21" i="2"/>
  <c r="T22" i="2"/>
  <c r="T23" i="2"/>
  <c r="T24" i="2"/>
  <c r="T25" i="2"/>
  <c r="T26" i="2"/>
  <c r="T27" i="2"/>
  <c r="T28" i="2"/>
  <c r="T50" i="2"/>
  <c r="T49" i="2"/>
  <c r="T48" i="2"/>
  <c r="T47" i="2"/>
  <c r="T42" i="2"/>
  <c r="T41" i="2"/>
  <c r="T40" i="2"/>
  <c r="T39" i="2"/>
  <c r="T38" i="2"/>
  <c r="T37" i="2"/>
  <c r="T36" i="2"/>
  <c r="T35" i="2"/>
  <c r="T34" i="2"/>
  <c r="T33" i="2"/>
  <c r="T14" i="2"/>
  <c r="T13" i="2"/>
  <c r="T12" i="2"/>
  <c r="T11" i="2"/>
  <c r="T10" i="2"/>
  <c r="T9" i="2"/>
  <c r="T8" i="2"/>
  <c r="T7" i="2"/>
  <c r="T6" i="2"/>
  <c r="T5" i="2"/>
  <c r="D31" i="11"/>
  <c r="D32" i="11"/>
  <c r="D33" i="11"/>
  <c r="D34" i="11"/>
  <c r="D30" i="11"/>
  <c r="B31" i="11"/>
  <c r="B32" i="11"/>
  <c r="B33" i="11"/>
  <c r="B34" i="11"/>
  <c r="B30" i="11"/>
  <c r="AC141" i="10"/>
  <c r="AC142" i="10"/>
  <c r="AC119" i="10"/>
  <c r="AD425" i="10"/>
  <c r="AD411" i="10"/>
  <c r="B66" i="10"/>
  <c r="B299" i="10"/>
  <c r="B450" i="10"/>
  <c r="AD450" i="10" s="1"/>
  <c r="B313" i="10"/>
  <c r="AD313" i="10" s="1"/>
  <c r="B300" i="10"/>
  <c r="AD300" i="10" s="1"/>
  <c r="B453" i="10"/>
  <c r="AD453" i="10" s="1"/>
  <c r="B379" i="10"/>
  <c r="AD379" i="10" s="1"/>
  <c r="B425" i="10"/>
  <c r="B411" i="10"/>
  <c r="B412" i="10"/>
  <c r="B426" i="10"/>
  <c r="B321" i="10"/>
  <c r="B454" i="10"/>
  <c r="B238" i="10"/>
  <c r="B414" i="10"/>
  <c r="B323" i="10"/>
  <c r="B348" i="10"/>
  <c r="B30" i="10"/>
  <c r="B29" i="10"/>
  <c r="AD29" i="10" s="1"/>
  <c r="B143" i="10"/>
  <c r="AD143" i="10" s="1"/>
  <c r="B156" i="10"/>
  <c r="B154" i="10"/>
  <c r="B129" i="10"/>
  <c r="AD129" i="10" s="1"/>
  <c r="AC70" i="10"/>
  <c r="AC77" i="10"/>
  <c r="AD80" i="10"/>
  <c r="AC80" i="10"/>
  <c r="AD141" i="10"/>
  <c r="AD119" i="10"/>
  <c r="AC126" i="10"/>
  <c r="AD126" i="10"/>
  <c r="AC493" i="10"/>
  <c r="AD493" i="10"/>
  <c r="AC494" i="10"/>
  <c r="AD494" i="10"/>
  <c r="AD142" i="10"/>
  <c r="D35" i="11" l="1"/>
  <c r="B35" i="11"/>
  <c r="AC29" i="10"/>
  <c r="AC411" i="10"/>
  <c r="AC129" i="10"/>
  <c r="AC379" i="10"/>
  <c r="AC453" i="10"/>
  <c r="AC300" i="10"/>
  <c r="AC143" i="10"/>
  <c r="AC313" i="10"/>
  <c r="AC425" i="10"/>
  <c r="AC450" i="10"/>
  <c r="AC412" i="10"/>
  <c r="AC426" i="10"/>
  <c r="AC238" i="10"/>
  <c r="AC154" i="10"/>
  <c r="AD238" i="10"/>
  <c r="AC454" i="10"/>
  <c r="AD454" i="10"/>
  <c r="AC323" i="10"/>
  <c r="AD323" i="10"/>
  <c r="AC414" i="10"/>
  <c r="AD414" i="10"/>
  <c r="AC321" i="10"/>
  <c r="AD321" i="10"/>
  <c r="AD30" i="10"/>
  <c r="AC30" i="10"/>
  <c r="AD299" i="10"/>
  <c r="AC299" i="10"/>
  <c r="AD348" i="10"/>
  <c r="AC348" i="10"/>
  <c r="AD66" i="10"/>
  <c r="AC66" i="10"/>
  <c r="AC156" i="10"/>
  <c r="AD426" i="10"/>
  <c r="AD412" i="10"/>
  <c r="AD156" i="10"/>
  <c r="AD77" i="10"/>
  <c r="AD154" i="10"/>
  <c r="N47" i="2"/>
  <c r="N50" i="2"/>
  <c r="N28" i="2" l="1"/>
  <c r="N27" i="2"/>
  <c r="N26" i="2"/>
  <c r="N25" i="2"/>
  <c r="N24" i="2"/>
  <c r="N23" i="2"/>
  <c r="N22" i="2"/>
  <c r="N21" i="2"/>
  <c r="N20" i="2"/>
  <c r="N19" i="2"/>
  <c r="N49" i="2"/>
  <c r="N48" i="2"/>
  <c r="D5" i="11"/>
  <c r="D6" i="11"/>
  <c r="D14" i="11"/>
  <c r="D15" i="11"/>
  <c r="D23" i="11"/>
  <c r="B23" i="11"/>
  <c r="B24" i="11"/>
  <c r="B14" i="11"/>
  <c r="B15" i="11"/>
  <c r="B5" i="11"/>
  <c r="B6" i="11"/>
  <c r="D22" i="11"/>
  <c r="D24" i="11"/>
  <c r="D25" i="11"/>
  <c r="D21" i="11"/>
  <c r="B22" i="11"/>
  <c r="B25" i="11"/>
  <c r="B21" i="11"/>
  <c r="B4" i="11"/>
  <c r="B7" i="11"/>
  <c r="B3" i="11"/>
  <c r="B13" i="11"/>
  <c r="B16" i="11"/>
  <c r="B12" i="11"/>
  <c r="N42" i="2"/>
  <c r="N41" i="2"/>
  <c r="N40" i="2"/>
  <c r="N39" i="2"/>
  <c r="N38" i="2"/>
  <c r="N37" i="2"/>
  <c r="N36" i="2"/>
  <c r="N35" i="2"/>
  <c r="N34" i="2"/>
  <c r="N33" i="2"/>
  <c r="N14" i="2"/>
  <c r="N13" i="2"/>
  <c r="N12" i="2"/>
  <c r="N11" i="2"/>
  <c r="N10" i="2"/>
  <c r="N9" i="2"/>
  <c r="N8" i="2"/>
  <c r="N7" i="2"/>
  <c r="N6" i="2"/>
  <c r="N5" i="2"/>
  <c r="B26" i="11" l="1"/>
  <c r="D26" i="11"/>
  <c r="E43" i="11" l="1"/>
  <c r="E42" i="11"/>
  <c r="E41" i="11"/>
  <c r="E40" i="11"/>
  <c r="E39" i="11"/>
  <c r="E44" i="11"/>
  <c r="C43" i="11"/>
  <c r="C41" i="11"/>
  <c r="C42" i="11"/>
  <c r="C40" i="11"/>
  <c r="C39" i="11"/>
  <c r="C44" i="11"/>
  <c r="E26" i="11"/>
  <c r="E34" i="11"/>
  <c r="E33" i="11"/>
  <c r="E30" i="11"/>
  <c r="E32" i="11"/>
  <c r="E31" i="11"/>
  <c r="E35" i="11"/>
  <c r="C26" i="11"/>
  <c r="C33" i="11"/>
  <c r="C31" i="11"/>
  <c r="C32" i="11"/>
  <c r="C30" i="11"/>
  <c r="C34" i="11"/>
  <c r="C35" i="11"/>
  <c r="C23" i="11"/>
  <c r="C24" i="11"/>
  <c r="E24" i="11"/>
  <c r="E21" i="11"/>
  <c r="C25" i="11"/>
  <c r="C22" i="11"/>
  <c r="C21" i="11"/>
  <c r="E22" i="11"/>
  <c r="E23" i="11"/>
  <c r="E25" i="11"/>
  <c r="D13" i="11" l="1"/>
  <c r="D16" i="11"/>
  <c r="D12" i="11"/>
  <c r="D3" i="11"/>
  <c r="D4" i="11"/>
  <c r="D7" i="11"/>
  <c r="Q203" i="11"/>
  <c r="D17" i="11" l="1"/>
  <c r="B17" i="11"/>
  <c r="D8" i="11"/>
  <c r="E5" i="11" s="1"/>
  <c r="C17" i="11" l="1"/>
  <c r="C12" i="11"/>
  <c r="C16" i="11"/>
  <c r="C13" i="11"/>
  <c r="C15" i="11"/>
  <c r="C14" i="11"/>
  <c r="E17" i="11"/>
  <c r="E15" i="11"/>
  <c r="E14" i="11"/>
  <c r="E13" i="11"/>
  <c r="E16" i="11"/>
  <c r="E12" i="11"/>
  <c r="E8" i="11"/>
  <c r="E3" i="11"/>
  <c r="E4" i="11"/>
  <c r="E7" i="11"/>
  <c r="E6" i="11"/>
  <c r="B224" i="10"/>
  <c r="B212" i="10"/>
  <c r="B252" i="10"/>
  <c r="B223" i="10"/>
  <c r="B473" i="10"/>
  <c r="B480" i="10"/>
  <c r="B455" i="10"/>
  <c r="B475" i="10"/>
  <c r="B476" i="10"/>
  <c r="B452" i="10"/>
  <c r="B240" i="10"/>
  <c r="B470" i="10"/>
  <c r="B420" i="10"/>
  <c r="B291" i="10"/>
  <c r="B481" i="10"/>
  <c r="B296" i="10"/>
  <c r="B250" i="10"/>
  <c r="B269" i="10"/>
  <c r="B401" i="10"/>
  <c r="B279" i="10"/>
  <c r="B465" i="10"/>
  <c r="B466" i="10"/>
  <c r="B237" i="10"/>
  <c r="B253" i="10"/>
  <c r="B467" i="10"/>
  <c r="B370" i="10"/>
  <c r="B468" i="10"/>
  <c r="B243" i="10"/>
  <c r="B303" i="10"/>
  <c r="B246" i="10"/>
  <c r="B346" i="10"/>
  <c r="B347" i="10"/>
  <c r="B442" i="10"/>
  <c r="B443" i="10"/>
  <c r="B245" i="10"/>
  <c r="B257" i="10"/>
  <c r="B270" i="10"/>
  <c r="B239" i="10"/>
  <c r="B419" i="10"/>
  <c r="B258" i="10"/>
  <c r="B277" i="10"/>
  <c r="B263" i="10"/>
  <c r="B374" i="10"/>
  <c r="B317" i="10"/>
  <c r="B307" i="10"/>
  <c r="B393" i="10"/>
  <c r="B260" i="10"/>
  <c r="B392" i="10"/>
  <c r="B275" i="10"/>
  <c r="B280" i="10"/>
  <c r="B251" i="10"/>
  <c r="B316" i="10"/>
  <c r="B264" i="10"/>
  <c r="B295" i="10"/>
  <c r="B403" i="10"/>
  <c r="B261" i="10"/>
  <c r="B265" i="10"/>
  <c r="B446" i="10"/>
  <c r="B339" i="10"/>
  <c r="B356" i="10"/>
  <c r="B236" i="10"/>
  <c r="B489" i="10"/>
  <c r="B444" i="10"/>
  <c r="B463" i="10"/>
  <c r="B266" i="10"/>
  <c r="B435" i="10"/>
  <c r="B482" i="10"/>
  <c r="B483" i="10"/>
  <c r="B469" i="10"/>
  <c r="B428" i="10"/>
  <c r="B429" i="10"/>
  <c r="B375" i="10"/>
  <c r="B262" i="10"/>
  <c r="B229" i="10"/>
  <c r="B222" i="10"/>
  <c r="B389" i="10"/>
  <c r="B315" i="10"/>
  <c r="B207" i="10"/>
  <c r="B290" i="10"/>
  <c r="B301" i="10"/>
  <c r="B344" i="10"/>
  <c r="B423" i="10"/>
  <c r="B281" i="10"/>
  <c r="B340" i="10"/>
  <c r="B359" i="10"/>
  <c r="B366" i="10"/>
  <c r="B355" i="10"/>
  <c r="B418" i="10"/>
  <c r="B231" i="10"/>
  <c r="B217" i="10"/>
  <c r="B230" i="10"/>
  <c r="B409" i="10"/>
  <c r="B304" i="10"/>
  <c r="B417" i="10"/>
  <c r="B272" i="10"/>
  <c r="B413" i="10"/>
  <c r="B416" i="10"/>
  <c r="B400" i="10"/>
  <c r="B484" i="10"/>
  <c r="B367" i="10"/>
  <c r="B278" i="10"/>
  <c r="B268" i="10"/>
  <c r="B372" i="10"/>
  <c r="B309" i="10"/>
  <c r="B479" i="10"/>
  <c r="B456" i="10"/>
  <c r="B451" i="10"/>
  <c r="B330" i="10"/>
  <c r="B322" i="10"/>
  <c r="B214" i="10"/>
  <c r="B259" i="10"/>
  <c r="B204" i="10"/>
  <c r="B273" i="10"/>
  <c r="B293" i="10"/>
  <c r="B218" i="10"/>
  <c r="B294" i="10"/>
  <c r="B216" i="10"/>
  <c r="B211" i="10"/>
  <c r="B328" i="10"/>
  <c r="B471" i="10"/>
  <c r="B368" i="10"/>
  <c r="B361" i="10"/>
  <c r="B404" i="10"/>
  <c r="B421" i="10"/>
  <c r="B288" i="10"/>
  <c r="B271" i="10"/>
  <c r="B287" i="10"/>
  <c r="B343" i="10"/>
  <c r="B437" i="10"/>
  <c r="B336" i="10"/>
  <c r="B351" i="10"/>
  <c r="B267" i="10"/>
  <c r="B254" i="10"/>
  <c r="B297" i="10"/>
  <c r="B405" i="10"/>
  <c r="B382" i="10"/>
  <c r="B325" i="10"/>
  <c r="B256" i="10"/>
  <c r="B360" i="10"/>
  <c r="B284" i="10"/>
  <c r="B485" i="10"/>
  <c r="B394" i="10"/>
  <c r="B386" i="10"/>
  <c r="B384" i="10"/>
  <c r="B448" i="10"/>
  <c r="B354" i="10"/>
  <c r="B319" i="10"/>
  <c r="B335" i="10"/>
  <c r="B424" i="10"/>
  <c r="B305" i="10"/>
  <c r="B338" i="10"/>
  <c r="B371" i="10"/>
  <c r="B438" i="10"/>
  <c r="B292" i="10"/>
  <c r="B314" i="10"/>
  <c r="B282" i="10"/>
  <c r="B439" i="10"/>
  <c r="B447" i="10"/>
  <c r="B357" i="10"/>
  <c r="B333" i="10"/>
  <c r="B341" i="10"/>
  <c r="B334" i="10"/>
  <c r="B345" i="10"/>
  <c r="B380" i="10"/>
  <c r="B369" i="10"/>
  <c r="B364" i="10"/>
  <c r="B255" i="10"/>
  <c r="B206" i="10"/>
  <c r="B433" i="10"/>
  <c r="B486" i="10"/>
  <c r="B434" i="10"/>
  <c r="B329" i="10"/>
  <c r="B477" i="10"/>
  <c r="B487" i="10"/>
  <c r="B488" i="10"/>
  <c r="B461" i="10"/>
  <c r="B478" i="10"/>
  <c r="B460" i="10"/>
  <c r="B432" i="10"/>
  <c r="B490" i="10"/>
  <c r="B491" i="10"/>
  <c r="B492" i="10"/>
  <c r="B462" i="10"/>
  <c r="B327" i="10"/>
  <c r="B459" i="10"/>
  <c r="B331" i="10"/>
  <c r="B326" i="10"/>
  <c r="B276" i="10"/>
  <c r="B289" i="10"/>
  <c r="B248" i="10"/>
  <c r="B274" i="10"/>
  <c r="B241" i="10"/>
  <c r="B472" i="10"/>
  <c r="B399" i="10"/>
  <c r="B407" i="10"/>
  <c r="B406" i="10"/>
  <c r="B436" i="10"/>
  <c r="B422" i="10"/>
  <c r="B457" i="10"/>
  <c r="B233" i="10"/>
  <c r="B247" i="10"/>
  <c r="B286" i="10"/>
  <c r="B318" i="10"/>
  <c r="B215" i="10"/>
  <c r="B440" i="10"/>
  <c r="B396" i="10"/>
  <c r="B441" i="10"/>
  <c r="B383" i="10"/>
  <c r="B225" i="10"/>
  <c r="B242" i="10"/>
  <c r="B388" i="10"/>
  <c r="B385" i="10"/>
  <c r="B402" i="10"/>
  <c r="B234" i="10"/>
  <c r="B244" i="10"/>
  <c r="B220" i="10"/>
  <c r="B306" i="10"/>
  <c r="B285" i="10"/>
  <c r="B358" i="10"/>
  <c r="B474" i="10"/>
  <c r="B311" i="10"/>
  <c r="B310" i="10"/>
  <c r="B298" i="10"/>
  <c r="B349" i="10"/>
  <c r="B431" i="10"/>
  <c r="B464" i="10"/>
  <c r="B398" i="10"/>
  <c r="B235" i="10"/>
  <c r="B391" i="10"/>
  <c r="B350" i="10"/>
  <c r="B320" i="10"/>
  <c r="B226" i="10"/>
  <c r="B249" i="10"/>
  <c r="B208" i="10"/>
  <c r="B219" i="10"/>
  <c r="B205" i="10"/>
  <c r="B221" i="10"/>
  <c r="B228" i="10"/>
  <c r="B232" i="10"/>
  <c r="B209" i="10"/>
  <c r="B227" i="10"/>
  <c r="B458" i="10"/>
  <c r="B415" i="10"/>
  <c r="B324" i="10"/>
  <c r="B302" i="10"/>
  <c r="B395" i="10"/>
  <c r="B337" i="10"/>
  <c r="B397" i="10"/>
  <c r="B381" i="10"/>
  <c r="B387" i="10"/>
  <c r="B373" i="10"/>
  <c r="B445" i="10"/>
  <c r="B430" i="10"/>
  <c r="B410" i="10"/>
  <c r="B353" i="10"/>
  <c r="B408" i="10"/>
  <c r="B308" i="10"/>
  <c r="B283" i="10"/>
  <c r="B390" i="10"/>
  <c r="B365" i="10"/>
  <c r="B427" i="10"/>
  <c r="B363" i="10"/>
  <c r="B352" i="10"/>
  <c r="B449" i="10"/>
  <c r="B210" i="10"/>
  <c r="B24" i="10"/>
  <c r="B19" i="10"/>
  <c r="B56" i="10"/>
  <c r="B31" i="10"/>
  <c r="B57" i="10"/>
  <c r="B43" i="10"/>
  <c r="B11" i="10"/>
  <c r="B12" i="10"/>
  <c r="B23" i="10"/>
  <c r="B45" i="10"/>
  <c r="B58" i="10"/>
  <c r="B18" i="10"/>
  <c r="B38" i="10"/>
  <c r="B21" i="10"/>
  <c r="B22" i="10"/>
  <c r="B46" i="10"/>
  <c r="B5" i="10"/>
  <c r="B16" i="10"/>
  <c r="B6" i="10"/>
  <c r="B7" i="10"/>
  <c r="B44" i="10"/>
  <c r="B32" i="10"/>
  <c r="B3" i="10"/>
  <c r="B4" i="10"/>
  <c r="B17" i="10"/>
  <c r="B40" i="10"/>
  <c r="B54" i="10"/>
  <c r="B33" i="10"/>
  <c r="B34" i="10"/>
  <c r="B8" i="10"/>
  <c r="B27" i="10"/>
  <c r="B9" i="10"/>
  <c r="B25" i="10"/>
  <c r="B10" i="10"/>
  <c r="B13" i="10"/>
  <c r="B37" i="10"/>
  <c r="B47" i="10"/>
  <c r="B48" i="10"/>
  <c r="B49" i="10"/>
  <c r="B52" i="10"/>
  <c r="B53" i="10"/>
  <c r="B50" i="10"/>
  <c r="B20" i="10"/>
  <c r="B26" i="10"/>
  <c r="B62" i="10"/>
  <c r="B65" i="10"/>
  <c r="B64" i="10"/>
  <c r="B63" i="10"/>
  <c r="B36" i="10"/>
  <c r="B59" i="10"/>
  <c r="B39" i="10"/>
  <c r="B61" i="10"/>
  <c r="B55" i="10"/>
  <c r="B14" i="10"/>
  <c r="B60" i="10"/>
  <c r="B35" i="10"/>
  <c r="B42" i="10"/>
  <c r="B28" i="10"/>
  <c r="B41" i="10"/>
  <c r="B15" i="10"/>
  <c r="B51" i="10"/>
  <c r="B87" i="10"/>
  <c r="B100" i="10"/>
  <c r="B158" i="10"/>
  <c r="B159" i="10"/>
  <c r="B117" i="10"/>
  <c r="B99" i="10"/>
  <c r="B147" i="10"/>
  <c r="B144" i="10"/>
  <c r="B148" i="10"/>
  <c r="B190" i="10"/>
  <c r="B192" i="10"/>
  <c r="B189" i="10"/>
  <c r="B184" i="10"/>
  <c r="B182" i="10"/>
  <c r="B183" i="10"/>
  <c r="B181" i="10"/>
  <c r="B185" i="10"/>
  <c r="B140" i="10"/>
  <c r="B198" i="10"/>
  <c r="B82" i="10"/>
  <c r="B86" i="10"/>
  <c r="B115" i="10"/>
  <c r="B113" i="10"/>
  <c r="B116" i="10"/>
  <c r="B164" i="10"/>
  <c r="B135" i="10"/>
  <c r="B71" i="10"/>
  <c r="B161" i="10"/>
  <c r="B162" i="10"/>
  <c r="B163" i="10"/>
  <c r="B199" i="10"/>
  <c r="B78" i="10"/>
  <c r="B79" i="10"/>
  <c r="B127" i="10"/>
  <c r="B200" i="10"/>
  <c r="B201" i="10"/>
  <c r="B195" i="10"/>
  <c r="B102" i="10"/>
  <c r="B103" i="10"/>
  <c r="B134" i="10"/>
  <c r="B153" i="10"/>
  <c r="B81" i="10"/>
  <c r="B91" i="10"/>
  <c r="B95" i="10"/>
  <c r="B202" i="10"/>
  <c r="B193" i="10"/>
  <c r="B172" i="10"/>
  <c r="B136" i="10"/>
  <c r="B173" i="10"/>
  <c r="B137" i="10"/>
  <c r="B194" i="10"/>
  <c r="B178" i="10"/>
  <c r="B203" i="10"/>
  <c r="B176" i="10"/>
  <c r="B188" i="10"/>
  <c r="B179" i="10"/>
  <c r="B180" i="10"/>
  <c r="B121" i="10"/>
  <c r="B133" i="10"/>
  <c r="B122" i="10"/>
  <c r="B123" i="10"/>
  <c r="B84" i="10"/>
  <c r="B107" i="10"/>
  <c r="B106" i="10"/>
  <c r="B108" i="10"/>
  <c r="B124" i="10"/>
  <c r="B138" i="10"/>
  <c r="B131" i="10"/>
  <c r="B155" i="10"/>
  <c r="B88" i="10"/>
  <c r="B96" i="10"/>
  <c r="B169" i="10"/>
  <c r="B104" i="10"/>
  <c r="B105" i="10"/>
  <c r="B170" i="10"/>
  <c r="B152" i="10"/>
  <c r="B166" i="10"/>
  <c r="B167" i="10"/>
  <c r="B168" i="10"/>
  <c r="B74" i="10"/>
  <c r="B112" i="10"/>
  <c r="B94" i="10"/>
  <c r="B145" i="10"/>
  <c r="B160" i="10"/>
  <c r="B111" i="10"/>
  <c r="B72" i="10"/>
  <c r="B93" i="10"/>
  <c r="B109" i="10"/>
  <c r="B120" i="10"/>
  <c r="B101" i="10"/>
  <c r="B118" i="10"/>
  <c r="B191" i="10"/>
  <c r="B171" i="10"/>
  <c r="B196" i="10"/>
  <c r="B174" i="10"/>
  <c r="B128" i="10"/>
  <c r="B157" i="10"/>
  <c r="B197" i="10"/>
  <c r="B85" i="10"/>
  <c r="B125" i="10"/>
  <c r="B68" i="10"/>
  <c r="B98" i="10"/>
  <c r="B90" i="10"/>
  <c r="B165" i="10"/>
  <c r="B89" i="10"/>
  <c r="B149" i="10"/>
  <c r="B130" i="10"/>
  <c r="B114" i="10"/>
  <c r="B97" i="10"/>
  <c r="B186" i="10"/>
  <c r="B187" i="10"/>
  <c r="B83" i="10"/>
  <c r="B132" i="10"/>
  <c r="B175" i="10"/>
  <c r="B177" i="10"/>
  <c r="B151" i="10"/>
  <c r="B92" i="10"/>
  <c r="B146" i="10"/>
  <c r="B139" i="10"/>
  <c r="B150" i="10"/>
  <c r="B73" i="10"/>
  <c r="B110" i="10"/>
  <c r="B67" i="10"/>
  <c r="B5" i="2"/>
  <c r="B9" i="2"/>
  <c r="AC145" i="10" l="1"/>
  <c r="AD145" i="10"/>
  <c r="AD63" i="10"/>
  <c r="AC63" i="10"/>
  <c r="AD247" i="10"/>
  <c r="AC247" i="10"/>
  <c r="AD433" i="10"/>
  <c r="AC433" i="10"/>
  <c r="AC438" i="10"/>
  <c r="AD438" i="10"/>
  <c r="AD325" i="10"/>
  <c r="AC325" i="10"/>
  <c r="AD368" i="10"/>
  <c r="AC368" i="10"/>
  <c r="AD177" i="10"/>
  <c r="AC177" i="10"/>
  <c r="AD158" i="10"/>
  <c r="AC158" i="10"/>
  <c r="AD46" i="10"/>
  <c r="AC46" i="10"/>
  <c r="AD132" i="10"/>
  <c r="AC132" i="10"/>
  <c r="AD87" i="10"/>
  <c r="AC87" i="10"/>
  <c r="AD459" i="10"/>
  <c r="AC459" i="10"/>
  <c r="AD200" i="10"/>
  <c r="AC200" i="10"/>
  <c r="AC9" i="10"/>
  <c r="AD9" i="10"/>
  <c r="AC173" i="10"/>
  <c r="AD173" i="10"/>
  <c r="AD85" i="10"/>
  <c r="AC85" i="10"/>
  <c r="AD306" i="10"/>
  <c r="AC306" i="10"/>
  <c r="AD79" i="10"/>
  <c r="AC79" i="10"/>
  <c r="AC198" i="10"/>
  <c r="AD198" i="10"/>
  <c r="AC381" i="10"/>
  <c r="AD381" i="10"/>
  <c r="AC108" i="10"/>
  <c r="AD108" i="10"/>
  <c r="AD194" i="10"/>
  <c r="AC194" i="10"/>
  <c r="AC210" i="10"/>
  <c r="AD210" i="10"/>
  <c r="AD112" i="10"/>
  <c r="AC112" i="10"/>
  <c r="AD138" i="10"/>
  <c r="AC138" i="10"/>
  <c r="AC249" i="10"/>
  <c r="AD249" i="10"/>
  <c r="AC157" i="10"/>
  <c r="AD157" i="10"/>
  <c r="AD479" i="10"/>
  <c r="AC479" i="10"/>
  <c r="AC231" i="10"/>
  <c r="AD231" i="10"/>
  <c r="AD262" i="10"/>
  <c r="AC262" i="10"/>
  <c r="AC265" i="10"/>
  <c r="AD265" i="10"/>
  <c r="AD277" i="10"/>
  <c r="AC277" i="10"/>
  <c r="AC467" i="10"/>
  <c r="AD467" i="10"/>
  <c r="AC476" i="10"/>
  <c r="AD476" i="10"/>
  <c r="AC175" i="10"/>
  <c r="AD175" i="10"/>
  <c r="AC197" i="10"/>
  <c r="AD197" i="10"/>
  <c r="AC94" i="10"/>
  <c r="AD94" i="10"/>
  <c r="AD124" i="10"/>
  <c r="AC124" i="10"/>
  <c r="AC137" i="10"/>
  <c r="AD137" i="10"/>
  <c r="AD127" i="10"/>
  <c r="AC127" i="10"/>
  <c r="AD140" i="10"/>
  <c r="AC140" i="10"/>
  <c r="AD100" i="10"/>
  <c r="AC100" i="10"/>
  <c r="AC64" i="10"/>
  <c r="AD64" i="10"/>
  <c r="AD27" i="10"/>
  <c r="AC27" i="10"/>
  <c r="AD22" i="10"/>
  <c r="AC22" i="10"/>
  <c r="AD449" i="10"/>
  <c r="AC449" i="10"/>
  <c r="AD397" i="10"/>
  <c r="AC397" i="10"/>
  <c r="AD226" i="10"/>
  <c r="AC226" i="10"/>
  <c r="AD220" i="10"/>
  <c r="AC220" i="10"/>
  <c r="AD233" i="10"/>
  <c r="AC233" i="10"/>
  <c r="AD327" i="10"/>
  <c r="AC327" i="10"/>
  <c r="AD206" i="10"/>
  <c r="AC206" i="10"/>
  <c r="AD371" i="10"/>
  <c r="AC371" i="10"/>
  <c r="AD382" i="10"/>
  <c r="AC382" i="10"/>
  <c r="AD471" i="10"/>
  <c r="AC471" i="10"/>
  <c r="AC309" i="10"/>
  <c r="AD309" i="10"/>
  <c r="AD418" i="10"/>
  <c r="AC418" i="10"/>
  <c r="AD375" i="10"/>
  <c r="AC375" i="10"/>
  <c r="AC261" i="10"/>
  <c r="AD261" i="10"/>
  <c r="AD258" i="10"/>
  <c r="AC258" i="10"/>
  <c r="AD253" i="10"/>
  <c r="AC253" i="10"/>
  <c r="AC475" i="10"/>
  <c r="AD475" i="10"/>
  <c r="AC185" i="10"/>
  <c r="AD185" i="10"/>
  <c r="AD352" i="10"/>
  <c r="AC352" i="10"/>
  <c r="AD244" i="10"/>
  <c r="AC244" i="10"/>
  <c r="AC457" i="10"/>
  <c r="AD457" i="10"/>
  <c r="AD462" i="10"/>
  <c r="AC462" i="10"/>
  <c r="AD255" i="10"/>
  <c r="AC255" i="10"/>
  <c r="AD405" i="10"/>
  <c r="AC405" i="10"/>
  <c r="AD429" i="10"/>
  <c r="AC429" i="10"/>
  <c r="AC403" i="10"/>
  <c r="AD403" i="10"/>
  <c r="AD419" i="10"/>
  <c r="AC419" i="10"/>
  <c r="AD237" i="10"/>
  <c r="AC237" i="10"/>
  <c r="AD455" i="10"/>
  <c r="AC455" i="10"/>
  <c r="AD83" i="10"/>
  <c r="AC83" i="10"/>
  <c r="AD128" i="10"/>
  <c r="AC128" i="10"/>
  <c r="AD74" i="10"/>
  <c r="AC74" i="10"/>
  <c r="AD106" i="10"/>
  <c r="AC106" i="10"/>
  <c r="AD136" i="10"/>
  <c r="AC136" i="10"/>
  <c r="AD78" i="10"/>
  <c r="AC78" i="10"/>
  <c r="AC181" i="10"/>
  <c r="AD181" i="10"/>
  <c r="AD51" i="10"/>
  <c r="AC51" i="10"/>
  <c r="AD62" i="10"/>
  <c r="AC62" i="10"/>
  <c r="AD34" i="10"/>
  <c r="AC34" i="10"/>
  <c r="AC38" i="10"/>
  <c r="AD38" i="10"/>
  <c r="AD363" i="10"/>
  <c r="AC363" i="10"/>
  <c r="AD395" i="10"/>
  <c r="AC395" i="10"/>
  <c r="AD350" i="10"/>
  <c r="AC350" i="10"/>
  <c r="AD234" i="10"/>
  <c r="AC234" i="10"/>
  <c r="AC422" i="10"/>
  <c r="AD422" i="10"/>
  <c r="AC492" i="10"/>
  <c r="AD492" i="10"/>
  <c r="AD364" i="10"/>
  <c r="AC364" i="10"/>
  <c r="AD305" i="10"/>
  <c r="AC305" i="10"/>
  <c r="AD297" i="10"/>
  <c r="AC297" i="10"/>
  <c r="AC211" i="10"/>
  <c r="AD211" i="10"/>
  <c r="AD268" i="10"/>
  <c r="AC268" i="10"/>
  <c r="AD366" i="10"/>
  <c r="AC366" i="10"/>
  <c r="AD428" i="10"/>
  <c r="AC428" i="10"/>
  <c r="AD295" i="10"/>
  <c r="AC295" i="10"/>
  <c r="AC239" i="10"/>
  <c r="AD239" i="10"/>
  <c r="AC466" i="10"/>
  <c r="AD466" i="10"/>
  <c r="AD480" i="10"/>
  <c r="AC480" i="10"/>
  <c r="AD338" i="10"/>
  <c r="AC338" i="10"/>
  <c r="AD187" i="10"/>
  <c r="AC187" i="10"/>
  <c r="AD174" i="10"/>
  <c r="AC174" i="10"/>
  <c r="AC168" i="10"/>
  <c r="AD168" i="10"/>
  <c r="AC107" i="10"/>
  <c r="AD107" i="10"/>
  <c r="AC172" i="10"/>
  <c r="AD172" i="10"/>
  <c r="AC199" i="10"/>
  <c r="AD199" i="10"/>
  <c r="AD183" i="10"/>
  <c r="AC183" i="10"/>
  <c r="AD15" i="10"/>
  <c r="AC15" i="10"/>
  <c r="AD26" i="10"/>
  <c r="AC26" i="10"/>
  <c r="AD33" i="10"/>
  <c r="AC33" i="10"/>
  <c r="AD18" i="10"/>
  <c r="AC18" i="10"/>
  <c r="AD427" i="10"/>
  <c r="AC427" i="10"/>
  <c r="AC302" i="10"/>
  <c r="AD302" i="10"/>
  <c r="AD391" i="10"/>
  <c r="AC391" i="10"/>
  <c r="AD402" i="10"/>
  <c r="AC402" i="10"/>
  <c r="AC436" i="10"/>
  <c r="AD436" i="10"/>
  <c r="AD491" i="10"/>
  <c r="AC491" i="10"/>
  <c r="AD369" i="10"/>
  <c r="AC369" i="10"/>
  <c r="AC424" i="10"/>
  <c r="AD424" i="10"/>
  <c r="AC254" i="10"/>
  <c r="AD254" i="10"/>
  <c r="AC216" i="10"/>
  <c r="AD216" i="10"/>
  <c r="AC278" i="10"/>
  <c r="AD278" i="10"/>
  <c r="AD359" i="10"/>
  <c r="AC359" i="10"/>
  <c r="AC469" i="10"/>
  <c r="AD469" i="10"/>
  <c r="AC264" i="10"/>
  <c r="AD264" i="10"/>
  <c r="AC270" i="10"/>
  <c r="AD270" i="10"/>
  <c r="AD465" i="10"/>
  <c r="AC465" i="10"/>
  <c r="AD473" i="10"/>
  <c r="AC473" i="10"/>
  <c r="AD8" i="10"/>
  <c r="AC8" i="10"/>
  <c r="AD320" i="10"/>
  <c r="AC320" i="10"/>
  <c r="AC355" i="10"/>
  <c r="AD355" i="10"/>
  <c r="AD186" i="10"/>
  <c r="AC186" i="10"/>
  <c r="AD196" i="10"/>
  <c r="AC196" i="10"/>
  <c r="AD167" i="10"/>
  <c r="AC167" i="10"/>
  <c r="AD84" i="10"/>
  <c r="AC84" i="10"/>
  <c r="AD193" i="10"/>
  <c r="AC193" i="10"/>
  <c r="AC163" i="10"/>
  <c r="AD163" i="10"/>
  <c r="AD182" i="10"/>
  <c r="AC182" i="10"/>
  <c r="AC41" i="10"/>
  <c r="AD41" i="10"/>
  <c r="AC20" i="10"/>
  <c r="AD20" i="10"/>
  <c r="AD54" i="10"/>
  <c r="AC54" i="10"/>
  <c r="AD58" i="10"/>
  <c r="AC58" i="10"/>
  <c r="AD365" i="10"/>
  <c r="AC365" i="10"/>
  <c r="AC324" i="10"/>
  <c r="AD324" i="10"/>
  <c r="AC235" i="10"/>
  <c r="AD235" i="10"/>
  <c r="AD385" i="10"/>
  <c r="AC385" i="10"/>
  <c r="AC406" i="10"/>
  <c r="AD406" i="10"/>
  <c r="AC490" i="10"/>
  <c r="AD490" i="10"/>
  <c r="AD380" i="10"/>
  <c r="AC380" i="10"/>
  <c r="AC335" i="10"/>
  <c r="AD335" i="10"/>
  <c r="AD267" i="10"/>
  <c r="AC267" i="10"/>
  <c r="AC294" i="10"/>
  <c r="AD294" i="10"/>
  <c r="AD367" i="10"/>
  <c r="AC367" i="10"/>
  <c r="AC340" i="10"/>
  <c r="AD340" i="10"/>
  <c r="AC483" i="10"/>
  <c r="AD483" i="10"/>
  <c r="AD316" i="10"/>
  <c r="AC316" i="10"/>
  <c r="AD257" i="10"/>
  <c r="AC257" i="10"/>
  <c r="AD279" i="10"/>
  <c r="AC279" i="10"/>
  <c r="AD223" i="10"/>
  <c r="AC223" i="10"/>
  <c r="AD65" i="10"/>
  <c r="AC65" i="10"/>
  <c r="AC337" i="10"/>
  <c r="AD337" i="10"/>
  <c r="AD372" i="10"/>
  <c r="AC372" i="10"/>
  <c r="AC97" i="10"/>
  <c r="AD97" i="10"/>
  <c r="AC171" i="10"/>
  <c r="AD171" i="10"/>
  <c r="AC166" i="10"/>
  <c r="AD166" i="10"/>
  <c r="AD123" i="10"/>
  <c r="AC123" i="10"/>
  <c r="AC202" i="10"/>
  <c r="AD202" i="10"/>
  <c r="AD162" i="10"/>
  <c r="AC162" i="10"/>
  <c r="AD184" i="10"/>
  <c r="AC184" i="10"/>
  <c r="AC28" i="10"/>
  <c r="AD28" i="10"/>
  <c r="AD50" i="10"/>
  <c r="AC50" i="10"/>
  <c r="AC40" i="10"/>
  <c r="AD40" i="10"/>
  <c r="AC45" i="10"/>
  <c r="AD45" i="10"/>
  <c r="AD390" i="10"/>
  <c r="AC390" i="10"/>
  <c r="AD415" i="10"/>
  <c r="AC415" i="10"/>
  <c r="AD398" i="10"/>
  <c r="AC398" i="10"/>
  <c r="AD388" i="10"/>
  <c r="AC388" i="10"/>
  <c r="AD407" i="10"/>
  <c r="AC407" i="10"/>
  <c r="AD432" i="10"/>
  <c r="AC432" i="10"/>
  <c r="AC345" i="10"/>
  <c r="AD345" i="10"/>
  <c r="AD319" i="10"/>
  <c r="AC319" i="10"/>
  <c r="AC351" i="10"/>
  <c r="AD351" i="10"/>
  <c r="AD218" i="10"/>
  <c r="AC218" i="10"/>
  <c r="AD484" i="10"/>
  <c r="AC484" i="10"/>
  <c r="AC281" i="10"/>
  <c r="AD281" i="10"/>
  <c r="AD482" i="10"/>
  <c r="AC482" i="10"/>
  <c r="AD251" i="10"/>
  <c r="AC251" i="10"/>
  <c r="AC245" i="10"/>
  <c r="AD245" i="10"/>
  <c r="AD401" i="10"/>
  <c r="AC401" i="10"/>
  <c r="AD252" i="10"/>
  <c r="AC252" i="10"/>
  <c r="AD21" i="10"/>
  <c r="AC21" i="10"/>
  <c r="AC328" i="10"/>
  <c r="AD328" i="10"/>
  <c r="AC114" i="10"/>
  <c r="AD114" i="10"/>
  <c r="AC191" i="10"/>
  <c r="AD191" i="10"/>
  <c r="AC152" i="10"/>
  <c r="AD152" i="10"/>
  <c r="AD122" i="10"/>
  <c r="AC122" i="10"/>
  <c r="AD95" i="10"/>
  <c r="AC95" i="10"/>
  <c r="AD161" i="10"/>
  <c r="AC161" i="10"/>
  <c r="AD189" i="10"/>
  <c r="AC189" i="10"/>
  <c r="AD42" i="10"/>
  <c r="AC42" i="10"/>
  <c r="AD53" i="10"/>
  <c r="AC53" i="10"/>
  <c r="AD17" i="10"/>
  <c r="AC17" i="10"/>
  <c r="AD23" i="10"/>
  <c r="AC23" i="10"/>
  <c r="AD283" i="10"/>
  <c r="AC283" i="10"/>
  <c r="AD458" i="10"/>
  <c r="AC458" i="10"/>
  <c r="AD464" i="10"/>
  <c r="AC464" i="10"/>
  <c r="AD242" i="10"/>
  <c r="AC242" i="10"/>
  <c r="AD399" i="10"/>
  <c r="AC399" i="10"/>
  <c r="AD460" i="10"/>
  <c r="AC460" i="10"/>
  <c r="AC334" i="10"/>
  <c r="AD334" i="10"/>
  <c r="AC354" i="10"/>
  <c r="AD354" i="10"/>
  <c r="AD336" i="10"/>
  <c r="AC336" i="10"/>
  <c r="AC293" i="10"/>
  <c r="AD293" i="10"/>
  <c r="AC400" i="10"/>
  <c r="AD400" i="10"/>
  <c r="AD423" i="10"/>
  <c r="AC423" i="10"/>
  <c r="AD435" i="10"/>
  <c r="AC435" i="10"/>
  <c r="AC280" i="10"/>
  <c r="AD280" i="10"/>
  <c r="AD443" i="10"/>
  <c r="AC443" i="10"/>
  <c r="AD269" i="10"/>
  <c r="AC269" i="10"/>
  <c r="AD212" i="10"/>
  <c r="AC212" i="10"/>
  <c r="AC130" i="10"/>
  <c r="AD130" i="10"/>
  <c r="AC91" i="10"/>
  <c r="AD91" i="10"/>
  <c r="AD71" i="10"/>
  <c r="AC71" i="10"/>
  <c r="AC192" i="10"/>
  <c r="AD192" i="10"/>
  <c r="AD35" i="10"/>
  <c r="AC35" i="10"/>
  <c r="AC52" i="10"/>
  <c r="AD52" i="10"/>
  <c r="AD4" i="10"/>
  <c r="AC4" i="10"/>
  <c r="AD12" i="10"/>
  <c r="AC12" i="10"/>
  <c r="AC308" i="10"/>
  <c r="AD308" i="10"/>
  <c r="AD227" i="10"/>
  <c r="AC227" i="10"/>
  <c r="AC431" i="10"/>
  <c r="AD431" i="10"/>
  <c r="AC225" i="10"/>
  <c r="AD225" i="10"/>
  <c r="AD472" i="10"/>
  <c r="AC472" i="10"/>
  <c r="AC478" i="10"/>
  <c r="AD478" i="10"/>
  <c r="AC341" i="10"/>
  <c r="AD341" i="10"/>
  <c r="AD448" i="10"/>
  <c r="AC448" i="10"/>
  <c r="AD437" i="10"/>
  <c r="AC437" i="10"/>
  <c r="AD273" i="10"/>
  <c r="AC273" i="10"/>
  <c r="AC416" i="10"/>
  <c r="AD416" i="10"/>
  <c r="AC344" i="10"/>
  <c r="AD344" i="10"/>
  <c r="AC266" i="10"/>
  <c r="AD266" i="10"/>
  <c r="AD275" i="10"/>
  <c r="AC275" i="10"/>
  <c r="AD442" i="10"/>
  <c r="AC442" i="10"/>
  <c r="AC250" i="10"/>
  <c r="AD250" i="10"/>
  <c r="AD224" i="10"/>
  <c r="AC224" i="10"/>
  <c r="AC110" i="10"/>
  <c r="AD110" i="10"/>
  <c r="AD149" i="10"/>
  <c r="AC149" i="10"/>
  <c r="AD101" i="10"/>
  <c r="AC101" i="10"/>
  <c r="AD105" i="10"/>
  <c r="AC105" i="10"/>
  <c r="AD121" i="10"/>
  <c r="AC121" i="10"/>
  <c r="AC81" i="10"/>
  <c r="AD81" i="10"/>
  <c r="AC135" i="10"/>
  <c r="AD135" i="10"/>
  <c r="AD190" i="10"/>
  <c r="AC190" i="10"/>
  <c r="AD60" i="10"/>
  <c r="AC60" i="10"/>
  <c r="AD49" i="10"/>
  <c r="AC49" i="10"/>
  <c r="AD3" i="10"/>
  <c r="AC3" i="10"/>
  <c r="AD11" i="10"/>
  <c r="AC11" i="10"/>
  <c r="AC408" i="10"/>
  <c r="AD408" i="10"/>
  <c r="AD209" i="10"/>
  <c r="AC209" i="10"/>
  <c r="AD349" i="10"/>
  <c r="AC349" i="10"/>
  <c r="AC383" i="10"/>
  <c r="AD383" i="10"/>
  <c r="AD241" i="10"/>
  <c r="AC241" i="10"/>
  <c r="AC461" i="10"/>
  <c r="AD461" i="10"/>
  <c r="AC333" i="10"/>
  <c r="AD333" i="10"/>
  <c r="AC384" i="10"/>
  <c r="AD384" i="10"/>
  <c r="AD343" i="10"/>
  <c r="AC343" i="10"/>
  <c r="AC204" i="10"/>
  <c r="AD204" i="10"/>
  <c r="AC413" i="10"/>
  <c r="AD413" i="10"/>
  <c r="AC301" i="10"/>
  <c r="AD301" i="10"/>
  <c r="AD463" i="10"/>
  <c r="AC463" i="10"/>
  <c r="AC392" i="10"/>
  <c r="AD392" i="10"/>
  <c r="AD347" i="10"/>
  <c r="AC347" i="10"/>
  <c r="AD296" i="10"/>
  <c r="AC296" i="10"/>
  <c r="AC73" i="10"/>
  <c r="AD73" i="10"/>
  <c r="AD89" i="10"/>
  <c r="AC89" i="10"/>
  <c r="AC120" i="10"/>
  <c r="AD120" i="10"/>
  <c r="AD104" i="10"/>
  <c r="AC104" i="10"/>
  <c r="AD180" i="10"/>
  <c r="AC180" i="10"/>
  <c r="AC153" i="10"/>
  <c r="AD153" i="10"/>
  <c r="AD164" i="10"/>
  <c r="AC164" i="10"/>
  <c r="AC148" i="10"/>
  <c r="AD148" i="10"/>
  <c r="AC14" i="10"/>
  <c r="AD14" i="10"/>
  <c r="AD48" i="10"/>
  <c r="AC48" i="10"/>
  <c r="AC32" i="10"/>
  <c r="AD32" i="10"/>
  <c r="AD43" i="10"/>
  <c r="AC43" i="10"/>
  <c r="AC353" i="10"/>
  <c r="AD353" i="10"/>
  <c r="AD232" i="10"/>
  <c r="AC232" i="10"/>
  <c r="AC298" i="10"/>
  <c r="AD298" i="10"/>
  <c r="AC441" i="10"/>
  <c r="AD441" i="10"/>
  <c r="AD274" i="10"/>
  <c r="AC274" i="10"/>
  <c r="AD488" i="10"/>
  <c r="AC488" i="10"/>
  <c r="AD357" i="10"/>
  <c r="AC357" i="10"/>
  <c r="AD386" i="10"/>
  <c r="AC386" i="10"/>
  <c r="AC287" i="10"/>
  <c r="AD287" i="10"/>
  <c r="AC259" i="10"/>
  <c r="AD259" i="10"/>
  <c r="AD272" i="10"/>
  <c r="AC272" i="10"/>
  <c r="AC290" i="10"/>
  <c r="AD290" i="10"/>
  <c r="AD444" i="10"/>
  <c r="AC444" i="10"/>
  <c r="AC260" i="10"/>
  <c r="AD260" i="10"/>
  <c r="AC346" i="10"/>
  <c r="AD346" i="10"/>
  <c r="AD481" i="10"/>
  <c r="AC481" i="10"/>
  <c r="AD150" i="10"/>
  <c r="AC150" i="10"/>
  <c r="AD165" i="10"/>
  <c r="AC165" i="10"/>
  <c r="AC109" i="10"/>
  <c r="AD109" i="10"/>
  <c r="AD169" i="10"/>
  <c r="AC169" i="10"/>
  <c r="AD179" i="10"/>
  <c r="AC179" i="10"/>
  <c r="AD134" i="10"/>
  <c r="AC134" i="10"/>
  <c r="AD116" i="10"/>
  <c r="AC116" i="10"/>
  <c r="AD144" i="10"/>
  <c r="AC144" i="10"/>
  <c r="AC55" i="10"/>
  <c r="AD55" i="10"/>
  <c r="AD47" i="10"/>
  <c r="AC47" i="10"/>
  <c r="AD44" i="10"/>
  <c r="AC44" i="10"/>
  <c r="AC57" i="10"/>
  <c r="AD57" i="10"/>
  <c r="AD410" i="10"/>
  <c r="AC410" i="10"/>
  <c r="AD228" i="10"/>
  <c r="AC228" i="10"/>
  <c r="AD310" i="10"/>
  <c r="AC310" i="10"/>
  <c r="AD396" i="10"/>
  <c r="AC396" i="10"/>
  <c r="AC248" i="10"/>
  <c r="AD248" i="10"/>
  <c r="AD487" i="10"/>
  <c r="AC487" i="10"/>
  <c r="AD447" i="10"/>
  <c r="AC447" i="10"/>
  <c r="AD394" i="10"/>
  <c r="AC394" i="10"/>
  <c r="AD271" i="10"/>
  <c r="AC271" i="10"/>
  <c r="AD214" i="10"/>
  <c r="AC214" i="10"/>
  <c r="AD417" i="10"/>
  <c r="AC417" i="10"/>
  <c r="AD207" i="10"/>
  <c r="AC207" i="10"/>
  <c r="AD489" i="10"/>
  <c r="AC489" i="10"/>
  <c r="AD393" i="10"/>
  <c r="AC393" i="10"/>
  <c r="AC246" i="10"/>
  <c r="AD246" i="10"/>
  <c r="AD291" i="10"/>
  <c r="AC291" i="10"/>
  <c r="AD139" i="10"/>
  <c r="AC139" i="10"/>
  <c r="AD90" i="10"/>
  <c r="AC90" i="10"/>
  <c r="AD93" i="10"/>
  <c r="AC93" i="10"/>
  <c r="H5" i="11" s="1"/>
  <c r="AD96" i="10"/>
  <c r="AC96" i="10"/>
  <c r="AD188" i="10"/>
  <c r="AC188" i="10"/>
  <c r="AD103" i="10"/>
  <c r="AC103" i="10"/>
  <c r="AD113" i="10"/>
  <c r="AC113" i="10"/>
  <c r="AD147" i="10"/>
  <c r="AC147" i="10"/>
  <c r="AD61" i="10"/>
  <c r="AC61" i="10"/>
  <c r="AD37" i="10"/>
  <c r="AC37" i="10"/>
  <c r="AC31" i="10"/>
  <c r="AD31" i="10"/>
  <c r="AC430" i="10"/>
  <c r="AD430" i="10"/>
  <c r="AD221" i="10"/>
  <c r="AC221" i="10"/>
  <c r="AD311" i="10"/>
  <c r="AC311" i="10"/>
  <c r="AC440" i="10"/>
  <c r="AD440" i="10"/>
  <c r="AD289" i="10"/>
  <c r="AC289" i="10"/>
  <c r="AD477" i="10"/>
  <c r="AC477" i="10"/>
  <c r="AC439" i="10"/>
  <c r="AD439" i="10"/>
  <c r="AD485" i="10"/>
  <c r="AC485" i="10"/>
  <c r="AC288" i="10"/>
  <c r="AD288" i="10"/>
  <c r="AD322" i="10"/>
  <c r="AC322" i="10"/>
  <c r="AD304" i="10"/>
  <c r="AC304" i="10"/>
  <c r="AD315" i="10"/>
  <c r="AC315" i="10"/>
  <c r="AC236" i="10"/>
  <c r="AD236" i="10"/>
  <c r="AD307" i="10"/>
  <c r="AC307" i="10"/>
  <c r="AD303" i="10"/>
  <c r="AC303" i="10"/>
  <c r="AD420" i="10"/>
  <c r="AC420" i="10"/>
  <c r="AC133" i="10"/>
  <c r="AD133" i="10"/>
  <c r="AC146" i="10"/>
  <c r="AD146" i="10"/>
  <c r="AD98" i="10"/>
  <c r="AC98" i="10"/>
  <c r="AD72" i="10"/>
  <c r="AC72" i="10"/>
  <c r="AC88" i="10"/>
  <c r="AD88" i="10"/>
  <c r="AD176" i="10"/>
  <c r="AC176" i="10"/>
  <c r="AD102" i="10"/>
  <c r="AC102" i="10"/>
  <c r="AD115" i="10"/>
  <c r="AC115" i="10"/>
  <c r="AD99" i="10"/>
  <c r="AC99" i="10"/>
  <c r="AD39" i="10"/>
  <c r="AC39" i="10"/>
  <c r="AC13" i="10"/>
  <c r="AD13" i="10"/>
  <c r="AC6" i="10"/>
  <c r="AD6" i="10"/>
  <c r="AD56" i="10"/>
  <c r="AD445" i="10"/>
  <c r="AC445" i="10"/>
  <c r="AD205" i="10"/>
  <c r="AC205" i="10"/>
  <c r="AD474" i="10"/>
  <c r="AC474" i="10"/>
  <c r="AD215" i="10"/>
  <c r="AC215" i="10"/>
  <c r="AD276" i="10"/>
  <c r="AC276" i="10"/>
  <c r="AC329" i="10"/>
  <c r="AD329" i="10"/>
  <c r="AD282" i="10"/>
  <c r="AC282" i="10"/>
  <c r="AD284" i="10"/>
  <c r="AC284" i="10"/>
  <c r="AD421" i="10"/>
  <c r="AC421" i="10"/>
  <c r="AC330" i="10"/>
  <c r="AD330" i="10"/>
  <c r="AD409" i="10"/>
  <c r="AC409" i="10"/>
  <c r="AD389" i="10"/>
  <c r="AC389" i="10"/>
  <c r="AD356" i="10"/>
  <c r="AC356" i="10"/>
  <c r="AD317" i="10"/>
  <c r="AC317" i="10"/>
  <c r="AD243" i="10"/>
  <c r="AC243" i="10"/>
  <c r="AD470" i="10"/>
  <c r="AC470" i="10"/>
  <c r="AC118" i="10"/>
  <c r="AD118" i="10"/>
  <c r="AD92" i="10"/>
  <c r="AC92" i="10"/>
  <c r="AC68" i="10"/>
  <c r="AD68" i="10"/>
  <c r="AD111" i="10"/>
  <c r="AC111" i="10"/>
  <c r="AC155" i="10"/>
  <c r="AD155" i="10"/>
  <c r="AC203" i="10"/>
  <c r="AD203" i="10"/>
  <c r="AD195" i="10"/>
  <c r="AC195" i="10"/>
  <c r="AD86" i="10"/>
  <c r="AC86" i="10"/>
  <c r="AD117" i="10"/>
  <c r="AC117" i="10"/>
  <c r="AD59" i="10"/>
  <c r="AC59" i="10"/>
  <c r="AD10" i="10"/>
  <c r="AC10" i="10"/>
  <c r="AD16" i="10"/>
  <c r="AC16" i="10"/>
  <c r="AD19" i="10"/>
  <c r="AC373" i="10"/>
  <c r="AD373" i="10"/>
  <c r="AD219" i="10"/>
  <c r="AC358" i="10"/>
  <c r="AD358" i="10"/>
  <c r="AC318" i="10"/>
  <c r="AD318" i="10"/>
  <c r="AC326" i="10"/>
  <c r="AD326" i="10"/>
  <c r="AD434" i="10"/>
  <c r="AC434" i="10"/>
  <c r="AD314" i="10"/>
  <c r="AC314" i="10"/>
  <c r="AC360" i="10"/>
  <c r="AD360" i="10"/>
  <c r="AC404" i="10"/>
  <c r="AD404" i="10"/>
  <c r="AD451" i="10"/>
  <c r="AC451" i="10"/>
  <c r="AD230" i="10"/>
  <c r="AC230" i="10"/>
  <c r="AC222" i="10"/>
  <c r="AD222" i="10"/>
  <c r="AC339" i="10"/>
  <c r="AD339" i="10"/>
  <c r="AD374" i="10"/>
  <c r="AC374" i="10"/>
  <c r="AC468" i="10"/>
  <c r="AD468" i="10"/>
  <c r="AD240" i="10"/>
  <c r="AC240" i="10"/>
  <c r="AD170" i="10"/>
  <c r="AC170" i="10"/>
  <c r="AD151" i="10"/>
  <c r="AC151" i="10"/>
  <c r="AD125" i="10"/>
  <c r="AC125" i="10"/>
  <c r="AD160" i="10"/>
  <c r="AC160" i="10"/>
  <c r="AC131" i="10"/>
  <c r="AD131" i="10"/>
  <c r="AD178" i="10"/>
  <c r="AC178" i="10"/>
  <c r="AD201" i="10"/>
  <c r="AC201" i="10"/>
  <c r="AD82" i="10"/>
  <c r="J5" i="11" s="1"/>
  <c r="AC82" i="10"/>
  <c r="AD159" i="10"/>
  <c r="AC159" i="10"/>
  <c r="AC36" i="10"/>
  <c r="AD36" i="10"/>
  <c r="AD25" i="10"/>
  <c r="AC25" i="10"/>
  <c r="AD5" i="10"/>
  <c r="AC5" i="10"/>
  <c r="AD24" i="10"/>
  <c r="AC24" i="10"/>
  <c r="AC387" i="10"/>
  <c r="AD387" i="10"/>
  <c r="AD208" i="10"/>
  <c r="AC208" i="10"/>
  <c r="AC285" i="10"/>
  <c r="AD285" i="10"/>
  <c r="AC286" i="10"/>
  <c r="AD286" i="10"/>
  <c r="AC331" i="10"/>
  <c r="AD331" i="10"/>
  <c r="AC486" i="10"/>
  <c r="AD486" i="10"/>
  <c r="AD292" i="10"/>
  <c r="AC292" i="10"/>
  <c r="AD256" i="10"/>
  <c r="AC256" i="10"/>
  <c r="AC361" i="10"/>
  <c r="AD361" i="10"/>
  <c r="AC456" i="10"/>
  <c r="AD456" i="10"/>
  <c r="AC217" i="10"/>
  <c r="AD217" i="10"/>
  <c r="AC229" i="10"/>
  <c r="AD229" i="10"/>
  <c r="AD446" i="10"/>
  <c r="AC446" i="10"/>
  <c r="AD263" i="10"/>
  <c r="AC263" i="10"/>
  <c r="AC370" i="10"/>
  <c r="AD370" i="10"/>
  <c r="AC452" i="10"/>
  <c r="AD452" i="10"/>
  <c r="H6" i="11"/>
  <c r="B8" i="11"/>
  <c r="AC219" i="10"/>
  <c r="AC19" i="10"/>
  <c r="AC56" i="10"/>
  <c r="AC67" i="10"/>
  <c r="H7" i="11" s="1"/>
  <c r="AD67" i="10"/>
  <c r="J3" i="11" l="1"/>
  <c r="H3" i="11"/>
  <c r="J6" i="11"/>
  <c r="AC7" i="10"/>
  <c r="AC495" i="10" s="1"/>
  <c r="AD7" i="10"/>
  <c r="AD495" i="10" s="1"/>
  <c r="C5" i="11"/>
  <c r="C6" i="11"/>
  <c r="C3" i="11"/>
  <c r="J7" i="11"/>
  <c r="J4" i="11" l="1"/>
  <c r="J8" i="11" s="1"/>
  <c r="H4" i="11"/>
  <c r="C4" i="11"/>
  <c r="C7" i="11"/>
  <c r="C8" i="11"/>
  <c r="H5" i="2"/>
  <c r="H48" i="2"/>
  <c r="H47" i="2"/>
  <c r="H42" i="2"/>
  <c r="H41" i="2"/>
  <c r="H40" i="2"/>
  <c r="H39" i="2"/>
  <c r="H38" i="2"/>
  <c r="H37" i="2"/>
  <c r="H36" i="2"/>
  <c r="H35" i="2"/>
  <c r="H34" i="2"/>
  <c r="H33" i="2"/>
  <c r="H28" i="2"/>
  <c r="H27" i="2"/>
  <c r="H26" i="2"/>
  <c r="H25" i="2"/>
  <c r="H24" i="2"/>
  <c r="H23" i="2"/>
  <c r="H22" i="2"/>
  <c r="H21" i="2"/>
  <c r="H20" i="2"/>
  <c r="H19" i="2"/>
  <c r="H14" i="2"/>
  <c r="H13" i="2"/>
  <c r="H12" i="2"/>
  <c r="H11" i="2"/>
  <c r="H10" i="2"/>
  <c r="H9" i="2"/>
  <c r="H8" i="2"/>
  <c r="H7" i="2"/>
  <c r="H6" i="2"/>
  <c r="H8" i="11" l="1"/>
  <c r="K4" i="11"/>
  <c r="K6" i="11"/>
  <c r="K7" i="11"/>
  <c r="K8" i="11"/>
  <c r="K3" i="11"/>
  <c r="K5" i="11"/>
  <c r="B48" i="2"/>
  <c r="B47" i="2"/>
  <c r="B42" i="2"/>
  <c r="B41" i="2"/>
  <c r="B40" i="2"/>
  <c r="B39" i="2"/>
  <c r="B38" i="2"/>
  <c r="B37" i="2"/>
  <c r="B36" i="2"/>
  <c r="B35" i="2"/>
  <c r="B34" i="2"/>
  <c r="B33" i="2"/>
  <c r="B28" i="2"/>
  <c r="B27" i="2"/>
  <c r="B26" i="2"/>
  <c r="B25" i="2"/>
  <c r="B24" i="2"/>
  <c r="B23" i="2"/>
  <c r="B22" i="2"/>
  <c r="B21" i="2"/>
  <c r="B20" i="2"/>
  <c r="B19" i="2"/>
  <c r="B6" i="2"/>
  <c r="B7" i="2"/>
  <c r="B8" i="2"/>
  <c r="B10" i="2"/>
  <c r="B11" i="2"/>
  <c r="B12" i="2"/>
  <c r="B13" i="2"/>
  <c r="B14" i="2"/>
  <c r="I8" i="11" l="1"/>
  <c r="I5" i="11"/>
  <c r="I7" i="11"/>
  <c r="I6" i="11"/>
  <c r="I3" i="11"/>
  <c r="I4" i="11"/>
</calcChain>
</file>

<file path=xl/sharedStrings.xml><?xml version="1.0" encoding="utf-8"?>
<sst xmlns="http://schemas.openxmlformats.org/spreadsheetml/2006/main" count="1426" uniqueCount="558">
  <si>
    <t>JEAI012-CDｾﾞﾝｳｪｱﾌﾙｲﾄﾞFD #012</t>
  </si>
  <si>
    <t>JEAI013-CDｾﾞﾝｳｪｱﾌﾙｲﾄﾞFD #013</t>
  </si>
  <si>
    <t>JEAI016-CDｾﾞﾝｳｪｱﾌﾙｲﾄﾞFD #016</t>
  </si>
  <si>
    <t>JEAK-CDｽｷﾝﾐﾆﾏﾘｽﾄ</t>
  </si>
  <si>
    <t>JEAP012-CDｾﾞﾝｳｪｱﾊﾟｳﾀﾞｰFD#012</t>
  </si>
  <si>
    <t>JEAP013-CDｾﾞﾝｳｪｱﾊﾟｳﾀﾞｰFD#013</t>
  </si>
  <si>
    <t>JEAP016-CDｾﾞﾝｳｪｱﾊﾟｳﾀﾞｰFD#016</t>
  </si>
  <si>
    <t>JEAP021-CDｾﾞﾝｳｪｱﾊﾟｳﾀﾞｰFD#021</t>
  </si>
  <si>
    <t>JEAP022-CDｾﾞﾝｳｪｱﾊﾟｳﾀﾞｰFD#022</t>
  </si>
  <si>
    <t>JEAP024-CDｾﾞﾝｳｪｱﾊﾟｳﾀﾞｰFD#024</t>
  </si>
  <si>
    <t>JEGG009-CDｱｲｼﾞｪﾑｽｷﾝSｸﾞﾛｳ#009</t>
  </si>
  <si>
    <t>JEGG011-CDｱｲｼﾞｪﾑｽｷﾝSｸﾞﾛｳ#011</t>
  </si>
  <si>
    <t>JEGG012-CDｱｲｼﾞｪﾑｽｷﾝSｸﾞﾛｳ#012</t>
  </si>
  <si>
    <t>JEGG015-CDｱｲｼﾞｪﾑｽｷﾝSｸﾞﾛｳ#015</t>
  </si>
  <si>
    <t>JEGH029-CDｱｲｼﾞｪﾑｽｷﾝSﾏｯﾄ #029</t>
  </si>
  <si>
    <t>JEGH030-CDｱｲｼﾞｪﾑｽｷﾝSﾏｯﾄ #030</t>
  </si>
  <si>
    <t>JEIG301-CDｼﾞｪﾙｱｲﾗｲﾅｰ    #301</t>
  </si>
  <si>
    <t>JELT001-CDﾙｰｼﾞｭDｸﾘｰﾑG   #001</t>
  </si>
  <si>
    <t>JELT002-CDﾙｰｼﾞｭDｸﾘｰﾑG   #002</t>
  </si>
  <si>
    <t>JELT003-CDﾙｰｼﾞｭDｸﾘｰﾑG   #003</t>
  </si>
  <si>
    <t>JELT013-CDﾙｰｼﾞｭDｸﾘｰﾑG   #013</t>
  </si>
  <si>
    <t>JELT014-CDﾙｰｼﾞｭDｸﾘｰﾑG   #014</t>
  </si>
  <si>
    <t>JELT018-CDﾙｰｼﾞｭDｸﾘｰﾑG   #018</t>
  </si>
  <si>
    <t>JELT020-CDﾙｰｼﾞｭDｸﾘｰﾑG   #020</t>
  </si>
  <si>
    <t>JELT025-CDﾙｰｼﾞｭDｸﾘｰﾑG   #025</t>
  </si>
  <si>
    <t>JEYP-CDｾﾞﾝｳｪｱPFDｹｰｽ</t>
  </si>
  <si>
    <t>JLAE-CD ｽﾉｰｸﾗﾘﾌｧｲｱ</t>
  </si>
  <si>
    <t>JQHI-AQｽﾑｰｽｺﾝﾃﾞ250</t>
  </si>
  <si>
    <t>JQHO-AQｽﾑｰｽｼｬﾝﾌﾟｰ600</t>
  </si>
  <si>
    <t>JQHQ-AQﾌﾞｰｽﾃｨﾝｸﾞﾍｱｾﾗﾑ</t>
  </si>
  <si>
    <t>JQHV-AQｽﾑｰｽｺﾝﾃﾞ600</t>
  </si>
  <si>
    <t>JQIF-CDｷﾓﾉYUI_15n</t>
  </si>
  <si>
    <t>JQRO-CD23AQｹｱﾅﾋﾞﾖｳｴｷ</t>
  </si>
  <si>
    <t>JVAI-CD ﾘﾎﾟｿｰﾑｾﾗﾑ30</t>
  </si>
  <si>
    <t>JVXC-CD ﾕｰｽﾊﾟﾜｰｴｯｾﾝｽ</t>
  </si>
  <si>
    <t>JQIW-CDｷﾓﾉYUI_edt</t>
  </si>
  <si>
    <t>JEAT011-CDｾﾞﾝｳｪｱｸﾞﾛｳFD  #011</t>
  </si>
  <si>
    <t>JEAT016-CDｾﾞﾝｳｪｱｸﾞﾛｳFD  #016</t>
  </si>
  <si>
    <t>JEAT022-CDｾﾞﾝｳｪｱｸﾞﾛｳFD  #022</t>
  </si>
  <si>
    <t>JEAT026-CDｾﾞﾝｳｪｱｸﾞﾛｳFD  #026</t>
  </si>
  <si>
    <t>JEFC000-CDﾄｰﾝPﾊﾟﾚｯﾄ     #000</t>
  </si>
  <si>
    <t>JEFC001-CDﾄｰﾝPﾊﾟﾚｯﾄ     #001</t>
  </si>
  <si>
    <t>JEFC002-CDﾄｰﾝPﾊﾟﾚｯﾄ     #002</t>
  </si>
  <si>
    <t>JETR-CDﾛｰｼﾞｰﾌﾟﾗｲﾏｰ+</t>
  </si>
  <si>
    <t>JLAD-CD Mﾊﾞｰﾑﾛｰｼｮﾝ</t>
  </si>
  <si>
    <t>JLMZ-CD ｸﾚｲﾌﾞﾗﾝ HC</t>
  </si>
  <si>
    <t>JQKW-CDｷﾓﾉ ﾕｲ_hc</t>
  </si>
  <si>
    <t>JQVW-CDｷﾓﾉ ﾕｲ_bl</t>
  </si>
  <si>
    <t>JVAN-CD ﾘﾎﾟｿｰﾑｾﾗﾑ50</t>
  </si>
  <si>
    <t>MTEA-SKｱｲｸﾘｰﾑN</t>
  </si>
  <si>
    <t>MTSC-ｾｯｷｾｲ ｹｼｮｳｽｲN</t>
  </si>
  <si>
    <t>JQFA-AQ_EDP30</t>
  </si>
  <si>
    <t>JQFB-AQ_EDP100</t>
  </si>
  <si>
    <t>JQIJ-CDｷﾓﾉTSUYA_15n</t>
  </si>
  <si>
    <t>JEAI023-CDｾﾞﾝｳｪｱﾌﾙｲﾄﾞFD #023</t>
  </si>
  <si>
    <t>JEAP031-CDｾﾞﾝｳｪｱﾊﾟｳﾀﾞｰFD#031</t>
  </si>
  <si>
    <t>JEAP034-CDｾﾞﾝｳｪｱﾊﾟｳﾀﾞｰFD#034</t>
  </si>
  <si>
    <t>JEAT010-CDｾﾞﾝｳｪｱｸﾞﾛｳFD  #010</t>
  </si>
  <si>
    <t>JEGG002-CDｱｲｼﾞｪﾑｽｷﾝSｸﾞﾛｳ#002</t>
  </si>
  <si>
    <t>JEGG007-CDｱｲｼﾞｪﾑｽｷﾝSｸﾞﾛｳ#007</t>
  </si>
  <si>
    <t>JEGH025-CDｱｲｼﾞｪﾑｽｷﾝSﾏｯﾄ #025</t>
  </si>
  <si>
    <t>JEIC002-CDﾍﾟﾝｼﾙｱｲﾌﾞﾛｳR  #002</t>
  </si>
  <si>
    <t>JEIC302-CDﾍﾟﾝｼﾙｱｲﾌﾞﾛｳR  #302</t>
  </si>
  <si>
    <t>JEIH001-CDｼﾞｪﾙｱｲﾗｲﾅｰR   #001</t>
  </si>
  <si>
    <t>JEIH301-CDｼﾞｪﾙｱｲﾗｲﾅｰR   #301</t>
  </si>
  <si>
    <t>JELT021-CDﾙｰｼﾞｭDｸﾘｰﾑG   #021</t>
  </si>
  <si>
    <t>JETB002-CDﾃｨﾝﾄﾌﾟﾗﾝﾊﾟｰ   #002</t>
  </si>
  <si>
    <t>JEVN-CDｸﾞﾛｳｽﾎﾟﾝｼﾞ</t>
  </si>
  <si>
    <t>JKFN-CD HCｴｯｾﾝｽﾏｽｸ</t>
  </si>
  <si>
    <t>JQHF-AQﾎﾞﾘｭﾑｼｬﾝﾌﾟｰ250</t>
  </si>
  <si>
    <t>MTNA-SKｸﾚﾝｼﾞﾝｸﾞｵｲﾙ160</t>
  </si>
  <si>
    <t>MTNC-ｾｯｷｾｲｸﾘｰﾑｳｵｯｼｭ</t>
  </si>
  <si>
    <t>JEJA002-CDﾌﾟﾗﾝﾋﾟﾝｸﾞLS02 #002</t>
  </si>
  <si>
    <t>MUCH-OBK ﾎﾟｱｸﾘｱｵｲﾙ</t>
  </si>
  <si>
    <t>MWGP-SKMｺﾞｰﾙﾃﾞﾝﾏｽｸ</t>
  </si>
  <si>
    <t>MWMY-SKMｻｲｸﾚｲﾀｰB</t>
  </si>
  <si>
    <t>SIDT-JS WFｼｬﾝﾌﾟｰ</t>
  </si>
  <si>
    <t>SIDU-JS WFﾄﾘｰﾄﾒﾝﾄ</t>
  </si>
  <si>
    <t>SIED004-JS ﾌﾞﾙｰﾑCEﾌﾞｰｹ  #004</t>
  </si>
  <si>
    <t>SIEI004-JS ﾄﾞﾚｽﾄﾞﾌﾞﾙｰﾑE #004</t>
  </si>
  <si>
    <t>SIEQ-JS ｱｲｶﾗｰﾌﾞﾗｼII</t>
  </si>
  <si>
    <t>SIJF-JSWFﾎﾞﾃﾞｨﾐﾙｸ</t>
  </si>
  <si>
    <t>SIJM-JSWFﾘｯﾌﾟﾏｽｸ</t>
  </si>
  <si>
    <t>SIJN-JSMTﾘｯﾌﾟﾏｽｸ</t>
  </si>
  <si>
    <t>SIJO-JSLBﾘｯﾌﾟﾏｽｸ</t>
  </si>
  <si>
    <t>SILD001-JS ﾘｯﾌﾟﾌﾞﾛｯｻﾑ24 #001</t>
  </si>
  <si>
    <t>SILD002-JS ﾘｯﾌﾟﾌﾞﾛｯｻﾑ24 #002</t>
  </si>
  <si>
    <t>SILD003-JS ﾘｯﾌﾟﾌﾞﾛｯｻﾑ24 #003</t>
  </si>
  <si>
    <t>SILD005-JS ﾘｯﾌﾟﾌﾞﾛｯｻﾑ24 #005</t>
  </si>
  <si>
    <t>SILD010-JS ﾘｯﾌﾟﾌﾞﾛｯｻﾑ24 #010</t>
  </si>
  <si>
    <t>SILD012-JS ﾘｯﾌﾟﾌﾞﾛｯｻﾑ24 #012</t>
  </si>
  <si>
    <t>SILD017-JS ﾘｯﾌﾟﾌﾞﾛｯｻﾑ24 #017</t>
  </si>
  <si>
    <t>SILD023-JS ﾘｯﾌﾟﾌﾞﾛｯｻﾑ24 #023</t>
  </si>
  <si>
    <t>SILD025-JS ﾘｯﾌﾟﾌﾞﾛｯｻﾑ24 #025</t>
  </si>
  <si>
    <t>SILK005-JSﾘｯﾌﾟｶﾞｰﾗﾝﾄﾞ   #005</t>
  </si>
  <si>
    <t>SILL012-JS CBﾘｯﾌﾟﾌﾞｰｹｾﾗﾑ#012</t>
  </si>
  <si>
    <t>SIOA001-JS ｲﾙﾐﾈｲﾃｨﾝｸﾞP  #001</t>
  </si>
  <si>
    <t>SIOA003-JS ｲﾙﾐﾈｲﾃｨﾝｸﾞP  #003</t>
  </si>
  <si>
    <t>SIOB-JS ﾌﾛｰﾚｽｼﾞｪﾑP</t>
  </si>
  <si>
    <t>SIOT-JS WFﾊﾝﾄﾞｸﾘｰﾑ</t>
  </si>
  <si>
    <t>SIRA002-JSﾊﾟｽﾃﾙﾍﾟﾀﾙ     #002</t>
  </si>
  <si>
    <t>SIRN-JS ｸﾘｱｸﾚﾝｼﾞﾝｸﾞB</t>
  </si>
  <si>
    <t>SITM-JSUVﾌﾟﾛﾃｸﾀｰW</t>
  </si>
  <si>
    <t>SIUR-JSWFﾍｯﾄﾞｸﾚﾝｽﾞ</t>
  </si>
  <si>
    <t>SIWF-JS WFﾍｱﾏｽｸ</t>
  </si>
  <si>
    <t>SJFG-JS CBﾊﾝﾄﾞ</t>
  </si>
  <si>
    <t>SJPK001-JS ﾌﾞﾙｰﾑﾐｯｸｽBC  #001</t>
  </si>
  <si>
    <t>SJPN-JS ﾁｰｸｶﾗｰﾌﾞﾗｼ</t>
  </si>
  <si>
    <t>STFR-JS ｸﾘｽﾀﾙﾌﾞﾙｰﾑ30</t>
  </si>
  <si>
    <t>MTSD-ｾｯｷｾｲ ﾆｭｳｴｷN</t>
  </si>
  <si>
    <t>JEGH021-CDｱｲｼﾞｪﾑｽｷﾝSﾏｯﾄ #021</t>
  </si>
  <si>
    <t>JEGH022-CDｱｲｼﾞｪﾑｽｷﾝSﾏｯﾄ #022</t>
  </si>
  <si>
    <t>JEGH023-CDｱｲｼﾞｪﾑｽｷﾝSﾏｯﾄ #023</t>
  </si>
  <si>
    <t>JEGP004-CDｽｷﾝSｱｲﾊﾟﾚｯﾄ   #004</t>
  </si>
  <si>
    <t>JEGP007-CDｽｷﾝSｱｲﾊﾟﾚｯﾄ   #007</t>
  </si>
  <si>
    <t>MUSC-OBKｾﾗﾑｼｰﾙﾄﾞ</t>
  </si>
  <si>
    <t>JEGG001-CDｱｲｼﾞｪﾑｽｷﾝSｸﾞﾛｳ#001</t>
  </si>
  <si>
    <t>JEGG005-CDｱｲｼﾞｪﾑｽｷﾝSｸﾞﾛｳ#005</t>
  </si>
  <si>
    <t>JEGG006-CDｱｲｼﾞｪﾑｽｷﾝSｸﾞﾛｳ#006</t>
  </si>
  <si>
    <t>JEGG016-CDｱｲｼﾞｪﾑｽｷﾝSｸﾞﾛｳ#016</t>
  </si>
  <si>
    <t>JELT009-CDﾙｰｼﾞｭDｸﾘｰﾑG   #009</t>
  </si>
  <si>
    <t>JELT024-CDﾙｰｼﾞｭDｸﾘｰﾑG   #024</t>
  </si>
  <si>
    <t>MTBL-SKCWﾓｲｽﾄﾘﾍﾟｱﾐﾙｸ</t>
  </si>
  <si>
    <t>MTPL-SKCWﾏｲﾙﾄﾞPｾﾗﾑ</t>
  </si>
  <si>
    <t>SIHF-JS ﾍｱﾌﾞﾗｼ</t>
  </si>
  <si>
    <t>SILD021-JS ﾘｯﾌﾟﾌﾞﾛｯｻﾑ24 #021</t>
  </si>
  <si>
    <t>SILE001-JS ﾘｯﾌﾟB  ﾊﾞｰﾑ  #001</t>
  </si>
  <si>
    <t>SILE005-JS ﾘｯﾌﾟB  ﾊﾞｰﾑ  #005</t>
  </si>
  <si>
    <t>SJPK027-JS ﾌﾞﾙｰﾑﾐｯｸｽBC  #027</t>
  </si>
  <si>
    <t>STMY-JS ｺﾝﾊﾟｸﾄﾐﾗｰ2</t>
  </si>
  <si>
    <t>SILE002-JS ﾘｯﾌﾟB  ﾊﾞｰﾑ  #002</t>
  </si>
  <si>
    <t>STAZ-JS ﾊﾝﾄﾞﾐﾗｰ</t>
  </si>
  <si>
    <t>SILD006-JS ﾘｯﾌﾟﾌﾞﾛｯｻﾑ24 #006</t>
  </si>
  <si>
    <t>SILE004-JS ﾘｯﾌﾟB  ﾊﾞｰﾑ  #004</t>
  </si>
  <si>
    <t>SILL013-JS CBﾘｯﾌﾟﾌﾞｰｹｾﾗﾑ#013</t>
  </si>
  <si>
    <t>SILL015-JS CBﾘｯﾌﾟﾌﾞｰｹｾﾗﾑ#015</t>
  </si>
  <si>
    <t>SIAK002-JS ｼﾏｰﾌﾞﾗｯｼｭ    #002</t>
  </si>
  <si>
    <t>STFQ-JS ｸﾘｽﾀﾙﾌﾞﾙｰﾑ50</t>
  </si>
  <si>
    <t>SIED014-JS ﾌﾞﾙｰﾑCEﾌﾞｰｹ  #014</t>
  </si>
  <si>
    <t>SILL014-JS CBﾘｯﾌﾟﾌﾞｰｹｾﾗﾑ#014</t>
  </si>
  <si>
    <t>SIUQ-JS WFﾎﾞﾃﾞｨｽｸﾗﾌﾞ</t>
  </si>
  <si>
    <t>JCFC301-MX ｶﾊﾞﾘﾝｸﾞFD    #301</t>
  </si>
  <si>
    <t>JCFC302-MX ｶﾊﾞﾘﾝｸﾞFD    #302</t>
  </si>
  <si>
    <t>JCFC401-MX ｶﾊﾞﾘﾝｸﾞFD    #401</t>
  </si>
  <si>
    <t>JEAP026-CDｾﾞﾝｳｪｱﾊﾟｳﾀﾞｰFD#026</t>
  </si>
  <si>
    <t>JQHM-AQﾎﾞﾘｭﾑｼｬﾝﾌﾟｰ600</t>
  </si>
  <si>
    <t>JQHP-AQｽﾑｰｽｼｬﾝﾌﾟｰ500</t>
  </si>
  <si>
    <t>JQHR-AQ Bﾍｱｾﾗﾑ ﾚﾌｨﾙ</t>
  </si>
  <si>
    <t>JQHW-AQｽﾑｰｽｺﾝﾃﾞ600R</t>
  </si>
  <si>
    <t>JCAZ-MX ﾌﾟﾛｽﾎﾟﾝｼﾞ</t>
  </si>
  <si>
    <t>JEAI011-CDｾﾞﾝｳｪｱﾌﾙｲﾄﾞFD #011</t>
  </si>
  <si>
    <t>JEAI021-CDｾﾞﾝｳｪｱﾌﾙｲﾄﾞFD #021</t>
  </si>
  <si>
    <t>JEAI031-CDｾﾞﾝｳｪｱﾌﾙｲﾄﾞFD #031</t>
  </si>
  <si>
    <t>JEAI032-CDｾﾞﾝｳｪｱﾌﾙｲﾄﾞFD #032</t>
  </si>
  <si>
    <t>JEAI033-CDｾﾞﾝｳｪｱﾌﾙｲﾄﾞFD #033</t>
  </si>
  <si>
    <t>JEAI034-CDｾﾞﾝｳｪｱﾌﾙｲﾄﾞFD #034</t>
  </si>
  <si>
    <t>JEAI043-CDｾﾞﾝｳｪｱﾌﾙｲﾄﾞFD #043</t>
  </si>
  <si>
    <t>JEAT012-CDｾﾞﾝｳｪｱｸﾞﾛｳFD  #012</t>
  </si>
  <si>
    <t>JEAT013-CDｾﾞﾝｳｪｱｸﾞﾛｳFD  #013</t>
  </si>
  <si>
    <t>JEAT021-CDｾﾞﾝｳｪｱｸﾞﾛｳFD  #021</t>
  </si>
  <si>
    <t>JEAT024-CDｾﾞﾝｳｪｱｸﾞﾛｳFD  #024</t>
  </si>
  <si>
    <t>JEAT031-CDｾﾞﾝｳｪｱｸﾞﾛｳFD  #031</t>
  </si>
  <si>
    <t>JEAT034-CDｾﾞﾝｳｪｱｸﾞﾛｳFD  #034</t>
  </si>
  <si>
    <t>JEBO150-CDｸﾘｰﾑﾌﾞﾗｯｼｭ    #150</t>
  </si>
  <si>
    <t>JEBO850-CDｸﾘｰﾑﾌﾞﾗｯｼｭ    #850</t>
  </si>
  <si>
    <t>JEBP202-CDﾊﾟｳﾀﾞｰﾌﾞﾗｯｼｭ  #202</t>
  </si>
  <si>
    <t>JEBP301-CDﾊﾟｳﾀﾞｰﾌﾞﾗｯｼｭ  #301</t>
  </si>
  <si>
    <t>JEBP801-CDﾊﾟｳﾀﾞｰﾌﾞﾗｯｼｭ  #801</t>
  </si>
  <si>
    <t>JEEA012-CDｺﾝﾄｩｱﾘﾝｸﾞｱｲS  #012</t>
  </si>
  <si>
    <t>JEEA013-CDｺﾝﾄｩｱﾘﾝｸﾞｱｲS  #013</t>
  </si>
  <si>
    <t>JEEA014-CDｺﾝﾄｩｱﾘﾝｸﾞｱｲS  #014</t>
  </si>
  <si>
    <t>JEEA017-CDｺﾝﾄｩｱﾘﾝｸﾞｱｲS  #017</t>
  </si>
  <si>
    <t>JEEA018-CDｺﾝﾄｩｱﾘﾝｸﾞｱｲS  #018</t>
  </si>
  <si>
    <t>JEFF-CDTｾｯﾃｨﾝｸﾞﾊﾟｳﾀﾞｰ</t>
  </si>
  <si>
    <t>JEGG020-CDｱｲｼﾞｪﾑｽｷﾝSｸﾞﾛｳ#020</t>
  </si>
  <si>
    <t>JEGG032-CDｱｲｼﾞｪﾑｽｷﾝSｸﾞﾛｳ#032</t>
  </si>
  <si>
    <t>JEIB302-CDﾍﾟﾝｼﾙｱｲﾌﾞﾛｳ   #302</t>
  </si>
  <si>
    <t>JEIC301-CDﾍﾟﾝｼﾙｱｲﾌﾞﾛｳR  #301</t>
  </si>
  <si>
    <t>JEIC303-CDﾍﾟﾝｼﾙｱｲﾌﾞﾛｳR  #303</t>
  </si>
  <si>
    <t>JEIP301-CDﾊﾟｳﾀﾞｰｱｲﾌﾞﾛｳ  #301</t>
  </si>
  <si>
    <t>JEIP302-CDﾊﾟｳﾀﾞｰｱｲﾌﾞﾛｳ  #302</t>
  </si>
  <si>
    <t>JEJB001-CDﾌﾟﾗﾝﾋﾟﾝｸﾞLS01 #001</t>
  </si>
  <si>
    <t>JEJC003-CDﾌﾟﾗﾝﾋﾟﾝｸﾞLS03 #003</t>
  </si>
  <si>
    <t>JELT004-CDﾙｰｼﾞｭDｸﾘｰﾑG   #004</t>
  </si>
  <si>
    <t>JELT008-CDﾙｰｼﾞｭDｸﾘｰﾑG   #008</t>
  </si>
  <si>
    <t>JELT017-CDﾙｰｼﾞｭDｸﾘｰﾑG   #017</t>
  </si>
  <si>
    <t>JELT019-CDﾙｰｼﾞｭDｸﾘｰﾑG   #019</t>
  </si>
  <si>
    <t>JELT022-CDﾙｰｼﾞｭDｸﾘｰﾑG   #022</t>
  </si>
  <si>
    <t>JELT023-CDﾙｰｼﾞｭDｸﾘｰﾑG   #023</t>
  </si>
  <si>
    <t>JENE-CDﾛｰｼﾞｰﾌﾟﾗｲﾏｰ</t>
  </si>
  <si>
    <t>JENQ001-CDｽｷﾆﾌｨｯｸﾈｲﾙｶﾗｰ #001</t>
  </si>
  <si>
    <t>JENQ002-CDｽｷﾆﾌｨｯｸﾈｲﾙｶﾗｰ #002</t>
  </si>
  <si>
    <t>JENQ003-CDｽｷﾆﾌｨｯｸﾈｲﾙｶﾗｰ #003</t>
  </si>
  <si>
    <t>JENQ004-CDｽｷﾆﾌｨｯｸﾈｲﾙｶﾗｰ #004</t>
  </si>
  <si>
    <t>JENQ007-CDｽｷﾆﾌｨｯｸﾈｲﾙｶﾗｰ #007</t>
  </si>
  <si>
    <t>JENQ011-CDｽｷﾆﾌｨｯｸﾈｲﾙｶﾗｰ #011</t>
  </si>
  <si>
    <t>JEPA201-CDｻﾞｽｷﾝﾊﾟｳﾀﾞｰFDa#201</t>
  </si>
  <si>
    <t>JEPA202-CDｻﾞｽｷﾝﾊﾟｳﾀﾞｰFDa#202</t>
  </si>
  <si>
    <t>JEPA300-CDｻﾞｽｷﾝﾊﾟｳﾀﾞｰFDa#300</t>
  </si>
  <si>
    <t>JEPA301-CDｻﾞｽｷﾝﾊﾟｳﾀﾞｰFDa#301</t>
  </si>
  <si>
    <t>JEPA302-CDｻﾞｽｷﾝﾊﾟｳﾀﾞｰFDa#302</t>
  </si>
  <si>
    <t>JEPA303-CDｻﾞｽｷﾝﾊﾟｳﾀﾞｰFDa#303</t>
  </si>
  <si>
    <t>JETB001-CDﾃｨﾝﾄﾌﾟﾗﾝﾊﾟｰ   #001</t>
  </si>
  <si>
    <t>JETB003-CDﾃｨﾝﾄﾌﾟﾗﾝﾊﾟｰ   #003</t>
  </si>
  <si>
    <t>JEYX-CDｾﾞﾝPｽﾎﾟﾝｼﾞ</t>
  </si>
  <si>
    <t>JQFH-AQ_ﾍｱﾐｽﾄ</t>
  </si>
  <si>
    <t>MECB001-SK ﾎﾜｲﾄBB       #001</t>
  </si>
  <si>
    <t>MECB002-SK ﾎﾜｲﾄBB       #002</t>
  </si>
  <si>
    <t>MELW-ｾｯｷｾｲﾐﾙｷｨｳｫｯｼｭ</t>
  </si>
  <si>
    <t>MEWZ-SK ｹｼｮｳｽｲｼﾀﾃｾｯｹﾝ</t>
  </si>
  <si>
    <t>MTBD-SKｴｯｾﾝｽｿｰﾌﾟ</t>
  </si>
  <si>
    <t>MTCP-SKCWｼﾞｪﾝﾄﾙｳｫｯｼｭR</t>
  </si>
  <si>
    <t>MTEI-SKCWﾅﾁｭﾗﾙﾄﾞﾘｯﾌﾟR</t>
  </si>
  <si>
    <t>MTEL-SKCWｽﾑｰｼﾞﾝｸﾞR</t>
  </si>
  <si>
    <t>MTLD-SKｽｷﾝｹｱUVｼﾞｪﾙN</t>
  </si>
  <si>
    <t>MTLE-SKｽｷﾝｹｱUVﾐﾙｸN</t>
  </si>
  <si>
    <t>MTQF-SKCW Vｾﾗﾑ</t>
  </si>
  <si>
    <t>MTSF-ｾｯｷｾｲ ｹｼｮｳｽｲN TR</t>
  </si>
  <si>
    <t>MTSW-ｾｯｷｾｲ ｹｼｮｳｽｲN R</t>
  </si>
  <si>
    <t>MTSX-ｾｯｷｾｲ ﾆｭｳｴｷN R</t>
  </si>
  <si>
    <t>MTSY-ｾｯｷｾｲ ｸﾘｰﾑN R</t>
  </si>
  <si>
    <t>MTWV-SKCWﾅﾁｭﾗﾙﾄﾞﾘｯﾌﾟ</t>
  </si>
  <si>
    <t>MTYM-SKCWﾋﾟｭｱｺﾝｸS</t>
  </si>
  <si>
    <t>MTYN-SKCWﾘﾌｧｲﾆﾝｸﾞﾐﾙｸS</t>
  </si>
  <si>
    <t>MTYO-SKCWﾋﾟｭｱｺﾝｸSR</t>
  </si>
  <si>
    <t>MTYP-SKCWﾘﾌｧｲﾆﾝｸﾞSR</t>
  </si>
  <si>
    <t>MWBI205-SKM ﾓﾃﾞﾘﾝｸﾞLFD  #205</t>
  </si>
  <si>
    <t>MWBI405-SKM ﾓﾃﾞﾘﾝｸﾞLFD  #405</t>
  </si>
  <si>
    <t>MWGA-SKMｱｸﾃｨｴﾏﾙｼﾞｮﾝ</t>
  </si>
  <si>
    <t>SHRA-JSﾘﾎﾞﾝｷﾞﾌﾄWF</t>
  </si>
  <si>
    <t>SHRB-JSﾘﾎﾞﾝｷﾞﾌﾄMT</t>
  </si>
  <si>
    <t>SHRC-JSﾘﾎﾞﾝｷﾞﾌﾄLB</t>
  </si>
  <si>
    <t>SIBL001-JS ﾌﾞﾙｰﾐﾝｸﾞﾗｯｼｭC#001</t>
  </si>
  <si>
    <t>SIED013-JS ﾌﾞﾙｰﾑCEﾌﾞｰｹ  #013</t>
  </si>
  <si>
    <t>SIET-JS WFｼｬﾝﾌﾟｰR</t>
  </si>
  <si>
    <t>SIEU-JS WFﾄﾘｰﾄﾒﾝﾄR</t>
  </si>
  <si>
    <t>SINO001-JS ｱﾛﾏﾃｨｯｸﾈｲﾙｵｲﾙ#001</t>
  </si>
  <si>
    <t>SINO002-JS ｱﾛﾏﾃｨｯｸﾈｲﾙｵｲﾙ#002</t>
  </si>
  <si>
    <t>SIWH-JS WFﾊﾝﾄﾞｳｫｯｼｭ</t>
  </si>
  <si>
    <t>SJCN-JS ｺﾝﾊﾟｸﾄﾐﾗｰ4</t>
  </si>
  <si>
    <t>SJFW-JS CBﾍｱﾐｽﾄ</t>
  </si>
  <si>
    <t>STMZ-JS ｺﾝﾊﾟｸﾄﾐﾗｰ</t>
  </si>
  <si>
    <t>No.</t>
    <phoneticPr fontId="4"/>
  </si>
  <si>
    <t>商品符号</t>
    <rPh sb="0" eb="4">
      <t>ショウヒンフゴウ</t>
    </rPh>
    <phoneticPr fontId="4"/>
  </si>
  <si>
    <t>商品名称</t>
    <rPh sb="0" eb="4">
      <t>ショウヒンメイショウ</t>
    </rPh>
    <phoneticPr fontId="4"/>
  </si>
  <si>
    <t>合計</t>
    <rPh sb="0" eb="2">
      <t>ゴウケイ</t>
    </rPh>
    <phoneticPr fontId="4"/>
  </si>
  <si>
    <t>数量</t>
    <phoneticPr fontId="4"/>
  </si>
  <si>
    <t>金額</t>
    <phoneticPr fontId="4"/>
  </si>
  <si>
    <t>CD</t>
    <phoneticPr fontId="4"/>
  </si>
  <si>
    <t>SＥＫ</t>
    <phoneticPr fontId="4"/>
  </si>
  <si>
    <t>ＪＳ</t>
    <phoneticPr fontId="4"/>
  </si>
  <si>
    <t>ＣＢ</t>
    <phoneticPr fontId="4"/>
  </si>
  <si>
    <t>JQHQ-AQﾌﾞｰｽﾃｨﾝｸﾞﾍｱｾﾗﾑ</t>
    <phoneticPr fontId="2"/>
  </si>
  <si>
    <t>JQHR-AQ Bﾍｱｾﾗﾑ ﾚﾌｨﾙ</t>
    <phoneticPr fontId="2"/>
  </si>
  <si>
    <t>JETR-CDﾛｰｼﾞｰﾌﾟﾗｲﾏｰ+</t>
    <phoneticPr fontId="2"/>
  </si>
  <si>
    <t>JENE-CDﾛｰｼﾞｰﾌﾟﾗｲﾏｰ</t>
    <phoneticPr fontId="2"/>
  </si>
  <si>
    <t>JEAM010-CDｾﾞﾝｳｪｱｽﾃｲFD   #010</t>
  </si>
  <si>
    <t>JEAM011-CDｾﾞﾝｳｪｱｽﾃｲFD   #011</t>
  </si>
  <si>
    <t>JEAM012-CDｾﾞﾝｳｪｱｽﾃｲFD   #012</t>
  </si>
  <si>
    <t>JEAM013-CDｾﾞﾝｳｪｱｽﾃｲFD   #013</t>
  </si>
  <si>
    <t>JEAM014-CDｾﾞﾝｳｪｱｽﾃｲFD   #014</t>
  </si>
  <si>
    <t>JEAM015-CDｾﾞﾝｳｪｱｽﾃｲFD   #015</t>
  </si>
  <si>
    <t>JEAM016-CDｾﾞﾝｳｪｱｽﾃｲFD   #016</t>
  </si>
  <si>
    <t>JEAM022-CDｾﾞﾝｳｪｱｽﾃｲFD   #022</t>
  </si>
  <si>
    <t>JEAM023-CDｾﾞﾝｳｪｱｽﾃｲFD   #023</t>
  </si>
  <si>
    <t>JEAM024-CDｾﾞﾝｳｪｱｽﾃｲFD   #024</t>
  </si>
  <si>
    <t>JEAM025-CDｾﾞﾝｳｪｱｽﾃｲFD   #025</t>
  </si>
  <si>
    <t>JEAM026-CDｾﾞﾝｳｪｱｽﾃｲFD   #026</t>
  </si>
  <si>
    <t>JEAM031-CDｾﾞﾝｳｪｱｽﾃｲFD   #031</t>
  </si>
  <si>
    <t>JEAM034-CDｾﾞﾝｳｪｱｽﾃｲFD   #034</t>
  </si>
  <si>
    <t>JEAM042-CDｾﾞﾝｳｪｱｽﾃｲFD   #042</t>
  </si>
  <si>
    <t>JEAM046-CDｾﾞﾝｳｪｱｽﾃｲFD   #046</t>
  </si>
  <si>
    <t>JEBO251-CDｸﾘｰﾑﾌﾞﾗｯｼｭ    #251</t>
  </si>
  <si>
    <t>JEBP402-CDﾊﾟｳﾀﾞｰﾌﾞﾗｯｼｭ  #402</t>
  </si>
  <si>
    <t>JEBP803-CDﾊﾟｳﾀﾞｰﾌﾞﾗｯｼｭ  #803</t>
  </si>
  <si>
    <t>JEBP807-CDﾊﾟｳﾀﾞｰﾌﾞﾗｯｼｭ  #807</t>
  </si>
  <si>
    <t>JEDZ003-CDﾀﾞｽﾞﾘﾝｸﾞｼﾞｪﾑ  #003</t>
  </si>
  <si>
    <t>JEEA011-CDｺﾝﾄｩｱﾘﾝｸﾞｱｲS  #011</t>
  </si>
  <si>
    <t>JEFT-CDﾃﾞｲﾐｽﾄS&amp;P</t>
  </si>
  <si>
    <t>JEGG003-CDｱｲｼﾞｪﾑｽｷﾝSｸﾞﾛｳ#003</t>
  </si>
  <si>
    <t>JEGG004-CDｱｲｼﾞｪﾑｽｷﾝSｸﾞﾛｳ#004</t>
  </si>
  <si>
    <t>JEGG008-CDｱｲｼﾞｪﾑｽｷﾝSｸﾞﾛｳ#008</t>
  </si>
  <si>
    <t>JEGG013-CDｱｲｼﾞｪﾑｽｷﾝSｸﾞﾛｳ#013</t>
  </si>
  <si>
    <t>JEGG014-CDｱｲｼﾞｪﾑｽｷﾝSｸﾞﾛｳ#014</t>
  </si>
  <si>
    <t>JEGG017-CDｱｲｼﾞｪﾑｽｷﾝSｸﾞﾛｳ#017</t>
  </si>
  <si>
    <t>JEGG018-CDｱｲｼﾞｪﾑｽｷﾝSｸﾞﾛｳ#018</t>
  </si>
  <si>
    <t>JEGG019-CDｱｲｼﾞｪﾑｽｷﾝSｸﾞﾛｳ#019</t>
  </si>
  <si>
    <t>JEGH024-CDｱｲｼﾞｪﾑｽｷﾝSﾏｯﾄ #024</t>
  </si>
  <si>
    <t>JEGH026-CDｱｲｼﾞｪﾑｽｷﾝSﾏｯﾄ #026</t>
  </si>
  <si>
    <t>JEGH027-CDｱｲｼﾞｪﾑｽｷﾝSﾏｯﾄ #027</t>
  </si>
  <si>
    <t>JEGH028-CDｱｲｼﾞｪﾑｽｷﾝSﾏｯﾄ #028</t>
  </si>
  <si>
    <t>JEGP005-CDｽｷﾝSｱｲﾊﾟﾚｯﾄ   #005</t>
  </si>
  <si>
    <t>JEGP006-CDｽｷﾝSｱｲﾊﾟﾚｯﾄ   #006</t>
  </si>
  <si>
    <t>JEGY-CDｱｲｼｬﾄﾞｳﾁｯﾌﾟﾐﾆ</t>
  </si>
  <si>
    <t>JEGZ-CDｱｲｼｬﾄﾞｳﾌﾞﾗｼﾐﾆ</t>
  </si>
  <si>
    <t>JEIB002-CDﾍﾟﾝｼﾙｱｲﾌﾞﾛｳ   #002</t>
  </si>
  <si>
    <t>JEIB301-CDﾍﾟﾝｼﾙｱｲﾌﾞﾛｳ   #301</t>
  </si>
  <si>
    <t>JEIB303-CDﾍﾟﾝｼﾙｱｲﾌﾞﾛｳ   #303</t>
  </si>
  <si>
    <t>JEIH101-CDｼﾞｪﾙｱｲﾗｲﾅｰR   #101</t>
  </si>
  <si>
    <t>JEIH401-CDｼﾞｪﾙｱｲﾗｲﾅｰR   #401</t>
  </si>
  <si>
    <t>JEIH901-CDｼﾞｪﾙｱｲﾗｲﾅｰR   #901</t>
  </si>
  <si>
    <t>JEJG012-CDﾙｰｼﾞｭLﾃﾞｭｰｲ   #012</t>
  </si>
  <si>
    <t>JELK001-CDﾙｰｼﾞｭﾃｨﾝﾄ     #001</t>
  </si>
  <si>
    <t>JELK002-CDﾙｰｼﾞｭﾃｨﾝﾄ     #002</t>
  </si>
  <si>
    <t>JELK003-CDﾙｰｼﾞｭﾃｨﾝﾄ     #003</t>
  </si>
  <si>
    <t>JELT011-CDﾙｰｼﾞｭDｸﾘｰﾑG   #011</t>
  </si>
  <si>
    <t>JELT012-CDﾙｰｼﾞｭDｸﾘｰﾑG   #012</t>
  </si>
  <si>
    <t>JENQ005-CDｽｷﾆﾌｨｯｸﾈｲﾙｶﾗｰ #005</t>
  </si>
  <si>
    <t>JENQ006-CDｽｷﾆﾌｨｯｸﾈｲﾙｶﾗｰ #006</t>
  </si>
  <si>
    <t>JENQ010-CDｽｷﾆﾌｨｯｸﾈｲﾙｶﾗｰ #010</t>
  </si>
  <si>
    <t>JENQ012-CDｽｷﾆﾌｨｯｸﾈｲﾙｶﾗｰ #012</t>
  </si>
  <si>
    <t>JENQ013-CDｽｷﾆﾌｨｯｸﾈｲﾙｶﾗｰ #013</t>
  </si>
  <si>
    <t>JENQ014-CDｽｷﾆﾌｨｯｸﾈｲﾙｶﾗｰ #014</t>
  </si>
  <si>
    <t>JENQ020-CDｽｷﾆﾌｨｯｸﾈｲﾙｶﾗｰ #020</t>
  </si>
  <si>
    <t>JENQ021-CDｽｷﾆﾌｨｯｸﾈｲﾙｶﾗｰ #021</t>
  </si>
  <si>
    <t>JENQ022-CDｽｷﾆﾌｨｯｸﾈｲﾙｶﾗｰ #022</t>
  </si>
  <si>
    <t>JENR-CDﾛｰｼﾞｰﾄｯﾌﾟｺｰﾄ</t>
  </si>
  <si>
    <t>JENT-CDｸﾘｽﾀﾙﾄｯﾌﾟｺｰﾄ</t>
  </si>
  <si>
    <t>JENU-CDﾈｲﾙﾘﾑｰﾊﾞｰ</t>
  </si>
  <si>
    <t>JETB004-CDﾃｨﾝﾄﾌﾟﾗﾝﾊﾟｰ   #004</t>
  </si>
  <si>
    <t>JETB005-CDﾃｨﾝﾄﾌﾟﾗﾝﾊﾟｰ   #005</t>
  </si>
  <si>
    <t>JEZU-CDﾊﾟｳﾀﾞｰFDｹｰｽA</t>
  </si>
  <si>
    <t>JKFC-CD HC ﾔｸﾖｳﾛｰｼｮﾝ</t>
  </si>
  <si>
    <t>JKFD-CD HCｸﾘｰﾑ</t>
  </si>
  <si>
    <t>JKFF-CD HCｼﾞｪﾙｳｫｯｼｭ</t>
  </si>
  <si>
    <t>JLRB-ﾎﾜｲﾄﾛｼﾞｽﾄCBC60X</t>
  </si>
  <si>
    <t>JLRC-ﾎﾜｲﾄﾛｼﾞｽﾄCBC60XR</t>
  </si>
  <si>
    <t>JLRD-26ﾎﾜｲﾄﾛｼﾞｽﾄﾏｽｸ1</t>
  </si>
  <si>
    <t>JLRE-26ﾎﾜｲﾄﾛｼﾞｽﾄﾏｽｸ6</t>
  </si>
  <si>
    <t>JLRG-ﾎﾜｲﾄﾛｼﾞｽﾄCBC30</t>
  </si>
  <si>
    <t>JLRH-ﾎﾜｲﾄﾛｼﾞｽﾄCBC60</t>
  </si>
  <si>
    <t>JLRI-ﾎﾜｲﾄﾛｼﾞｽﾄCBC60R</t>
  </si>
  <si>
    <t>JQHJ-AQｽｶﾙﾌﾟﾍｱｼｮｯﾄ</t>
  </si>
  <si>
    <t>JQHN-AQﾎﾞﾘｭﾑｼｬﾝﾌﾟｰ500</t>
  </si>
  <si>
    <t>JQHT-AQﾎﾞﾘｭﾑｺﾝﾃﾞ600</t>
  </si>
  <si>
    <t>JQHU-AQﾎﾞﾘｭﾑｺﾝﾃﾞ600R</t>
  </si>
  <si>
    <t>JQKU-CDｷﾓﾉ ﾂﾔ_hc</t>
  </si>
  <si>
    <t>JQKY-CDｷﾓﾉ ｳﾗﾗ_hc</t>
  </si>
  <si>
    <t>JSUL001-CDｻﾝｼｪﾙﾀｰMPCC   #001</t>
  </si>
  <si>
    <t>JSUL010-CDｻﾝｼｪﾙﾀｰMPCC   #010</t>
  </si>
  <si>
    <t>JVAE-CD ﾘﾎﾟｿｰﾑｱｲｾﾗﾑ</t>
  </si>
  <si>
    <t>JVAG-CD ﾘﾎﾟｿｰﾑｾﾗﾑ75</t>
  </si>
  <si>
    <t>JVAK-CD ﾘﾎﾟｿｰﾑﾘｯﾌﾟｾﾗﾑ</t>
  </si>
  <si>
    <t>JVAW-CD ﾘﾎﾟｿｰﾑｸﾘｰﾑ</t>
  </si>
  <si>
    <t>JVJL-CD ﾘﾎﾟｿｰﾑTﾘｷｯﾄﾞ</t>
  </si>
  <si>
    <t>JVSF-CDｱｲﾋﾟｰｼｮｯﾄPYC</t>
  </si>
  <si>
    <t>MEFE-ﾔｸﾖｾｯｷｾｲﾆｭｳｴｷ</t>
  </si>
  <si>
    <t>MERL-ﾔｸﾖｳｾｯｷｾｲ ER</t>
  </si>
  <si>
    <t>MERM-ﾔｸﾖｳｾｯｷｾｲﾆｭｳｴｷER</t>
  </si>
  <si>
    <t>MTAA-ｾｯｷｾｲﾊｰﾊﾞﾙｼﾞｪﾙ</t>
  </si>
  <si>
    <t>MTBM-SKCWﾓｲｽﾄﾘﾍﾟｱｸﾘｰﾑ</t>
  </si>
  <si>
    <t>MTKT-SKCW UVｴｯｾﾝｽﾐﾙｸ</t>
  </si>
  <si>
    <t>MTOE001-ｾｯｷｾｲBBｴｯｾﾝｽ    #001</t>
  </si>
  <si>
    <t>MTOE002-ｾｯｷｾｲBBｴｯｾﾝｽ    #002</t>
  </si>
  <si>
    <t>MTOL-ｾｯｷｾｲ ｸﾘｰﾑｳｫｯｼｭN</t>
  </si>
  <si>
    <t>MTON-ｾｯｷｾｲ CｳｫｯｼｭN20</t>
  </si>
  <si>
    <t>MTVT001-SKCWｴｱﾘｰBB      #001</t>
  </si>
  <si>
    <t>MTVT002-SKCWｴｱﾘｰBB      #002</t>
  </si>
  <si>
    <t>MUPD-OBKｸﾘｱﾋﾟｰﾙｾﾗﾑ</t>
  </si>
  <si>
    <t>MWAF-SKMｱﾙﾃｨﾒｲﾄｴﾏﾙｼﾞｮ</t>
  </si>
  <si>
    <t>MWAG-SKMｱﾙﾃｨﾒｲﾄｸﾘｰﾑ</t>
  </si>
  <si>
    <t>MWAJ-SKM UL Eｸﾘｰﾑ</t>
  </si>
  <si>
    <t>MWBI305-SKM ﾓﾃﾞﾘﾝｸﾞLFD  #305</t>
  </si>
  <si>
    <t>MWCO001-SKMｺﾝｼｰﾗｰ       #001</t>
  </si>
  <si>
    <t>MWFA-SKMｱｸﾃｨﾛｰｼｮﾝ</t>
  </si>
  <si>
    <t>MWKI-SKMｱﾙﾃｨﾒｲﾄPG</t>
  </si>
  <si>
    <t>MWMZ-SKMｻｲｸﾚｲﾀｰBﾚﾌｨﾙ</t>
  </si>
  <si>
    <t>SHSB-JS SA26 ﾊﾝﾄﾞｸﾘｰﾑ</t>
  </si>
  <si>
    <t>SHSC-JSSAUVﾌﾟﾛﾃｸﾀｰ</t>
  </si>
  <si>
    <t>SHSF103-JSSAﾐｯｸｽﾊｲﾗｲﾄ   #103</t>
  </si>
  <si>
    <t>SHSG-JSSAﾍｱｵｲﾙD</t>
  </si>
  <si>
    <t>SHSH-JSSAﾎﾞﾃﾞｨｸﾘｰﾑ</t>
  </si>
  <si>
    <t>SIEI001-JS ﾄﾞﾚｽﾄﾞﾌﾞﾙｰﾑE #001</t>
  </si>
  <si>
    <t>SIEI002-JS ﾄﾞﾚｽﾄﾞﾌﾞﾙｰﾑE #002</t>
  </si>
  <si>
    <t>SIEI003-JS ﾄﾞﾚｽﾄﾞﾌﾞﾙｰﾑE #003</t>
  </si>
  <si>
    <t>SIFD-JS CBﾎﾞﾃﾞｨｸﾘｰﾑ</t>
  </si>
  <si>
    <t>SIGQ001-JS ｾｯﾃｨﾝｸﾞﾊﾟｳﾀﾞｰ#001</t>
  </si>
  <si>
    <t>SIGQ002-JS ｾｯﾃｨﾝｸﾞﾊﾟｳﾀﾞｰ#002</t>
  </si>
  <si>
    <t>SIGR-JS ﾊﾟｳﾀﾞｰｺﾝﾊﾟｸﾄS</t>
  </si>
  <si>
    <t>SIJG-JSMTﾎﾞﾃﾞｨﾐﾙｸ</t>
  </si>
  <si>
    <t>SIJH-JSLBﾎﾞﾃﾞｨﾐﾙｸ</t>
  </si>
  <si>
    <t>SILL002-JS CBﾘｯﾌﾟﾌﾞｰｹｾﾗﾑ#002</t>
  </si>
  <si>
    <t>SILL003-JS CBﾘｯﾌﾟﾌﾞｰｹｾﾗﾑ#003</t>
  </si>
  <si>
    <t>SILL004-JS CBﾘｯﾌﾟﾌﾞｰｹｾﾗﾑ#004</t>
  </si>
  <si>
    <t>SILL005-JS CBﾘｯﾌﾟﾌﾞｰｹｾﾗﾑ#005</t>
  </si>
  <si>
    <t>SILL009-JS CBﾘｯﾌﾟﾌﾞｰｹｾﾗﾑ#009</t>
  </si>
  <si>
    <t>SILL011-JS CBﾘｯﾌﾟﾌﾞｰｹｾﾗﾑ#011</t>
  </si>
  <si>
    <t>SIOA002-JS ｲﾙﾐﾈｲﾃｨﾝｸﾞP  #002</t>
  </si>
  <si>
    <t>SIOU-JS MTﾊﾝﾄﾞｸﾘｰﾑ</t>
  </si>
  <si>
    <t>SIOV-JS LBﾊﾝﾄﾞｸﾘｰﾑ</t>
  </si>
  <si>
    <t>SIRA004-JSﾊﾟｽﾃﾙﾍﾟﾀﾙ     #004</t>
  </si>
  <si>
    <t>SIRA005-JSﾊﾟｽﾃﾙﾍﾟﾀﾙ     #005</t>
  </si>
  <si>
    <t>SIRD-JSﾌﾗﾜｰﾊﾟﾌ</t>
  </si>
  <si>
    <t>SIRO-JS ｸﾘｱｸﾘｰﾑｳｫｯｼｭ</t>
  </si>
  <si>
    <t>SIRP-JS ﾋﾟｭｱSｾﾗﾑ</t>
  </si>
  <si>
    <t>SIRQ-JS ﾓｲｽﾁｭｱﾛｰｼｮﾝ</t>
  </si>
  <si>
    <t>SITA-JS Wｵｰﾄﾞﾄﾜﾚ</t>
  </si>
  <si>
    <t>SITK-JS MWﾊﾝﾄﾞｸﾘｰﾑDM</t>
  </si>
  <si>
    <t>SIUT-JS ｼｬﾝﾌﾟｰﾌﾞﾗｼ</t>
  </si>
  <si>
    <t>SJFD-JS CBﾎﾞﾃﾞｨL</t>
  </si>
  <si>
    <t>SJQT101-JS ｸｯｼｮﾝﾌｧﾝﾃﾞF  #101</t>
  </si>
  <si>
    <t>SJQU-JS ｸｯｼｮﾝｺﾝﾊﾟｸﾄF</t>
  </si>
  <si>
    <t>STII009-JS ｽﾃｲｼﾞｪﾙｱｲﾗｲﾅｰ#009</t>
  </si>
  <si>
    <t>1月</t>
    <phoneticPr fontId="2"/>
  </si>
  <si>
    <t>2月</t>
    <rPh sb="1" eb="2">
      <t>ガツ</t>
    </rPh>
    <phoneticPr fontId="2"/>
  </si>
  <si>
    <t>DLEB-ﾒｲｸｷｰﾌﾟﾐｽﾄEX+ TR</t>
  </si>
  <si>
    <t>JEAM052-CDｾﾞﾝｳｪｱｽﾃｲFD   #052</t>
  </si>
  <si>
    <t>JEAM055-CDｾﾞﾝｳｪｱｽﾃｲFD   #055</t>
  </si>
  <si>
    <t>JEAP011-CDｾﾞﾝｳｪｱﾊﾟｳﾀﾞｰFD#011</t>
  </si>
  <si>
    <t>JEBO350-CDｸﾘｰﾑﾌﾞﾗｯｼｭ    #350</t>
  </si>
  <si>
    <t>JEFB-CDﾃﾞｲﾐｽﾄBM</t>
  </si>
  <si>
    <t>JEGG010-CDｱｲｼﾞｪﾑｽｷﾝSｸﾞﾛｳ#010</t>
  </si>
  <si>
    <t>JEGP001-CDｽｷﾝSｱｲﾊﾟﾚｯﾄ   #001</t>
  </si>
  <si>
    <t>JEGP002-CDｽｷﾝSｱｲﾊﾟﾚｯﾄ   #002</t>
  </si>
  <si>
    <t>JEGP003-CDｽｷﾝSｱｲﾊﾟﾚｯﾄ   #003</t>
  </si>
  <si>
    <t>JEGP009-CDｽｷﾝSｱｲﾊﾟﾚｯﾄ   #009</t>
  </si>
  <si>
    <t>JEGP010-CDｽｷﾝSｱｲﾊﾟﾚｯﾄ   #010</t>
  </si>
  <si>
    <t>JEIG001-CDｼﾞｪﾙｱｲﾗｲﾅｰ    #001</t>
  </si>
  <si>
    <t>JELT006-CDﾙｰｼﾞｭDｸﾘｰﾑG   #006</t>
  </si>
  <si>
    <t>JELT010-CDﾙｰｼﾞｭDｸﾘｰﾑG   #010</t>
  </si>
  <si>
    <t>JELT015-CDﾙｰｼﾞｭDｸﾘｰﾑG   #015</t>
  </si>
  <si>
    <t>JELT016-CDﾙｰｼﾞｭDｸﾘｰﾑG   #016</t>
  </si>
  <si>
    <t>JENW-CDﾘﾍﾟｱﾈｲﾙｾﾗﾑ</t>
  </si>
  <si>
    <t>JKFE-CDHCｸﾚﾝｼﾞﾝｸﾞEM</t>
  </si>
  <si>
    <t>JKFT-CD HCﾌﾞﾗｲﾄﾛｰｼｮﾝ</t>
  </si>
  <si>
    <t>JKFU-CD HCﾌﾞﾗｲﾄｿﾌﾅｰ</t>
  </si>
  <si>
    <t>JKFV-CD HCﾌﾞﾗｲﾄｿﾌﾅｰｶｴ</t>
  </si>
  <si>
    <t>JKFW-CD HCﾌﾞﾗｲﾄｸﾘｰﾑ</t>
  </si>
  <si>
    <t>JKFX-CD HCﾌﾞﾗｲﾄｸﾘｰﾑｶｴ</t>
  </si>
  <si>
    <t>JLRA-ﾎﾜｲﾄﾛｼﾞｽﾄCBC30X</t>
  </si>
  <si>
    <t>JQHG-AQｽﾑｰｽｼｬﾝﾌﾟｰ250</t>
  </si>
  <si>
    <t>JQVU-CDｷﾓﾉ ﾂﾔ_bl</t>
  </si>
  <si>
    <t>JQVX-CDｷﾓﾉ ｷﾋﾝ_bl</t>
  </si>
  <si>
    <t>JQVY-CDｷﾓﾉ ｳﾗﾗ_bl</t>
  </si>
  <si>
    <t>JQVZ-CDｷﾓﾉ ﾘﾝ_bl</t>
  </si>
  <si>
    <t>JSIB-CDｻﾝｼｪﾙﾀｰCap30</t>
  </si>
  <si>
    <t>MTLI-SKｽｷﾝｹｱUVｼﾞｪﾙNA</t>
  </si>
  <si>
    <t>MTLJ-SKｽｷﾝｹｱUVﾐﾙｸNA</t>
  </si>
  <si>
    <t>MTNN-ｾｯｷｾｲBR UVﾆｭｳｴｷ</t>
  </si>
  <si>
    <t>MTSE-ｾｯｷｾｲ ｹｼｮｳｽｲBIG</t>
  </si>
  <si>
    <t>MTSU-ｾｯｷｾｲ ｸﾘｰﾑ N</t>
  </si>
  <si>
    <t>MUCF-OBKﾎﾟｱｸﾘｱSｳｫｯｼｭ</t>
  </si>
  <si>
    <t>SHBA001-JS ｸﾁｭｰﾙﾐｯｸｽB   #001</t>
  </si>
  <si>
    <t>SHBA002-JS ｸﾁｭｰﾙﾐｯｸｽB   #002</t>
  </si>
  <si>
    <t>SHBA003-JS ｸﾁｭｰﾙﾐｯｸｽB   #003</t>
  </si>
  <si>
    <t>SHBA004-JS ｸﾁｭｰﾙﾐｯｸｽB   #004</t>
  </si>
  <si>
    <t>SHBA005-JS ｸﾁｭｰﾙﾐｯｸｽB   #005</t>
  </si>
  <si>
    <t>SHBB-JS ﾁｰｸｶﾗｰﾌﾞﾗｼ2</t>
  </si>
  <si>
    <t>SHLP002-JS ｸﾞﾛｳｼﾌｫﾝﾙｰｽP #002</t>
  </si>
  <si>
    <t>SHLP003-JS ｸﾞﾛｳｼﾌｫﾝﾙｰｽP #003</t>
  </si>
  <si>
    <t>SHLP004-JS ｸﾞﾛｳｼﾌｫﾝﾙｰｽP #004</t>
  </si>
  <si>
    <t>SIED001-JS ﾌﾞﾙｰﾑCEﾌﾞｰｹ  #001</t>
  </si>
  <si>
    <t>SIED002-JS ﾌﾞﾙｰﾑCEﾌﾞｰｹ  #002</t>
  </si>
  <si>
    <t>SILD004-JS ﾘｯﾌﾟﾌﾞﾛｯｻﾑ24 #004</t>
  </si>
  <si>
    <t>SILD011-JS ﾘｯﾌﾟﾌﾞﾛｯｻﾑ24 #011</t>
  </si>
  <si>
    <t>SILD015-JS ﾘｯﾌﾟﾌﾞﾛｯｻﾑ24 #015</t>
  </si>
  <si>
    <t>SILD019-JS ﾘｯﾌﾟﾌﾞﾛｯｻﾑ24 #019</t>
  </si>
  <si>
    <t>SILD020-JS ﾘｯﾌﾟﾌﾞﾛｯｻﾑ24 #020</t>
  </si>
  <si>
    <t>SILD022-JS ﾘｯﾌﾟﾌﾞﾛｯｻﾑ24 #022</t>
  </si>
  <si>
    <t>SILE003-JS ﾘｯﾌﾟB  ﾊﾞｰﾑ  #003</t>
  </si>
  <si>
    <t>SILE006-JS ﾘｯﾌﾟB  ﾊﾞｰﾑ  #006</t>
  </si>
  <si>
    <t>SILE007-JS ﾘｯﾌﾟB  ﾊﾞｰﾑ  #007</t>
  </si>
  <si>
    <t>SJFA-JS ｸﾘﾀﾙﾌﾞﾙｰﾑ10</t>
  </si>
  <si>
    <t>SJQT103-JS ｸｯｼｮﾝﾌｧﾝﾃﾞF  #103</t>
  </si>
  <si>
    <t>SJQT202-JS ｸｯｼｮﾝﾌｧﾝﾃﾞF  #202</t>
  </si>
  <si>
    <t>ブランド</t>
    <phoneticPr fontId="4"/>
  </si>
  <si>
    <t>MKM</t>
    <phoneticPr fontId="4"/>
  </si>
  <si>
    <t>ONE  BY  KOSE</t>
    <phoneticPr fontId="4"/>
  </si>
  <si>
    <t>MKM</t>
    <phoneticPr fontId="2"/>
  </si>
  <si>
    <t>DECORTE</t>
    <phoneticPr fontId="2"/>
  </si>
  <si>
    <t>雪肌精</t>
    <rPh sb="0" eb="3">
      <t>セッキセイ</t>
    </rPh>
    <phoneticPr fontId="2"/>
  </si>
  <si>
    <t>JILLSTUART</t>
    <phoneticPr fontId="2"/>
  </si>
  <si>
    <t>1月</t>
    <rPh sb="1" eb="2">
      <t>ガツ</t>
    </rPh>
    <phoneticPr fontId="4"/>
  </si>
  <si>
    <t>年間トータル</t>
    <rPh sb="0" eb="2">
      <t>ネンカン</t>
    </rPh>
    <phoneticPr fontId="4"/>
  </si>
  <si>
    <t>構成比</t>
    <rPh sb="0" eb="3">
      <t>コウセイヒ</t>
    </rPh>
    <phoneticPr fontId="4"/>
  </si>
  <si>
    <t>2月</t>
    <rPh sb="1" eb="2">
      <t>ガツ</t>
    </rPh>
    <phoneticPr fontId="4"/>
  </si>
  <si>
    <t>雪肌精</t>
    <rPh sb="0" eb="3">
      <t>セッキセイ</t>
    </rPh>
    <phoneticPr fontId="4"/>
  </si>
  <si>
    <t>３月</t>
    <rPh sb="1" eb="2">
      <t>ガツ</t>
    </rPh>
    <phoneticPr fontId="2"/>
  </si>
  <si>
    <t>３月</t>
    <rPh sb="1" eb="2">
      <t>ガツ</t>
    </rPh>
    <phoneticPr fontId="4"/>
  </si>
  <si>
    <t>JILLSTUART</t>
    <phoneticPr fontId="2"/>
  </si>
  <si>
    <t>DLEA-ﾒｲｸｷｰﾌﾟﾐｽﾄEX+</t>
  </si>
  <si>
    <t>JEBO001-CDｸﾘｰﾑﾌﾞﾗｯｼｭ    #001</t>
  </si>
  <si>
    <t>JEBO250-CDｸﾘｰﾑﾌﾞﾗｯｼｭ    #250</t>
  </si>
  <si>
    <t>JEBO855-CDｸﾘｰﾑﾌﾞﾗｯｼｭ    #855</t>
  </si>
  <si>
    <t>JEDZ002-CDﾀﾞｽﾞﾘﾝｸﾞｼﾞｪﾑ  #002</t>
  </si>
  <si>
    <t>JEEA015-CDｺﾝﾄｩｱﾘﾝｸﾞｱｲS  #015</t>
  </si>
  <si>
    <t>JEIL001-CDﾘｷｯﾄﾞｱｲﾗｲﾅｰ   #001</t>
  </si>
  <si>
    <t>JEIL301-CDﾘｷｯﾄﾞｱｲﾗｲﾅｰ   #301</t>
  </si>
  <si>
    <t>JEIM001-CDﾘｷｯﾄﾞｱｲﾗｲﾅｰR  #001</t>
  </si>
  <si>
    <t>JEIM301-CDﾘｷｯﾄﾞｱｲﾗｲﾅｰR  #301</t>
  </si>
  <si>
    <t>JELT005-CDﾙｰｼﾞｭDｸﾘｰﾑG   #005</t>
  </si>
  <si>
    <t>JELT007-CDﾙｰｼﾞｭDｸﾘｰﾑG   #007</t>
  </si>
  <si>
    <t>JLAB-CDﾎﾜｲﾄﾛｼﾞｽﾄNBC40</t>
  </si>
  <si>
    <t>JLAQ-CD MﾊﾞｰﾑLﾐｽﾄ</t>
  </si>
  <si>
    <t>JQII-CDｷﾓﾉRIN_15n</t>
  </si>
  <si>
    <t>JQKX-CDｷﾓﾉ ｷﾋﾝ_hc</t>
  </si>
  <si>
    <t>JQKZ-CDｷﾓﾉ ﾘﾝ_hc</t>
  </si>
  <si>
    <t>MTKV-SKCW UVﾏｲﾙﾄﾞﾐﾙｸ</t>
  </si>
  <si>
    <t>MTKW-SKCW UVﾄｰﾝｱｯﾌﾟ</t>
  </si>
  <si>
    <t>SHLP001-JS ｸﾞﾛｳｼﾌｫﾝﾙｰｽP #001</t>
  </si>
  <si>
    <t>SILD008-JS ﾘｯﾌﾟﾌﾞﾛｯｻﾑ24 #008</t>
  </si>
  <si>
    <t>SILD024-JS ﾘｯﾌﾟﾌﾞﾛｯｻﾑ24 #024</t>
  </si>
  <si>
    <t>SIRR-JS ﾓｲｽﾁｭｱｽﾑｰｽﾐﾙｸ</t>
  </si>
  <si>
    <t>JILLSTUART</t>
  </si>
  <si>
    <t>4月</t>
    <rPh sb="1" eb="2">
      <t>ガツ</t>
    </rPh>
    <phoneticPr fontId="4"/>
  </si>
  <si>
    <t>4月</t>
    <rPh sb="1" eb="2">
      <t>ガツ</t>
    </rPh>
    <phoneticPr fontId="2"/>
  </si>
  <si>
    <t>JEIG101-CDｼﾞｪﾙｱｲﾗｲﾅｰ    #101</t>
  </si>
  <si>
    <t>JELT027-CDﾙｰｼﾞｭDｸﾘｰﾑG   #027</t>
  </si>
  <si>
    <t>JELT028-CDﾙｰｼﾞｭDｸﾘｰﾑG   #028</t>
  </si>
  <si>
    <t>JELT029-CDﾙｰｼﾞｭDｸﾘｰﾑG   #029</t>
  </si>
  <si>
    <t>JENQ018-CDｽｷﾆﾌｨｯｸﾈｲﾙｶﾗｰ #018</t>
  </si>
  <si>
    <t>JEVO-CDﾒｲｸﾂｰﾙﾄﾚｰ</t>
  </si>
  <si>
    <t>JQHH-AQﾎﾞﾘｭﾑｺﾝﾃﾞ250</t>
  </si>
  <si>
    <t>JVAR-CD ﾘﾎﾟｿｰﾑｾﾗﾑ75R</t>
  </si>
  <si>
    <t>SHBE-JS SB26ﾊﾝﾄﾞｴｯｾﾝｽ</t>
  </si>
  <si>
    <t>SHBG004-JS SB26ﾏｲﾘｯﾌﾟｽ  #004</t>
  </si>
  <si>
    <t>SHBI-JSSB ﾍｯﾄﾞｸﾚﾝｽﾞN</t>
  </si>
  <si>
    <t>SHBJ-JS SB F&amp;BﾊﾟｳﾀﾞｰN</t>
  </si>
  <si>
    <t>SHBK101-JS ｲﾙﾐﾈｲﾃｨﾝｸﾞSPB#101</t>
  </si>
  <si>
    <t>SHBM-JS SPB26 ﾍｱﾐﾙｸ</t>
  </si>
  <si>
    <t>SIAK005-JS ｼﾏｰﾌﾞﾗｯｼｭ    #005</t>
  </si>
  <si>
    <t>SILK003-JSﾘｯﾌﾟｶﾞｰﾗﾝﾄﾞ   #003</t>
  </si>
  <si>
    <t>SIWG-JSWFｳｫｰﾀｰﾄﾘｰﾄﾒﾝﾄ</t>
  </si>
  <si>
    <t>STII010-JS ｽﾃｲｼﾞｪﾙｱｲﾗｲﾅｰ#010</t>
  </si>
  <si>
    <t>5月</t>
    <rPh sb="1" eb="2">
      <t>ガツ</t>
    </rPh>
    <phoneticPr fontId="2"/>
  </si>
  <si>
    <t>5月</t>
    <rPh sb="1" eb="2">
      <t>ガツ</t>
    </rPh>
    <phoneticPr fontId="4"/>
  </si>
  <si>
    <t>MTNN</t>
  </si>
  <si>
    <t>MTOE001</t>
  </si>
  <si>
    <t>MTLD</t>
  </si>
  <si>
    <t>MTLI</t>
  </si>
  <si>
    <t>MTLJ</t>
  </si>
  <si>
    <t>MTSC</t>
  </si>
  <si>
    <t>MTSE</t>
  </si>
  <si>
    <t>MTSU</t>
  </si>
  <si>
    <t>MEWZ</t>
  </si>
  <si>
    <t>MTAA</t>
  </si>
  <si>
    <t>MUCF</t>
  </si>
  <si>
    <t>MUSC</t>
  </si>
  <si>
    <t>SIUR</t>
  </si>
  <si>
    <t>SHBG004</t>
  </si>
  <si>
    <t>SHBJ</t>
  </si>
  <si>
    <t>SIEI001</t>
  </si>
  <si>
    <t>SIOT</t>
  </si>
  <si>
    <t>STMY</t>
  </si>
  <si>
    <t>SINO001</t>
  </si>
  <si>
    <t>SHBE</t>
  </si>
  <si>
    <t>SHBI</t>
  </si>
  <si>
    <t>SHBK101</t>
  </si>
  <si>
    <t>JEGP003</t>
  </si>
  <si>
    <t>JQHQ</t>
  </si>
  <si>
    <t>JENE</t>
  </si>
  <si>
    <t>JEFT</t>
  </si>
  <si>
    <t>JQHO</t>
  </si>
  <si>
    <t>JQHV</t>
  </si>
  <si>
    <t>JVXC</t>
  </si>
  <si>
    <t>JEGP010</t>
  </si>
  <si>
    <t>JCFC301</t>
  </si>
  <si>
    <t>JVAR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</si>
</sst>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0"/>
      <color rgb="FF000000"/>
      <name val="Arial"/>
    </font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11"/>
      <color theme="1"/>
      <name val="UD デジタル 教科書体 NK"/>
      <family val="1"/>
      <charset val="128"/>
    </font>
    <font>
      <sz val="6"/>
      <name val="游ゴシック"/>
      <family val="3"/>
      <charset val="128"/>
      <scheme val="minor"/>
    </font>
    <font>
      <b/>
      <sz val="10"/>
      <color theme="1"/>
      <name val="UD デジタル 教科書体 NK"/>
      <family val="1"/>
      <charset val="128"/>
    </font>
    <font>
      <sz val="10"/>
      <color theme="1"/>
      <name val="UD デジタル 教科書体 NK"/>
      <family val="1"/>
      <charset val="128"/>
    </font>
    <font>
      <sz val="10"/>
      <color rgb="FF000000"/>
      <name val="Arial"/>
      <family val="2"/>
    </font>
    <font>
      <sz val="10"/>
      <name val="UD デジタル 教科書体 NK"/>
      <family val="1"/>
      <charset val="128"/>
    </font>
    <font>
      <b/>
      <sz val="9"/>
      <color theme="1"/>
      <name val="UD デジタル 教科書体 NK"/>
      <family val="1"/>
      <charset val="128"/>
    </font>
    <font>
      <sz val="9"/>
      <color theme="1"/>
      <name val="UD デジタル 教科書体 NK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 applyAlignment="1"/>
    <xf numFmtId="176" fontId="5" fillId="2" borderId="7" xfId="1" applyNumberFormat="1" applyFont="1" applyFill="1" applyBorder="1" applyAlignment="1">
      <alignment horizontal="center" vertical="top"/>
    </xf>
    <xf numFmtId="176" fontId="5" fillId="2" borderId="8" xfId="1" applyNumberFormat="1" applyFont="1" applyFill="1" applyBorder="1" applyAlignment="1">
      <alignment horizontal="center" vertical="top"/>
    </xf>
    <xf numFmtId="176" fontId="6" fillId="0" borderId="9" xfId="0" applyNumberFormat="1" applyFont="1" applyBorder="1" applyAlignment="1"/>
    <xf numFmtId="176" fontId="6" fillId="0" borderId="10" xfId="0" applyNumberFormat="1" applyFont="1" applyBorder="1" applyAlignment="1"/>
    <xf numFmtId="0" fontId="6" fillId="0" borderId="11" xfId="0" applyFont="1" applyBorder="1" applyAlignment="1"/>
    <xf numFmtId="38" fontId="6" fillId="2" borderId="12" xfId="1" applyFont="1" applyFill="1" applyBorder="1" applyAlignment="1"/>
    <xf numFmtId="38" fontId="6" fillId="2" borderId="13" xfId="1" applyFont="1" applyFill="1" applyBorder="1" applyAlignment="1"/>
    <xf numFmtId="176" fontId="6" fillId="0" borderId="14" xfId="0" applyNumberFormat="1" applyFont="1" applyBorder="1" applyAlignment="1"/>
    <xf numFmtId="176" fontId="6" fillId="0" borderId="15" xfId="0" applyNumberFormat="1" applyFont="1" applyBorder="1" applyAlignment="1"/>
    <xf numFmtId="0" fontId="6" fillId="0" borderId="16" xfId="0" applyFont="1" applyBorder="1" applyAlignment="1"/>
    <xf numFmtId="38" fontId="6" fillId="2" borderId="10" xfId="1" applyFont="1" applyFill="1" applyBorder="1" applyAlignment="1"/>
    <xf numFmtId="176" fontId="6" fillId="0" borderId="17" xfId="0" applyNumberFormat="1" applyFont="1" applyBorder="1" applyAlignment="1"/>
    <xf numFmtId="176" fontId="6" fillId="0" borderId="18" xfId="0" applyNumberFormat="1" applyFont="1" applyBorder="1" applyAlignment="1"/>
    <xf numFmtId="0" fontId="6" fillId="0" borderId="19" xfId="0" applyFont="1" applyBorder="1" applyAlignment="1"/>
    <xf numFmtId="38" fontId="6" fillId="2" borderId="20" xfId="1" applyFont="1" applyFill="1" applyBorder="1" applyAlignment="1"/>
    <xf numFmtId="38" fontId="6" fillId="2" borderId="21" xfId="1" applyFont="1" applyFill="1" applyBorder="1" applyAlignment="1"/>
    <xf numFmtId="0" fontId="3" fillId="3" borderId="0" xfId="0" applyFont="1" applyFill="1" applyAlignment="1"/>
    <xf numFmtId="0" fontId="6" fillId="0" borderId="0" xfId="0" applyFont="1" applyAlignment="1"/>
    <xf numFmtId="176" fontId="5" fillId="0" borderId="25" xfId="1" applyNumberFormat="1" applyFont="1" applyBorder="1" applyAlignment="1">
      <alignment horizontal="center" vertical="top"/>
    </xf>
    <xf numFmtId="176" fontId="5" fillId="0" borderId="26" xfId="1" applyNumberFormat="1" applyFont="1" applyBorder="1" applyAlignment="1">
      <alignment horizontal="center" vertical="top"/>
    </xf>
    <xf numFmtId="176" fontId="5" fillId="0" borderId="27" xfId="1" applyNumberFormat="1" applyFont="1" applyBorder="1" applyAlignment="1">
      <alignment horizontal="center" vertical="top"/>
    </xf>
    <xf numFmtId="176" fontId="5" fillId="0" borderId="28" xfId="1" applyNumberFormat="1" applyFont="1" applyBorder="1" applyAlignment="1">
      <alignment horizontal="center" vertical="top"/>
    </xf>
    <xf numFmtId="176" fontId="5" fillId="4" borderId="27" xfId="1" applyNumberFormat="1" applyFont="1" applyFill="1" applyBorder="1" applyAlignment="1">
      <alignment horizontal="center" vertical="top"/>
    </xf>
    <xf numFmtId="176" fontId="5" fillId="4" borderId="26" xfId="1" applyNumberFormat="1" applyFont="1" applyFill="1" applyBorder="1" applyAlignment="1">
      <alignment horizontal="center" vertical="top"/>
    </xf>
    <xf numFmtId="176" fontId="6" fillId="0" borderId="12" xfId="0" applyNumberFormat="1" applyFont="1" applyBorder="1" applyAlignment="1"/>
    <xf numFmtId="176" fontId="6" fillId="0" borderId="11" xfId="0" applyNumberFormat="1" applyFont="1" applyBorder="1" applyAlignment="1"/>
    <xf numFmtId="38" fontId="6" fillId="0" borderId="30" xfId="1" applyFont="1" applyBorder="1" applyAlignment="1"/>
    <xf numFmtId="38" fontId="6" fillId="0" borderId="31" xfId="1" applyFont="1" applyBorder="1" applyAlignment="1"/>
    <xf numFmtId="38" fontId="6" fillId="0" borderId="32" xfId="1" applyFont="1" applyBorder="1" applyAlignment="1"/>
    <xf numFmtId="38" fontId="6" fillId="0" borderId="33" xfId="1" applyFont="1" applyBorder="1" applyAlignment="1"/>
    <xf numFmtId="38" fontId="6" fillId="0" borderId="29" xfId="1" applyFont="1" applyBorder="1" applyAlignment="1"/>
    <xf numFmtId="38" fontId="6" fillId="4" borderId="11" xfId="1" applyFont="1" applyFill="1" applyBorder="1" applyAlignment="1"/>
    <xf numFmtId="38" fontId="6" fillId="0" borderId="34" xfId="1" applyFont="1" applyBorder="1" applyAlignment="1"/>
    <xf numFmtId="38" fontId="6" fillId="0" borderId="35" xfId="1" applyFont="1" applyBorder="1" applyAlignment="1"/>
    <xf numFmtId="38" fontId="6" fillId="4" borderId="10" xfId="1" applyFont="1" applyFill="1" applyBorder="1" applyAlignment="1"/>
    <xf numFmtId="38" fontId="8" fillId="4" borderId="10" xfId="1" applyFont="1" applyFill="1" applyBorder="1" applyAlignment="1"/>
    <xf numFmtId="38" fontId="6" fillId="0" borderId="36" xfId="1" applyFont="1" applyBorder="1" applyAlignment="1"/>
    <xf numFmtId="38" fontId="6" fillId="0" borderId="37" xfId="1" applyFont="1" applyBorder="1" applyAlignment="1"/>
    <xf numFmtId="38" fontId="6" fillId="3" borderId="38" xfId="1" applyFont="1" applyFill="1" applyBorder="1" applyAlignment="1"/>
    <xf numFmtId="38" fontId="6" fillId="3" borderId="39" xfId="1" applyFont="1" applyFill="1" applyBorder="1" applyAlignment="1"/>
    <xf numFmtId="38" fontId="6" fillId="3" borderId="40" xfId="1" applyFont="1" applyFill="1" applyBorder="1" applyAlignment="1"/>
    <xf numFmtId="38" fontId="6" fillId="3" borderId="41" xfId="1" applyFont="1" applyFill="1" applyBorder="1" applyAlignment="1"/>
    <xf numFmtId="38" fontId="6" fillId="0" borderId="0" xfId="1" applyFont="1" applyAlignment="1"/>
    <xf numFmtId="176" fontId="6" fillId="0" borderId="0" xfId="1" applyNumberFormat="1" applyFont="1" applyAlignment="1"/>
    <xf numFmtId="176" fontId="6" fillId="0" borderId="0" xfId="0" applyNumberFormat="1" applyFont="1" applyAlignment="1"/>
    <xf numFmtId="0" fontId="9" fillId="0" borderId="42" xfId="0" applyFont="1" applyBorder="1" applyAlignment="1">
      <alignment horizontal="center" vertical="center"/>
    </xf>
    <xf numFmtId="176" fontId="9" fillId="4" borderId="42" xfId="1" applyNumberFormat="1" applyFont="1" applyFill="1" applyBorder="1" applyAlignment="1">
      <alignment horizontal="center" vertical="top"/>
    </xf>
    <xf numFmtId="176" fontId="9" fillId="4" borderId="40" xfId="1" applyNumberFormat="1" applyFont="1" applyFill="1" applyBorder="1" applyAlignment="1">
      <alignment horizontal="center" vertical="top"/>
    </xf>
    <xf numFmtId="176" fontId="9" fillId="4" borderId="43" xfId="1" applyNumberFormat="1" applyFont="1" applyFill="1" applyBorder="1" applyAlignment="1">
      <alignment horizontal="center" vertical="top"/>
    </xf>
    <xf numFmtId="38" fontId="10" fillId="4" borderId="11" xfId="1" applyFont="1" applyFill="1" applyBorder="1" applyAlignment="1"/>
    <xf numFmtId="9" fontId="10" fillId="4" borderId="12" xfId="2" applyFont="1" applyFill="1" applyBorder="1" applyAlignment="1"/>
    <xf numFmtId="9" fontId="10" fillId="4" borderId="11" xfId="2" applyFont="1" applyFill="1" applyBorder="1" applyAlignment="1"/>
    <xf numFmtId="9" fontId="10" fillId="4" borderId="10" xfId="2" applyFont="1" applyFill="1" applyBorder="1" applyAlignment="1"/>
    <xf numFmtId="176" fontId="6" fillId="0" borderId="6" xfId="0" applyNumberFormat="1" applyFont="1" applyFill="1" applyBorder="1" applyAlignment="1"/>
    <xf numFmtId="38" fontId="10" fillId="4" borderId="6" xfId="1" applyFont="1" applyFill="1" applyBorder="1" applyAlignment="1"/>
    <xf numFmtId="9" fontId="10" fillId="4" borderId="6" xfId="2" applyFont="1" applyFill="1" applyBorder="1" applyAlignment="1"/>
    <xf numFmtId="9" fontId="10" fillId="4" borderId="44" xfId="2" applyFont="1" applyFill="1" applyBorder="1" applyAlignment="1"/>
    <xf numFmtId="9" fontId="10" fillId="4" borderId="45" xfId="2" applyFont="1" applyFill="1" applyBorder="1" applyAlignment="1"/>
    <xf numFmtId="38" fontId="6" fillId="4" borderId="12" xfId="1" applyFont="1" applyFill="1" applyBorder="1" applyAlignment="1"/>
    <xf numFmtId="38" fontId="6" fillId="0" borderId="47" xfId="1" applyFont="1" applyBorder="1" applyAlignment="1"/>
    <xf numFmtId="38" fontId="6" fillId="0" borderId="46" xfId="1" applyFont="1" applyBorder="1" applyAlignment="1"/>
    <xf numFmtId="38" fontId="6" fillId="3" borderId="42" xfId="1" applyFont="1" applyFill="1" applyBorder="1" applyAlignment="1"/>
    <xf numFmtId="0" fontId="5" fillId="0" borderId="2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5" fillId="0" borderId="23" xfId="1" applyNumberFormat="1" applyFont="1" applyBorder="1" applyAlignment="1">
      <alignment horizontal="center" vertical="top"/>
    </xf>
    <xf numFmtId="176" fontId="5" fillId="0" borderId="24" xfId="1" applyNumberFormat="1" applyFont="1" applyBorder="1" applyAlignment="1">
      <alignment horizontal="center" vertical="top"/>
    </xf>
    <xf numFmtId="176" fontId="5" fillId="4" borderId="23" xfId="0" applyNumberFormat="1" applyFont="1" applyFill="1" applyBorder="1" applyAlignment="1">
      <alignment horizontal="center"/>
    </xf>
    <xf numFmtId="176" fontId="5" fillId="4" borderId="24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/>
    </xf>
    <xf numFmtId="176" fontId="5" fillId="2" borderId="4" xfId="0" applyNumberFormat="1" applyFont="1" applyFill="1" applyBorder="1" applyAlignment="1">
      <alignment horizontal="center"/>
    </xf>
  </cellXfs>
  <cellStyles count="3">
    <cellStyle name="パーセント" xfId="2" builtinId="5"/>
    <cellStyle name="桁区切り" xfId="1" builtinId="6"/>
    <cellStyle name="標準" xfId="0" builtinId="0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2800-83EA-4F4B-8D80-F90C80F3F194}">
  <dimension ref="A1:AH495"/>
  <sheetViews>
    <sheetView tabSelected="1" zoomScale="70" zoomScaleNormal="70" workbookViewId="0">
      <selection activeCell="M204" sqref="M204:N213"/>
    </sheetView>
  </sheetViews>
  <sheetFormatPr defaultRowHeight="13.5" outlineLevelCol="1" x14ac:dyDescent="0.35"/>
  <cols>
    <col min="1" max="1" width="6.81640625" style="19" customWidth="1"/>
    <col min="2" max="2" width="10.7265625" style="19" customWidth="1"/>
    <col min="3" max="3" width="16.90625" style="19" customWidth="1"/>
    <col min="4" max="4" width="52.36328125" style="19" customWidth="1"/>
    <col min="5" max="5" width="11.26953125" style="45" customWidth="1"/>
    <col min="6" max="6" width="13.26953125" style="45" customWidth="1"/>
    <col min="7" max="7" width="11.26953125" style="45" customWidth="1"/>
    <col min="8" max="8" width="13.26953125" style="45" customWidth="1"/>
    <col min="9" max="9" width="11.26953125" style="45" customWidth="1"/>
    <col min="10" max="10" width="13.26953125" style="45" customWidth="1"/>
    <col min="11" max="11" width="11.26953125" style="45" customWidth="1"/>
    <col min="12" max="14" width="13.26953125" style="45" customWidth="1"/>
    <col min="15" max="21" width="13.26953125" style="45" hidden="1" customWidth="1" outlineLevel="1"/>
    <col min="22" max="28" width="15.453125" style="45" hidden="1" customWidth="1" outlineLevel="1"/>
    <col min="29" max="29" width="10.81640625" style="46" bestFit="1" customWidth="1" collapsed="1"/>
    <col min="30" max="30" width="16.1796875" style="46" bestFit="1" customWidth="1"/>
    <col min="31" max="32" width="8.7265625" style="19"/>
    <col min="33" max="33" width="15.26953125" style="19" customWidth="1"/>
    <col min="34" max="34" width="19.6328125" style="19" customWidth="1"/>
    <col min="35" max="16384" width="8.7265625" style="19"/>
  </cols>
  <sheetData>
    <row r="1" spans="1:30" ht="14.5" customHeight="1" x14ac:dyDescent="0.35">
      <c r="A1" s="64" t="s">
        <v>242</v>
      </c>
      <c r="B1" s="64" t="s">
        <v>243</v>
      </c>
      <c r="C1" s="64" t="s">
        <v>465</v>
      </c>
      <c r="D1" s="64" t="s">
        <v>244</v>
      </c>
      <c r="E1" s="66">
        <v>2601</v>
      </c>
      <c r="F1" s="67"/>
      <c r="G1" s="66">
        <v>2602</v>
      </c>
      <c r="H1" s="67"/>
      <c r="I1" s="66">
        <v>2603</v>
      </c>
      <c r="J1" s="67"/>
      <c r="K1" s="66">
        <v>2604</v>
      </c>
      <c r="L1" s="67"/>
      <c r="M1" s="66">
        <v>2605</v>
      </c>
      <c r="N1" s="67"/>
      <c r="O1" s="66">
        <v>2606</v>
      </c>
      <c r="P1" s="67"/>
      <c r="Q1" s="66">
        <v>2607</v>
      </c>
      <c r="R1" s="67"/>
      <c r="S1" s="66">
        <v>2608</v>
      </c>
      <c r="T1" s="67"/>
      <c r="U1" s="66">
        <v>2609</v>
      </c>
      <c r="V1" s="67"/>
      <c r="W1" s="66">
        <v>2610</v>
      </c>
      <c r="X1" s="67"/>
      <c r="Y1" s="66">
        <v>2611</v>
      </c>
      <c r="Z1" s="67"/>
      <c r="AA1" s="66">
        <v>2612</v>
      </c>
      <c r="AB1" s="67"/>
      <c r="AC1" s="68" t="s">
        <v>245</v>
      </c>
      <c r="AD1" s="69"/>
    </row>
    <row r="2" spans="1:30" x14ac:dyDescent="0.35">
      <c r="A2" s="65"/>
      <c r="B2" s="65"/>
      <c r="C2" s="65"/>
      <c r="D2" s="65"/>
      <c r="E2" s="20" t="s">
        <v>246</v>
      </c>
      <c r="F2" s="21" t="s">
        <v>247</v>
      </c>
      <c r="G2" s="22" t="s">
        <v>246</v>
      </c>
      <c r="H2" s="23" t="s">
        <v>247</v>
      </c>
      <c r="I2" s="20" t="s">
        <v>246</v>
      </c>
      <c r="J2" s="21" t="s">
        <v>247</v>
      </c>
      <c r="K2" s="20" t="s">
        <v>246</v>
      </c>
      <c r="L2" s="21" t="s">
        <v>247</v>
      </c>
      <c r="M2" s="20" t="s">
        <v>246</v>
      </c>
      <c r="N2" s="21" t="s">
        <v>247</v>
      </c>
      <c r="O2" s="20" t="s">
        <v>246</v>
      </c>
      <c r="P2" s="21" t="s">
        <v>247</v>
      </c>
      <c r="Q2" s="20" t="s">
        <v>246</v>
      </c>
      <c r="R2" s="21" t="s">
        <v>247</v>
      </c>
      <c r="S2" s="20" t="s">
        <v>246</v>
      </c>
      <c r="T2" s="21" t="s">
        <v>247</v>
      </c>
      <c r="U2" s="20" t="s">
        <v>246</v>
      </c>
      <c r="V2" s="21" t="s">
        <v>247</v>
      </c>
      <c r="W2" s="20" t="s">
        <v>246</v>
      </c>
      <c r="X2" s="21" t="s">
        <v>247</v>
      </c>
      <c r="Y2" s="20" t="s">
        <v>246</v>
      </c>
      <c r="Z2" s="21" t="s">
        <v>247</v>
      </c>
      <c r="AA2" s="20" t="s">
        <v>246</v>
      </c>
      <c r="AB2" s="21" t="s">
        <v>247</v>
      </c>
      <c r="AC2" s="24" t="s">
        <v>246</v>
      </c>
      <c r="AD2" s="25" t="s">
        <v>247</v>
      </c>
    </row>
    <row r="3" spans="1:30" x14ac:dyDescent="0.35">
      <c r="A3" s="26">
        <v>42</v>
      </c>
      <c r="B3" s="27" t="str">
        <f>LEFT(D3,FIND("-",D3)-1)</f>
        <v>MTNN</v>
      </c>
      <c r="C3" s="5" t="s">
        <v>470</v>
      </c>
      <c r="D3" s="6" t="s">
        <v>438</v>
      </c>
      <c r="E3" s="28"/>
      <c r="F3" s="29"/>
      <c r="G3" s="30"/>
      <c r="H3" s="31"/>
      <c r="I3" s="28">
        <v>270</v>
      </c>
      <c r="J3" s="29">
        <v>432000</v>
      </c>
      <c r="K3" s="28">
        <v>434</v>
      </c>
      <c r="L3" s="29">
        <v>694400</v>
      </c>
      <c r="M3" s="28">
        <v>336</v>
      </c>
      <c r="N3" s="29">
        <v>537600</v>
      </c>
      <c r="O3" s="28"/>
      <c r="P3" s="32"/>
      <c r="Q3" s="28"/>
      <c r="R3" s="32"/>
      <c r="S3" s="28"/>
      <c r="T3" s="32"/>
      <c r="U3" s="28"/>
      <c r="V3" s="32"/>
      <c r="W3" s="32"/>
      <c r="X3" s="32"/>
      <c r="Y3" s="32"/>
      <c r="Z3" s="32"/>
      <c r="AA3" s="32"/>
      <c r="AB3" s="32"/>
      <c r="AC3" s="60">
        <f>E3+G3+I3+K3+M3+O3+Q3+S3+U3+W3+Y3+AA3</f>
        <v>1040</v>
      </c>
      <c r="AD3" s="33">
        <f>F3+H3+J3+L3+N3+P3+R3+T3+V3+X3+Z3+AB3</f>
        <v>1664000</v>
      </c>
    </row>
    <row r="4" spans="1:30" x14ac:dyDescent="0.35">
      <c r="A4" s="5">
        <v>23</v>
      </c>
      <c r="B4" s="10" t="str">
        <f>LEFT(D4,FIND("-",D4)-1)</f>
        <v>MTOE001</v>
      </c>
      <c r="C4" s="27" t="s">
        <v>470</v>
      </c>
      <c r="D4" s="6" t="s">
        <v>352</v>
      </c>
      <c r="E4" s="34"/>
      <c r="F4" s="35"/>
      <c r="G4" s="30">
        <v>461</v>
      </c>
      <c r="H4" s="31">
        <v>599300</v>
      </c>
      <c r="I4" s="28">
        <v>30</v>
      </c>
      <c r="J4" s="29">
        <v>39000</v>
      </c>
      <c r="K4" s="28">
        <v>1331</v>
      </c>
      <c r="L4" s="29">
        <v>1730300</v>
      </c>
      <c r="M4" s="28">
        <v>300</v>
      </c>
      <c r="N4" s="29">
        <v>390000</v>
      </c>
      <c r="O4" s="28"/>
      <c r="P4" s="32"/>
      <c r="Q4" s="28"/>
      <c r="R4" s="32"/>
      <c r="S4" s="28"/>
      <c r="T4" s="32"/>
      <c r="U4" s="28"/>
      <c r="V4" s="32"/>
      <c r="W4" s="32"/>
      <c r="X4" s="32"/>
      <c r="Y4" s="32"/>
      <c r="Z4" s="32"/>
      <c r="AA4" s="32"/>
      <c r="AB4" s="32"/>
      <c r="AC4" s="36">
        <f>E4+G4+I4+K4+M4+O4+Q4+S4+U4+W4+Y4+AA4</f>
        <v>2122</v>
      </c>
      <c r="AD4" s="33">
        <f>F4+H4+J4+L4+N4+P4+R4+T4+V4+X4+Z4+AB4</f>
        <v>2758600</v>
      </c>
    </row>
    <row r="5" spans="1:30" x14ac:dyDescent="0.35">
      <c r="A5" s="5">
        <v>21</v>
      </c>
      <c r="B5" s="10" t="str">
        <f>LEFT(D5,FIND("-",D5)-1)</f>
        <v>MTLD</v>
      </c>
      <c r="C5" s="27" t="s">
        <v>470</v>
      </c>
      <c r="D5" s="6" t="s">
        <v>214</v>
      </c>
      <c r="E5" s="34">
        <v>100</v>
      </c>
      <c r="F5" s="35">
        <v>105000</v>
      </c>
      <c r="G5" s="30">
        <v>384</v>
      </c>
      <c r="H5" s="31">
        <v>403200</v>
      </c>
      <c r="I5" s="28">
        <v>30</v>
      </c>
      <c r="J5" s="29">
        <v>31500</v>
      </c>
      <c r="K5" s="28">
        <v>1199</v>
      </c>
      <c r="L5" s="29">
        <v>1258950</v>
      </c>
      <c r="M5" s="28">
        <v>200</v>
      </c>
      <c r="N5" s="29">
        <v>210000</v>
      </c>
      <c r="O5" s="28"/>
      <c r="P5" s="32"/>
      <c r="Q5" s="28"/>
      <c r="R5" s="32"/>
      <c r="S5" s="28"/>
      <c r="T5" s="32"/>
      <c r="U5" s="28"/>
      <c r="V5" s="32"/>
      <c r="W5" s="32"/>
      <c r="X5" s="32"/>
      <c r="Y5" s="32"/>
      <c r="Z5" s="32"/>
      <c r="AA5" s="32"/>
      <c r="AB5" s="32"/>
      <c r="AC5" s="36">
        <f>E5+G5+I5+K5+M5+O5+Q5+S5+U5+W5+Y5+AA5</f>
        <v>1913</v>
      </c>
      <c r="AD5" s="33">
        <f>F5+H5+J5+L5+N5+P5+R5+T5+V5+X5+Z5+AB5</f>
        <v>2008650</v>
      </c>
    </row>
    <row r="6" spans="1:30" x14ac:dyDescent="0.35">
      <c r="A6" s="5">
        <v>37</v>
      </c>
      <c r="B6" s="10" t="str">
        <f>LEFT(D6,FIND("-",D6)-1)</f>
        <v>MTLI</v>
      </c>
      <c r="C6" s="5" t="s">
        <v>470</v>
      </c>
      <c r="D6" s="6" t="s">
        <v>436</v>
      </c>
      <c r="E6" s="34"/>
      <c r="F6" s="35"/>
      <c r="G6" s="30"/>
      <c r="H6" s="31"/>
      <c r="I6" s="28">
        <v>300</v>
      </c>
      <c r="J6" s="29">
        <v>330000</v>
      </c>
      <c r="K6" s="28">
        <v>530</v>
      </c>
      <c r="L6" s="29">
        <v>583000</v>
      </c>
      <c r="M6" s="28">
        <v>200</v>
      </c>
      <c r="N6" s="29">
        <v>220000</v>
      </c>
      <c r="O6" s="28"/>
      <c r="P6" s="32"/>
      <c r="Q6" s="28"/>
      <c r="R6" s="32"/>
      <c r="S6" s="28"/>
      <c r="T6" s="32"/>
      <c r="U6" s="28"/>
      <c r="V6" s="32"/>
      <c r="W6" s="32"/>
      <c r="X6" s="32"/>
      <c r="Y6" s="32"/>
      <c r="Z6" s="32"/>
      <c r="AA6" s="32"/>
      <c r="AB6" s="32"/>
      <c r="AC6" s="36">
        <f>E6+G6+I6+K6+M6+O6+Q6+S6+U6+W6+Y6+AA6</f>
        <v>1030</v>
      </c>
      <c r="AD6" s="33">
        <f>F6+H6+J6+L6+N6+P6+R6+T6+V6+X6+Z6+AB6</f>
        <v>1133000</v>
      </c>
    </row>
    <row r="7" spans="1:30" x14ac:dyDescent="0.35">
      <c r="A7" s="5">
        <v>18</v>
      </c>
      <c r="B7" s="10" t="str">
        <f>LEFT(D7,FIND("-",D7)-1)</f>
        <v>MTLJ</v>
      </c>
      <c r="C7" s="27" t="s">
        <v>470</v>
      </c>
      <c r="D7" s="6" t="s">
        <v>437</v>
      </c>
      <c r="E7" s="34"/>
      <c r="F7" s="35"/>
      <c r="G7" s="30"/>
      <c r="H7" s="31"/>
      <c r="I7" s="28">
        <v>645</v>
      </c>
      <c r="J7" s="29">
        <v>806250</v>
      </c>
      <c r="K7" s="28">
        <v>1050</v>
      </c>
      <c r="L7" s="29">
        <v>1312500</v>
      </c>
      <c r="M7" s="28">
        <v>100</v>
      </c>
      <c r="N7" s="29">
        <v>125000</v>
      </c>
      <c r="O7" s="28"/>
      <c r="P7" s="32"/>
      <c r="Q7" s="28"/>
      <c r="R7" s="32"/>
      <c r="S7" s="28"/>
      <c r="T7" s="32"/>
      <c r="U7" s="28"/>
      <c r="V7" s="32"/>
      <c r="W7" s="32"/>
      <c r="X7" s="32"/>
      <c r="Y7" s="32"/>
      <c r="Z7" s="32"/>
      <c r="AA7" s="32"/>
      <c r="AB7" s="32"/>
      <c r="AC7" s="36">
        <f>E7+G7+I7+K7+M7+O7+Q7+S7+U7+W7+Y7+AA7</f>
        <v>1795</v>
      </c>
      <c r="AD7" s="33">
        <f>F7+H7+J7+L7+N7+P7+R7+T7+V7+X7+Z7+AB7</f>
        <v>2243750</v>
      </c>
    </row>
    <row r="8" spans="1:30" x14ac:dyDescent="0.35">
      <c r="A8" s="5">
        <v>142</v>
      </c>
      <c r="B8" s="10" t="str">
        <f>LEFT(D8,FIND("-",D8)-1)</f>
        <v>MTSC</v>
      </c>
      <c r="C8" s="27" t="s">
        <v>470</v>
      </c>
      <c r="D8" s="6" t="s">
        <v>50</v>
      </c>
      <c r="E8" s="34">
        <v>30</v>
      </c>
      <c r="F8" s="35">
        <v>57000</v>
      </c>
      <c r="G8" s="30">
        <v>40</v>
      </c>
      <c r="H8" s="31">
        <v>76000</v>
      </c>
      <c r="I8" s="28"/>
      <c r="J8" s="29"/>
      <c r="K8" s="28">
        <v>51</v>
      </c>
      <c r="L8" s="29">
        <v>96900</v>
      </c>
      <c r="M8" s="28">
        <v>70</v>
      </c>
      <c r="N8" s="29">
        <v>133000</v>
      </c>
      <c r="O8" s="28"/>
      <c r="P8" s="32"/>
      <c r="Q8" s="28"/>
      <c r="R8" s="32"/>
      <c r="S8" s="28"/>
      <c r="T8" s="32"/>
      <c r="U8" s="28"/>
      <c r="V8" s="32"/>
      <c r="W8" s="32"/>
      <c r="X8" s="32"/>
      <c r="Y8" s="32"/>
      <c r="Z8" s="32"/>
      <c r="AA8" s="32"/>
      <c r="AB8" s="32"/>
      <c r="AC8" s="37">
        <f>E8+G8+I8+K8+M8+O8+Q8+S8+U8+W8+Y8+AA8</f>
        <v>191</v>
      </c>
      <c r="AD8" s="33">
        <f>F8+H8+J8+L8+N8+P8+R8+T8+V8+X8+Z8+AB8</f>
        <v>362900</v>
      </c>
    </row>
    <row r="9" spans="1:30" x14ac:dyDescent="0.35">
      <c r="A9" s="5">
        <v>124</v>
      </c>
      <c r="B9" s="10" t="str">
        <f>LEFT(D9,FIND("-",D9)-1)</f>
        <v>MTSE</v>
      </c>
      <c r="C9" s="27" t="s">
        <v>470</v>
      </c>
      <c r="D9" s="6" t="s">
        <v>439</v>
      </c>
      <c r="E9" s="34"/>
      <c r="F9" s="35"/>
      <c r="G9" s="30"/>
      <c r="H9" s="31"/>
      <c r="I9" s="28">
        <v>82</v>
      </c>
      <c r="J9" s="29">
        <v>237800</v>
      </c>
      <c r="K9" s="28">
        <v>112</v>
      </c>
      <c r="L9" s="29">
        <v>324800</v>
      </c>
      <c r="M9" s="28">
        <v>30</v>
      </c>
      <c r="N9" s="29">
        <v>87000</v>
      </c>
      <c r="O9" s="28"/>
      <c r="P9" s="32"/>
      <c r="Q9" s="28"/>
      <c r="R9" s="32"/>
      <c r="S9" s="28"/>
      <c r="T9" s="32"/>
      <c r="U9" s="28"/>
      <c r="V9" s="32"/>
      <c r="W9" s="32"/>
      <c r="X9" s="32"/>
      <c r="Y9" s="32"/>
      <c r="Z9" s="32"/>
      <c r="AA9" s="32"/>
      <c r="AB9" s="32"/>
      <c r="AC9" s="36">
        <f>E9+G9+I9+K9+M9+O9+Q9+S9+U9+W9+Y9+AA9</f>
        <v>224</v>
      </c>
      <c r="AD9" s="33">
        <f>F9+H9+J9+L9+N9+P9+R9+T9+V9+X9+Z9+AB9</f>
        <v>649600</v>
      </c>
    </row>
    <row r="10" spans="1:30" x14ac:dyDescent="0.35">
      <c r="A10" s="5">
        <v>289</v>
      </c>
      <c r="B10" s="10" t="str">
        <f>LEFT(D10,FIND("-",D10)-1)</f>
        <v>MTSU</v>
      </c>
      <c r="C10" s="27" t="s">
        <v>470</v>
      </c>
      <c r="D10" s="6" t="s">
        <v>440</v>
      </c>
      <c r="E10" s="34"/>
      <c r="F10" s="35"/>
      <c r="G10" s="30"/>
      <c r="H10" s="31"/>
      <c r="I10" s="28">
        <v>11</v>
      </c>
      <c r="J10" s="29">
        <v>23650</v>
      </c>
      <c r="K10" s="28">
        <v>52</v>
      </c>
      <c r="L10" s="29">
        <v>111800</v>
      </c>
      <c r="M10" s="28">
        <v>9</v>
      </c>
      <c r="N10" s="29">
        <v>19350</v>
      </c>
      <c r="O10" s="28"/>
      <c r="P10" s="32"/>
      <c r="Q10" s="28"/>
      <c r="R10" s="32"/>
      <c r="S10" s="28"/>
      <c r="T10" s="32"/>
      <c r="U10" s="28"/>
      <c r="V10" s="32"/>
      <c r="W10" s="32"/>
      <c r="X10" s="32"/>
      <c r="Y10" s="32"/>
      <c r="Z10" s="32"/>
      <c r="AA10" s="32"/>
      <c r="AB10" s="32"/>
      <c r="AC10" s="36">
        <f>E10+G10+I10+K10+M10+O10+Q10+S10+U10+W10+Y10+AA10</f>
        <v>72</v>
      </c>
      <c r="AD10" s="33">
        <f>F10+H10+J10+L10+N10+P10+R10+T10+V10+X10+Z10+AB10</f>
        <v>154800</v>
      </c>
    </row>
    <row r="11" spans="1:30" x14ac:dyDescent="0.35">
      <c r="A11" s="5">
        <v>202</v>
      </c>
      <c r="B11" s="10" t="str">
        <f>LEFT(D11,FIND("-",D11)-1)</f>
        <v>MEWZ</v>
      </c>
      <c r="C11" s="27" t="s">
        <v>470</v>
      </c>
      <c r="D11" s="6" t="s">
        <v>209</v>
      </c>
      <c r="E11" s="34">
        <v>8</v>
      </c>
      <c r="F11" s="35">
        <v>8000</v>
      </c>
      <c r="G11" s="30">
        <v>8</v>
      </c>
      <c r="H11" s="31">
        <v>8000</v>
      </c>
      <c r="I11" s="28">
        <v>12</v>
      </c>
      <c r="J11" s="29">
        <v>12000</v>
      </c>
      <c r="K11" s="28">
        <v>6</v>
      </c>
      <c r="L11" s="29">
        <v>6000</v>
      </c>
      <c r="M11" s="28">
        <v>4</v>
      </c>
      <c r="N11" s="29">
        <v>4000</v>
      </c>
      <c r="O11" s="28"/>
      <c r="P11" s="32"/>
      <c r="Q11" s="28"/>
      <c r="R11" s="32"/>
      <c r="S11" s="28"/>
      <c r="T11" s="32"/>
      <c r="U11" s="28"/>
      <c r="V11" s="32"/>
      <c r="W11" s="32"/>
      <c r="X11" s="32"/>
      <c r="Y11" s="32"/>
      <c r="Z11" s="32"/>
      <c r="AA11" s="32"/>
      <c r="AB11" s="32"/>
      <c r="AC11" s="36">
        <f>E11+G11+I11+K11+M11+O11+Q11+S11+U11+W11+Y11+AA11</f>
        <v>38</v>
      </c>
      <c r="AD11" s="33">
        <f>F11+H11+J11+L11+N11+P11+R11+T11+V11+X11+Z11+AB11</f>
        <v>38000</v>
      </c>
    </row>
    <row r="12" spans="1:30" x14ac:dyDescent="0.35">
      <c r="A12" s="5">
        <v>109</v>
      </c>
      <c r="B12" s="10" t="str">
        <f>LEFT(D12,FIND("-",D12)-1)</f>
        <v>MTAA</v>
      </c>
      <c r="C12" s="27" t="s">
        <v>470</v>
      </c>
      <c r="D12" s="6" t="s">
        <v>349</v>
      </c>
      <c r="E12" s="34"/>
      <c r="F12" s="35"/>
      <c r="G12" s="30">
        <v>99</v>
      </c>
      <c r="H12" s="31">
        <v>188100</v>
      </c>
      <c r="I12" s="28"/>
      <c r="J12" s="29"/>
      <c r="K12" s="28"/>
      <c r="L12" s="29"/>
      <c r="M12" s="28">
        <v>3</v>
      </c>
      <c r="N12" s="29">
        <v>5700</v>
      </c>
      <c r="O12" s="28"/>
      <c r="P12" s="32"/>
      <c r="Q12" s="28"/>
      <c r="R12" s="32"/>
      <c r="S12" s="28"/>
      <c r="T12" s="32"/>
      <c r="U12" s="28"/>
      <c r="V12" s="32"/>
      <c r="W12" s="32"/>
      <c r="X12" s="32"/>
      <c r="Y12" s="32"/>
      <c r="Z12" s="32"/>
      <c r="AA12" s="32"/>
      <c r="AB12" s="32"/>
      <c r="AC12" s="36">
        <f>E12+G12+I12+K12+M12+O12+Q12+S12+U12+W12+Y12+AA12</f>
        <v>102</v>
      </c>
      <c r="AD12" s="33">
        <f>F12+H12+J12+L12+N12+P12+R12+T12+V12+X12+Z12+AB12</f>
        <v>193800</v>
      </c>
    </row>
    <row r="13" spans="1:30" x14ac:dyDescent="0.35">
      <c r="A13" s="5">
        <v>17</v>
      </c>
      <c r="B13" s="10" t="str">
        <f>LEFT(D13,FIND("-",D13)-1)</f>
        <v>MTSW</v>
      </c>
      <c r="C13" s="27" t="s">
        <v>470</v>
      </c>
      <c r="D13" s="6" t="s">
        <v>218</v>
      </c>
      <c r="E13" s="34">
        <v>104</v>
      </c>
      <c r="F13" s="35">
        <v>254800</v>
      </c>
      <c r="G13" s="30">
        <v>112</v>
      </c>
      <c r="H13" s="31">
        <v>274400</v>
      </c>
      <c r="I13" s="28">
        <v>432</v>
      </c>
      <c r="J13" s="29">
        <v>1058400</v>
      </c>
      <c r="K13" s="28">
        <v>147</v>
      </c>
      <c r="L13" s="29">
        <v>360150</v>
      </c>
      <c r="M13" s="28">
        <v>2</v>
      </c>
      <c r="N13" s="29">
        <v>4900</v>
      </c>
      <c r="O13" s="28"/>
      <c r="P13" s="32"/>
      <c r="Q13" s="28"/>
      <c r="R13" s="32"/>
      <c r="S13" s="28"/>
      <c r="T13" s="32"/>
      <c r="U13" s="28"/>
      <c r="V13" s="32"/>
      <c r="W13" s="32"/>
      <c r="X13" s="32"/>
      <c r="Y13" s="32"/>
      <c r="Z13" s="32"/>
      <c r="AA13" s="32"/>
      <c r="AB13" s="32"/>
      <c r="AC13" s="36">
        <f>E13+G13+I13+K13+M13+O13+Q13+S13+U13+W13+Y13+AA13</f>
        <v>797</v>
      </c>
      <c r="AD13" s="33">
        <f>F13+H13+J13+L13+N13+P13+R13+T13+V13+X13+Z13+AB13</f>
        <v>1952650</v>
      </c>
    </row>
    <row r="14" spans="1:30" x14ac:dyDescent="0.35">
      <c r="A14" s="5">
        <v>395</v>
      </c>
      <c r="B14" s="10" t="str">
        <f>LEFT(D14,FIND("-",D14)-1)</f>
        <v>MWBI405</v>
      </c>
      <c r="C14" s="27" t="s">
        <v>470</v>
      </c>
      <c r="D14" s="6" t="s">
        <v>227</v>
      </c>
      <c r="E14" s="34">
        <v>3</v>
      </c>
      <c r="F14" s="35">
        <v>8250</v>
      </c>
      <c r="G14" s="30"/>
      <c r="H14" s="31"/>
      <c r="I14" s="28"/>
      <c r="J14" s="29"/>
      <c r="K14" s="28">
        <v>1</v>
      </c>
      <c r="L14" s="29">
        <v>2750</v>
      </c>
      <c r="M14" s="28">
        <v>-1</v>
      </c>
      <c r="N14" s="29">
        <v>-2750</v>
      </c>
      <c r="O14" s="28"/>
      <c r="P14" s="32"/>
      <c r="Q14" s="28"/>
      <c r="R14" s="32"/>
      <c r="S14" s="28"/>
      <c r="T14" s="32"/>
      <c r="U14" s="28"/>
      <c r="V14" s="32"/>
      <c r="W14" s="32"/>
      <c r="X14" s="32"/>
      <c r="Y14" s="32"/>
      <c r="Z14" s="32"/>
      <c r="AA14" s="32"/>
      <c r="AB14" s="32"/>
      <c r="AC14" s="36">
        <f>E14+G14+I14+K14+M14+O14+Q14+S14+U14+W14+Y14+AA14</f>
        <v>3</v>
      </c>
      <c r="AD14" s="33">
        <f>F14+H14+J14+L14+N14+P14+R14+T14+V14+X14+Z14+AB14</f>
        <v>8250</v>
      </c>
    </row>
    <row r="15" spans="1:30" x14ac:dyDescent="0.35">
      <c r="A15" s="5">
        <v>247</v>
      </c>
      <c r="B15" s="10" t="str">
        <f>LEFT(D15,FIND("-",D15)-1)</f>
        <v>MWMY</v>
      </c>
      <c r="C15" s="27" t="s">
        <v>470</v>
      </c>
      <c r="D15" s="6" t="s">
        <v>75</v>
      </c>
      <c r="E15" s="34">
        <v>2</v>
      </c>
      <c r="F15" s="35">
        <v>6600</v>
      </c>
      <c r="G15" s="30">
        <v>15</v>
      </c>
      <c r="H15" s="31">
        <v>49500</v>
      </c>
      <c r="I15" s="28"/>
      <c r="J15" s="29"/>
      <c r="K15" s="28">
        <v>32</v>
      </c>
      <c r="L15" s="29">
        <v>105600</v>
      </c>
      <c r="M15" s="28">
        <v>-32</v>
      </c>
      <c r="N15" s="29">
        <v>-105600</v>
      </c>
      <c r="O15" s="28"/>
      <c r="P15" s="32"/>
      <c r="Q15" s="28"/>
      <c r="R15" s="32"/>
      <c r="S15" s="28"/>
      <c r="T15" s="32"/>
      <c r="U15" s="28"/>
      <c r="V15" s="32"/>
      <c r="W15" s="32"/>
      <c r="X15" s="32"/>
      <c r="Y15" s="32"/>
      <c r="Z15" s="32"/>
      <c r="AA15" s="32"/>
      <c r="AB15" s="32"/>
      <c r="AC15" s="36">
        <f>E15+G15+I15+K15+M15+O15+Q15+S15+U15+W15+Y15+AA15</f>
        <v>17</v>
      </c>
      <c r="AD15" s="33">
        <f>F15+H15+J15+L15+N15+P15+R15+T15+V15+X15+Z15+AB15</f>
        <v>56100</v>
      </c>
    </row>
    <row r="16" spans="1:30" x14ac:dyDescent="0.35">
      <c r="A16" s="5">
        <v>16</v>
      </c>
      <c r="B16" s="10" t="str">
        <f>LEFT(D16,FIND("-",D16)-1)</f>
        <v>MTLE</v>
      </c>
      <c r="C16" s="27" t="s">
        <v>470</v>
      </c>
      <c r="D16" s="6" t="s">
        <v>215</v>
      </c>
      <c r="E16" s="34">
        <v>230</v>
      </c>
      <c r="F16" s="35">
        <v>276000</v>
      </c>
      <c r="G16" s="30">
        <v>445</v>
      </c>
      <c r="H16" s="31">
        <v>534000</v>
      </c>
      <c r="I16" s="28"/>
      <c r="J16" s="29"/>
      <c r="K16" s="28">
        <v>1096</v>
      </c>
      <c r="L16" s="29">
        <v>1315200</v>
      </c>
      <c r="M16" s="28"/>
      <c r="N16" s="29"/>
      <c r="O16" s="28"/>
      <c r="P16" s="32"/>
      <c r="Q16" s="28"/>
      <c r="R16" s="32"/>
      <c r="S16" s="28"/>
      <c r="T16" s="32"/>
      <c r="U16" s="28"/>
      <c r="V16" s="32"/>
      <c r="W16" s="32"/>
      <c r="X16" s="32"/>
      <c r="Y16" s="32"/>
      <c r="Z16" s="32"/>
      <c r="AA16" s="32"/>
      <c r="AB16" s="32"/>
      <c r="AC16" s="36">
        <f>E16+G16+I16+K16+M16+O16+Q16+S16+U16+W16+Y16+AA16</f>
        <v>1771</v>
      </c>
      <c r="AD16" s="33">
        <f>F16+H16+J16+L16+N16+P16+R16+T16+V16+X16+Z16+AB16</f>
        <v>2125200</v>
      </c>
    </row>
    <row r="17" spans="1:30" x14ac:dyDescent="0.35">
      <c r="A17" s="5">
        <v>68</v>
      </c>
      <c r="B17" s="10" t="str">
        <f>LEFT(D17,FIND("-",D17)-1)</f>
        <v>MTOE002</v>
      </c>
      <c r="C17" s="27" t="s">
        <v>470</v>
      </c>
      <c r="D17" s="6" t="s">
        <v>353</v>
      </c>
      <c r="E17" s="34"/>
      <c r="F17" s="35"/>
      <c r="G17" s="30">
        <v>110</v>
      </c>
      <c r="H17" s="31">
        <v>143000</v>
      </c>
      <c r="I17" s="28">
        <v>55</v>
      </c>
      <c r="J17" s="29">
        <v>71500</v>
      </c>
      <c r="K17" s="28">
        <v>910</v>
      </c>
      <c r="L17" s="29">
        <v>1183000</v>
      </c>
      <c r="M17" s="28"/>
      <c r="N17" s="29"/>
      <c r="O17" s="28"/>
      <c r="P17" s="32"/>
      <c r="Q17" s="28"/>
      <c r="R17" s="32"/>
      <c r="S17" s="28"/>
      <c r="T17" s="32"/>
      <c r="U17" s="28"/>
      <c r="V17" s="32"/>
      <c r="W17" s="32"/>
      <c r="X17" s="32"/>
      <c r="Y17" s="32"/>
      <c r="Z17" s="32"/>
      <c r="AA17" s="32"/>
      <c r="AB17" s="32"/>
      <c r="AC17" s="36">
        <f>E17+G17+I17+K17+M17+O17+Q17+S17+U17+W17+Y17+AA17</f>
        <v>1075</v>
      </c>
      <c r="AD17" s="33">
        <f>F17+H17+J17+L17+N17+P17+R17+T17+V17+X17+Z17+AB17</f>
        <v>1397500</v>
      </c>
    </row>
    <row r="18" spans="1:30" x14ac:dyDescent="0.35">
      <c r="A18" s="5">
        <v>25</v>
      </c>
      <c r="B18" s="10" t="str">
        <f>LEFT(D18,FIND("-",D18)-1)</f>
        <v>MTCP</v>
      </c>
      <c r="C18" s="27" t="s">
        <v>470</v>
      </c>
      <c r="D18" s="6" t="s">
        <v>211</v>
      </c>
      <c r="E18" s="34">
        <v>150</v>
      </c>
      <c r="F18" s="35">
        <v>116250</v>
      </c>
      <c r="G18" s="30">
        <v>310</v>
      </c>
      <c r="H18" s="31">
        <v>240250</v>
      </c>
      <c r="I18" s="28"/>
      <c r="J18" s="29"/>
      <c r="K18" s="28">
        <v>291</v>
      </c>
      <c r="L18" s="29">
        <v>225525</v>
      </c>
      <c r="M18" s="28"/>
      <c r="N18" s="29"/>
      <c r="O18" s="28"/>
      <c r="P18" s="32"/>
      <c r="Q18" s="28"/>
      <c r="R18" s="32"/>
      <c r="S18" s="28"/>
      <c r="T18" s="32"/>
      <c r="U18" s="28"/>
      <c r="V18" s="32"/>
      <c r="W18" s="32"/>
      <c r="X18" s="32"/>
      <c r="Y18" s="32"/>
      <c r="Z18" s="32"/>
      <c r="AA18" s="32"/>
      <c r="AB18" s="32"/>
      <c r="AC18" s="36">
        <f>E18+G18+I18+K18+M18+O18+Q18+S18+U18+W18+Y18+AA18</f>
        <v>751</v>
      </c>
      <c r="AD18" s="33">
        <f>F18+H18+J18+L18+N18+P18+R18+T18+V18+X18+Z18+AB18</f>
        <v>582025</v>
      </c>
    </row>
    <row r="19" spans="1:30" x14ac:dyDescent="0.35">
      <c r="A19" s="5">
        <v>29</v>
      </c>
      <c r="B19" s="10" t="str">
        <f>LEFT(D19,FIND("-",D19)-1)</f>
        <v>MECB002</v>
      </c>
      <c r="C19" s="27" t="s">
        <v>470</v>
      </c>
      <c r="D19" s="6" t="s">
        <v>207</v>
      </c>
      <c r="E19" s="34">
        <v>270</v>
      </c>
      <c r="F19" s="35">
        <v>351000</v>
      </c>
      <c r="G19" s="30">
        <v>50</v>
      </c>
      <c r="H19" s="31">
        <v>65000</v>
      </c>
      <c r="I19" s="28">
        <v>40</v>
      </c>
      <c r="J19" s="29">
        <v>52000</v>
      </c>
      <c r="K19" s="28">
        <v>268</v>
      </c>
      <c r="L19" s="29">
        <v>348400</v>
      </c>
      <c r="M19" s="28"/>
      <c r="N19" s="29"/>
      <c r="O19" s="28"/>
      <c r="P19" s="32"/>
      <c r="Q19" s="28"/>
      <c r="R19" s="32"/>
      <c r="S19" s="28"/>
      <c r="T19" s="32"/>
      <c r="U19" s="28"/>
      <c r="V19" s="32"/>
      <c r="W19" s="32"/>
      <c r="X19" s="32"/>
      <c r="Y19" s="32"/>
      <c r="Z19" s="32"/>
      <c r="AA19" s="32"/>
      <c r="AB19" s="32"/>
      <c r="AC19" s="37">
        <f>E19+G19+I19+K19+M19+O19+Q19+S19+U19+W19+Y19+AA19</f>
        <v>628</v>
      </c>
      <c r="AD19" s="33">
        <f>F19+H19+J19+L19+N19+P19+R19+T19+V19+X19+Z19+AB19</f>
        <v>816400</v>
      </c>
    </row>
    <row r="20" spans="1:30" x14ac:dyDescent="0.35">
      <c r="A20" s="5">
        <v>131</v>
      </c>
      <c r="B20" s="10" t="str">
        <f>LEFT(D20,FIND("-",D20)-1)</f>
        <v>MTYO</v>
      </c>
      <c r="C20" s="27" t="s">
        <v>470</v>
      </c>
      <c r="D20" s="6" t="s">
        <v>224</v>
      </c>
      <c r="E20" s="34">
        <v>70</v>
      </c>
      <c r="F20" s="35">
        <v>94500</v>
      </c>
      <c r="G20" s="30"/>
      <c r="H20" s="31"/>
      <c r="I20" s="28">
        <v>10</v>
      </c>
      <c r="J20" s="29">
        <v>13500</v>
      </c>
      <c r="K20" s="28">
        <v>220</v>
      </c>
      <c r="L20" s="29">
        <v>297000</v>
      </c>
      <c r="M20" s="28"/>
      <c r="N20" s="29"/>
      <c r="O20" s="28"/>
      <c r="P20" s="32"/>
      <c r="Q20" s="28"/>
      <c r="R20" s="32"/>
      <c r="S20" s="28"/>
      <c r="T20" s="32"/>
      <c r="U20" s="28"/>
      <c r="V20" s="32"/>
      <c r="W20" s="32"/>
      <c r="X20" s="32"/>
      <c r="Y20" s="32"/>
      <c r="Z20" s="32"/>
      <c r="AA20" s="32"/>
      <c r="AB20" s="32"/>
      <c r="AC20" s="36">
        <f>E20+G20+I20+K20+M20+O20+Q20+S20+U20+W20+Y20+AA20</f>
        <v>300</v>
      </c>
      <c r="AD20" s="33">
        <f>F20+H20+J20+L20+N20+P20+R20+T20+V20+X20+Z20+AB20</f>
        <v>405000</v>
      </c>
    </row>
    <row r="21" spans="1:30" x14ac:dyDescent="0.35">
      <c r="A21" s="5">
        <v>51</v>
      </c>
      <c r="B21" s="10" t="str">
        <f>LEFT(D21,FIND("-",D21)-1)</f>
        <v>MTEI</v>
      </c>
      <c r="C21" s="27" t="s">
        <v>470</v>
      </c>
      <c r="D21" s="6" t="s">
        <v>212</v>
      </c>
      <c r="E21" s="34">
        <v>10</v>
      </c>
      <c r="F21" s="35">
        <v>14000</v>
      </c>
      <c r="G21" s="30">
        <v>186</v>
      </c>
      <c r="H21" s="31">
        <v>260400</v>
      </c>
      <c r="I21" s="28">
        <v>30</v>
      </c>
      <c r="J21" s="29">
        <v>42000</v>
      </c>
      <c r="K21" s="28">
        <v>200</v>
      </c>
      <c r="L21" s="29">
        <v>280000</v>
      </c>
      <c r="M21" s="28"/>
      <c r="N21" s="29"/>
      <c r="O21" s="28"/>
      <c r="P21" s="32"/>
      <c r="Q21" s="28"/>
      <c r="R21" s="32"/>
      <c r="S21" s="28"/>
      <c r="T21" s="32"/>
      <c r="U21" s="28"/>
      <c r="V21" s="32"/>
      <c r="W21" s="32"/>
      <c r="X21" s="32"/>
      <c r="Y21" s="32"/>
      <c r="Z21" s="32"/>
      <c r="AA21" s="32"/>
      <c r="AB21" s="32"/>
      <c r="AC21" s="36">
        <f>E21+G21+I21+K21+M21+O21+Q21+S21+U21+W21+Y21+AA21</f>
        <v>426</v>
      </c>
      <c r="AD21" s="33">
        <f>F21+H21+J21+L21+N21+P21+R21+T21+V21+X21+Z21+AB21</f>
        <v>596400</v>
      </c>
    </row>
    <row r="22" spans="1:30" x14ac:dyDescent="0.35">
      <c r="A22" s="5">
        <v>60</v>
      </c>
      <c r="B22" s="10" t="str">
        <f>LEFT(D22,FIND("-",D22)-1)</f>
        <v>MTEL</v>
      </c>
      <c r="C22" s="27" t="s">
        <v>470</v>
      </c>
      <c r="D22" s="6" t="s">
        <v>213</v>
      </c>
      <c r="E22" s="34">
        <v>10</v>
      </c>
      <c r="F22" s="35">
        <v>15000</v>
      </c>
      <c r="G22" s="30">
        <v>155</v>
      </c>
      <c r="H22" s="31">
        <v>232500</v>
      </c>
      <c r="I22" s="28">
        <v>30</v>
      </c>
      <c r="J22" s="29">
        <v>45000</v>
      </c>
      <c r="K22" s="28">
        <v>115</v>
      </c>
      <c r="L22" s="29">
        <v>172500</v>
      </c>
      <c r="M22" s="28"/>
      <c r="N22" s="29"/>
      <c r="O22" s="28"/>
      <c r="P22" s="32"/>
      <c r="Q22" s="28"/>
      <c r="R22" s="32"/>
      <c r="S22" s="28"/>
      <c r="T22" s="32"/>
      <c r="U22" s="28"/>
      <c r="V22" s="32"/>
      <c r="W22" s="32"/>
      <c r="X22" s="32"/>
      <c r="Y22" s="32"/>
      <c r="Z22" s="32"/>
      <c r="AA22" s="32"/>
      <c r="AB22" s="32"/>
      <c r="AC22" s="36">
        <f>E22+G22+I22+K22+M22+O22+Q22+S22+U22+W22+Y22+AA22</f>
        <v>310</v>
      </c>
      <c r="AD22" s="33">
        <f>F22+H22+J22+L22+N22+P22+R22+T22+V22+X22+Z22+AB22</f>
        <v>465000</v>
      </c>
    </row>
    <row r="23" spans="1:30" x14ac:dyDescent="0.35">
      <c r="A23" s="5">
        <v>98</v>
      </c>
      <c r="B23" s="10" t="str">
        <f>LEFT(D23,FIND("-",D23)-1)</f>
        <v>MTBD</v>
      </c>
      <c r="C23" s="27" t="s">
        <v>470</v>
      </c>
      <c r="D23" s="6" t="s">
        <v>210</v>
      </c>
      <c r="E23" s="34">
        <v>36</v>
      </c>
      <c r="F23" s="35">
        <v>25200</v>
      </c>
      <c r="G23" s="30"/>
      <c r="H23" s="31"/>
      <c r="I23" s="28">
        <v>67</v>
      </c>
      <c r="J23" s="29">
        <v>46900</v>
      </c>
      <c r="K23" s="28">
        <v>107</v>
      </c>
      <c r="L23" s="29">
        <v>74900</v>
      </c>
      <c r="M23" s="28"/>
      <c r="N23" s="29"/>
      <c r="O23" s="28"/>
      <c r="P23" s="32"/>
      <c r="Q23" s="28"/>
      <c r="R23" s="32"/>
      <c r="S23" s="28"/>
      <c r="T23" s="32"/>
      <c r="U23" s="28"/>
      <c r="V23" s="32"/>
      <c r="W23" s="32"/>
      <c r="X23" s="32"/>
      <c r="Y23" s="32"/>
      <c r="Z23" s="32"/>
      <c r="AA23" s="32"/>
      <c r="AB23" s="32"/>
      <c r="AC23" s="36">
        <f>E23+G23+I23+K23+M23+O23+Q23+S23+U23+W23+Y23+AA23</f>
        <v>210</v>
      </c>
      <c r="AD23" s="33">
        <f>F23+H23+J23+L23+N23+P23+R23+T23+V23+X23+Z23+AB23</f>
        <v>147000</v>
      </c>
    </row>
    <row r="24" spans="1:30" x14ac:dyDescent="0.35">
      <c r="A24" s="5">
        <v>28</v>
      </c>
      <c r="B24" s="10" t="str">
        <f>LEFT(D24,FIND("-",D24)-1)</f>
        <v>MECB001</v>
      </c>
      <c r="C24" s="27" t="s">
        <v>470</v>
      </c>
      <c r="D24" s="6" t="s">
        <v>206</v>
      </c>
      <c r="E24" s="34">
        <v>386</v>
      </c>
      <c r="F24" s="35">
        <v>501800</v>
      </c>
      <c r="G24" s="30">
        <v>10</v>
      </c>
      <c r="H24" s="31">
        <v>13000</v>
      </c>
      <c r="I24" s="28"/>
      <c r="J24" s="29"/>
      <c r="K24" s="28">
        <v>100</v>
      </c>
      <c r="L24" s="29">
        <v>130000</v>
      </c>
      <c r="M24" s="28"/>
      <c r="N24" s="29"/>
      <c r="O24" s="28"/>
      <c r="P24" s="32"/>
      <c r="Q24" s="28"/>
      <c r="R24" s="32"/>
      <c r="S24" s="28"/>
      <c r="T24" s="32"/>
      <c r="U24" s="28"/>
      <c r="V24" s="32"/>
      <c r="W24" s="32"/>
      <c r="X24" s="32"/>
      <c r="Y24" s="32"/>
      <c r="Z24" s="32"/>
      <c r="AA24" s="32"/>
      <c r="AB24" s="32"/>
      <c r="AC24" s="37">
        <f>E24+G24+I24+K24+M24+O24+Q24+S24+U24+W24+Y24+AA24</f>
        <v>496</v>
      </c>
      <c r="AD24" s="33">
        <f>F24+H24+J24+L24+N24+P24+R24+T24+V24+X24+Z24+AB24</f>
        <v>644800</v>
      </c>
    </row>
    <row r="25" spans="1:30" x14ac:dyDescent="0.35">
      <c r="A25" s="5">
        <v>120</v>
      </c>
      <c r="B25" s="10" t="str">
        <f>LEFT(D25,FIND("-",D25)-1)</f>
        <v>MTSF</v>
      </c>
      <c r="C25" s="27" t="s">
        <v>470</v>
      </c>
      <c r="D25" s="6" t="s">
        <v>217</v>
      </c>
      <c r="E25" s="34">
        <v>56</v>
      </c>
      <c r="F25" s="35">
        <v>16240</v>
      </c>
      <c r="G25" s="30"/>
      <c r="H25" s="31"/>
      <c r="I25" s="28">
        <v>31</v>
      </c>
      <c r="J25" s="29">
        <v>8990</v>
      </c>
      <c r="K25" s="28">
        <v>80</v>
      </c>
      <c r="L25" s="29">
        <v>23200</v>
      </c>
      <c r="M25" s="28"/>
      <c r="N25" s="29"/>
      <c r="O25" s="28"/>
      <c r="P25" s="32"/>
      <c r="Q25" s="28"/>
      <c r="R25" s="32"/>
      <c r="S25" s="28"/>
      <c r="T25" s="32"/>
      <c r="U25" s="28"/>
      <c r="V25" s="32"/>
      <c r="W25" s="32"/>
      <c r="X25" s="32"/>
      <c r="Y25" s="32"/>
      <c r="Z25" s="32"/>
      <c r="AA25" s="32"/>
      <c r="AB25" s="32"/>
      <c r="AC25" s="36">
        <f>E25+G25+I25+K25+M25+O25+Q25+S25+U25+W25+Y25+AA25</f>
        <v>167</v>
      </c>
      <c r="AD25" s="33">
        <f>F25+H25+J25+L25+N25+P25+R25+T25+V25+X25+Z25+AB25</f>
        <v>48430</v>
      </c>
    </row>
    <row r="26" spans="1:30" x14ac:dyDescent="0.35">
      <c r="A26" s="5">
        <v>81</v>
      </c>
      <c r="B26" s="10" t="str">
        <f>LEFT(D26,FIND("-",D26)-1)</f>
        <v>MTYP</v>
      </c>
      <c r="C26" s="27" t="s">
        <v>470</v>
      </c>
      <c r="D26" s="6" t="s">
        <v>225</v>
      </c>
      <c r="E26" s="34">
        <v>110</v>
      </c>
      <c r="F26" s="35">
        <v>159500</v>
      </c>
      <c r="G26" s="30">
        <v>20</v>
      </c>
      <c r="H26" s="31">
        <v>29000</v>
      </c>
      <c r="I26" s="28"/>
      <c r="J26" s="29"/>
      <c r="K26" s="28">
        <v>70</v>
      </c>
      <c r="L26" s="29">
        <v>101500</v>
      </c>
      <c r="M26" s="28"/>
      <c r="N26" s="29"/>
      <c r="O26" s="28"/>
      <c r="P26" s="32"/>
      <c r="Q26" s="28"/>
      <c r="R26" s="32"/>
      <c r="S26" s="28"/>
      <c r="T26" s="32"/>
      <c r="U26" s="28"/>
      <c r="V26" s="32"/>
      <c r="W26" s="32"/>
      <c r="X26" s="32"/>
      <c r="Y26" s="32"/>
      <c r="Z26" s="32"/>
      <c r="AA26" s="32"/>
      <c r="AB26" s="32"/>
      <c r="AC26" s="36">
        <f>E26+G26+I26+K26+M26+O26+Q26+S26+U26+W26+Y26+AA26</f>
        <v>200</v>
      </c>
      <c r="AD26" s="33">
        <f>F26+H26+J26+L26+N26+P26+R26+T26+V26+X26+Z26+AB26</f>
        <v>290000</v>
      </c>
    </row>
    <row r="27" spans="1:30" x14ac:dyDescent="0.35">
      <c r="A27" s="5">
        <v>123</v>
      </c>
      <c r="B27" s="10" t="str">
        <f>LEFT(D27,FIND("-",D27)-1)</f>
        <v>MTSD</v>
      </c>
      <c r="C27" s="27" t="s">
        <v>470</v>
      </c>
      <c r="D27" s="6" t="s">
        <v>109</v>
      </c>
      <c r="E27" s="34">
        <v>26</v>
      </c>
      <c r="F27" s="35">
        <v>53300</v>
      </c>
      <c r="G27" s="30">
        <v>53</v>
      </c>
      <c r="H27" s="31">
        <v>108650</v>
      </c>
      <c r="I27" s="28">
        <v>5</v>
      </c>
      <c r="J27" s="29">
        <v>10250</v>
      </c>
      <c r="K27" s="28">
        <v>64</v>
      </c>
      <c r="L27" s="29">
        <v>131200</v>
      </c>
      <c r="M27" s="28"/>
      <c r="N27" s="29"/>
      <c r="O27" s="28"/>
      <c r="P27" s="32"/>
      <c r="Q27" s="28"/>
      <c r="R27" s="32"/>
      <c r="S27" s="28"/>
      <c r="T27" s="32"/>
      <c r="U27" s="28"/>
      <c r="V27" s="32"/>
      <c r="W27" s="32"/>
      <c r="X27" s="32"/>
      <c r="Y27" s="32"/>
      <c r="Z27" s="32"/>
      <c r="AA27" s="32"/>
      <c r="AB27" s="32"/>
      <c r="AC27" s="36">
        <f>E27+G27+I27+K27+M27+O27+Q27+S27+U27+W27+Y27+AA27</f>
        <v>148</v>
      </c>
      <c r="AD27" s="33">
        <f>F27+H27+J27+L27+N27+P27+R27+T27+V27+X27+Z27+AB27</f>
        <v>303400</v>
      </c>
    </row>
    <row r="28" spans="1:30" x14ac:dyDescent="0.35">
      <c r="A28" s="5">
        <v>198</v>
      </c>
      <c r="B28" s="10" t="str">
        <f>LEFT(D28,FIND("-",D28)-1)</f>
        <v>MWGP</v>
      </c>
      <c r="C28" s="27" t="s">
        <v>470</v>
      </c>
      <c r="D28" s="6" t="s">
        <v>74</v>
      </c>
      <c r="E28" s="34">
        <v>3</v>
      </c>
      <c r="F28" s="35">
        <v>8250</v>
      </c>
      <c r="G28" s="30">
        <v>12</v>
      </c>
      <c r="H28" s="31">
        <v>33000</v>
      </c>
      <c r="I28" s="28">
        <v>15</v>
      </c>
      <c r="J28" s="29">
        <v>41250</v>
      </c>
      <c r="K28" s="28">
        <v>38</v>
      </c>
      <c r="L28" s="29">
        <v>104500</v>
      </c>
      <c r="M28" s="28"/>
      <c r="N28" s="29"/>
      <c r="O28" s="28"/>
      <c r="P28" s="32"/>
      <c r="Q28" s="28"/>
      <c r="R28" s="32"/>
      <c r="S28" s="28"/>
      <c r="T28" s="32"/>
      <c r="U28" s="28"/>
      <c r="V28" s="32"/>
      <c r="W28" s="32"/>
      <c r="X28" s="32"/>
      <c r="Y28" s="32"/>
      <c r="Z28" s="32"/>
      <c r="AA28" s="32"/>
      <c r="AB28" s="32"/>
      <c r="AC28" s="37">
        <f>E28+G28+I28+K28+M28+O28+Q28+S28+U28+W28+Y28+AA28</f>
        <v>68</v>
      </c>
      <c r="AD28" s="33">
        <f>F28+H28+J28+L28+N28+P28+R28+T28+V28+X28+Z28+AB28</f>
        <v>187000</v>
      </c>
    </row>
    <row r="29" spans="1:30" x14ac:dyDescent="0.35">
      <c r="A29" s="5">
        <v>459</v>
      </c>
      <c r="B29" s="10" t="str">
        <f>LEFT(D29,FIND("-",D29)-1)</f>
        <v>MTKW</v>
      </c>
      <c r="C29" s="27" t="s">
        <v>476</v>
      </c>
      <c r="D29" s="6" t="s">
        <v>498</v>
      </c>
      <c r="E29" s="34"/>
      <c r="F29" s="35"/>
      <c r="G29" s="30"/>
      <c r="H29" s="31"/>
      <c r="I29" s="28"/>
      <c r="J29" s="29"/>
      <c r="K29" s="28">
        <v>35</v>
      </c>
      <c r="L29" s="29">
        <v>31500</v>
      </c>
      <c r="M29" s="28"/>
      <c r="N29" s="29"/>
      <c r="O29" s="28"/>
      <c r="P29" s="32"/>
      <c r="Q29" s="28"/>
      <c r="R29" s="32"/>
      <c r="S29" s="28"/>
      <c r="T29" s="32"/>
      <c r="U29" s="28"/>
      <c r="V29" s="32"/>
      <c r="W29" s="32"/>
      <c r="X29" s="32"/>
      <c r="Y29" s="32"/>
      <c r="Z29" s="32"/>
      <c r="AA29" s="32"/>
      <c r="AB29" s="32"/>
      <c r="AC29" s="37">
        <f>E29+G29+I29+K29+M29+O29+Q29+S29+U29+W29+Y29+AA29</f>
        <v>35</v>
      </c>
      <c r="AD29" s="33">
        <f>F29+H29+J29+L29+N29+P29+R29+T29+V29+X29+Z29+AB29</f>
        <v>31500</v>
      </c>
    </row>
    <row r="30" spans="1:30" x14ac:dyDescent="0.35">
      <c r="A30" s="5">
        <v>458</v>
      </c>
      <c r="B30" s="10" t="str">
        <f>LEFT(D30,FIND("-",D30)-1)</f>
        <v>MTKV</v>
      </c>
      <c r="C30" s="27" t="s">
        <v>476</v>
      </c>
      <c r="D30" s="6" t="s">
        <v>497</v>
      </c>
      <c r="E30" s="34"/>
      <c r="F30" s="35"/>
      <c r="G30" s="30"/>
      <c r="H30" s="31"/>
      <c r="I30" s="28"/>
      <c r="J30" s="29"/>
      <c r="K30" s="28">
        <v>23</v>
      </c>
      <c r="L30" s="29">
        <v>24150</v>
      </c>
      <c r="M30" s="28"/>
      <c r="N30" s="29"/>
      <c r="O30" s="28"/>
      <c r="P30" s="32"/>
      <c r="Q30" s="28"/>
      <c r="R30" s="32"/>
      <c r="S30" s="28"/>
      <c r="T30" s="32"/>
      <c r="U30" s="28"/>
      <c r="V30" s="32"/>
      <c r="W30" s="32"/>
      <c r="X30" s="32"/>
      <c r="Y30" s="32"/>
      <c r="Z30" s="32"/>
      <c r="AA30" s="32"/>
      <c r="AB30" s="32"/>
      <c r="AC30" s="37">
        <f>E30+G30+I30+K30+M30+O30+Q30+S30+U30+W30+Y30+AA30</f>
        <v>23</v>
      </c>
      <c r="AD30" s="33">
        <f>F30+H30+J30+L30+N30+P30+R30+T30+V30+X30+Z30+AB30</f>
        <v>24150</v>
      </c>
    </row>
    <row r="31" spans="1:30" x14ac:dyDescent="0.35">
      <c r="A31" s="5">
        <v>130</v>
      </c>
      <c r="B31" s="10" t="str">
        <f>LEFT(D31,FIND("-",D31)-1)</f>
        <v>MELW</v>
      </c>
      <c r="C31" s="27" t="s">
        <v>470</v>
      </c>
      <c r="D31" s="6" t="s">
        <v>208</v>
      </c>
      <c r="E31" s="34">
        <v>80</v>
      </c>
      <c r="F31" s="35">
        <v>120000</v>
      </c>
      <c r="G31" s="30"/>
      <c r="H31" s="31"/>
      <c r="I31" s="28"/>
      <c r="J31" s="29"/>
      <c r="K31" s="28">
        <v>20</v>
      </c>
      <c r="L31" s="29">
        <v>30000</v>
      </c>
      <c r="M31" s="28"/>
      <c r="N31" s="29"/>
      <c r="O31" s="28"/>
      <c r="P31" s="32"/>
      <c r="Q31" s="28"/>
      <c r="R31" s="32"/>
      <c r="S31" s="28"/>
      <c r="T31" s="32"/>
      <c r="U31" s="28"/>
      <c r="V31" s="32"/>
      <c r="W31" s="32"/>
      <c r="X31" s="32"/>
      <c r="Y31" s="32"/>
      <c r="Z31" s="32"/>
      <c r="AA31" s="32"/>
      <c r="AB31" s="32"/>
      <c r="AC31" s="37">
        <f>E31+G31+I31+K31+M31+O31+Q31+S31+U31+W31+Y31+AA31</f>
        <v>100</v>
      </c>
      <c r="AD31" s="33">
        <f>F31+H31+J31+L31+N31+P31+R31+T31+V31+X31+Z31+AB31</f>
        <v>150000</v>
      </c>
    </row>
    <row r="32" spans="1:30" x14ac:dyDescent="0.35">
      <c r="A32" s="5">
        <v>27</v>
      </c>
      <c r="B32" s="10" t="str">
        <f>LEFT(D32,FIND("-",D32)-1)</f>
        <v>MTNC</v>
      </c>
      <c r="C32" s="27" t="s">
        <v>470</v>
      </c>
      <c r="D32" s="6" t="s">
        <v>71</v>
      </c>
      <c r="E32" s="34">
        <v>261</v>
      </c>
      <c r="F32" s="35">
        <v>261000</v>
      </c>
      <c r="G32" s="30">
        <v>140</v>
      </c>
      <c r="H32" s="31">
        <v>140000</v>
      </c>
      <c r="I32" s="28"/>
      <c r="J32" s="29"/>
      <c r="K32" s="28">
        <v>18</v>
      </c>
      <c r="L32" s="29">
        <v>18000</v>
      </c>
      <c r="M32" s="28"/>
      <c r="N32" s="29"/>
      <c r="O32" s="28"/>
      <c r="P32" s="32"/>
      <c r="Q32" s="28"/>
      <c r="R32" s="32"/>
      <c r="S32" s="28"/>
      <c r="T32" s="32"/>
      <c r="U32" s="28"/>
      <c r="V32" s="32"/>
      <c r="W32" s="32"/>
      <c r="X32" s="32"/>
      <c r="Y32" s="32"/>
      <c r="Z32" s="32"/>
      <c r="AA32" s="32"/>
      <c r="AB32" s="32"/>
      <c r="AC32" s="36">
        <f>E32+G32+I32+K32+M32+O32+Q32+S32+U32+W32+Y32+AA32</f>
        <v>419</v>
      </c>
      <c r="AD32" s="33">
        <f>F32+H32+J32+L32+N32+P32+R32+T32+V32+X32+Z32+AB32</f>
        <v>419000</v>
      </c>
    </row>
    <row r="33" spans="1:30" x14ac:dyDescent="0.35">
      <c r="A33" s="5">
        <v>238</v>
      </c>
      <c r="B33" s="10" t="str">
        <f>LEFT(D33,FIND("-",D33)-1)</f>
        <v>MTPL</v>
      </c>
      <c r="C33" s="27" t="s">
        <v>470</v>
      </c>
      <c r="D33" s="6" t="s">
        <v>123</v>
      </c>
      <c r="E33" s="34">
        <v>20</v>
      </c>
      <c r="F33" s="35">
        <v>42000</v>
      </c>
      <c r="G33" s="30"/>
      <c r="H33" s="31"/>
      <c r="I33" s="28"/>
      <c r="J33" s="29"/>
      <c r="K33" s="28">
        <v>15</v>
      </c>
      <c r="L33" s="29">
        <v>31500</v>
      </c>
      <c r="M33" s="28"/>
      <c r="N33" s="29"/>
      <c r="O33" s="28"/>
      <c r="P33" s="32"/>
      <c r="Q33" s="28"/>
      <c r="R33" s="32"/>
      <c r="S33" s="28"/>
      <c r="T33" s="32"/>
      <c r="U33" s="28"/>
      <c r="V33" s="32"/>
      <c r="W33" s="32"/>
      <c r="X33" s="32"/>
      <c r="Y33" s="32"/>
      <c r="Z33" s="32"/>
      <c r="AA33" s="32"/>
      <c r="AB33" s="32"/>
      <c r="AC33" s="36">
        <f>E33+G33+I33+K33+M33+O33+Q33+S33+U33+W33+Y33+AA33</f>
        <v>35</v>
      </c>
      <c r="AD33" s="33">
        <f>F33+H33+J33+L33+N33+P33+R33+T33+V33+X33+Z33+AB33</f>
        <v>73500</v>
      </c>
    </row>
    <row r="34" spans="1:30" x14ac:dyDescent="0.35">
      <c r="A34" s="5">
        <v>414</v>
      </c>
      <c r="B34" s="10" t="str">
        <f>LEFT(D34,FIND("-",D34)-1)</f>
        <v>MTQF</v>
      </c>
      <c r="C34" s="27" t="s">
        <v>470</v>
      </c>
      <c r="D34" s="6" t="s">
        <v>216</v>
      </c>
      <c r="E34" s="34">
        <v>2</v>
      </c>
      <c r="F34" s="35">
        <v>8500</v>
      </c>
      <c r="G34" s="30"/>
      <c r="H34" s="31"/>
      <c r="I34" s="28"/>
      <c r="J34" s="29"/>
      <c r="K34" s="28">
        <v>10</v>
      </c>
      <c r="L34" s="29">
        <v>42500</v>
      </c>
      <c r="M34" s="28"/>
      <c r="N34" s="29"/>
      <c r="O34" s="28"/>
      <c r="P34" s="32"/>
      <c r="Q34" s="28"/>
      <c r="R34" s="32"/>
      <c r="S34" s="28"/>
      <c r="T34" s="32"/>
      <c r="U34" s="28"/>
      <c r="V34" s="32"/>
      <c r="W34" s="32"/>
      <c r="X34" s="32"/>
      <c r="Y34" s="32"/>
      <c r="Z34" s="32"/>
      <c r="AA34" s="32"/>
      <c r="AB34" s="32"/>
      <c r="AC34" s="37">
        <f>E34+G34+I34+K34+M34+O34+Q34+S34+U34+W34+Y34+AA34</f>
        <v>12</v>
      </c>
      <c r="AD34" s="33">
        <f>F34+H34+J34+L34+N34+P34+R34+T34+V34+X34+Z34+AB34</f>
        <v>51000</v>
      </c>
    </row>
    <row r="35" spans="1:30" x14ac:dyDescent="0.35">
      <c r="A35" s="5">
        <v>302</v>
      </c>
      <c r="B35" s="10" t="str">
        <f>LEFT(D35,FIND("-",D35)-1)</f>
        <v>MWFA</v>
      </c>
      <c r="C35" s="27" t="s">
        <v>470</v>
      </c>
      <c r="D35" s="6" t="s">
        <v>364</v>
      </c>
      <c r="E35" s="34"/>
      <c r="F35" s="35"/>
      <c r="G35" s="30">
        <v>2</v>
      </c>
      <c r="H35" s="31">
        <v>5500</v>
      </c>
      <c r="I35" s="28">
        <v>8</v>
      </c>
      <c r="J35" s="29">
        <v>22000</v>
      </c>
      <c r="K35" s="28">
        <v>3</v>
      </c>
      <c r="L35" s="29">
        <v>8250</v>
      </c>
      <c r="M35" s="28"/>
      <c r="N35" s="29"/>
      <c r="O35" s="28"/>
      <c r="P35" s="32"/>
      <c r="Q35" s="28"/>
      <c r="R35" s="32"/>
      <c r="S35" s="28"/>
      <c r="T35" s="32"/>
      <c r="U35" s="28"/>
      <c r="V35" s="32"/>
      <c r="W35" s="32"/>
      <c r="X35" s="32"/>
      <c r="Y35" s="32"/>
      <c r="Z35" s="32"/>
      <c r="AA35" s="32"/>
      <c r="AB35" s="32"/>
      <c r="AC35" s="37">
        <f>E35+G35+I35+K35+M35+O35+Q35+S35+U35+W35+Y35+AA35</f>
        <v>13</v>
      </c>
      <c r="AD35" s="33">
        <f>F35+H35+J35+L35+N35+P35+R35+T35+V35+X35+Z35+AB35</f>
        <v>35750</v>
      </c>
    </row>
    <row r="36" spans="1:30" x14ac:dyDescent="0.35">
      <c r="A36" s="5">
        <v>415</v>
      </c>
      <c r="B36" s="10" t="str">
        <f>LEFT(D36,FIND("-",D36)-1)</f>
        <v>MWAF</v>
      </c>
      <c r="C36" s="27" t="s">
        <v>470</v>
      </c>
      <c r="D36" s="6" t="s">
        <v>359</v>
      </c>
      <c r="E36" s="34"/>
      <c r="F36" s="35"/>
      <c r="G36" s="30">
        <v>2</v>
      </c>
      <c r="H36" s="31">
        <v>11000</v>
      </c>
      <c r="I36" s="28"/>
      <c r="J36" s="29"/>
      <c r="K36" s="28">
        <v>3</v>
      </c>
      <c r="L36" s="29">
        <v>16500</v>
      </c>
      <c r="M36" s="28"/>
      <c r="N36" s="29"/>
      <c r="O36" s="28"/>
      <c r="P36" s="32"/>
      <c r="Q36" s="28"/>
      <c r="R36" s="32"/>
      <c r="S36" s="28"/>
      <c r="T36" s="32"/>
      <c r="U36" s="28"/>
      <c r="V36" s="32"/>
      <c r="W36" s="32"/>
      <c r="X36" s="32"/>
      <c r="Y36" s="32"/>
      <c r="Z36" s="32"/>
      <c r="AA36" s="32"/>
      <c r="AB36" s="32"/>
      <c r="AC36" s="36">
        <f>E36+G36+I36+K36+M36+O36+Q36+S36+U36+W36+Y36+AA36</f>
        <v>5</v>
      </c>
      <c r="AD36" s="33">
        <f>F36+H36+J36+L36+N36+P36+R36+T36+V36+X36+Z36+AB36</f>
        <v>27500</v>
      </c>
    </row>
    <row r="37" spans="1:30" x14ac:dyDescent="0.35">
      <c r="A37" s="5">
        <v>61</v>
      </c>
      <c r="B37" s="10" t="str">
        <f>LEFT(D37,FIND("-",D37)-1)</f>
        <v>MTSX</v>
      </c>
      <c r="C37" s="27" t="s">
        <v>470</v>
      </c>
      <c r="D37" s="6" t="s">
        <v>219</v>
      </c>
      <c r="E37" s="34">
        <v>42</v>
      </c>
      <c r="F37" s="35">
        <v>71400</v>
      </c>
      <c r="G37" s="30">
        <v>120</v>
      </c>
      <c r="H37" s="31">
        <v>204000</v>
      </c>
      <c r="I37" s="28">
        <v>33</v>
      </c>
      <c r="J37" s="29">
        <v>56100</v>
      </c>
      <c r="K37" s="28">
        <v>2</v>
      </c>
      <c r="L37" s="29">
        <v>3400</v>
      </c>
      <c r="M37" s="28"/>
      <c r="N37" s="29"/>
      <c r="O37" s="28"/>
      <c r="P37" s="32"/>
      <c r="Q37" s="28"/>
      <c r="R37" s="32"/>
      <c r="S37" s="28"/>
      <c r="T37" s="32"/>
      <c r="U37" s="28"/>
      <c r="V37" s="32"/>
      <c r="W37" s="32"/>
      <c r="X37" s="32"/>
      <c r="Y37" s="32"/>
      <c r="Z37" s="32"/>
      <c r="AA37" s="32"/>
      <c r="AB37" s="32"/>
      <c r="AC37" s="36">
        <f>E37+G37+I37+K37+M37+O37+Q37+S37+U37+W37+Y37+AA37</f>
        <v>197</v>
      </c>
      <c r="AD37" s="33">
        <f>F37+H37+J37+L37+N37+P37+R37+T37+V37+X37+Z37+AB37</f>
        <v>334900</v>
      </c>
    </row>
    <row r="38" spans="1:30" x14ac:dyDescent="0.35">
      <c r="A38" s="5">
        <v>132</v>
      </c>
      <c r="B38" s="10" t="str">
        <f>LEFT(D38,FIND("-",D38)-1)</f>
        <v>MTEA</v>
      </c>
      <c r="C38" s="27" t="s">
        <v>470</v>
      </c>
      <c r="D38" s="6" t="s">
        <v>49</v>
      </c>
      <c r="E38" s="34">
        <v>9</v>
      </c>
      <c r="F38" s="35">
        <v>22500</v>
      </c>
      <c r="G38" s="30">
        <v>55</v>
      </c>
      <c r="H38" s="31">
        <v>137500</v>
      </c>
      <c r="I38" s="28">
        <v>12</v>
      </c>
      <c r="J38" s="29">
        <v>30000</v>
      </c>
      <c r="K38" s="28">
        <v>1</v>
      </c>
      <c r="L38" s="29">
        <v>2500</v>
      </c>
      <c r="M38" s="28"/>
      <c r="N38" s="29"/>
      <c r="O38" s="28"/>
      <c r="P38" s="32"/>
      <c r="Q38" s="28"/>
      <c r="R38" s="32"/>
      <c r="S38" s="28"/>
      <c r="T38" s="32"/>
      <c r="U38" s="28"/>
      <c r="V38" s="32"/>
      <c r="W38" s="32"/>
      <c r="X38" s="32"/>
      <c r="Y38" s="32"/>
      <c r="Z38" s="32"/>
      <c r="AA38" s="32"/>
      <c r="AB38" s="32"/>
      <c r="AC38" s="36">
        <f>E38+G38+I38+K38+M38+O38+Q38+S38+U38+W38+Y38+AA38</f>
        <v>77</v>
      </c>
      <c r="AD38" s="33">
        <f>F38+H38+J38+L38+N38+P38+R38+T38+V38+X38+Z38+AB38</f>
        <v>192500</v>
      </c>
    </row>
    <row r="39" spans="1:30" x14ac:dyDescent="0.35">
      <c r="A39" s="5">
        <v>417</v>
      </c>
      <c r="B39" s="10" t="str">
        <f>LEFT(D39,FIND("-",D39)-1)</f>
        <v>MWAJ</v>
      </c>
      <c r="C39" s="27" t="s">
        <v>470</v>
      </c>
      <c r="D39" s="6" t="s">
        <v>361</v>
      </c>
      <c r="E39" s="34"/>
      <c r="F39" s="35"/>
      <c r="G39" s="30">
        <v>2</v>
      </c>
      <c r="H39" s="31">
        <v>13200</v>
      </c>
      <c r="I39" s="28"/>
      <c r="J39" s="29"/>
      <c r="K39" s="28">
        <v>1</v>
      </c>
      <c r="L39" s="29">
        <v>6600</v>
      </c>
      <c r="M39" s="28"/>
      <c r="N39" s="29"/>
      <c r="O39" s="28"/>
      <c r="P39" s="32"/>
      <c r="Q39" s="28"/>
      <c r="R39" s="32"/>
      <c r="S39" s="28"/>
      <c r="T39" s="32"/>
      <c r="U39" s="28"/>
      <c r="V39" s="32"/>
      <c r="W39" s="32"/>
      <c r="X39" s="32"/>
      <c r="Y39" s="32"/>
      <c r="Z39" s="32"/>
      <c r="AA39" s="32"/>
      <c r="AB39" s="32"/>
      <c r="AC39" s="36">
        <f>E39+G39+I39+K39+M39+O39+Q39+S39+U39+W39+Y39+AA39</f>
        <v>3</v>
      </c>
      <c r="AD39" s="33">
        <f>F39+H39+J39+L39+N39+P39+R39+T39+V39+X39+Z39+AB39</f>
        <v>19800</v>
      </c>
    </row>
    <row r="40" spans="1:30" x14ac:dyDescent="0.35">
      <c r="A40" s="5">
        <v>154</v>
      </c>
      <c r="B40" s="10" t="str">
        <f>LEFT(D40,FIND("-",D40)-1)</f>
        <v>MTOL</v>
      </c>
      <c r="C40" s="27" t="s">
        <v>470</v>
      </c>
      <c r="D40" s="6" t="s">
        <v>354</v>
      </c>
      <c r="E40" s="34"/>
      <c r="F40" s="35"/>
      <c r="G40" s="30">
        <v>48</v>
      </c>
      <c r="H40" s="31">
        <v>55200</v>
      </c>
      <c r="I40" s="28">
        <v>10</v>
      </c>
      <c r="J40" s="29">
        <v>11500</v>
      </c>
      <c r="K40" s="28"/>
      <c r="L40" s="29"/>
      <c r="M40" s="28"/>
      <c r="N40" s="29"/>
      <c r="O40" s="28"/>
      <c r="P40" s="32"/>
      <c r="Q40" s="28"/>
      <c r="R40" s="32"/>
      <c r="S40" s="28"/>
      <c r="T40" s="32"/>
      <c r="U40" s="28"/>
      <c r="V40" s="32"/>
      <c r="W40" s="32"/>
      <c r="X40" s="32"/>
      <c r="Y40" s="32"/>
      <c r="Z40" s="32"/>
      <c r="AA40" s="32"/>
      <c r="AB40" s="32"/>
      <c r="AC40" s="36">
        <f>E40+G40+I40+K40+M40+O40+Q40+S40+U40+W40+Y40+AA40</f>
        <v>58</v>
      </c>
      <c r="AD40" s="33">
        <f>F40+H40+J40+L40+N40+P40+R40+T40+V40+X40+Z40+AB40</f>
        <v>66700</v>
      </c>
    </row>
    <row r="41" spans="1:30" x14ac:dyDescent="0.35">
      <c r="A41" s="5">
        <v>283</v>
      </c>
      <c r="B41" s="10" t="str">
        <f>LEFT(D41,FIND("-",D41)-1)</f>
        <v>MWKI</v>
      </c>
      <c r="C41" s="27" t="s">
        <v>470</v>
      </c>
      <c r="D41" s="6" t="s">
        <v>365</v>
      </c>
      <c r="E41" s="34"/>
      <c r="F41" s="35"/>
      <c r="G41" s="30">
        <v>4</v>
      </c>
      <c r="H41" s="31">
        <v>15400</v>
      </c>
      <c r="I41" s="28">
        <v>8</v>
      </c>
      <c r="J41" s="29">
        <v>30800</v>
      </c>
      <c r="K41" s="28"/>
      <c r="L41" s="29"/>
      <c r="M41" s="28"/>
      <c r="N41" s="29"/>
      <c r="O41" s="28"/>
      <c r="P41" s="32"/>
      <c r="Q41" s="28"/>
      <c r="R41" s="32"/>
      <c r="S41" s="28"/>
      <c r="T41" s="32"/>
      <c r="U41" s="28"/>
      <c r="V41" s="32"/>
      <c r="W41" s="32"/>
      <c r="X41" s="32"/>
      <c r="Y41" s="32"/>
      <c r="Z41" s="32"/>
      <c r="AA41" s="32"/>
      <c r="AB41" s="32"/>
      <c r="AC41" s="37">
        <f>E41+G41+I41+K41+M41+O41+Q41+S41+U41+W41+Y41+AA41</f>
        <v>12</v>
      </c>
      <c r="AD41" s="33">
        <f>F41+H41+J41+L41+N41+P41+R41+T41+V41+X41+Z41+AB41</f>
        <v>46200</v>
      </c>
    </row>
    <row r="42" spans="1:30" x14ac:dyDescent="0.35">
      <c r="A42" s="5">
        <v>282</v>
      </c>
      <c r="B42" s="10" t="str">
        <f>LEFT(D42,FIND("-",D42)-1)</f>
        <v>MWGA</v>
      </c>
      <c r="C42" s="27" t="s">
        <v>470</v>
      </c>
      <c r="D42" s="6" t="s">
        <v>228</v>
      </c>
      <c r="E42" s="34">
        <v>2</v>
      </c>
      <c r="F42" s="35">
        <v>5500</v>
      </c>
      <c r="G42" s="30">
        <v>4</v>
      </c>
      <c r="H42" s="31">
        <v>11000</v>
      </c>
      <c r="I42" s="28">
        <v>6</v>
      </c>
      <c r="J42" s="29">
        <v>16500</v>
      </c>
      <c r="K42" s="28"/>
      <c r="L42" s="29"/>
      <c r="M42" s="28"/>
      <c r="N42" s="29"/>
      <c r="O42" s="28"/>
      <c r="P42" s="32"/>
      <c r="Q42" s="28"/>
      <c r="R42" s="32"/>
      <c r="S42" s="28"/>
      <c r="T42" s="32"/>
      <c r="U42" s="28"/>
      <c r="V42" s="32"/>
      <c r="W42" s="32"/>
      <c r="X42" s="32"/>
      <c r="Y42" s="32"/>
      <c r="Z42" s="32"/>
      <c r="AA42" s="32"/>
      <c r="AB42" s="32"/>
      <c r="AC42" s="36">
        <f>E42+G42+I42+K42+M42+O42+Q42+S42+U42+W42+Y42+AA42</f>
        <v>12</v>
      </c>
      <c r="AD42" s="33">
        <f>F42+H42+J42+L42+N42+P42+R42+T42+V42+X42+Z42+AB42</f>
        <v>33000</v>
      </c>
    </row>
    <row r="43" spans="1:30" x14ac:dyDescent="0.35">
      <c r="A43" s="5">
        <v>299</v>
      </c>
      <c r="B43" s="10" t="str">
        <f>LEFT(D43,FIND("-",D43)-1)</f>
        <v>MERM</v>
      </c>
      <c r="C43" s="27" t="s">
        <v>470</v>
      </c>
      <c r="D43" s="6" t="s">
        <v>348</v>
      </c>
      <c r="E43" s="34"/>
      <c r="F43" s="35"/>
      <c r="G43" s="30">
        <v>6</v>
      </c>
      <c r="H43" s="31">
        <v>15000</v>
      </c>
      <c r="I43" s="28">
        <v>4</v>
      </c>
      <c r="J43" s="29">
        <v>10000</v>
      </c>
      <c r="K43" s="28"/>
      <c r="L43" s="29"/>
      <c r="M43" s="28"/>
      <c r="N43" s="29"/>
      <c r="O43" s="28"/>
      <c r="P43" s="32"/>
      <c r="Q43" s="28"/>
      <c r="R43" s="32"/>
      <c r="S43" s="28"/>
      <c r="T43" s="32"/>
      <c r="U43" s="28"/>
      <c r="V43" s="32"/>
      <c r="W43" s="32"/>
      <c r="X43" s="32"/>
      <c r="Y43" s="32"/>
      <c r="Z43" s="32"/>
      <c r="AA43" s="32"/>
      <c r="AB43" s="32"/>
      <c r="AC43" s="36">
        <f>E43+G43+I43+K43+M43+O43+Q43+S43+U43+W43+Y43+AA43</f>
        <v>10</v>
      </c>
      <c r="AD43" s="33">
        <f>F43+H43+J43+L43+N43+P43+R43+T43+V43+X43+Z43+AB43</f>
        <v>25000</v>
      </c>
    </row>
    <row r="44" spans="1:30" x14ac:dyDescent="0.35">
      <c r="A44" s="5">
        <v>171</v>
      </c>
      <c r="B44" s="10" t="str">
        <f>LEFT(D44,FIND("-",D44)-1)</f>
        <v>MTNA</v>
      </c>
      <c r="C44" s="27" t="s">
        <v>470</v>
      </c>
      <c r="D44" s="6" t="s">
        <v>70</v>
      </c>
      <c r="E44" s="34">
        <v>26</v>
      </c>
      <c r="F44" s="35">
        <v>26000</v>
      </c>
      <c r="G44" s="30">
        <v>13</v>
      </c>
      <c r="H44" s="31">
        <v>13000</v>
      </c>
      <c r="I44" s="28"/>
      <c r="J44" s="29"/>
      <c r="K44" s="28"/>
      <c r="L44" s="29"/>
      <c r="M44" s="28"/>
      <c r="N44" s="29"/>
      <c r="O44" s="28"/>
      <c r="P44" s="32"/>
      <c r="Q44" s="28"/>
      <c r="R44" s="32"/>
      <c r="S44" s="28"/>
      <c r="T44" s="32"/>
      <c r="U44" s="28"/>
      <c r="V44" s="32"/>
      <c r="W44" s="32"/>
      <c r="X44" s="32"/>
      <c r="Y44" s="32"/>
      <c r="Z44" s="32"/>
      <c r="AA44" s="32"/>
      <c r="AB44" s="32"/>
      <c r="AC44" s="36">
        <f>E44+G44+I44+K44+M44+O44+Q44+S44+U44+W44+Y44+AA44</f>
        <v>39</v>
      </c>
      <c r="AD44" s="33">
        <f>F44+H44+J44+L44+N44+P44+R44+T44+V44+X44+Z44+AB44</f>
        <v>39000</v>
      </c>
    </row>
    <row r="45" spans="1:30" x14ac:dyDescent="0.35">
      <c r="A45" s="5">
        <v>264</v>
      </c>
      <c r="B45" s="10" t="str">
        <f>LEFT(D45,FIND("-",D45)-1)</f>
        <v>MTBL</v>
      </c>
      <c r="C45" s="27" t="s">
        <v>470</v>
      </c>
      <c r="D45" s="6" t="s">
        <v>122</v>
      </c>
      <c r="E45" s="34">
        <v>12</v>
      </c>
      <c r="F45" s="35">
        <v>16200</v>
      </c>
      <c r="G45" s="30">
        <v>3</v>
      </c>
      <c r="H45" s="31">
        <v>4050</v>
      </c>
      <c r="I45" s="28"/>
      <c r="J45" s="29"/>
      <c r="K45" s="28"/>
      <c r="L45" s="29"/>
      <c r="M45" s="28"/>
      <c r="N45" s="29"/>
      <c r="O45" s="28"/>
      <c r="P45" s="32"/>
      <c r="Q45" s="28"/>
      <c r="R45" s="32"/>
      <c r="S45" s="28"/>
      <c r="T45" s="32"/>
      <c r="U45" s="28"/>
      <c r="V45" s="32"/>
      <c r="W45" s="32"/>
      <c r="X45" s="32"/>
      <c r="Y45" s="32"/>
      <c r="Z45" s="32"/>
      <c r="AA45" s="32"/>
      <c r="AB45" s="32"/>
      <c r="AC45" s="36">
        <f>E45+G45+I45+K45+M45+O45+Q45+S45+U45+W45+Y45+AA45</f>
        <v>15</v>
      </c>
      <c r="AD45" s="33">
        <f>F45+H45+J45+L45+N45+P45+R45+T45+V45+X45+Z45+AB45</f>
        <v>20250</v>
      </c>
    </row>
    <row r="46" spans="1:30" x14ac:dyDescent="0.35">
      <c r="A46" s="5">
        <v>265</v>
      </c>
      <c r="B46" s="10" t="str">
        <f>LEFT(D46,FIND("-",D46)-1)</f>
        <v>MTKT</v>
      </c>
      <c r="C46" s="27" t="s">
        <v>470</v>
      </c>
      <c r="D46" s="6" t="s">
        <v>351</v>
      </c>
      <c r="E46" s="34"/>
      <c r="F46" s="35"/>
      <c r="G46" s="30">
        <v>15</v>
      </c>
      <c r="H46" s="31">
        <v>16500</v>
      </c>
      <c r="I46" s="28"/>
      <c r="J46" s="29"/>
      <c r="K46" s="28"/>
      <c r="L46" s="29"/>
      <c r="M46" s="28"/>
      <c r="N46" s="29"/>
      <c r="O46" s="28"/>
      <c r="P46" s="32"/>
      <c r="Q46" s="28"/>
      <c r="R46" s="32"/>
      <c r="S46" s="28"/>
      <c r="T46" s="32"/>
      <c r="U46" s="28"/>
      <c r="V46" s="32"/>
      <c r="W46" s="32"/>
      <c r="X46" s="32"/>
      <c r="Y46" s="32"/>
      <c r="Z46" s="32"/>
      <c r="AA46" s="32"/>
      <c r="AB46" s="32"/>
      <c r="AC46" s="36">
        <f>E46+G46+I46+K46+M46+O46+Q46+S46+U46+W46+Y46+AA46</f>
        <v>15</v>
      </c>
      <c r="AD46" s="33">
        <f>F46+H46+J46+L46+N46+P46+R46+T46+V46+X46+Z46+AB46</f>
        <v>16500</v>
      </c>
    </row>
    <row r="47" spans="1:30" x14ac:dyDescent="0.35">
      <c r="A47" s="5">
        <v>266</v>
      </c>
      <c r="B47" s="10" t="str">
        <f>LEFT(D47,FIND("-",D47)-1)</f>
        <v>MTSY</v>
      </c>
      <c r="C47" s="27" t="s">
        <v>470</v>
      </c>
      <c r="D47" s="6" t="s">
        <v>220</v>
      </c>
      <c r="E47" s="34">
        <v>2</v>
      </c>
      <c r="F47" s="35">
        <v>3900</v>
      </c>
      <c r="G47" s="30">
        <v>12</v>
      </c>
      <c r="H47" s="31">
        <v>23400</v>
      </c>
      <c r="I47" s="28"/>
      <c r="J47" s="29"/>
      <c r="K47" s="28"/>
      <c r="L47" s="29"/>
      <c r="M47" s="28"/>
      <c r="N47" s="29"/>
      <c r="O47" s="28"/>
      <c r="P47" s="32"/>
      <c r="Q47" s="28"/>
      <c r="R47" s="32"/>
      <c r="S47" s="28"/>
      <c r="T47" s="32"/>
      <c r="U47" s="28"/>
      <c r="V47" s="32"/>
      <c r="W47" s="32"/>
      <c r="X47" s="32"/>
      <c r="Y47" s="32"/>
      <c r="Z47" s="32"/>
      <c r="AA47" s="32"/>
      <c r="AB47" s="32"/>
      <c r="AC47" s="36">
        <f>E47+G47+I47+K47+M47+O47+Q47+S47+U47+W47+Y47+AA47</f>
        <v>14</v>
      </c>
      <c r="AD47" s="33">
        <f>F47+H47+J47+L47+N47+P47+R47+T47+V47+X47+Z47+AB47</f>
        <v>27300</v>
      </c>
    </row>
    <row r="48" spans="1:30" x14ac:dyDescent="0.35">
      <c r="A48" s="5">
        <v>279</v>
      </c>
      <c r="B48" s="10" t="str">
        <f>LEFT(D48,FIND("-",D48)-1)</f>
        <v>MTVT001</v>
      </c>
      <c r="C48" s="27" t="s">
        <v>470</v>
      </c>
      <c r="D48" s="6" t="s">
        <v>356</v>
      </c>
      <c r="E48" s="34"/>
      <c r="F48" s="35"/>
      <c r="G48" s="30">
        <v>12</v>
      </c>
      <c r="H48" s="31">
        <v>15600</v>
      </c>
      <c r="I48" s="28"/>
      <c r="J48" s="29"/>
      <c r="K48" s="28"/>
      <c r="L48" s="29"/>
      <c r="M48" s="28"/>
      <c r="N48" s="29"/>
      <c r="O48" s="28"/>
      <c r="P48" s="32"/>
      <c r="Q48" s="28"/>
      <c r="R48" s="32"/>
      <c r="S48" s="28"/>
      <c r="T48" s="32"/>
      <c r="U48" s="28"/>
      <c r="V48" s="32"/>
      <c r="W48" s="32"/>
      <c r="X48" s="32"/>
      <c r="Y48" s="32"/>
      <c r="Z48" s="32"/>
      <c r="AA48" s="32"/>
      <c r="AB48" s="32"/>
      <c r="AC48" s="36">
        <f>E48+G48+I48+K48+M48+O48+Q48+S48+U48+W48+Y48+AA48</f>
        <v>12</v>
      </c>
      <c r="AD48" s="33">
        <f>F48+H48+J48+L48+N48+P48+R48+T48+V48+X48+Z48+AB48</f>
        <v>15600</v>
      </c>
    </row>
    <row r="49" spans="1:30" x14ac:dyDescent="0.35">
      <c r="A49" s="5">
        <v>280</v>
      </c>
      <c r="B49" s="10" t="str">
        <f>LEFT(D49,FIND("-",D49)-1)</f>
        <v>MTVT002</v>
      </c>
      <c r="C49" s="27" t="s">
        <v>470</v>
      </c>
      <c r="D49" s="6" t="s">
        <v>357</v>
      </c>
      <c r="E49" s="34"/>
      <c r="F49" s="35"/>
      <c r="G49" s="30">
        <v>12</v>
      </c>
      <c r="H49" s="31">
        <v>15600</v>
      </c>
      <c r="I49" s="28"/>
      <c r="J49" s="29"/>
      <c r="K49" s="28"/>
      <c r="L49" s="29"/>
      <c r="M49" s="28"/>
      <c r="N49" s="29"/>
      <c r="O49" s="28"/>
      <c r="P49" s="32"/>
      <c r="Q49" s="28"/>
      <c r="R49" s="32"/>
      <c r="S49" s="28"/>
      <c r="T49" s="32"/>
      <c r="U49" s="28"/>
      <c r="V49" s="32"/>
      <c r="W49" s="32"/>
      <c r="X49" s="32"/>
      <c r="Y49" s="32"/>
      <c r="Z49" s="32"/>
      <c r="AA49" s="32"/>
      <c r="AB49" s="32"/>
      <c r="AC49" s="36">
        <f>E49+G49+I49+K49+M49+O49+Q49+S49+U49+W49+Y49+AA49</f>
        <v>12</v>
      </c>
      <c r="AD49" s="33">
        <f>F49+H49+J49+L49+N49+P49+R49+T49+V49+X49+Z49+AB49</f>
        <v>15600</v>
      </c>
    </row>
    <row r="50" spans="1:30" x14ac:dyDescent="0.35">
      <c r="A50" s="5">
        <v>281</v>
      </c>
      <c r="B50" s="10" t="str">
        <f>LEFT(D50,FIND("-",D50)-1)</f>
        <v>MTYN</v>
      </c>
      <c r="C50" s="27" t="s">
        <v>470</v>
      </c>
      <c r="D50" s="6" t="s">
        <v>223</v>
      </c>
      <c r="E50" s="34">
        <v>12</v>
      </c>
      <c r="F50" s="35">
        <v>21600</v>
      </c>
      <c r="G50" s="30"/>
      <c r="H50" s="31"/>
      <c r="I50" s="28"/>
      <c r="J50" s="29"/>
      <c r="K50" s="28"/>
      <c r="L50" s="29"/>
      <c r="M50" s="28"/>
      <c r="N50" s="29"/>
      <c r="O50" s="28"/>
      <c r="P50" s="32"/>
      <c r="Q50" s="28"/>
      <c r="R50" s="32"/>
      <c r="S50" s="28"/>
      <c r="T50" s="32"/>
      <c r="U50" s="28"/>
      <c r="V50" s="32"/>
      <c r="W50" s="32"/>
      <c r="X50" s="32"/>
      <c r="Y50" s="32"/>
      <c r="Z50" s="32"/>
      <c r="AA50" s="32"/>
      <c r="AB50" s="32"/>
      <c r="AC50" s="36">
        <f>E50+G50+I50+K50+M50+O50+Q50+S50+U50+W50+Y50+AA50</f>
        <v>12</v>
      </c>
      <c r="AD50" s="33">
        <f>F50+H50+J50+L50+N50+P50+R50+T50+V50+X50+Z50+AB50</f>
        <v>21600</v>
      </c>
    </row>
    <row r="51" spans="1:30" x14ac:dyDescent="0.35">
      <c r="A51" s="5">
        <v>284</v>
      </c>
      <c r="B51" s="10" t="str">
        <f>LEFT(D51,FIND("-",D51)-1)</f>
        <v>MWMZ</v>
      </c>
      <c r="C51" s="27" t="s">
        <v>470</v>
      </c>
      <c r="D51" s="6" t="s">
        <v>366</v>
      </c>
      <c r="E51" s="34"/>
      <c r="F51" s="35"/>
      <c r="G51" s="30">
        <v>12</v>
      </c>
      <c r="H51" s="31">
        <v>37620</v>
      </c>
      <c r="I51" s="28"/>
      <c r="J51" s="29"/>
      <c r="K51" s="28"/>
      <c r="L51" s="29"/>
      <c r="M51" s="28"/>
      <c r="N51" s="29"/>
      <c r="O51" s="28"/>
      <c r="P51" s="32"/>
      <c r="Q51" s="28"/>
      <c r="R51" s="32"/>
      <c r="S51" s="28"/>
      <c r="T51" s="32"/>
      <c r="U51" s="28"/>
      <c r="V51" s="32"/>
      <c r="W51" s="32"/>
      <c r="X51" s="32"/>
      <c r="Y51" s="32"/>
      <c r="Z51" s="32"/>
      <c r="AA51" s="32"/>
      <c r="AB51" s="32"/>
      <c r="AC51" s="36">
        <f>E51+G51+I51+K51+M51+O51+Q51+S51+U51+W51+Y51+AA51</f>
        <v>12</v>
      </c>
      <c r="AD51" s="33">
        <f>F51+H51+J51+L51+N51+P51+R51+T51+V51+X51+Z51+AB51</f>
        <v>37620</v>
      </c>
    </row>
    <row r="52" spans="1:30" x14ac:dyDescent="0.35">
      <c r="A52" s="5">
        <v>300</v>
      </c>
      <c r="B52" s="10" t="str">
        <f>LEFT(D52,FIND("-",D52)-1)</f>
        <v>MTWV</v>
      </c>
      <c r="C52" s="27" t="s">
        <v>470</v>
      </c>
      <c r="D52" s="6" t="s">
        <v>221</v>
      </c>
      <c r="E52" s="34">
        <v>10</v>
      </c>
      <c r="F52" s="35">
        <v>18000</v>
      </c>
      <c r="G52" s="30"/>
      <c r="H52" s="31"/>
      <c r="I52" s="28"/>
      <c r="J52" s="29"/>
      <c r="K52" s="28"/>
      <c r="L52" s="29"/>
      <c r="M52" s="28"/>
      <c r="N52" s="29"/>
      <c r="O52" s="28"/>
      <c r="P52" s="32"/>
      <c r="Q52" s="28"/>
      <c r="R52" s="32"/>
      <c r="S52" s="28"/>
      <c r="T52" s="32"/>
      <c r="U52" s="28"/>
      <c r="V52" s="32"/>
      <c r="W52" s="32"/>
      <c r="X52" s="32"/>
      <c r="Y52" s="32"/>
      <c r="Z52" s="32"/>
      <c r="AA52" s="32"/>
      <c r="AB52" s="32"/>
      <c r="AC52" s="36">
        <f>E52+G52+I52+K52+M52+O52+Q52+S52+U52+W52+Y52+AA52</f>
        <v>10</v>
      </c>
      <c r="AD52" s="33">
        <f>F52+H52+J52+L52+N52+P52+R52+T52+V52+X52+Z52+AB52</f>
        <v>18000</v>
      </c>
    </row>
    <row r="53" spans="1:30" x14ac:dyDescent="0.35">
      <c r="A53" s="5">
        <v>301</v>
      </c>
      <c r="B53" s="10" t="str">
        <f>LEFT(D53,FIND("-",D53)-1)</f>
        <v>MTYM</v>
      </c>
      <c r="C53" s="27" t="s">
        <v>470</v>
      </c>
      <c r="D53" s="6" t="s">
        <v>222</v>
      </c>
      <c r="E53" s="34">
        <v>10</v>
      </c>
      <c r="F53" s="35">
        <v>17000</v>
      </c>
      <c r="G53" s="30"/>
      <c r="H53" s="31"/>
      <c r="I53" s="28"/>
      <c r="J53" s="29"/>
      <c r="K53" s="28"/>
      <c r="L53" s="29"/>
      <c r="M53" s="28"/>
      <c r="N53" s="29"/>
      <c r="O53" s="28"/>
      <c r="P53" s="32"/>
      <c r="Q53" s="28"/>
      <c r="R53" s="32"/>
      <c r="S53" s="28"/>
      <c r="T53" s="32"/>
      <c r="U53" s="28"/>
      <c r="V53" s="32"/>
      <c r="W53" s="32"/>
      <c r="X53" s="32"/>
      <c r="Y53" s="32"/>
      <c r="Z53" s="32"/>
      <c r="AA53" s="32"/>
      <c r="AB53" s="32"/>
      <c r="AC53" s="36">
        <f>E53+G53+I53+K53+M53+O53+Q53+S53+U53+W53+Y53+AA53</f>
        <v>10</v>
      </c>
      <c r="AD53" s="33">
        <f>F53+H53+J53+L53+N53+P53+R53+T53+V53+X53+Z53+AB53</f>
        <v>17000</v>
      </c>
    </row>
    <row r="54" spans="1:30" x14ac:dyDescent="0.35">
      <c r="A54" s="5">
        <v>319</v>
      </c>
      <c r="B54" s="10" t="str">
        <f>LEFT(D54,FIND("-",D54)-1)</f>
        <v>MTON</v>
      </c>
      <c r="C54" s="27" t="s">
        <v>470</v>
      </c>
      <c r="D54" s="6" t="s">
        <v>355</v>
      </c>
      <c r="E54" s="34"/>
      <c r="F54" s="35"/>
      <c r="G54" s="30">
        <v>8</v>
      </c>
      <c r="H54" s="31">
        <v>2160</v>
      </c>
      <c r="I54" s="28"/>
      <c r="J54" s="29"/>
      <c r="K54" s="28"/>
      <c r="L54" s="29"/>
      <c r="M54" s="28"/>
      <c r="N54" s="29"/>
      <c r="O54" s="28"/>
      <c r="P54" s="32"/>
      <c r="Q54" s="28"/>
      <c r="R54" s="32"/>
      <c r="S54" s="28"/>
      <c r="T54" s="32"/>
      <c r="U54" s="28"/>
      <c r="V54" s="32"/>
      <c r="W54" s="32"/>
      <c r="X54" s="32"/>
      <c r="Y54" s="32"/>
      <c r="Z54" s="32"/>
      <c r="AA54" s="32"/>
      <c r="AB54" s="32"/>
      <c r="AC54" s="36">
        <f>E54+G54+I54+K54+M54+O54+Q54+S54+U54+W54+Y54+AA54</f>
        <v>8</v>
      </c>
      <c r="AD54" s="33">
        <f>F54+H54+J54+L54+N54+P54+R54+T54+V54+X54+Z54+AB54</f>
        <v>2160</v>
      </c>
    </row>
    <row r="55" spans="1:30" x14ac:dyDescent="0.35">
      <c r="A55" s="5">
        <v>394</v>
      </c>
      <c r="B55" s="10" t="str">
        <f>LEFT(D55,FIND("-",D55)-1)</f>
        <v>MWBI305</v>
      </c>
      <c r="C55" s="27" t="s">
        <v>470</v>
      </c>
      <c r="D55" s="6" t="s">
        <v>362</v>
      </c>
      <c r="E55" s="34"/>
      <c r="F55" s="35"/>
      <c r="G55" s="30">
        <v>3</v>
      </c>
      <c r="H55" s="31">
        <v>8250</v>
      </c>
      <c r="I55" s="28"/>
      <c r="J55" s="29"/>
      <c r="K55" s="28"/>
      <c r="L55" s="29"/>
      <c r="M55" s="28"/>
      <c r="N55" s="29"/>
      <c r="O55" s="28"/>
      <c r="P55" s="32"/>
      <c r="Q55" s="28"/>
      <c r="R55" s="32"/>
      <c r="S55" s="28"/>
      <c r="T55" s="32"/>
      <c r="U55" s="28"/>
      <c r="V55" s="32"/>
      <c r="W55" s="32"/>
      <c r="X55" s="32"/>
      <c r="Y55" s="32"/>
      <c r="Z55" s="32"/>
      <c r="AA55" s="32"/>
      <c r="AB55" s="32"/>
      <c r="AC55" s="36">
        <f>E55+G55+I55+K55+M55+O55+Q55+S55+U55+W55+Y55+AA55</f>
        <v>3</v>
      </c>
      <c r="AD55" s="33">
        <f>F55+H55+J55+L55+N55+P55+R55+T55+V55+X55+Z55+AB55</f>
        <v>8250</v>
      </c>
    </row>
    <row r="56" spans="1:30" x14ac:dyDescent="0.35">
      <c r="A56" s="5">
        <v>411</v>
      </c>
      <c r="B56" s="10" t="str">
        <f>LEFT(D56,FIND("-",D56)-1)</f>
        <v>MEFE</v>
      </c>
      <c r="C56" s="27" t="s">
        <v>470</v>
      </c>
      <c r="D56" s="6" t="s">
        <v>346</v>
      </c>
      <c r="E56" s="34"/>
      <c r="F56" s="35"/>
      <c r="G56" s="30">
        <v>2</v>
      </c>
      <c r="H56" s="31">
        <v>5000</v>
      </c>
      <c r="I56" s="28"/>
      <c r="J56" s="29"/>
      <c r="K56" s="28"/>
      <c r="L56" s="29"/>
      <c r="M56" s="28"/>
      <c r="N56" s="29"/>
      <c r="O56" s="28"/>
      <c r="P56" s="32"/>
      <c r="Q56" s="28"/>
      <c r="R56" s="32"/>
      <c r="S56" s="28"/>
      <c r="T56" s="32"/>
      <c r="U56" s="28"/>
      <c r="V56" s="32"/>
      <c r="W56" s="32"/>
      <c r="X56" s="32"/>
      <c r="Y56" s="32"/>
      <c r="Z56" s="32"/>
      <c r="AA56" s="32"/>
      <c r="AB56" s="32"/>
      <c r="AC56" s="37">
        <f>E56+G56+I56+K56+M56+O56+Q56+S56+U56+W56+Y56+AA56</f>
        <v>2</v>
      </c>
      <c r="AD56" s="33">
        <f>F56+H56+J56+L56+N56+P56+R56+T56+V56+X56+Z56+AB56</f>
        <v>5000</v>
      </c>
    </row>
    <row r="57" spans="1:30" x14ac:dyDescent="0.35">
      <c r="A57" s="5">
        <v>412</v>
      </c>
      <c r="B57" s="10" t="str">
        <f>LEFT(D57,FIND("-",D57)-1)</f>
        <v>MERL</v>
      </c>
      <c r="C57" s="27" t="s">
        <v>470</v>
      </c>
      <c r="D57" s="6" t="s">
        <v>347</v>
      </c>
      <c r="E57" s="34"/>
      <c r="F57" s="35"/>
      <c r="G57" s="30">
        <v>2</v>
      </c>
      <c r="H57" s="31">
        <v>5000</v>
      </c>
      <c r="I57" s="28"/>
      <c r="J57" s="29"/>
      <c r="K57" s="28"/>
      <c r="L57" s="29"/>
      <c r="M57" s="28"/>
      <c r="N57" s="29"/>
      <c r="O57" s="28"/>
      <c r="P57" s="32"/>
      <c r="Q57" s="28"/>
      <c r="R57" s="32"/>
      <c r="S57" s="28"/>
      <c r="T57" s="32"/>
      <c r="U57" s="28"/>
      <c r="V57" s="32"/>
      <c r="W57" s="32"/>
      <c r="X57" s="32"/>
      <c r="Y57" s="32"/>
      <c r="Z57" s="32"/>
      <c r="AA57" s="32"/>
      <c r="AB57" s="32"/>
      <c r="AC57" s="36">
        <f>E57+G57+I57+K57+M57+O57+Q57+S57+U57+W57+Y57+AA57</f>
        <v>2</v>
      </c>
      <c r="AD57" s="33">
        <f>F57+H57+J57+L57+N57+P57+R57+T57+V57+X57+Z57+AB57</f>
        <v>5000</v>
      </c>
    </row>
    <row r="58" spans="1:30" x14ac:dyDescent="0.35">
      <c r="A58" s="5">
        <v>413</v>
      </c>
      <c r="B58" s="10" t="str">
        <f>LEFT(D58,FIND("-",D58)-1)</f>
        <v>MTBM</v>
      </c>
      <c r="C58" s="27" t="s">
        <v>470</v>
      </c>
      <c r="D58" s="6" t="s">
        <v>350</v>
      </c>
      <c r="E58" s="34"/>
      <c r="F58" s="35"/>
      <c r="G58" s="30">
        <v>2</v>
      </c>
      <c r="H58" s="31">
        <v>3200</v>
      </c>
      <c r="I58" s="28"/>
      <c r="J58" s="29"/>
      <c r="K58" s="28"/>
      <c r="L58" s="29"/>
      <c r="M58" s="28"/>
      <c r="N58" s="29"/>
      <c r="O58" s="28"/>
      <c r="P58" s="32"/>
      <c r="Q58" s="28"/>
      <c r="R58" s="32"/>
      <c r="S58" s="28"/>
      <c r="T58" s="32"/>
      <c r="U58" s="28"/>
      <c r="V58" s="32"/>
      <c r="W58" s="32"/>
      <c r="X58" s="32"/>
      <c r="Y58" s="32"/>
      <c r="Z58" s="32"/>
      <c r="AA58" s="32"/>
      <c r="AB58" s="32"/>
      <c r="AC58" s="36">
        <f>E58+G58+I58+K58+M58+O58+Q58+S58+U58+W58+Y58+AA58</f>
        <v>2</v>
      </c>
      <c r="AD58" s="33">
        <f>F58+H58+J58+L58+N58+P58+R58+T58+V58+X58+Z58+AB58</f>
        <v>3200</v>
      </c>
    </row>
    <row r="59" spans="1:30" x14ac:dyDescent="0.35">
      <c r="A59" s="5">
        <v>416</v>
      </c>
      <c r="B59" s="10" t="str">
        <f>LEFT(D59,FIND("-",D59)-1)</f>
        <v>MWAG</v>
      </c>
      <c r="C59" s="27" t="s">
        <v>470</v>
      </c>
      <c r="D59" s="6" t="s">
        <v>360</v>
      </c>
      <c r="E59" s="34"/>
      <c r="F59" s="35"/>
      <c r="G59" s="30">
        <v>2</v>
      </c>
      <c r="H59" s="31">
        <v>22000</v>
      </c>
      <c r="I59" s="28"/>
      <c r="J59" s="29"/>
      <c r="K59" s="28"/>
      <c r="L59" s="29"/>
      <c r="M59" s="28"/>
      <c r="N59" s="29"/>
      <c r="O59" s="28"/>
      <c r="P59" s="32"/>
      <c r="Q59" s="28"/>
      <c r="R59" s="32"/>
      <c r="S59" s="28"/>
      <c r="T59" s="32"/>
      <c r="U59" s="28"/>
      <c r="V59" s="32"/>
      <c r="W59" s="32"/>
      <c r="X59" s="32"/>
      <c r="Y59" s="32"/>
      <c r="Z59" s="32"/>
      <c r="AA59" s="32"/>
      <c r="AB59" s="32"/>
      <c r="AC59" s="37">
        <f>E59+G59+I59+K59+M59+O59+Q59+S59+U59+W59+Y59+AA59</f>
        <v>2</v>
      </c>
      <c r="AD59" s="33">
        <f>F59+H59+J59+L59+N59+P59+R59+T59+V59+X59+Z59+AB59</f>
        <v>22000</v>
      </c>
    </row>
    <row r="60" spans="1:30" x14ac:dyDescent="0.35">
      <c r="A60" s="5">
        <v>418</v>
      </c>
      <c r="B60" s="10" t="str">
        <f>LEFT(D60,FIND("-",D60)-1)</f>
        <v>MWCO001</v>
      </c>
      <c r="C60" s="27" t="s">
        <v>470</v>
      </c>
      <c r="D60" s="6" t="s">
        <v>363</v>
      </c>
      <c r="E60" s="34"/>
      <c r="F60" s="35"/>
      <c r="G60" s="30">
        <v>2</v>
      </c>
      <c r="H60" s="31">
        <v>3850</v>
      </c>
      <c r="I60" s="28"/>
      <c r="J60" s="29"/>
      <c r="K60" s="28"/>
      <c r="L60" s="29"/>
      <c r="M60" s="28"/>
      <c r="N60" s="29"/>
      <c r="O60" s="28"/>
      <c r="P60" s="32"/>
      <c r="Q60" s="28"/>
      <c r="R60" s="32"/>
      <c r="S60" s="28"/>
      <c r="T60" s="32"/>
      <c r="U60" s="28"/>
      <c r="V60" s="32"/>
      <c r="W60" s="32"/>
      <c r="X60" s="32"/>
      <c r="Y60" s="32"/>
      <c r="Z60" s="32"/>
      <c r="AA60" s="32"/>
      <c r="AB60" s="32"/>
      <c r="AC60" s="36">
        <f>E60+G60+I60+K60+M60+O60+Q60+S60+U60+W60+Y60+AA60</f>
        <v>2</v>
      </c>
      <c r="AD60" s="33">
        <f>F60+H60+J60+L60+N60+P60+R60+T60+V60+X60+Z60+AB60</f>
        <v>3850</v>
      </c>
    </row>
    <row r="61" spans="1:30" x14ac:dyDescent="0.35">
      <c r="A61" s="5">
        <v>441</v>
      </c>
      <c r="B61" s="10" t="str">
        <f>LEFT(D61,FIND("-",D61)-1)</f>
        <v>MWBI205</v>
      </c>
      <c r="C61" s="27" t="s">
        <v>470</v>
      </c>
      <c r="D61" s="6" t="s">
        <v>226</v>
      </c>
      <c r="E61" s="34">
        <v>1</v>
      </c>
      <c r="F61" s="35">
        <v>2750</v>
      </c>
      <c r="G61" s="30"/>
      <c r="H61" s="31"/>
      <c r="I61" s="28"/>
      <c r="J61" s="29"/>
      <c r="K61" s="28"/>
      <c r="L61" s="29"/>
      <c r="M61" s="28"/>
      <c r="N61" s="29"/>
      <c r="O61" s="28"/>
      <c r="P61" s="32"/>
      <c r="Q61" s="28"/>
      <c r="R61" s="32"/>
      <c r="S61" s="28"/>
      <c r="T61" s="32"/>
      <c r="U61" s="28"/>
      <c r="V61" s="32"/>
      <c r="W61" s="32"/>
      <c r="X61" s="32"/>
      <c r="Y61" s="32"/>
      <c r="Z61" s="32"/>
      <c r="AA61" s="32"/>
      <c r="AB61" s="32"/>
      <c r="AC61" s="36">
        <f>E61+G61+I61+K61+M61+O61+Q61+S61+U61+W61+Y61+AA61</f>
        <v>1</v>
      </c>
      <c r="AD61" s="33">
        <f>F61+H61+J61+L61+N61+P61+R61+T61+V61+X61+Z61+AB61</f>
        <v>2750</v>
      </c>
    </row>
    <row r="62" spans="1:30" x14ac:dyDescent="0.35">
      <c r="A62" s="5">
        <v>4</v>
      </c>
      <c r="B62" s="10" t="str">
        <f>LEFT(D62,FIND("-",D62)-1)</f>
        <v>MUCF</v>
      </c>
      <c r="C62" s="27" t="s">
        <v>467</v>
      </c>
      <c r="D62" s="6" t="s">
        <v>441</v>
      </c>
      <c r="E62" s="34"/>
      <c r="F62" s="35"/>
      <c r="G62" s="30"/>
      <c r="H62" s="31"/>
      <c r="I62" s="28">
        <v>3000</v>
      </c>
      <c r="J62" s="29">
        <v>2970000</v>
      </c>
      <c r="K62" s="28">
        <v>3080</v>
      </c>
      <c r="L62" s="29">
        <v>3049200</v>
      </c>
      <c r="M62" s="28">
        <v>5600</v>
      </c>
      <c r="N62" s="29">
        <v>5544000</v>
      </c>
      <c r="O62" s="28"/>
      <c r="P62" s="32"/>
      <c r="Q62" s="28"/>
      <c r="R62" s="32"/>
      <c r="S62" s="28"/>
      <c r="T62" s="32"/>
      <c r="U62" s="28"/>
      <c r="V62" s="32"/>
      <c r="W62" s="32"/>
      <c r="X62" s="32"/>
      <c r="Y62" s="32"/>
      <c r="Z62" s="32"/>
      <c r="AA62" s="32"/>
      <c r="AB62" s="32"/>
      <c r="AC62" s="36">
        <f>E62+G62+I62+K62+M62+O62+Q62+S62+U62+W62+Y62+AA62</f>
        <v>11680</v>
      </c>
      <c r="AD62" s="33">
        <f>F62+H62+J62+L62+N62+P62+R62+T62+V62+X62+Z62+AB62</f>
        <v>11563200</v>
      </c>
    </row>
    <row r="63" spans="1:30" x14ac:dyDescent="0.35">
      <c r="A63" s="5">
        <v>1</v>
      </c>
      <c r="B63" s="10" t="str">
        <f>LEFT(D63,FIND("-",D63)-1)</f>
        <v>MUSC</v>
      </c>
      <c r="C63" s="27" t="s">
        <v>467</v>
      </c>
      <c r="D63" s="6" t="s">
        <v>115</v>
      </c>
      <c r="E63" s="34">
        <v>2800</v>
      </c>
      <c r="F63" s="35">
        <v>8316000</v>
      </c>
      <c r="G63" s="30">
        <v>2802</v>
      </c>
      <c r="H63" s="31">
        <v>8321940</v>
      </c>
      <c r="I63" s="28">
        <v>2184</v>
      </c>
      <c r="J63" s="29">
        <v>6486480</v>
      </c>
      <c r="K63" s="28">
        <v>2240</v>
      </c>
      <c r="L63" s="29">
        <v>6652800</v>
      </c>
      <c r="M63" s="28">
        <v>3360</v>
      </c>
      <c r="N63" s="29">
        <v>9979200</v>
      </c>
      <c r="O63" s="28"/>
      <c r="P63" s="32"/>
      <c r="Q63" s="28"/>
      <c r="R63" s="32"/>
      <c r="S63" s="28"/>
      <c r="T63" s="32"/>
      <c r="U63" s="28"/>
      <c r="V63" s="32"/>
      <c r="W63" s="32"/>
      <c r="X63" s="32"/>
      <c r="Y63" s="32"/>
      <c r="Z63" s="32"/>
      <c r="AA63" s="32"/>
      <c r="AB63" s="32"/>
      <c r="AC63" s="37">
        <f>E63+G63+I63+K63+M63+O63+Q63+S63+U63+W63+Y63+AA63</f>
        <v>13386</v>
      </c>
      <c r="AD63" s="33">
        <f>F63+H63+J63+L63+N63+P63+R63+T63+V63+X63+Z63+AB63</f>
        <v>39756420</v>
      </c>
    </row>
    <row r="64" spans="1:30" x14ac:dyDescent="0.35">
      <c r="A64" s="5">
        <v>239</v>
      </c>
      <c r="B64" s="10" t="str">
        <f>LEFT(D64,FIND("-",D64)-1)</f>
        <v>MUPD</v>
      </c>
      <c r="C64" s="27" t="s">
        <v>467</v>
      </c>
      <c r="D64" s="6" t="s">
        <v>358</v>
      </c>
      <c r="E64" s="34"/>
      <c r="F64" s="35"/>
      <c r="G64" s="30">
        <v>10</v>
      </c>
      <c r="H64" s="31">
        <v>19250</v>
      </c>
      <c r="I64" s="28">
        <v>10</v>
      </c>
      <c r="J64" s="29">
        <v>19250</v>
      </c>
      <c r="K64" s="28">
        <v>5</v>
      </c>
      <c r="L64" s="29">
        <v>9625</v>
      </c>
      <c r="M64" s="28"/>
      <c r="N64" s="29"/>
      <c r="O64" s="28"/>
      <c r="P64" s="32"/>
      <c r="Q64" s="28"/>
      <c r="R64" s="32"/>
      <c r="S64" s="28"/>
      <c r="T64" s="32"/>
      <c r="U64" s="28"/>
      <c r="V64" s="32"/>
      <c r="W64" s="32"/>
      <c r="X64" s="32"/>
      <c r="Y64" s="32"/>
      <c r="Z64" s="32"/>
      <c r="AA64" s="32"/>
      <c r="AB64" s="32"/>
      <c r="AC64" s="36">
        <f>E64+G64+I64+K64+M64+O64+Q64+S64+U64+W64+Y64+AA64</f>
        <v>25</v>
      </c>
      <c r="AD64" s="33">
        <f>F64+H64+J64+L64+N64+P64+R64+T64+V64+X64+Z64+AB64</f>
        <v>48125</v>
      </c>
    </row>
    <row r="65" spans="1:30" x14ac:dyDescent="0.35">
      <c r="A65" s="5">
        <v>393</v>
      </c>
      <c r="B65" s="10" t="str">
        <f>LEFT(D65,FIND("-",D65)-1)</f>
        <v>MUCH</v>
      </c>
      <c r="C65" s="27" t="s">
        <v>467</v>
      </c>
      <c r="D65" s="6" t="s">
        <v>73</v>
      </c>
      <c r="E65" s="34">
        <v>3</v>
      </c>
      <c r="F65" s="35">
        <v>2970</v>
      </c>
      <c r="G65" s="30"/>
      <c r="H65" s="31"/>
      <c r="I65" s="28"/>
      <c r="J65" s="29"/>
      <c r="K65" s="28">
        <v>2</v>
      </c>
      <c r="L65" s="29">
        <v>1980</v>
      </c>
      <c r="M65" s="28"/>
      <c r="N65" s="29"/>
      <c r="O65" s="28"/>
      <c r="P65" s="32"/>
      <c r="Q65" s="28"/>
      <c r="R65" s="32"/>
      <c r="S65" s="28"/>
      <c r="T65" s="32"/>
      <c r="U65" s="28"/>
      <c r="V65" s="32"/>
      <c r="W65" s="32"/>
      <c r="X65" s="32"/>
      <c r="Y65" s="32"/>
      <c r="Z65" s="32"/>
      <c r="AA65" s="32"/>
      <c r="AB65" s="32"/>
      <c r="AC65" s="36">
        <f>E65+G65+I65+K65+M65+O65+Q65+S65+U65+W65+Y65+AA65</f>
        <v>5</v>
      </c>
      <c r="AD65" s="33">
        <f>F65+H65+J65+L65+N65+P65+R65+T65+V65+X65+Z65+AB65</f>
        <v>4950</v>
      </c>
    </row>
    <row r="66" spans="1:30" x14ac:dyDescent="0.35">
      <c r="A66" s="5">
        <v>441</v>
      </c>
      <c r="B66" s="10" t="str">
        <f>LEFT(D66,FIND("-",D66)-1)</f>
        <v>DLEA</v>
      </c>
      <c r="C66" s="27" t="s">
        <v>468</v>
      </c>
      <c r="D66" s="6" t="s">
        <v>480</v>
      </c>
      <c r="E66" s="34"/>
      <c r="F66" s="35"/>
      <c r="G66" s="30"/>
      <c r="H66" s="31"/>
      <c r="I66" s="28"/>
      <c r="J66" s="29"/>
      <c r="K66" s="28">
        <v>20520</v>
      </c>
      <c r="L66" s="29">
        <v>14671800</v>
      </c>
      <c r="M66" s="28"/>
      <c r="N66" s="29"/>
      <c r="O66" s="28"/>
      <c r="P66" s="32"/>
      <c r="Q66" s="28"/>
      <c r="R66" s="32"/>
      <c r="S66" s="28"/>
      <c r="T66" s="32"/>
      <c r="U66" s="28"/>
      <c r="V66" s="32"/>
      <c r="W66" s="32"/>
      <c r="X66" s="32"/>
      <c r="Y66" s="32"/>
      <c r="Z66" s="32"/>
      <c r="AA66" s="32"/>
      <c r="AB66" s="32"/>
      <c r="AC66" s="37">
        <f>E66+G66+I66+K66+M66+O66+Q66+S66+U66+W66+Y66+AA66</f>
        <v>20520</v>
      </c>
      <c r="AD66" s="33">
        <f>F66+H66+J66+L66+N66+P66+R66+T66+V66+X66+Z66+AB66</f>
        <v>14671800</v>
      </c>
    </row>
    <row r="67" spans="1:30" x14ac:dyDescent="0.35">
      <c r="A67" s="5">
        <v>350</v>
      </c>
      <c r="B67" s="10" t="str">
        <f>LEFT(D67,FIND("-",D67)-1)</f>
        <v>DLEB</v>
      </c>
      <c r="C67" s="27" t="s">
        <v>468</v>
      </c>
      <c r="D67" s="6" t="s">
        <v>405</v>
      </c>
      <c r="E67" s="34"/>
      <c r="F67" s="35"/>
      <c r="G67" s="30"/>
      <c r="H67" s="31"/>
      <c r="I67" s="28">
        <v>5</v>
      </c>
      <c r="J67" s="29">
        <v>2365</v>
      </c>
      <c r="K67" s="28"/>
      <c r="L67" s="29"/>
      <c r="M67" s="28"/>
      <c r="N67" s="29"/>
      <c r="O67" s="28"/>
      <c r="P67" s="32"/>
      <c r="Q67" s="28"/>
      <c r="R67" s="32"/>
      <c r="S67" s="28"/>
      <c r="T67" s="32"/>
      <c r="U67" s="28"/>
      <c r="V67" s="32"/>
      <c r="W67" s="32"/>
      <c r="X67" s="32"/>
      <c r="Y67" s="32"/>
      <c r="Z67" s="32"/>
      <c r="AA67" s="32"/>
      <c r="AB67" s="32"/>
      <c r="AC67" s="37">
        <f>E67+G67+I67+K67+M67+O67+Q67+S67+U67+W67+Y67+AA67</f>
        <v>5</v>
      </c>
      <c r="AD67" s="33">
        <f>F67+H67+J67+L67+N67+P67+R67+T67+V67+X67+Z67+AB67</f>
        <v>2365</v>
      </c>
    </row>
    <row r="68" spans="1:30" x14ac:dyDescent="0.35">
      <c r="A68" s="5">
        <v>82</v>
      </c>
      <c r="B68" s="10" t="str">
        <f>LEFT(D68,FIND("-",D68)-1)</f>
        <v>SIUR</v>
      </c>
      <c r="C68" s="27" t="s">
        <v>471</v>
      </c>
      <c r="D68" s="6" t="s">
        <v>103</v>
      </c>
      <c r="E68" s="34">
        <v>19</v>
      </c>
      <c r="F68" s="35">
        <v>37905</v>
      </c>
      <c r="G68" s="30">
        <v>111</v>
      </c>
      <c r="H68" s="31">
        <v>221445</v>
      </c>
      <c r="I68" s="28"/>
      <c r="J68" s="29"/>
      <c r="K68" s="28">
        <v>636</v>
      </c>
      <c r="L68" s="29">
        <v>1268820</v>
      </c>
      <c r="M68" s="28">
        <v>320</v>
      </c>
      <c r="N68" s="29">
        <v>638400</v>
      </c>
      <c r="O68" s="28"/>
      <c r="P68" s="32"/>
      <c r="Q68" s="28"/>
      <c r="R68" s="32"/>
      <c r="S68" s="28"/>
      <c r="T68" s="32"/>
      <c r="U68" s="28"/>
      <c r="V68" s="32"/>
      <c r="W68" s="32"/>
      <c r="X68" s="32"/>
      <c r="Y68" s="32"/>
      <c r="Z68" s="32"/>
      <c r="AA68" s="32"/>
      <c r="AB68" s="32"/>
      <c r="AC68" s="36">
        <f>E68+G68+I68+K68+M68+O68+Q68+S68+U68+W68+Y68+AA68</f>
        <v>1086</v>
      </c>
      <c r="AD68" s="33">
        <f>F68+H68+J68+L68+N68+P68+R68+T68+V68+X68+Z68+AB68</f>
        <v>2166570</v>
      </c>
    </row>
    <row r="69" spans="1:30" x14ac:dyDescent="0.35">
      <c r="A69" s="5">
        <v>433</v>
      </c>
      <c r="B69" s="10" t="str">
        <f>LEFT(D69,FIND("-",D69)-1)</f>
        <v>SHBG004</v>
      </c>
      <c r="C69" s="27" t="s">
        <v>471</v>
      </c>
      <c r="D69" s="6" t="s">
        <v>515</v>
      </c>
      <c r="E69" s="34"/>
      <c r="F69" s="35"/>
      <c r="G69" s="30"/>
      <c r="H69" s="31"/>
      <c r="I69" s="28"/>
      <c r="J69" s="29"/>
      <c r="K69" s="28"/>
      <c r="L69" s="29"/>
      <c r="M69" s="28">
        <v>300</v>
      </c>
      <c r="N69" s="29">
        <v>547200</v>
      </c>
      <c r="O69" s="28"/>
      <c r="P69" s="32"/>
      <c r="Q69" s="28"/>
      <c r="R69" s="32"/>
      <c r="S69" s="28"/>
      <c r="T69" s="32"/>
      <c r="U69" s="28"/>
      <c r="V69" s="32"/>
      <c r="W69" s="32"/>
      <c r="X69" s="32"/>
      <c r="Y69" s="32"/>
      <c r="Z69" s="32"/>
      <c r="AA69" s="32"/>
      <c r="AB69" s="32"/>
      <c r="AC69" s="36">
        <f>E69+G69+I69+K69+M69+O69+Q69+S69+U69+W69+Y69+AA69</f>
        <v>300</v>
      </c>
      <c r="AD69" s="33">
        <f>F69+H69+J69+L69+N69+P69+R69+T69+V69+X69+Z69+AB69</f>
        <v>547200</v>
      </c>
    </row>
    <row r="70" spans="1:30" x14ac:dyDescent="0.35">
      <c r="A70" s="5">
        <v>433</v>
      </c>
      <c r="B70" s="10" t="str">
        <f>LEFT(D70,FIND("-",D70)-1)</f>
        <v>SHBJ</v>
      </c>
      <c r="C70" s="27" t="s">
        <v>471</v>
      </c>
      <c r="D70" s="6" t="s">
        <v>517</v>
      </c>
      <c r="E70" s="34"/>
      <c r="F70" s="35"/>
      <c r="G70" s="30"/>
      <c r="H70" s="31"/>
      <c r="I70" s="28"/>
      <c r="J70" s="29"/>
      <c r="K70" s="28"/>
      <c r="L70" s="29"/>
      <c r="M70" s="28">
        <v>300</v>
      </c>
      <c r="N70" s="29">
        <v>940500</v>
      </c>
      <c r="O70" s="28"/>
      <c r="P70" s="32"/>
      <c r="Q70" s="28"/>
      <c r="R70" s="32"/>
      <c r="S70" s="28"/>
      <c r="T70" s="32"/>
      <c r="U70" s="28"/>
      <c r="V70" s="32"/>
      <c r="W70" s="32"/>
      <c r="X70" s="32"/>
      <c r="Y70" s="32"/>
      <c r="Z70" s="32"/>
      <c r="AA70" s="32"/>
      <c r="AB70" s="32"/>
      <c r="AC70" s="37">
        <f>E70+G70+I70+K70+M70+O70+Q70+S70+U70+W70+Y70+AA70</f>
        <v>300</v>
      </c>
      <c r="AD70" s="33">
        <f>F70+H70+J70+L70+N70+P70+R70+T70+V70+X70+Z70+AB70</f>
        <v>940500</v>
      </c>
    </row>
    <row r="71" spans="1:30" x14ac:dyDescent="0.35">
      <c r="A71" s="5">
        <v>199</v>
      </c>
      <c r="B71" s="10" t="str">
        <f>LEFT(D71,FIND("-",D71)-1)</f>
        <v>SIEI001</v>
      </c>
      <c r="C71" s="27" t="s">
        <v>471</v>
      </c>
      <c r="D71" s="6" t="s">
        <v>372</v>
      </c>
      <c r="E71" s="34"/>
      <c r="F71" s="35"/>
      <c r="G71" s="30">
        <v>20</v>
      </c>
      <c r="H71" s="31">
        <v>68400</v>
      </c>
      <c r="I71" s="28">
        <v>10</v>
      </c>
      <c r="J71" s="29">
        <v>34200</v>
      </c>
      <c r="K71" s="28">
        <v>7</v>
      </c>
      <c r="L71" s="29">
        <v>23940</v>
      </c>
      <c r="M71" s="28">
        <v>278</v>
      </c>
      <c r="N71" s="29">
        <v>950760</v>
      </c>
      <c r="O71" s="28"/>
      <c r="P71" s="32"/>
      <c r="Q71" s="28"/>
      <c r="R71" s="32"/>
      <c r="S71" s="28"/>
      <c r="T71" s="32"/>
      <c r="U71" s="28"/>
      <c r="V71" s="32"/>
      <c r="W71" s="32"/>
      <c r="X71" s="32"/>
      <c r="Y71" s="32"/>
      <c r="Z71" s="32"/>
      <c r="AA71" s="32"/>
      <c r="AB71" s="32"/>
      <c r="AC71" s="36">
        <f>E71+G71+I71+K71+M71+O71+Q71+S71+U71+W71+Y71+AA71</f>
        <v>315</v>
      </c>
      <c r="AD71" s="33">
        <f>F71+H71+J71+L71+N71+P71+R71+T71+V71+X71+Z71+AB71</f>
        <v>1077300</v>
      </c>
    </row>
    <row r="72" spans="1:30" x14ac:dyDescent="0.35">
      <c r="A72" s="5">
        <v>93</v>
      </c>
      <c r="B72" s="10" t="str">
        <f>LEFT(D72,FIND("-",D72)-1)</f>
        <v>SIOT</v>
      </c>
      <c r="C72" s="27" t="s">
        <v>471</v>
      </c>
      <c r="D72" s="6" t="s">
        <v>99</v>
      </c>
      <c r="E72" s="34">
        <v>3</v>
      </c>
      <c r="F72" s="35">
        <v>2394</v>
      </c>
      <c r="G72" s="30">
        <v>52</v>
      </c>
      <c r="H72" s="31">
        <v>41496</v>
      </c>
      <c r="I72" s="28">
        <v>50</v>
      </c>
      <c r="J72" s="29">
        <v>39900</v>
      </c>
      <c r="K72" s="28">
        <v>115</v>
      </c>
      <c r="L72" s="29">
        <v>91770</v>
      </c>
      <c r="M72" s="28">
        <v>237</v>
      </c>
      <c r="N72" s="29">
        <v>189126</v>
      </c>
      <c r="O72" s="28"/>
      <c r="P72" s="32"/>
      <c r="Q72" s="28"/>
      <c r="R72" s="32"/>
      <c r="S72" s="28"/>
      <c r="T72" s="32"/>
      <c r="U72" s="28"/>
      <c r="V72" s="32"/>
      <c r="W72" s="32"/>
      <c r="X72" s="32"/>
      <c r="Y72" s="32"/>
      <c r="Z72" s="32"/>
      <c r="AA72" s="32"/>
      <c r="AB72" s="32"/>
      <c r="AC72" s="36">
        <f>E72+G72+I72+K72+M72+O72+Q72+S72+U72+W72+Y72+AA72</f>
        <v>457</v>
      </c>
      <c r="AD72" s="33">
        <f>F72+H72+J72+L72+N72+P72+R72+T72+V72+X72+Z72+AB72</f>
        <v>364686</v>
      </c>
    </row>
    <row r="73" spans="1:30" x14ac:dyDescent="0.35">
      <c r="A73" s="5">
        <v>75</v>
      </c>
      <c r="B73" s="10" t="str">
        <f>LEFT(D73,FIND("-",D73)-1)</f>
        <v>STMY</v>
      </c>
      <c r="C73" s="27" t="s">
        <v>471</v>
      </c>
      <c r="D73" s="6" t="s">
        <v>129</v>
      </c>
      <c r="E73" s="34">
        <v>7</v>
      </c>
      <c r="F73" s="35">
        <v>9975</v>
      </c>
      <c r="G73" s="30">
        <v>70</v>
      </c>
      <c r="H73" s="31">
        <v>99750</v>
      </c>
      <c r="I73" s="28">
        <v>75</v>
      </c>
      <c r="J73" s="29">
        <v>106875</v>
      </c>
      <c r="K73" s="28">
        <v>330</v>
      </c>
      <c r="L73" s="29">
        <v>470250</v>
      </c>
      <c r="M73" s="28">
        <v>235</v>
      </c>
      <c r="N73" s="29">
        <v>334875</v>
      </c>
      <c r="O73" s="28"/>
      <c r="P73" s="32"/>
      <c r="Q73" s="28"/>
      <c r="R73" s="32"/>
      <c r="S73" s="28"/>
      <c r="T73" s="32"/>
      <c r="U73" s="28"/>
      <c r="V73" s="32"/>
      <c r="W73" s="32"/>
      <c r="X73" s="32"/>
      <c r="Y73" s="32"/>
      <c r="Z73" s="32"/>
      <c r="AA73" s="32"/>
      <c r="AB73" s="32"/>
      <c r="AC73" s="36">
        <f>E73+G73+I73+K73+M73+O73+Q73+S73+U73+W73+Y73+AA73</f>
        <v>717</v>
      </c>
      <c r="AD73" s="33">
        <f>F73+H73+J73+L73+N73+P73+R73+T73+V73+X73+Z73+AB73</f>
        <v>1021725</v>
      </c>
    </row>
    <row r="74" spans="1:30" x14ac:dyDescent="0.35">
      <c r="A74" s="5">
        <v>12</v>
      </c>
      <c r="B74" s="10" t="str">
        <f>LEFT(D74,FIND("-",D74)-1)</f>
        <v>SINO001</v>
      </c>
      <c r="C74" s="27" t="s">
        <v>471</v>
      </c>
      <c r="D74" s="6" t="s">
        <v>236</v>
      </c>
      <c r="E74" s="34">
        <v>331</v>
      </c>
      <c r="F74" s="35">
        <v>377340</v>
      </c>
      <c r="G74" s="30">
        <v>351</v>
      </c>
      <c r="H74" s="31">
        <v>400140</v>
      </c>
      <c r="I74" s="28">
        <v>232</v>
      </c>
      <c r="J74" s="29">
        <v>264480</v>
      </c>
      <c r="K74" s="28">
        <v>200</v>
      </c>
      <c r="L74" s="29">
        <v>228000</v>
      </c>
      <c r="M74" s="28">
        <v>210</v>
      </c>
      <c r="N74" s="29">
        <v>239400</v>
      </c>
      <c r="O74" s="28"/>
      <c r="P74" s="32"/>
      <c r="Q74" s="28"/>
      <c r="R74" s="32"/>
      <c r="S74" s="28"/>
      <c r="T74" s="32"/>
      <c r="U74" s="28"/>
      <c r="V74" s="32"/>
      <c r="W74" s="32"/>
      <c r="X74" s="32"/>
      <c r="Y74" s="32"/>
      <c r="Z74" s="32"/>
      <c r="AA74" s="32"/>
      <c r="AB74" s="32"/>
      <c r="AC74" s="36">
        <f>E74+G74+I74+K74+M74+O74+Q74+S74+U74+W74+Y74+AA74</f>
        <v>1324</v>
      </c>
      <c r="AD74" s="33">
        <f>F74+H74+J74+L74+N74+P74+R74+T74+V74+X74+Z74+AB74</f>
        <v>1509360</v>
      </c>
    </row>
    <row r="75" spans="1:30" x14ac:dyDescent="0.35">
      <c r="A75" s="5">
        <v>433</v>
      </c>
      <c r="B75" s="10" t="str">
        <f>LEFT(D75,FIND("-",D75)-1)</f>
        <v>SHBE</v>
      </c>
      <c r="C75" s="27" t="s">
        <v>471</v>
      </c>
      <c r="D75" s="6" t="s">
        <v>514</v>
      </c>
      <c r="E75" s="34"/>
      <c r="F75" s="35"/>
      <c r="G75" s="30"/>
      <c r="H75" s="31"/>
      <c r="I75" s="28"/>
      <c r="J75" s="29"/>
      <c r="K75" s="28"/>
      <c r="L75" s="29"/>
      <c r="M75" s="28">
        <v>200</v>
      </c>
      <c r="N75" s="29">
        <v>273600</v>
      </c>
      <c r="O75" s="28"/>
      <c r="P75" s="32"/>
      <c r="Q75" s="28"/>
      <c r="R75" s="32"/>
      <c r="S75" s="28"/>
      <c r="T75" s="32"/>
      <c r="U75" s="28"/>
      <c r="V75" s="32"/>
      <c r="W75" s="32"/>
      <c r="X75" s="32"/>
      <c r="Y75" s="32"/>
      <c r="Z75" s="32"/>
      <c r="AA75" s="32"/>
      <c r="AB75" s="32"/>
      <c r="AC75" s="36">
        <f>E75+G75+I75+K75+M75+O75+Q75+S75+U75+W75+Y75+AA75</f>
        <v>200</v>
      </c>
      <c r="AD75" s="33">
        <f>F75+H75+J75+L75+N75+P75+R75+T75+V75+X75+Z75+AB75</f>
        <v>273600</v>
      </c>
    </row>
    <row r="76" spans="1:30" x14ac:dyDescent="0.35">
      <c r="A76" s="5">
        <v>433</v>
      </c>
      <c r="B76" s="10" t="str">
        <f>LEFT(D76,FIND("-",D76)-1)</f>
        <v>SHBI</v>
      </c>
      <c r="C76" s="27" t="s">
        <v>471</v>
      </c>
      <c r="D76" s="6" t="s">
        <v>516</v>
      </c>
      <c r="E76" s="34"/>
      <c r="F76" s="35"/>
      <c r="G76" s="30"/>
      <c r="H76" s="31"/>
      <c r="I76" s="28"/>
      <c r="J76" s="29"/>
      <c r="K76" s="28"/>
      <c r="L76" s="29"/>
      <c r="M76" s="28">
        <v>200</v>
      </c>
      <c r="N76" s="29">
        <v>444600</v>
      </c>
      <c r="O76" s="28"/>
      <c r="P76" s="32"/>
      <c r="Q76" s="28"/>
      <c r="R76" s="32"/>
      <c r="S76" s="28"/>
      <c r="T76" s="32"/>
      <c r="U76" s="28"/>
      <c r="V76" s="32"/>
      <c r="W76" s="32"/>
      <c r="X76" s="32"/>
      <c r="Y76" s="32"/>
      <c r="Z76" s="32"/>
      <c r="AA76" s="32"/>
      <c r="AB76" s="32"/>
      <c r="AC76" s="36">
        <f>E76+G76+I76+K76+M76+O76+Q76+S76+U76+W76+Y76+AA76</f>
        <v>200</v>
      </c>
      <c r="AD76" s="33">
        <f>F76+H76+J76+L76+N76+P76+R76+T76+V76+X76+Z76+AB76</f>
        <v>444600</v>
      </c>
    </row>
    <row r="77" spans="1:30" x14ac:dyDescent="0.35">
      <c r="A77" s="5">
        <v>433</v>
      </c>
      <c r="B77" s="10" t="str">
        <f>LEFT(D77,FIND("-",D77)-1)</f>
        <v>SHBK101</v>
      </c>
      <c r="C77" s="27" t="s">
        <v>471</v>
      </c>
      <c r="D77" s="6" t="s">
        <v>518</v>
      </c>
      <c r="E77" s="34"/>
      <c r="F77" s="35"/>
      <c r="G77" s="30"/>
      <c r="H77" s="31"/>
      <c r="I77" s="28"/>
      <c r="J77" s="29"/>
      <c r="K77" s="28"/>
      <c r="L77" s="29"/>
      <c r="M77" s="28">
        <v>200</v>
      </c>
      <c r="N77" s="29">
        <v>399000</v>
      </c>
      <c r="O77" s="28"/>
      <c r="P77" s="32"/>
      <c r="Q77" s="28"/>
      <c r="R77" s="32"/>
      <c r="S77" s="28"/>
      <c r="T77" s="32"/>
      <c r="U77" s="28"/>
      <c r="V77" s="32"/>
      <c r="W77" s="32"/>
      <c r="X77" s="32"/>
      <c r="Y77" s="32"/>
      <c r="Z77" s="32"/>
      <c r="AA77" s="32"/>
      <c r="AB77" s="32"/>
      <c r="AC77" s="37">
        <f>E77+G77+I77+K77+M77+O77+Q77+S77+U77+W77+Y77+AA77</f>
        <v>200</v>
      </c>
      <c r="AD77" s="33">
        <f>F77+H77+J77+L77+N77+P77+R77+T77+V77+X77+Z77+AB77</f>
        <v>399000</v>
      </c>
    </row>
    <row r="78" spans="1:30" x14ac:dyDescent="0.35">
      <c r="A78" s="5">
        <v>104</v>
      </c>
      <c r="B78" s="10" t="str">
        <f>LEFT(D78,FIND("-",D78)-1)</f>
        <v>SIET</v>
      </c>
      <c r="C78" s="27" t="s">
        <v>471</v>
      </c>
      <c r="D78" s="6" t="s">
        <v>234</v>
      </c>
      <c r="E78" s="34">
        <v>12</v>
      </c>
      <c r="F78" s="35">
        <v>16416</v>
      </c>
      <c r="G78" s="30">
        <v>3</v>
      </c>
      <c r="H78" s="31">
        <v>4104</v>
      </c>
      <c r="I78" s="28">
        <v>85</v>
      </c>
      <c r="J78" s="29">
        <v>116280</v>
      </c>
      <c r="K78" s="28">
        <v>25</v>
      </c>
      <c r="L78" s="29">
        <v>34200</v>
      </c>
      <c r="M78" s="28">
        <v>180</v>
      </c>
      <c r="N78" s="29">
        <v>246240</v>
      </c>
      <c r="O78" s="28"/>
      <c r="P78" s="32"/>
      <c r="Q78" s="28"/>
      <c r="R78" s="32"/>
      <c r="S78" s="28"/>
      <c r="T78" s="32"/>
      <c r="U78" s="28"/>
      <c r="V78" s="32"/>
      <c r="W78" s="32"/>
      <c r="X78" s="32"/>
      <c r="Y78" s="32"/>
      <c r="Z78" s="32"/>
      <c r="AA78" s="32"/>
      <c r="AB78" s="32"/>
      <c r="AC78" s="36">
        <f>E78+G78+I78+K78+M78+O78+Q78+S78+U78+W78+Y78+AA78</f>
        <v>305</v>
      </c>
      <c r="AD78" s="33">
        <f>F78+H78+J78+L78+N78+P78+R78+T78+V78+X78+Z78+AB78</f>
        <v>417240</v>
      </c>
    </row>
    <row r="79" spans="1:30" x14ac:dyDescent="0.35">
      <c r="A79" s="5">
        <v>112</v>
      </c>
      <c r="B79" s="10" t="str">
        <f>LEFT(D79,FIND("-",D79)-1)</f>
        <v>SIEU</v>
      </c>
      <c r="C79" s="27" t="s">
        <v>471</v>
      </c>
      <c r="D79" s="6" t="s">
        <v>235</v>
      </c>
      <c r="E79" s="34">
        <v>10</v>
      </c>
      <c r="F79" s="35">
        <v>13680</v>
      </c>
      <c r="G79" s="30"/>
      <c r="H79" s="31"/>
      <c r="I79" s="28">
        <v>85</v>
      </c>
      <c r="J79" s="29">
        <v>116280</v>
      </c>
      <c r="K79" s="28">
        <v>20</v>
      </c>
      <c r="L79" s="29">
        <v>27360</v>
      </c>
      <c r="M79" s="28">
        <v>180</v>
      </c>
      <c r="N79" s="29">
        <v>246240</v>
      </c>
      <c r="O79" s="28"/>
      <c r="P79" s="32"/>
      <c r="Q79" s="28"/>
      <c r="R79" s="32"/>
      <c r="S79" s="28"/>
      <c r="T79" s="32"/>
      <c r="U79" s="28"/>
      <c r="V79" s="32"/>
      <c r="W79" s="32"/>
      <c r="X79" s="32"/>
      <c r="Y79" s="32"/>
      <c r="Z79" s="32"/>
      <c r="AA79" s="32"/>
      <c r="AB79" s="32"/>
      <c r="AC79" s="36">
        <f>E79+G79+I79+K79+M79+O79+Q79+S79+U79+W79+Y79+AA79</f>
        <v>295</v>
      </c>
      <c r="AD79" s="33">
        <f>F79+H79+J79+L79+N79+P79+R79+T79+V79+X79+Z79+AB79</f>
        <v>403560</v>
      </c>
    </row>
    <row r="80" spans="1:30" x14ac:dyDescent="0.35">
      <c r="A80" s="5">
        <v>433</v>
      </c>
      <c r="B80" s="10" t="str">
        <f>LEFT(D80,FIND("-",D80)-1)</f>
        <v>SHBM</v>
      </c>
      <c r="C80" s="27" t="s">
        <v>471</v>
      </c>
      <c r="D80" s="6" t="s">
        <v>519</v>
      </c>
      <c r="E80" s="34"/>
      <c r="F80" s="35"/>
      <c r="G80" s="30"/>
      <c r="H80" s="31"/>
      <c r="I80" s="28"/>
      <c r="J80" s="29"/>
      <c r="K80" s="28"/>
      <c r="L80" s="29"/>
      <c r="M80" s="28">
        <v>150</v>
      </c>
      <c r="N80" s="29">
        <v>188100</v>
      </c>
      <c r="O80" s="28"/>
      <c r="P80" s="32"/>
      <c r="Q80" s="28"/>
      <c r="R80" s="32"/>
      <c r="S80" s="28"/>
      <c r="T80" s="32"/>
      <c r="U80" s="28"/>
      <c r="V80" s="32"/>
      <c r="W80" s="32"/>
      <c r="X80" s="32"/>
      <c r="Y80" s="32"/>
      <c r="Z80" s="32"/>
      <c r="AA80" s="32"/>
      <c r="AB80" s="32"/>
      <c r="AC80" s="37">
        <f>E80+G80+I80+K80+M80+O80+Q80+S80+U80+W80+Y80+AA80</f>
        <v>150</v>
      </c>
      <c r="AD80" s="33">
        <f>F80+H80+J80+L80+N80+P80+R80+T80+V80+X80+Z80+AB80</f>
        <v>188100</v>
      </c>
    </row>
    <row r="81" spans="1:30" x14ac:dyDescent="0.35">
      <c r="A81" s="5">
        <v>146</v>
      </c>
      <c r="B81" s="10" t="str">
        <f>LEFT(D81,FIND("-",D81)-1)</f>
        <v>SIJM</v>
      </c>
      <c r="C81" s="27" t="s">
        <v>471</v>
      </c>
      <c r="D81" s="6" t="s">
        <v>82</v>
      </c>
      <c r="E81" s="34">
        <v>9</v>
      </c>
      <c r="F81" s="35">
        <v>9234</v>
      </c>
      <c r="G81" s="30">
        <v>20</v>
      </c>
      <c r="H81" s="31">
        <v>20520</v>
      </c>
      <c r="I81" s="28">
        <v>35</v>
      </c>
      <c r="J81" s="29">
        <v>35910</v>
      </c>
      <c r="K81" s="28">
        <v>25</v>
      </c>
      <c r="L81" s="29">
        <v>25650</v>
      </c>
      <c r="M81" s="28">
        <v>136</v>
      </c>
      <c r="N81" s="29">
        <v>139536</v>
      </c>
      <c r="O81" s="28"/>
      <c r="P81" s="32"/>
      <c r="Q81" s="28"/>
      <c r="R81" s="32"/>
      <c r="S81" s="28"/>
      <c r="T81" s="32"/>
      <c r="U81" s="28"/>
      <c r="V81" s="32"/>
      <c r="W81" s="32"/>
      <c r="X81" s="32"/>
      <c r="Y81" s="32"/>
      <c r="Z81" s="32"/>
      <c r="AA81" s="32"/>
      <c r="AB81" s="32"/>
      <c r="AC81" s="36">
        <f>E81+G81+I81+K81+M81+O81+Q81+S81+U81+W81+Y81+AA81</f>
        <v>225</v>
      </c>
      <c r="AD81" s="33">
        <f>F81+H81+J81+L81+N81+P81+R81+T81+V81+X81+Z81+AB81</f>
        <v>230850</v>
      </c>
    </row>
    <row r="82" spans="1:30" x14ac:dyDescent="0.35">
      <c r="A82" s="5">
        <v>50</v>
      </c>
      <c r="B82" s="10" t="str">
        <f>LEFT(D82,FIND("-",D82)-1)</f>
        <v>SIDT</v>
      </c>
      <c r="C82" s="27" t="s">
        <v>471</v>
      </c>
      <c r="D82" s="6" t="s">
        <v>76</v>
      </c>
      <c r="E82" s="34">
        <v>11</v>
      </c>
      <c r="F82" s="35">
        <v>20064</v>
      </c>
      <c r="G82" s="30">
        <v>116</v>
      </c>
      <c r="H82" s="31">
        <v>211584</v>
      </c>
      <c r="I82" s="28">
        <v>104</v>
      </c>
      <c r="J82" s="29">
        <v>189696</v>
      </c>
      <c r="K82" s="28">
        <v>40</v>
      </c>
      <c r="L82" s="29">
        <v>72960</v>
      </c>
      <c r="M82" s="28">
        <v>109</v>
      </c>
      <c r="N82" s="29">
        <v>198816</v>
      </c>
      <c r="O82" s="28"/>
      <c r="P82" s="32"/>
      <c r="Q82" s="28"/>
      <c r="R82" s="32"/>
      <c r="S82" s="28"/>
      <c r="T82" s="32"/>
      <c r="U82" s="28"/>
      <c r="V82" s="32"/>
      <c r="W82" s="32"/>
      <c r="X82" s="32"/>
      <c r="Y82" s="32"/>
      <c r="Z82" s="32"/>
      <c r="AA82" s="32"/>
      <c r="AB82" s="32"/>
      <c r="AC82" s="36">
        <f>E82+G82+I82+K82+M82+O82+Q82+S82+U82+W82+Y82+AA82</f>
        <v>380</v>
      </c>
      <c r="AD82" s="33">
        <f>F82+H82+J82+L82+N82+P82+R82+T82+V82+X82+Z82+AB82</f>
        <v>693120</v>
      </c>
    </row>
    <row r="83" spans="1:30" x14ac:dyDescent="0.35">
      <c r="A83" s="5">
        <v>38</v>
      </c>
      <c r="B83" s="10" t="str">
        <f>LEFT(D83,FIND("-",D83)-1)</f>
        <v>SJPN</v>
      </c>
      <c r="C83" s="27" t="s">
        <v>471</v>
      </c>
      <c r="D83" s="6" t="s">
        <v>107</v>
      </c>
      <c r="E83" s="34">
        <v>73</v>
      </c>
      <c r="F83" s="35">
        <v>83220</v>
      </c>
      <c r="G83" s="30">
        <v>41</v>
      </c>
      <c r="H83" s="31">
        <v>46740</v>
      </c>
      <c r="I83" s="28">
        <v>167</v>
      </c>
      <c r="J83" s="29">
        <v>190380</v>
      </c>
      <c r="K83" s="28">
        <v>112</v>
      </c>
      <c r="L83" s="29">
        <v>127680</v>
      </c>
      <c r="M83" s="28">
        <v>96</v>
      </c>
      <c r="N83" s="29">
        <v>109440</v>
      </c>
      <c r="O83" s="28"/>
      <c r="P83" s="32"/>
      <c r="Q83" s="28"/>
      <c r="R83" s="32"/>
      <c r="S83" s="28"/>
      <c r="T83" s="32"/>
      <c r="U83" s="28"/>
      <c r="V83" s="32"/>
      <c r="W83" s="32"/>
      <c r="X83" s="32"/>
      <c r="Y83" s="32"/>
      <c r="Z83" s="32"/>
      <c r="AA83" s="32"/>
      <c r="AB83" s="32"/>
      <c r="AC83" s="36">
        <f>E83+G83+I83+K83+M83+O83+Q83+S83+U83+W83+Y83+AA83</f>
        <v>489</v>
      </c>
      <c r="AD83" s="33">
        <f>F83+H83+J83+L83+N83+P83+R83+T83+V83+X83+Z83+AB83</f>
        <v>557460</v>
      </c>
    </row>
    <row r="84" spans="1:30" x14ac:dyDescent="0.35">
      <c r="A84" s="5">
        <v>248</v>
      </c>
      <c r="B84" s="10" t="str">
        <f>LEFT(D84,FIND("-",D84)-1)</f>
        <v>SILE001</v>
      </c>
      <c r="C84" s="27" t="s">
        <v>471</v>
      </c>
      <c r="D84" s="6" t="s">
        <v>126</v>
      </c>
      <c r="E84" s="34">
        <v>3</v>
      </c>
      <c r="F84" s="35">
        <v>5472</v>
      </c>
      <c r="G84" s="30">
        <v>5</v>
      </c>
      <c r="H84" s="31">
        <v>9120</v>
      </c>
      <c r="I84" s="28">
        <v>9</v>
      </c>
      <c r="J84" s="29">
        <v>16416</v>
      </c>
      <c r="K84" s="28">
        <v>30</v>
      </c>
      <c r="L84" s="29">
        <v>54720</v>
      </c>
      <c r="M84" s="28">
        <v>92</v>
      </c>
      <c r="N84" s="29">
        <v>167808</v>
      </c>
      <c r="O84" s="28"/>
      <c r="P84" s="32"/>
      <c r="Q84" s="28"/>
      <c r="R84" s="32"/>
      <c r="S84" s="28"/>
      <c r="T84" s="32"/>
      <c r="U84" s="28"/>
      <c r="V84" s="32"/>
      <c r="W84" s="32"/>
      <c r="X84" s="32"/>
      <c r="Y84" s="32"/>
      <c r="Z84" s="32"/>
      <c r="AA84" s="32"/>
      <c r="AB84" s="32"/>
      <c r="AC84" s="36">
        <f>E84+G84+I84+K84+M84+O84+Q84+S84+U84+W84+Y84+AA84</f>
        <v>139</v>
      </c>
      <c r="AD84" s="33">
        <f>F84+H84+J84+L84+N84+P84+R84+T84+V84+X84+Z84+AB84</f>
        <v>253536</v>
      </c>
    </row>
    <row r="85" spans="1:30" x14ac:dyDescent="0.35">
      <c r="A85" s="5">
        <v>229</v>
      </c>
      <c r="B85" s="10" t="str">
        <f>LEFT(D85,FIND("-",D85)-1)</f>
        <v>SITM</v>
      </c>
      <c r="C85" s="27" t="s">
        <v>471</v>
      </c>
      <c r="D85" s="6" t="s">
        <v>102</v>
      </c>
      <c r="E85" s="34">
        <v>10</v>
      </c>
      <c r="F85" s="35">
        <v>18240</v>
      </c>
      <c r="G85" s="30">
        <v>12</v>
      </c>
      <c r="H85" s="31">
        <v>21888</v>
      </c>
      <c r="I85" s="28"/>
      <c r="J85" s="29"/>
      <c r="K85" s="28">
        <v>62</v>
      </c>
      <c r="L85" s="29">
        <v>113088</v>
      </c>
      <c r="M85" s="28">
        <v>80</v>
      </c>
      <c r="N85" s="29">
        <v>145920</v>
      </c>
      <c r="O85" s="28"/>
      <c r="P85" s="32"/>
      <c r="Q85" s="28"/>
      <c r="R85" s="32"/>
      <c r="S85" s="28"/>
      <c r="T85" s="32"/>
      <c r="U85" s="28"/>
      <c r="V85" s="32"/>
      <c r="W85" s="32"/>
      <c r="X85" s="32"/>
      <c r="Y85" s="32"/>
      <c r="Z85" s="32"/>
      <c r="AA85" s="32"/>
      <c r="AB85" s="32"/>
      <c r="AC85" s="37">
        <f>E85+G85+I85+K85+M85+O85+Q85+S85+U85+W85+Y85+AA85</f>
        <v>164</v>
      </c>
      <c r="AD85" s="33">
        <f>F85+H85+J85+L85+N85+P85+R85+T85+V85+X85+Z85+AB85</f>
        <v>299136</v>
      </c>
    </row>
    <row r="86" spans="1:30" x14ac:dyDescent="0.35">
      <c r="A86" s="5">
        <v>62</v>
      </c>
      <c r="B86" s="10" t="str">
        <f>LEFT(D86,FIND("-",D86)-1)</f>
        <v>SIDU</v>
      </c>
      <c r="C86" s="27" t="s">
        <v>471</v>
      </c>
      <c r="D86" s="6" t="s">
        <v>77</v>
      </c>
      <c r="E86" s="34">
        <v>5</v>
      </c>
      <c r="F86" s="35">
        <v>9120</v>
      </c>
      <c r="G86" s="30">
        <v>77</v>
      </c>
      <c r="H86" s="31">
        <v>140448</v>
      </c>
      <c r="I86" s="28">
        <v>113</v>
      </c>
      <c r="J86" s="29">
        <v>206112</v>
      </c>
      <c r="K86" s="28">
        <v>30</v>
      </c>
      <c r="L86" s="29">
        <v>54720</v>
      </c>
      <c r="M86" s="28">
        <v>76</v>
      </c>
      <c r="N86" s="29">
        <v>138624</v>
      </c>
      <c r="O86" s="28"/>
      <c r="P86" s="32"/>
      <c r="Q86" s="28"/>
      <c r="R86" s="32"/>
      <c r="S86" s="28"/>
      <c r="T86" s="32"/>
      <c r="U86" s="28"/>
      <c r="V86" s="32"/>
      <c r="W86" s="32"/>
      <c r="X86" s="32"/>
      <c r="Y86" s="32"/>
      <c r="Z86" s="32"/>
      <c r="AA86" s="32"/>
      <c r="AB86" s="32"/>
      <c r="AC86" s="36">
        <f>E86+G86+I86+K86+M86+O86+Q86+S86+U86+W86+Y86+AA86</f>
        <v>301</v>
      </c>
      <c r="AD86" s="33">
        <f>F86+H86+J86+L86+N86+P86+R86+T86+V86+X86+Z86+AB86</f>
        <v>549024</v>
      </c>
    </row>
    <row r="87" spans="1:30" x14ac:dyDescent="0.35">
      <c r="A87" s="5">
        <v>96</v>
      </c>
      <c r="B87" s="10" t="str">
        <f>LEFT(D87,FIND("-",D87)-1)</f>
        <v>SHBA001</v>
      </c>
      <c r="C87" s="27" t="s">
        <v>471</v>
      </c>
      <c r="D87" s="6" t="s">
        <v>442</v>
      </c>
      <c r="E87" s="34"/>
      <c r="F87" s="35"/>
      <c r="G87" s="30"/>
      <c r="H87" s="31"/>
      <c r="I87" s="28">
        <v>104</v>
      </c>
      <c r="J87" s="29">
        <v>266760</v>
      </c>
      <c r="K87" s="28">
        <v>25</v>
      </c>
      <c r="L87" s="29">
        <v>64125</v>
      </c>
      <c r="M87" s="28">
        <v>76</v>
      </c>
      <c r="N87" s="29">
        <v>194940</v>
      </c>
      <c r="O87" s="28"/>
      <c r="P87" s="32"/>
      <c r="Q87" s="28"/>
      <c r="R87" s="32"/>
      <c r="S87" s="28"/>
      <c r="T87" s="32"/>
      <c r="U87" s="28"/>
      <c r="V87" s="32"/>
      <c r="W87" s="32"/>
      <c r="X87" s="32"/>
      <c r="Y87" s="32"/>
      <c r="Z87" s="32"/>
      <c r="AA87" s="32"/>
      <c r="AB87" s="32"/>
      <c r="AC87" s="36">
        <f>E87+G87+I87+K87+M87+O87+Q87+S87+U87+W87+Y87+AA87</f>
        <v>205</v>
      </c>
      <c r="AD87" s="33">
        <f>F87+H87+J87+L87+N87+P87+R87+T87+V87+X87+Z87+AB87</f>
        <v>525825</v>
      </c>
    </row>
    <row r="88" spans="1:30" x14ac:dyDescent="0.35">
      <c r="A88" s="5">
        <v>325</v>
      </c>
      <c r="B88" s="10" t="str">
        <f>LEFT(D88,FIND("-",D88)-1)</f>
        <v>SILL002</v>
      </c>
      <c r="C88" s="27" t="s">
        <v>471</v>
      </c>
      <c r="D88" s="6" t="s">
        <v>381</v>
      </c>
      <c r="E88" s="34"/>
      <c r="F88" s="35"/>
      <c r="G88" s="30">
        <v>3</v>
      </c>
      <c r="H88" s="31">
        <v>5814</v>
      </c>
      <c r="I88" s="28">
        <v>5</v>
      </c>
      <c r="J88" s="29">
        <v>9690</v>
      </c>
      <c r="K88" s="28">
        <v>20</v>
      </c>
      <c r="L88" s="29">
        <v>38760</v>
      </c>
      <c r="M88" s="28">
        <v>70</v>
      </c>
      <c r="N88" s="29">
        <v>135660</v>
      </c>
      <c r="O88" s="28"/>
      <c r="P88" s="32"/>
      <c r="Q88" s="28"/>
      <c r="R88" s="32"/>
      <c r="S88" s="28"/>
      <c r="T88" s="32"/>
      <c r="U88" s="28"/>
      <c r="V88" s="32"/>
      <c r="W88" s="32"/>
      <c r="X88" s="32"/>
      <c r="Y88" s="32"/>
      <c r="Z88" s="32"/>
      <c r="AA88" s="32"/>
      <c r="AB88" s="32"/>
      <c r="AC88" s="36">
        <f>E88+G88+I88+K88+M88+O88+Q88+S88+U88+W88+Y88+AA88</f>
        <v>98</v>
      </c>
      <c r="AD88" s="33">
        <f>F88+H88+J88+L88+N88+P88+R88+T88+V88+X88+Z88+AB88</f>
        <v>189924</v>
      </c>
    </row>
    <row r="89" spans="1:30" x14ac:dyDescent="0.35">
      <c r="A89" s="5">
        <v>135</v>
      </c>
      <c r="B89" s="10" t="str">
        <f>LEFT(D89,FIND("-",D89)-1)</f>
        <v>SJCN</v>
      </c>
      <c r="C89" s="27" t="s">
        <v>471</v>
      </c>
      <c r="D89" s="6" t="s">
        <v>239</v>
      </c>
      <c r="E89" s="34">
        <v>3</v>
      </c>
      <c r="F89" s="35">
        <v>4275</v>
      </c>
      <c r="G89" s="30">
        <v>70</v>
      </c>
      <c r="H89" s="31">
        <v>99750</v>
      </c>
      <c r="I89" s="28">
        <v>2</v>
      </c>
      <c r="J89" s="29">
        <v>2850</v>
      </c>
      <c r="K89" s="28">
        <v>30</v>
      </c>
      <c r="L89" s="29">
        <v>42750</v>
      </c>
      <c r="M89" s="28">
        <v>60</v>
      </c>
      <c r="N89" s="29">
        <v>85500</v>
      </c>
      <c r="O89" s="28"/>
      <c r="P89" s="32"/>
      <c r="Q89" s="28"/>
      <c r="R89" s="32"/>
      <c r="S89" s="28"/>
      <c r="T89" s="32"/>
      <c r="U89" s="28"/>
      <c r="V89" s="32"/>
      <c r="W89" s="32"/>
      <c r="X89" s="32"/>
      <c r="Y89" s="32"/>
      <c r="Z89" s="32"/>
      <c r="AA89" s="32"/>
      <c r="AB89" s="32"/>
      <c r="AC89" s="36">
        <f>E89+G89+I89+K89+M89+O89+Q89+S89+U89+W89+Y89+AA89</f>
        <v>165</v>
      </c>
      <c r="AD89" s="33">
        <f>F89+H89+J89+L89+N89+P89+R89+T89+V89+X89+Z89+AB89</f>
        <v>235125</v>
      </c>
    </row>
    <row r="90" spans="1:30" x14ac:dyDescent="0.35">
      <c r="A90" s="5">
        <v>286</v>
      </c>
      <c r="B90" s="10" t="str">
        <f>LEFT(D90,FIND("-",D90)-1)</f>
        <v>SIWF</v>
      </c>
      <c r="C90" s="27" t="s">
        <v>471</v>
      </c>
      <c r="D90" s="6" t="s">
        <v>104</v>
      </c>
      <c r="E90" s="34">
        <v>2</v>
      </c>
      <c r="F90" s="35">
        <v>3420</v>
      </c>
      <c r="G90" s="30">
        <v>6</v>
      </c>
      <c r="H90" s="31">
        <v>10260</v>
      </c>
      <c r="I90" s="28">
        <v>4</v>
      </c>
      <c r="J90" s="29">
        <v>6840</v>
      </c>
      <c r="K90" s="28">
        <v>23</v>
      </c>
      <c r="L90" s="29">
        <v>39330</v>
      </c>
      <c r="M90" s="28">
        <v>60</v>
      </c>
      <c r="N90" s="29">
        <v>102600</v>
      </c>
      <c r="O90" s="28"/>
      <c r="P90" s="32"/>
      <c r="Q90" s="28"/>
      <c r="R90" s="32"/>
      <c r="S90" s="28"/>
      <c r="T90" s="32"/>
      <c r="U90" s="28"/>
      <c r="V90" s="32"/>
      <c r="W90" s="32"/>
      <c r="X90" s="32"/>
      <c r="Y90" s="32"/>
      <c r="Z90" s="32"/>
      <c r="AA90" s="32"/>
      <c r="AB90" s="32"/>
      <c r="AC90" s="36">
        <f>E90+G90+I90+K90+M90+O90+Q90+S90+U90+W90+Y90+AA90</f>
        <v>95</v>
      </c>
      <c r="AD90" s="33">
        <f>F90+H90+J90+L90+N90+P90+R90+T90+V90+X90+Z90+AB90</f>
        <v>162450</v>
      </c>
    </row>
    <row r="91" spans="1:30" x14ac:dyDescent="0.35">
      <c r="A91" s="5">
        <v>219</v>
      </c>
      <c r="B91" s="10" t="str">
        <f>LEFT(D91,FIND("-",D91)-1)</f>
        <v>SIJN</v>
      </c>
      <c r="C91" s="27" t="s">
        <v>471</v>
      </c>
      <c r="D91" s="6" t="s">
        <v>83</v>
      </c>
      <c r="E91" s="34">
        <v>4</v>
      </c>
      <c r="F91" s="35">
        <v>4104</v>
      </c>
      <c r="G91" s="30">
        <v>10</v>
      </c>
      <c r="H91" s="31">
        <v>10260</v>
      </c>
      <c r="I91" s="28">
        <v>10</v>
      </c>
      <c r="J91" s="29">
        <v>10260</v>
      </c>
      <c r="K91" s="28"/>
      <c r="L91" s="29"/>
      <c r="M91" s="28">
        <v>59</v>
      </c>
      <c r="N91" s="29">
        <v>60534</v>
      </c>
      <c r="O91" s="28"/>
      <c r="P91" s="32"/>
      <c r="Q91" s="28"/>
      <c r="R91" s="32"/>
      <c r="S91" s="28"/>
      <c r="T91" s="32"/>
      <c r="U91" s="28"/>
      <c r="V91" s="32"/>
      <c r="W91" s="32"/>
      <c r="X91" s="32"/>
      <c r="Y91" s="32"/>
      <c r="Z91" s="32"/>
      <c r="AA91" s="32"/>
      <c r="AB91" s="32"/>
      <c r="AC91" s="36">
        <f>E91+G91+I91+K91+M91+O91+Q91+S91+U91+W91+Y91+AA91</f>
        <v>83</v>
      </c>
      <c r="AD91" s="33">
        <f>F91+H91+J91+L91+N91+P91+R91+T91+V91+X91+Z91+AB91</f>
        <v>85158</v>
      </c>
    </row>
    <row r="92" spans="1:30" x14ac:dyDescent="0.35">
      <c r="A92" s="5">
        <v>209</v>
      </c>
      <c r="B92" s="10" t="str">
        <f>LEFT(D92,FIND("-",D92)-1)</f>
        <v>STAZ</v>
      </c>
      <c r="C92" s="27" t="s">
        <v>471</v>
      </c>
      <c r="D92" s="6" t="s">
        <v>131</v>
      </c>
      <c r="E92" s="34">
        <v>6</v>
      </c>
      <c r="F92" s="35">
        <v>10260</v>
      </c>
      <c r="G92" s="30">
        <v>20</v>
      </c>
      <c r="H92" s="31">
        <v>34200</v>
      </c>
      <c r="I92" s="28"/>
      <c r="J92" s="29"/>
      <c r="K92" s="28">
        <v>25</v>
      </c>
      <c r="L92" s="29">
        <v>42750</v>
      </c>
      <c r="M92" s="28">
        <v>58</v>
      </c>
      <c r="N92" s="29">
        <v>99180</v>
      </c>
      <c r="O92" s="28"/>
      <c r="P92" s="32"/>
      <c r="Q92" s="28"/>
      <c r="R92" s="32"/>
      <c r="S92" s="28"/>
      <c r="T92" s="32"/>
      <c r="U92" s="28"/>
      <c r="V92" s="32"/>
      <c r="W92" s="32"/>
      <c r="X92" s="32"/>
      <c r="Y92" s="32"/>
      <c r="Z92" s="32"/>
      <c r="AA92" s="32"/>
      <c r="AB92" s="32"/>
      <c r="AC92" s="37">
        <f>E92+G92+I92+K92+M92+O92+Q92+S92+U92+W92+Y92+AA92</f>
        <v>109</v>
      </c>
      <c r="AD92" s="33">
        <f>F92+H92+J92+L92+N92+P92+R92+T92+V92+X92+Z92+AB92</f>
        <v>186390</v>
      </c>
    </row>
    <row r="93" spans="1:30" x14ac:dyDescent="0.35">
      <c r="A93" s="5">
        <v>228</v>
      </c>
      <c r="B93" s="10" t="str">
        <f>LEFT(D93,FIND("-",D93)-1)</f>
        <v>SIOU</v>
      </c>
      <c r="C93" s="27" t="s">
        <v>471</v>
      </c>
      <c r="D93" s="6" t="s">
        <v>388</v>
      </c>
      <c r="E93" s="34"/>
      <c r="F93" s="35"/>
      <c r="G93" s="30">
        <v>12</v>
      </c>
      <c r="H93" s="31">
        <v>9576</v>
      </c>
      <c r="I93" s="28">
        <v>10</v>
      </c>
      <c r="J93" s="29">
        <v>7980</v>
      </c>
      <c r="K93" s="28">
        <v>11</v>
      </c>
      <c r="L93" s="29">
        <v>8778</v>
      </c>
      <c r="M93" s="28">
        <v>55</v>
      </c>
      <c r="N93" s="29">
        <v>43890</v>
      </c>
      <c r="O93" s="28"/>
      <c r="P93" s="32"/>
      <c r="Q93" s="28"/>
      <c r="R93" s="32"/>
      <c r="S93" s="28"/>
      <c r="T93" s="32"/>
      <c r="U93" s="28"/>
      <c r="V93" s="32"/>
      <c r="W93" s="32"/>
      <c r="X93" s="32"/>
      <c r="Y93" s="32"/>
      <c r="Z93" s="32"/>
      <c r="AA93" s="32"/>
      <c r="AB93" s="32"/>
      <c r="AC93" s="36">
        <f>E93+G93+I93+K93+M93+O93+Q93+S93+U93+W93+Y93+AA93</f>
        <v>88</v>
      </c>
      <c r="AD93" s="33">
        <f>F93+H93+J93+L93+N93+P93+R93+T93+V93+X93+Z93+AB93</f>
        <v>70224</v>
      </c>
    </row>
    <row r="94" spans="1:30" x14ac:dyDescent="0.35">
      <c r="A94" s="5">
        <v>43</v>
      </c>
      <c r="B94" s="10" t="str">
        <f>LEFT(D94,FIND("-",D94)-1)</f>
        <v>SIOA001</v>
      </c>
      <c r="C94" s="27" t="s">
        <v>471</v>
      </c>
      <c r="D94" s="6" t="s">
        <v>96</v>
      </c>
      <c r="E94" s="34">
        <v>130</v>
      </c>
      <c r="F94" s="35">
        <v>259350</v>
      </c>
      <c r="G94" s="30">
        <v>70</v>
      </c>
      <c r="H94" s="31">
        <v>139650</v>
      </c>
      <c r="I94" s="28">
        <v>50</v>
      </c>
      <c r="J94" s="29">
        <v>99750</v>
      </c>
      <c r="K94" s="28">
        <v>150</v>
      </c>
      <c r="L94" s="29">
        <v>299250</v>
      </c>
      <c r="M94" s="28">
        <v>50</v>
      </c>
      <c r="N94" s="29">
        <v>99750</v>
      </c>
      <c r="O94" s="28"/>
      <c r="P94" s="32"/>
      <c r="Q94" s="28"/>
      <c r="R94" s="32"/>
      <c r="S94" s="28"/>
      <c r="T94" s="32"/>
      <c r="U94" s="28"/>
      <c r="V94" s="32"/>
      <c r="W94" s="32"/>
      <c r="X94" s="32"/>
      <c r="Y94" s="32"/>
      <c r="Z94" s="32"/>
      <c r="AA94" s="32"/>
      <c r="AB94" s="32"/>
      <c r="AC94" s="36">
        <f>E94+G94+I94+K94+M94+O94+Q94+S94+U94+W94+Y94+AA94</f>
        <v>450</v>
      </c>
      <c r="AD94" s="33">
        <f>F94+H94+J94+L94+N94+P94+R94+T94+V94+X94+Z94+AB94</f>
        <v>897750</v>
      </c>
    </row>
    <row r="95" spans="1:30" x14ac:dyDescent="0.35">
      <c r="A95" s="5">
        <v>241</v>
      </c>
      <c r="B95" s="10" t="str">
        <f>LEFT(D95,FIND("-",D95)-1)</f>
        <v>SIJO</v>
      </c>
      <c r="C95" s="27" t="s">
        <v>471</v>
      </c>
      <c r="D95" s="6" t="s">
        <v>84</v>
      </c>
      <c r="E95" s="34">
        <v>4</v>
      </c>
      <c r="F95" s="35">
        <v>4104</v>
      </c>
      <c r="G95" s="30">
        <v>5</v>
      </c>
      <c r="H95" s="31">
        <v>5130</v>
      </c>
      <c r="I95" s="28">
        <v>10</v>
      </c>
      <c r="J95" s="29">
        <v>10260</v>
      </c>
      <c r="K95" s="28">
        <v>15</v>
      </c>
      <c r="L95" s="29">
        <v>15390</v>
      </c>
      <c r="M95" s="28">
        <v>50</v>
      </c>
      <c r="N95" s="29">
        <v>51300</v>
      </c>
      <c r="O95" s="28"/>
      <c r="P95" s="32"/>
      <c r="Q95" s="28"/>
      <c r="R95" s="32"/>
      <c r="S95" s="28"/>
      <c r="T95" s="32"/>
      <c r="U95" s="28"/>
      <c r="V95" s="32"/>
      <c r="W95" s="32"/>
      <c r="X95" s="32"/>
      <c r="Y95" s="32"/>
      <c r="Z95" s="32"/>
      <c r="AA95" s="32"/>
      <c r="AB95" s="32"/>
      <c r="AC95" s="36">
        <f>E95+G95+I95+K95+M95+O95+Q95+S95+U95+W95+Y95+AA95</f>
        <v>84</v>
      </c>
      <c r="AD95" s="33">
        <f>F95+H95+J95+L95+N95+P95+R95+T95+V95+X95+Z95+AB95</f>
        <v>86184</v>
      </c>
    </row>
    <row r="96" spans="1:30" x14ac:dyDescent="0.35">
      <c r="A96" s="5">
        <v>326</v>
      </c>
      <c r="B96" s="10" t="str">
        <f>LEFT(D96,FIND("-",D96)-1)</f>
        <v>SILL003</v>
      </c>
      <c r="C96" s="27" t="s">
        <v>471</v>
      </c>
      <c r="D96" s="6" t="s">
        <v>382</v>
      </c>
      <c r="E96" s="34"/>
      <c r="F96" s="35"/>
      <c r="G96" s="30">
        <v>3</v>
      </c>
      <c r="H96" s="31">
        <v>5814</v>
      </c>
      <c r="I96" s="28">
        <v>5</v>
      </c>
      <c r="J96" s="29">
        <v>9690</v>
      </c>
      <c r="K96" s="28">
        <v>10</v>
      </c>
      <c r="L96" s="29">
        <v>19380</v>
      </c>
      <c r="M96" s="28">
        <v>50</v>
      </c>
      <c r="N96" s="29">
        <v>96900</v>
      </c>
      <c r="O96" s="28"/>
      <c r="P96" s="32"/>
      <c r="Q96" s="28"/>
      <c r="R96" s="32"/>
      <c r="S96" s="28"/>
      <c r="T96" s="32"/>
      <c r="U96" s="28"/>
      <c r="V96" s="32"/>
      <c r="W96" s="32"/>
      <c r="X96" s="32"/>
      <c r="Y96" s="32"/>
      <c r="Z96" s="32"/>
      <c r="AA96" s="32"/>
      <c r="AB96" s="32"/>
      <c r="AC96" s="36">
        <f>E96+G96+I96+K96+M96+O96+Q96+S96+U96+W96+Y96+AA96</f>
        <v>68</v>
      </c>
      <c r="AD96" s="33">
        <f>F96+H96+J96+L96+N96+P96+R96+T96+V96+X96+Z96+AB96</f>
        <v>131784</v>
      </c>
    </row>
    <row r="97" spans="1:30" x14ac:dyDescent="0.35">
      <c r="A97" s="5">
        <v>110</v>
      </c>
      <c r="B97" s="10" t="str">
        <f>LEFT(D97,FIND("-",D97)-1)</f>
        <v>SJFW</v>
      </c>
      <c r="C97" s="27" t="s">
        <v>471</v>
      </c>
      <c r="D97" s="6" t="s">
        <v>240</v>
      </c>
      <c r="E97" s="34">
        <v>61</v>
      </c>
      <c r="F97" s="35">
        <v>125172</v>
      </c>
      <c r="G97" s="30">
        <v>5</v>
      </c>
      <c r="H97" s="31">
        <v>10260</v>
      </c>
      <c r="I97" s="28">
        <v>33</v>
      </c>
      <c r="J97" s="29">
        <v>67716</v>
      </c>
      <c r="K97" s="28">
        <v>55</v>
      </c>
      <c r="L97" s="29">
        <v>112860</v>
      </c>
      <c r="M97" s="28">
        <v>37</v>
      </c>
      <c r="N97" s="29">
        <v>75924</v>
      </c>
      <c r="O97" s="28"/>
      <c r="P97" s="32"/>
      <c r="Q97" s="28"/>
      <c r="R97" s="32"/>
      <c r="S97" s="28"/>
      <c r="T97" s="32"/>
      <c r="U97" s="28"/>
      <c r="V97" s="32"/>
      <c r="W97" s="32"/>
      <c r="X97" s="32"/>
      <c r="Y97" s="32"/>
      <c r="Z97" s="32"/>
      <c r="AA97" s="32"/>
      <c r="AB97" s="32"/>
      <c r="AC97" s="36">
        <f>E97+G97+I97+K97+M97+O97+Q97+S97+U97+W97+Y97+AA97</f>
        <v>191</v>
      </c>
      <c r="AD97" s="33">
        <f>F97+H97+J97+L97+N97+P97+R97+T97+V97+X97+Z97+AB97</f>
        <v>391932</v>
      </c>
    </row>
    <row r="98" spans="1:30" x14ac:dyDescent="0.35">
      <c r="A98" s="5">
        <v>348</v>
      </c>
      <c r="B98" s="10" t="str">
        <f>LEFT(D98,FIND("-",D98)-1)</f>
        <v>SIUT</v>
      </c>
      <c r="C98" s="27" t="s">
        <v>471</v>
      </c>
      <c r="D98" s="6" t="s">
        <v>398</v>
      </c>
      <c r="E98" s="34"/>
      <c r="F98" s="35"/>
      <c r="G98" s="30">
        <v>6</v>
      </c>
      <c r="H98" s="31">
        <v>8550</v>
      </c>
      <c r="I98" s="28"/>
      <c r="J98" s="29"/>
      <c r="K98" s="28"/>
      <c r="L98" s="29"/>
      <c r="M98" s="28">
        <v>36</v>
      </c>
      <c r="N98" s="29">
        <v>51300</v>
      </c>
      <c r="O98" s="28"/>
      <c r="P98" s="32"/>
      <c r="Q98" s="28"/>
      <c r="R98" s="32"/>
      <c r="S98" s="28"/>
      <c r="T98" s="32"/>
      <c r="U98" s="28"/>
      <c r="V98" s="32"/>
      <c r="W98" s="32"/>
      <c r="X98" s="32"/>
      <c r="Y98" s="32"/>
      <c r="Z98" s="32"/>
      <c r="AA98" s="32"/>
      <c r="AB98" s="32"/>
      <c r="AC98" s="36">
        <f>E98+G98+I98+K98+M98+O98+Q98+S98+U98+W98+Y98+AA98</f>
        <v>42</v>
      </c>
      <c r="AD98" s="33">
        <f>F98+H98+J98+L98+N98+P98+R98+T98+V98+X98+Z98+AB98</f>
        <v>59850</v>
      </c>
    </row>
    <row r="99" spans="1:30" x14ac:dyDescent="0.35">
      <c r="A99" s="5">
        <v>303</v>
      </c>
      <c r="B99" s="10" t="str">
        <f>LEFT(D99,FIND("-",D99)-1)</f>
        <v>SHBB</v>
      </c>
      <c r="C99" s="27" t="s">
        <v>471</v>
      </c>
      <c r="D99" s="6" t="s">
        <v>447</v>
      </c>
      <c r="E99" s="34"/>
      <c r="F99" s="35"/>
      <c r="G99" s="30"/>
      <c r="H99" s="31"/>
      <c r="I99" s="28">
        <v>10</v>
      </c>
      <c r="J99" s="29">
        <v>14250</v>
      </c>
      <c r="K99" s="28">
        <v>40</v>
      </c>
      <c r="L99" s="29">
        <v>57000</v>
      </c>
      <c r="M99" s="28">
        <v>30</v>
      </c>
      <c r="N99" s="29">
        <v>42750</v>
      </c>
      <c r="O99" s="28"/>
      <c r="P99" s="32"/>
      <c r="Q99" s="28"/>
      <c r="R99" s="32"/>
      <c r="S99" s="28"/>
      <c r="T99" s="32"/>
      <c r="U99" s="28"/>
      <c r="V99" s="32"/>
      <c r="W99" s="32"/>
      <c r="X99" s="32"/>
      <c r="Y99" s="32"/>
      <c r="Z99" s="32"/>
      <c r="AA99" s="32"/>
      <c r="AB99" s="32"/>
      <c r="AC99" s="36">
        <f>E99+G99+I99+K99+M99+O99+Q99+S99+U99+W99+Y99+AA99</f>
        <v>80</v>
      </c>
      <c r="AD99" s="33">
        <f>F99+H99+J99+L99+N99+P99+R99+T99+V99+X99+Z99+AB99</f>
        <v>114000</v>
      </c>
    </row>
    <row r="100" spans="1:30" x14ac:dyDescent="0.35">
      <c r="A100" s="5">
        <v>92</v>
      </c>
      <c r="B100" s="10" t="str">
        <f>LEFT(D100,FIND("-",D100)-1)</f>
        <v>SHBA002</v>
      </c>
      <c r="C100" s="27" t="s">
        <v>471</v>
      </c>
      <c r="D100" s="6" t="s">
        <v>443</v>
      </c>
      <c r="E100" s="34"/>
      <c r="F100" s="35"/>
      <c r="G100" s="30"/>
      <c r="H100" s="31"/>
      <c r="I100" s="28">
        <v>106</v>
      </c>
      <c r="J100" s="29">
        <v>271890</v>
      </c>
      <c r="K100" s="28"/>
      <c r="L100" s="29"/>
      <c r="M100" s="28">
        <v>30</v>
      </c>
      <c r="N100" s="29">
        <v>76950</v>
      </c>
      <c r="O100" s="28"/>
      <c r="P100" s="32"/>
      <c r="Q100" s="28"/>
      <c r="R100" s="32"/>
      <c r="S100" s="28"/>
      <c r="T100" s="32"/>
      <c r="U100" s="28"/>
      <c r="V100" s="32"/>
      <c r="W100" s="32"/>
      <c r="X100" s="32"/>
      <c r="Y100" s="32"/>
      <c r="Z100" s="32"/>
      <c r="AA100" s="32"/>
      <c r="AB100" s="32"/>
      <c r="AC100" s="36">
        <f>E100+G100+I100+K100+M100+O100+Q100+S100+U100+W100+Y100+AA100</f>
        <v>136</v>
      </c>
      <c r="AD100" s="33">
        <f>F100+H100+J100+L100+N100+P100+R100+T100+V100+X100+Z100+AB100</f>
        <v>348840</v>
      </c>
    </row>
    <row r="101" spans="1:30" x14ac:dyDescent="0.35">
      <c r="A101" s="5">
        <v>371</v>
      </c>
      <c r="B101" s="10" t="str">
        <f>LEFT(D101,FIND("-",D101)-1)</f>
        <v>SIRA004</v>
      </c>
      <c r="C101" s="27" t="s">
        <v>471</v>
      </c>
      <c r="D101" s="6" t="s">
        <v>390</v>
      </c>
      <c r="E101" s="34"/>
      <c r="F101" s="35"/>
      <c r="G101" s="30">
        <v>4</v>
      </c>
      <c r="H101" s="31">
        <v>9576</v>
      </c>
      <c r="I101" s="28">
        <v>1</v>
      </c>
      <c r="J101" s="29">
        <v>2394</v>
      </c>
      <c r="K101" s="28"/>
      <c r="L101" s="29"/>
      <c r="M101" s="28">
        <v>26</v>
      </c>
      <c r="N101" s="29">
        <v>62244</v>
      </c>
      <c r="O101" s="28"/>
      <c r="P101" s="32"/>
      <c r="Q101" s="28"/>
      <c r="R101" s="32"/>
      <c r="S101" s="28"/>
      <c r="T101" s="32"/>
      <c r="U101" s="28"/>
      <c r="V101" s="32"/>
      <c r="W101" s="32"/>
      <c r="X101" s="32"/>
      <c r="Y101" s="32"/>
      <c r="Z101" s="32"/>
      <c r="AA101" s="32"/>
      <c r="AB101" s="32"/>
      <c r="AC101" s="36">
        <f>E101+G101+I101+K101+M101+O101+Q101+S101+U101+W101+Y101+AA101</f>
        <v>31</v>
      </c>
      <c r="AD101" s="33">
        <f>F101+H101+J101+L101+N101+P101+R101+T101+V101+X101+Z101+AB101</f>
        <v>74214</v>
      </c>
    </row>
    <row r="102" spans="1:30" x14ac:dyDescent="0.35">
      <c r="A102" s="5">
        <v>133</v>
      </c>
      <c r="B102" s="10" t="str">
        <f>LEFT(D102,FIND("-",D102)-1)</f>
        <v>SIHF</v>
      </c>
      <c r="C102" s="27" t="s">
        <v>471</v>
      </c>
      <c r="D102" s="6" t="s">
        <v>124</v>
      </c>
      <c r="E102" s="34">
        <v>50</v>
      </c>
      <c r="F102" s="35">
        <v>102600</v>
      </c>
      <c r="G102" s="30">
        <v>6</v>
      </c>
      <c r="H102" s="31">
        <v>12312</v>
      </c>
      <c r="I102" s="28">
        <v>20</v>
      </c>
      <c r="J102" s="29">
        <v>41040</v>
      </c>
      <c r="K102" s="28">
        <v>202</v>
      </c>
      <c r="L102" s="29">
        <v>414504</v>
      </c>
      <c r="M102" s="28">
        <v>22</v>
      </c>
      <c r="N102" s="29">
        <v>45144</v>
      </c>
      <c r="O102" s="28"/>
      <c r="P102" s="32"/>
      <c r="Q102" s="28"/>
      <c r="R102" s="32"/>
      <c r="S102" s="28"/>
      <c r="T102" s="32"/>
      <c r="U102" s="28"/>
      <c r="V102" s="32"/>
      <c r="W102" s="32"/>
      <c r="X102" s="32"/>
      <c r="Y102" s="32"/>
      <c r="Z102" s="32"/>
      <c r="AA102" s="32"/>
      <c r="AB102" s="32"/>
      <c r="AC102" s="36">
        <f>E102+G102+I102+K102+M102+O102+Q102+S102+U102+W102+Y102+AA102</f>
        <v>300</v>
      </c>
      <c r="AD102" s="33">
        <f>F102+H102+J102+L102+N102+P102+R102+T102+V102+X102+Z102+AB102</f>
        <v>615600</v>
      </c>
    </row>
    <row r="103" spans="1:30" x14ac:dyDescent="0.35">
      <c r="A103" s="5">
        <v>176</v>
      </c>
      <c r="B103" s="10" t="str">
        <f>LEFT(D103,FIND("-",D103)-1)</f>
        <v>SIJF</v>
      </c>
      <c r="C103" s="27" t="s">
        <v>471</v>
      </c>
      <c r="D103" s="6" t="s">
        <v>81</v>
      </c>
      <c r="E103" s="34">
        <v>5</v>
      </c>
      <c r="F103" s="35">
        <v>9120</v>
      </c>
      <c r="G103" s="30">
        <v>22</v>
      </c>
      <c r="H103" s="31">
        <v>40128</v>
      </c>
      <c r="I103" s="28">
        <v>9</v>
      </c>
      <c r="J103" s="29">
        <v>16416</v>
      </c>
      <c r="K103" s="28"/>
      <c r="L103" s="29"/>
      <c r="M103" s="28">
        <v>20</v>
      </c>
      <c r="N103" s="29">
        <v>36480</v>
      </c>
      <c r="O103" s="28"/>
      <c r="P103" s="32"/>
      <c r="Q103" s="28"/>
      <c r="R103" s="32"/>
      <c r="S103" s="28"/>
      <c r="T103" s="32"/>
      <c r="U103" s="28"/>
      <c r="V103" s="32"/>
      <c r="W103" s="32"/>
      <c r="X103" s="32"/>
      <c r="Y103" s="32"/>
      <c r="Z103" s="32"/>
      <c r="AA103" s="32"/>
      <c r="AB103" s="32"/>
      <c r="AC103" s="36">
        <f>E103+G103+I103+K103+M103+O103+Q103+S103+U103+W103+Y103+AA103</f>
        <v>56</v>
      </c>
      <c r="AD103" s="33">
        <f>F103+H103+J103+L103+N103+P103+R103+T103+V103+X103+Z103+AB103</f>
        <v>102144</v>
      </c>
    </row>
    <row r="104" spans="1:30" x14ac:dyDescent="0.35">
      <c r="A104" s="5">
        <v>328</v>
      </c>
      <c r="B104" s="10" t="str">
        <f>LEFT(D104,FIND("-",D104)-1)</f>
        <v>SILL005</v>
      </c>
      <c r="C104" s="27" t="s">
        <v>471</v>
      </c>
      <c r="D104" s="6" t="s">
        <v>384</v>
      </c>
      <c r="E104" s="34"/>
      <c r="F104" s="35"/>
      <c r="G104" s="30">
        <v>3</v>
      </c>
      <c r="H104" s="31">
        <v>5814</v>
      </c>
      <c r="I104" s="28">
        <v>5</v>
      </c>
      <c r="J104" s="29">
        <v>9690</v>
      </c>
      <c r="K104" s="28"/>
      <c r="L104" s="29"/>
      <c r="M104" s="28">
        <v>20</v>
      </c>
      <c r="N104" s="29">
        <v>38760</v>
      </c>
      <c r="O104" s="28"/>
      <c r="P104" s="32"/>
      <c r="Q104" s="28"/>
      <c r="R104" s="32"/>
      <c r="S104" s="28"/>
      <c r="T104" s="32"/>
      <c r="U104" s="28"/>
      <c r="V104" s="32"/>
      <c r="W104" s="32"/>
      <c r="X104" s="32"/>
      <c r="Y104" s="32"/>
      <c r="Z104" s="32"/>
      <c r="AA104" s="32"/>
      <c r="AB104" s="32"/>
      <c r="AC104" s="36">
        <f>E104+G104+I104+K104+M104+O104+Q104+S104+U104+W104+Y104+AA104</f>
        <v>28</v>
      </c>
      <c r="AD104" s="33">
        <f>F104+H104+J104+L104+N104+P104+R104+T104+V104+X104+Z104+AB104</f>
        <v>54264</v>
      </c>
    </row>
    <row r="105" spans="1:30" x14ac:dyDescent="0.35">
      <c r="A105" s="5">
        <v>329</v>
      </c>
      <c r="B105" s="10" t="str">
        <f>LEFT(D105,FIND("-",D105)-1)</f>
        <v>SILL009</v>
      </c>
      <c r="C105" s="27" t="s">
        <v>471</v>
      </c>
      <c r="D105" s="6" t="s">
        <v>385</v>
      </c>
      <c r="E105" s="34"/>
      <c r="F105" s="35"/>
      <c r="G105" s="30">
        <v>3</v>
      </c>
      <c r="H105" s="31">
        <v>5814</v>
      </c>
      <c r="I105" s="28">
        <v>5</v>
      </c>
      <c r="J105" s="29">
        <v>9690</v>
      </c>
      <c r="K105" s="28"/>
      <c r="L105" s="29"/>
      <c r="M105" s="28">
        <v>20</v>
      </c>
      <c r="N105" s="29">
        <v>38760</v>
      </c>
      <c r="O105" s="28"/>
      <c r="P105" s="32"/>
      <c r="Q105" s="28"/>
      <c r="R105" s="32"/>
      <c r="S105" s="28"/>
      <c r="T105" s="32"/>
      <c r="U105" s="28"/>
      <c r="V105" s="32"/>
      <c r="W105" s="32"/>
      <c r="X105" s="32"/>
      <c r="Y105" s="32"/>
      <c r="Z105" s="32"/>
      <c r="AA105" s="32"/>
      <c r="AB105" s="32"/>
      <c r="AC105" s="36">
        <f>E105+G105+I105+K105+M105+O105+Q105+S105+U105+W105+Y105+AA105</f>
        <v>28</v>
      </c>
      <c r="AD105" s="33">
        <f>F105+H105+J105+L105+N105+P105+R105+T105+V105+X105+Z105+AB105</f>
        <v>54264</v>
      </c>
    </row>
    <row r="106" spans="1:30" x14ac:dyDescent="0.35">
      <c r="A106" s="5">
        <v>334</v>
      </c>
      <c r="B106" s="10" t="str">
        <f>LEFT(D106,FIND("-",D106)-1)</f>
        <v>SILE003</v>
      </c>
      <c r="C106" s="27" t="s">
        <v>471</v>
      </c>
      <c r="D106" s="6" t="s">
        <v>459</v>
      </c>
      <c r="E106" s="34"/>
      <c r="F106" s="35"/>
      <c r="G106" s="30"/>
      <c r="H106" s="31"/>
      <c r="I106" s="28">
        <v>7</v>
      </c>
      <c r="J106" s="29">
        <v>12768</v>
      </c>
      <c r="K106" s="28">
        <v>7</v>
      </c>
      <c r="L106" s="29">
        <v>12768</v>
      </c>
      <c r="M106" s="28">
        <v>18</v>
      </c>
      <c r="N106" s="29">
        <v>32832</v>
      </c>
      <c r="O106" s="28"/>
      <c r="P106" s="32"/>
      <c r="Q106" s="28"/>
      <c r="R106" s="32"/>
      <c r="S106" s="28"/>
      <c r="T106" s="32"/>
      <c r="U106" s="28"/>
      <c r="V106" s="32"/>
      <c r="W106" s="32"/>
      <c r="X106" s="32"/>
      <c r="Y106" s="32"/>
      <c r="Z106" s="32"/>
      <c r="AA106" s="32"/>
      <c r="AB106" s="32"/>
      <c r="AC106" s="36">
        <f>E106+G106+I106+K106+M106+O106+Q106+S106+U106+W106+Y106+AA106</f>
        <v>32</v>
      </c>
      <c r="AD106" s="33">
        <f>F106+H106+J106+L106+N106+P106+R106+T106+V106+X106+Z106+AB106</f>
        <v>58368</v>
      </c>
    </row>
    <row r="107" spans="1:30" x14ac:dyDescent="0.35">
      <c r="A107" s="5">
        <v>324</v>
      </c>
      <c r="B107" s="10" t="str">
        <f>LEFT(D107,FIND("-",D107)-1)</f>
        <v>SILE002</v>
      </c>
      <c r="C107" s="27" t="s">
        <v>471</v>
      </c>
      <c r="D107" s="6" t="s">
        <v>130</v>
      </c>
      <c r="E107" s="34">
        <v>3</v>
      </c>
      <c r="F107" s="35">
        <v>5472</v>
      </c>
      <c r="G107" s="30"/>
      <c r="H107" s="31"/>
      <c r="I107" s="28">
        <v>5</v>
      </c>
      <c r="J107" s="29">
        <v>9120</v>
      </c>
      <c r="K107" s="28">
        <v>5</v>
      </c>
      <c r="L107" s="29">
        <v>9120</v>
      </c>
      <c r="M107" s="28">
        <v>18</v>
      </c>
      <c r="N107" s="29">
        <v>32832</v>
      </c>
      <c r="O107" s="28"/>
      <c r="P107" s="32"/>
      <c r="Q107" s="28"/>
      <c r="R107" s="32"/>
      <c r="S107" s="28"/>
      <c r="T107" s="32"/>
      <c r="U107" s="28"/>
      <c r="V107" s="32"/>
      <c r="W107" s="32"/>
      <c r="X107" s="32"/>
      <c r="Y107" s="32"/>
      <c r="Z107" s="32"/>
      <c r="AA107" s="32"/>
      <c r="AB107" s="32"/>
      <c r="AC107" s="36">
        <f>E107+G107+I107+K107+M107+O107+Q107+S107+U107+W107+Y107+AA107</f>
        <v>31</v>
      </c>
      <c r="AD107" s="33">
        <f>F107+H107+J107+L107+N107+P107+R107+T107+V107+X107+Z107+AB107</f>
        <v>56544</v>
      </c>
    </row>
    <row r="108" spans="1:30" x14ac:dyDescent="0.35">
      <c r="A108" s="5">
        <v>285</v>
      </c>
      <c r="B108" s="10" t="str">
        <f>LEFT(D108,FIND("-",D108)-1)</f>
        <v>SILE004</v>
      </c>
      <c r="C108" s="27" t="s">
        <v>471</v>
      </c>
      <c r="D108" s="6" t="s">
        <v>133</v>
      </c>
      <c r="E108" s="34">
        <v>2</v>
      </c>
      <c r="F108" s="35">
        <v>3648</v>
      </c>
      <c r="G108" s="30"/>
      <c r="H108" s="31"/>
      <c r="I108" s="28">
        <v>10</v>
      </c>
      <c r="J108" s="29">
        <v>18240</v>
      </c>
      <c r="K108" s="28">
        <v>3</v>
      </c>
      <c r="L108" s="29">
        <v>5472</v>
      </c>
      <c r="M108" s="28">
        <v>15</v>
      </c>
      <c r="N108" s="29">
        <v>27360</v>
      </c>
      <c r="O108" s="28"/>
      <c r="P108" s="32"/>
      <c r="Q108" s="28"/>
      <c r="R108" s="32"/>
      <c r="S108" s="28"/>
      <c r="T108" s="32"/>
      <c r="U108" s="28"/>
      <c r="V108" s="32"/>
      <c r="W108" s="32"/>
      <c r="X108" s="32"/>
      <c r="Y108" s="32"/>
      <c r="Z108" s="32"/>
      <c r="AA108" s="32"/>
      <c r="AB108" s="32"/>
      <c r="AC108" s="37">
        <f>E108+G108+I108+K108+M108+O108+Q108+S108+U108+W108+Y108+AA108</f>
        <v>30</v>
      </c>
      <c r="AD108" s="33">
        <f>F108+H108+J108+L108+N108+P108+R108+T108+V108+X108+Z108+AB108</f>
        <v>54720</v>
      </c>
    </row>
    <row r="109" spans="1:30" x14ac:dyDescent="0.35">
      <c r="A109" s="5">
        <v>249</v>
      </c>
      <c r="B109" s="10" t="str">
        <f>LEFT(D109,FIND("-",D109)-1)</f>
        <v>SIOV</v>
      </c>
      <c r="C109" s="27" t="s">
        <v>471</v>
      </c>
      <c r="D109" s="6" t="s">
        <v>389</v>
      </c>
      <c r="E109" s="34"/>
      <c r="F109" s="35"/>
      <c r="G109" s="30">
        <v>7</v>
      </c>
      <c r="H109" s="31">
        <v>5586</v>
      </c>
      <c r="I109" s="28">
        <v>10</v>
      </c>
      <c r="J109" s="29">
        <v>7980</v>
      </c>
      <c r="K109" s="28">
        <v>2</v>
      </c>
      <c r="L109" s="29">
        <v>1596</v>
      </c>
      <c r="M109" s="28">
        <v>15</v>
      </c>
      <c r="N109" s="29">
        <v>11970</v>
      </c>
      <c r="O109" s="28"/>
      <c r="P109" s="32"/>
      <c r="Q109" s="28"/>
      <c r="R109" s="32"/>
      <c r="S109" s="28"/>
      <c r="T109" s="32"/>
      <c r="U109" s="28"/>
      <c r="V109" s="32"/>
      <c r="W109" s="32"/>
      <c r="X109" s="32"/>
      <c r="Y109" s="32"/>
      <c r="Z109" s="32"/>
      <c r="AA109" s="32"/>
      <c r="AB109" s="32"/>
      <c r="AC109" s="36">
        <f>E109+G109+I109+K109+M109+O109+Q109+S109+U109+W109+Y109+AA109</f>
        <v>34</v>
      </c>
      <c r="AD109" s="33">
        <f>F109+H109+J109+L109+N109+P109+R109+T109+V109+X109+Z109+AB109</f>
        <v>27132</v>
      </c>
    </row>
    <row r="110" spans="1:30" x14ac:dyDescent="0.35">
      <c r="A110" s="5">
        <v>151</v>
      </c>
      <c r="B110" s="10" t="str">
        <f>LEFT(D110,FIND("-",D110)-1)</f>
        <v>STMZ</v>
      </c>
      <c r="C110" s="27" t="s">
        <v>471</v>
      </c>
      <c r="D110" s="6" t="s">
        <v>241</v>
      </c>
      <c r="E110" s="34">
        <v>9</v>
      </c>
      <c r="F110" s="35">
        <v>12825</v>
      </c>
      <c r="G110" s="30">
        <v>20</v>
      </c>
      <c r="H110" s="31">
        <v>28500</v>
      </c>
      <c r="I110" s="28">
        <v>31</v>
      </c>
      <c r="J110" s="29">
        <v>44175</v>
      </c>
      <c r="K110" s="28">
        <v>7</v>
      </c>
      <c r="L110" s="29">
        <v>9975</v>
      </c>
      <c r="M110" s="28">
        <v>14</v>
      </c>
      <c r="N110" s="29">
        <v>19950</v>
      </c>
      <c r="O110" s="28"/>
      <c r="P110" s="32"/>
      <c r="Q110" s="28"/>
      <c r="R110" s="32"/>
      <c r="S110" s="28"/>
      <c r="T110" s="32"/>
      <c r="U110" s="28"/>
      <c r="V110" s="32"/>
      <c r="W110" s="32"/>
      <c r="X110" s="32"/>
      <c r="Y110" s="32"/>
      <c r="Z110" s="32"/>
      <c r="AA110" s="32"/>
      <c r="AB110" s="32"/>
      <c r="AC110" s="36">
        <f>E110+G110+I110+K110+M110+O110+Q110+S110+U110+W110+Y110+AA110</f>
        <v>81</v>
      </c>
      <c r="AD110" s="33">
        <f>F110+H110+J110+L110+N110+P110+R110+T110+V110+X110+Z110+AB110</f>
        <v>115425</v>
      </c>
    </row>
    <row r="111" spans="1:30" x14ac:dyDescent="0.35">
      <c r="A111" s="5">
        <v>180</v>
      </c>
      <c r="B111" s="10" t="str">
        <f>LEFT(D111,FIND("-",D111)-1)</f>
        <v>SIOB</v>
      </c>
      <c r="C111" s="27" t="s">
        <v>471</v>
      </c>
      <c r="D111" s="6" t="s">
        <v>98</v>
      </c>
      <c r="E111" s="34">
        <v>22</v>
      </c>
      <c r="F111" s="35">
        <v>43890</v>
      </c>
      <c r="G111" s="30">
        <v>6</v>
      </c>
      <c r="H111" s="31">
        <v>11970</v>
      </c>
      <c r="I111" s="28">
        <v>5</v>
      </c>
      <c r="J111" s="29">
        <v>9975</v>
      </c>
      <c r="K111" s="28">
        <v>16</v>
      </c>
      <c r="L111" s="29">
        <v>31920</v>
      </c>
      <c r="M111" s="28">
        <v>11</v>
      </c>
      <c r="N111" s="29">
        <v>21945</v>
      </c>
      <c r="O111" s="28"/>
      <c r="P111" s="32"/>
      <c r="Q111" s="28"/>
      <c r="R111" s="32"/>
      <c r="S111" s="28"/>
      <c r="T111" s="32"/>
      <c r="U111" s="28"/>
      <c r="V111" s="32"/>
      <c r="W111" s="32"/>
      <c r="X111" s="32"/>
      <c r="Y111" s="32"/>
      <c r="Z111" s="32"/>
      <c r="AA111" s="32"/>
      <c r="AB111" s="32"/>
      <c r="AC111" s="36">
        <f>E111+G111+I111+K111+M111+O111+Q111+S111+U111+W111+Y111+AA111</f>
        <v>60</v>
      </c>
      <c r="AD111" s="33">
        <f>F111+H111+J111+L111+N111+P111+R111+T111+V111+X111+Z111+AB111</f>
        <v>119700</v>
      </c>
    </row>
    <row r="112" spans="1:30" x14ac:dyDescent="0.35">
      <c r="A112" s="5">
        <v>13</v>
      </c>
      <c r="B112" s="10" t="str">
        <f>LEFT(D112,FIND("-",D112)-1)</f>
        <v>SINO002</v>
      </c>
      <c r="C112" s="27" t="s">
        <v>471</v>
      </c>
      <c r="D112" s="6" t="s">
        <v>237</v>
      </c>
      <c r="E112" s="34">
        <v>485</v>
      </c>
      <c r="F112" s="35">
        <v>552900</v>
      </c>
      <c r="G112" s="30">
        <v>175</v>
      </c>
      <c r="H112" s="31">
        <v>199500</v>
      </c>
      <c r="I112" s="28">
        <v>100</v>
      </c>
      <c r="J112" s="29">
        <v>114000</v>
      </c>
      <c r="K112" s="28">
        <v>251</v>
      </c>
      <c r="L112" s="29">
        <v>286140</v>
      </c>
      <c r="M112" s="28">
        <v>10</v>
      </c>
      <c r="N112" s="29">
        <v>11400</v>
      </c>
      <c r="O112" s="28"/>
      <c r="P112" s="32"/>
      <c r="Q112" s="28"/>
      <c r="R112" s="32"/>
      <c r="S112" s="28"/>
      <c r="T112" s="32"/>
      <c r="U112" s="28"/>
      <c r="V112" s="32"/>
      <c r="W112" s="32"/>
      <c r="X112" s="32"/>
      <c r="Y112" s="32"/>
      <c r="Z112" s="32"/>
      <c r="AA112" s="32"/>
      <c r="AB112" s="32"/>
      <c r="AC112" s="36">
        <f>E112+G112+I112+K112+M112+O112+Q112+S112+U112+W112+Y112+AA112</f>
        <v>1021</v>
      </c>
      <c r="AD112" s="33">
        <f>F112+H112+J112+L112+N112+P112+R112+T112+V112+X112+Z112+AB112</f>
        <v>1163940</v>
      </c>
    </row>
    <row r="113" spans="1:30" x14ac:dyDescent="0.35">
      <c r="A113" s="5">
        <v>255</v>
      </c>
      <c r="B113" s="10" t="str">
        <f>LEFT(D113,FIND("-",D113)-1)</f>
        <v>SIED002</v>
      </c>
      <c r="C113" s="27" t="s">
        <v>471</v>
      </c>
      <c r="D113" s="6" t="s">
        <v>452</v>
      </c>
      <c r="E113" s="34"/>
      <c r="F113" s="35"/>
      <c r="G113" s="30"/>
      <c r="H113" s="31"/>
      <c r="I113" s="28">
        <v>16</v>
      </c>
      <c r="J113" s="29">
        <v>52896</v>
      </c>
      <c r="K113" s="28">
        <v>15</v>
      </c>
      <c r="L113" s="29">
        <v>49590</v>
      </c>
      <c r="M113" s="28">
        <v>10</v>
      </c>
      <c r="N113" s="29">
        <v>33060</v>
      </c>
      <c r="O113" s="28"/>
      <c r="P113" s="32"/>
      <c r="Q113" s="28"/>
      <c r="R113" s="32"/>
      <c r="S113" s="28"/>
      <c r="T113" s="32"/>
      <c r="U113" s="28"/>
      <c r="V113" s="32"/>
      <c r="W113" s="32"/>
      <c r="X113" s="32"/>
      <c r="Y113" s="32"/>
      <c r="Z113" s="32"/>
      <c r="AA113" s="32"/>
      <c r="AB113" s="32"/>
      <c r="AC113" s="36">
        <f>E113+G113+I113+K113+M113+O113+Q113+S113+U113+W113+Y113+AA113</f>
        <v>41</v>
      </c>
      <c r="AD113" s="33">
        <f>F113+H113+J113+L113+N113+P113+R113+T113+V113+X113+Z113+AB113</f>
        <v>135546</v>
      </c>
    </row>
    <row r="114" spans="1:30" x14ac:dyDescent="0.35">
      <c r="A114" s="5">
        <v>79</v>
      </c>
      <c r="B114" s="10" t="str">
        <f>LEFT(D114,FIND("-",D114)-1)</f>
        <v>SJFG</v>
      </c>
      <c r="C114" s="27" t="s">
        <v>471</v>
      </c>
      <c r="D114" s="6" t="s">
        <v>105</v>
      </c>
      <c r="E114" s="34">
        <v>92</v>
      </c>
      <c r="F114" s="35">
        <v>125856</v>
      </c>
      <c r="G114" s="30">
        <v>12</v>
      </c>
      <c r="H114" s="31">
        <v>16416</v>
      </c>
      <c r="I114" s="28">
        <v>34</v>
      </c>
      <c r="J114" s="29">
        <v>46512</v>
      </c>
      <c r="K114" s="28">
        <v>10</v>
      </c>
      <c r="L114" s="29">
        <v>13680</v>
      </c>
      <c r="M114" s="28">
        <v>10</v>
      </c>
      <c r="N114" s="29">
        <v>13680</v>
      </c>
      <c r="O114" s="28"/>
      <c r="P114" s="32"/>
      <c r="Q114" s="28"/>
      <c r="R114" s="32"/>
      <c r="S114" s="28"/>
      <c r="T114" s="32"/>
      <c r="U114" s="28"/>
      <c r="V114" s="32"/>
      <c r="W114" s="32"/>
      <c r="X114" s="32"/>
      <c r="Y114" s="32"/>
      <c r="Z114" s="32"/>
      <c r="AA114" s="32"/>
      <c r="AB114" s="32"/>
      <c r="AC114" s="36">
        <f>E114+G114+I114+K114+M114+O114+Q114+S114+U114+W114+Y114+AA114</f>
        <v>158</v>
      </c>
      <c r="AD114" s="33">
        <f>F114+H114+J114+L114+N114+P114+R114+T114+V114+X114+Z114+AB114</f>
        <v>216144</v>
      </c>
    </row>
    <row r="115" spans="1:30" x14ac:dyDescent="0.35">
      <c r="A115" s="5">
        <v>443</v>
      </c>
      <c r="B115" s="10" t="str">
        <f>LEFT(D115,FIND("-",D115)-1)</f>
        <v>SIED001</v>
      </c>
      <c r="C115" s="27" t="s">
        <v>471</v>
      </c>
      <c r="D115" s="6" t="s">
        <v>451</v>
      </c>
      <c r="E115" s="34"/>
      <c r="F115" s="35"/>
      <c r="G115" s="30"/>
      <c r="H115" s="31"/>
      <c r="I115" s="28">
        <v>1</v>
      </c>
      <c r="J115" s="29">
        <v>3306</v>
      </c>
      <c r="K115" s="28">
        <v>10</v>
      </c>
      <c r="L115" s="29">
        <v>33060</v>
      </c>
      <c r="M115" s="28">
        <v>10</v>
      </c>
      <c r="N115" s="29">
        <v>33060</v>
      </c>
      <c r="O115" s="28"/>
      <c r="P115" s="32"/>
      <c r="Q115" s="28"/>
      <c r="R115" s="32"/>
      <c r="S115" s="28"/>
      <c r="T115" s="32"/>
      <c r="U115" s="28"/>
      <c r="V115" s="32"/>
      <c r="W115" s="32"/>
      <c r="X115" s="32"/>
      <c r="Y115" s="32"/>
      <c r="Z115" s="32"/>
      <c r="AA115" s="32"/>
      <c r="AB115" s="32"/>
      <c r="AC115" s="36">
        <f>E115+G115+I115+K115+M115+O115+Q115+S115+U115+W115+Y115+AA115</f>
        <v>21</v>
      </c>
      <c r="AD115" s="33">
        <f>F115+H115+J115+L115+N115+P115+R115+T115+V115+X115+Z115+AB115</f>
        <v>69426</v>
      </c>
    </row>
    <row r="116" spans="1:30" x14ac:dyDescent="0.35">
      <c r="A116" s="5">
        <v>304</v>
      </c>
      <c r="B116" s="10" t="str">
        <f>LEFT(D116,FIND("-",D116)-1)</f>
        <v>SIED004</v>
      </c>
      <c r="C116" s="27" t="s">
        <v>471</v>
      </c>
      <c r="D116" s="6" t="s">
        <v>78</v>
      </c>
      <c r="E116" s="34">
        <v>3</v>
      </c>
      <c r="F116" s="35">
        <v>9918</v>
      </c>
      <c r="G116" s="30"/>
      <c r="H116" s="31"/>
      <c r="I116" s="28">
        <v>7</v>
      </c>
      <c r="J116" s="29">
        <v>23142</v>
      </c>
      <c r="K116" s="28">
        <v>3</v>
      </c>
      <c r="L116" s="29">
        <v>9918</v>
      </c>
      <c r="M116" s="28">
        <v>10</v>
      </c>
      <c r="N116" s="29">
        <v>33060</v>
      </c>
      <c r="O116" s="28"/>
      <c r="P116" s="32"/>
      <c r="Q116" s="28"/>
      <c r="R116" s="32"/>
      <c r="S116" s="28"/>
      <c r="T116" s="32"/>
      <c r="U116" s="28"/>
      <c r="V116" s="32"/>
      <c r="W116" s="32"/>
      <c r="X116" s="32"/>
      <c r="Y116" s="32"/>
      <c r="Z116" s="32"/>
      <c r="AA116" s="32"/>
      <c r="AB116" s="32"/>
      <c r="AC116" s="36">
        <f>E116+G116+I116+K116+M116+O116+Q116+S116+U116+W116+Y116+AA116</f>
        <v>23</v>
      </c>
      <c r="AD116" s="33">
        <f>F116+H116+J116+L116+N116+P116+R116+T116+V116+X116+Z116+AB116</f>
        <v>76038</v>
      </c>
    </row>
    <row r="117" spans="1:30" x14ac:dyDescent="0.35">
      <c r="A117" s="5">
        <v>99</v>
      </c>
      <c r="B117" s="10" t="str">
        <f>LEFT(D117,FIND("-",D117)-1)</f>
        <v>SHBA005</v>
      </c>
      <c r="C117" s="27" t="s">
        <v>471</v>
      </c>
      <c r="D117" s="6" t="s">
        <v>446</v>
      </c>
      <c r="E117" s="34"/>
      <c r="F117" s="35"/>
      <c r="G117" s="30"/>
      <c r="H117" s="31"/>
      <c r="I117" s="28">
        <v>103</v>
      </c>
      <c r="J117" s="29">
        <v>264195</v>
      </c>
      <c r="K117" s="28"/>
      <c r="L117" s="29"/>
      <c r="M117" s="28">
        <v>10</v>
      </c>
      <c r="N117" s="29">
        <v>25650</v>
      </c>
      <c r="O117" s="28"/>
      <c r="P117" s="32"/>
      <c r="Q117" s="28"/>
      <c r="R117" s="32"/>
      <c r="S117" s="28"/>
      <c r="T117" s="32"/>
      <c r="U117" s="28"/>
      <c r="V117" s="32"/>
      <c r="W117" s="32"/>
      <c r="X117" s="32"/>
      <c r="Y117" s="32"/>
      <c r="Z117" s="32"/>
      <c r="AA117" s="32"/>
      <c r="AB117" s="32"/>
      <c r="AC117" s="36">
        <f>E117+G117+I117+K117+M117+O117+Q117+S117+U117+W117+Y117+AA117</f>
        <v>113</v>
      </c>
      <c r="AD117" s="33">
        <f>F117+H117+J117+L117+N117+P117+R117+T117+V117+X117+Z117+AB117</f>
        <v>289845</v>
      </c>
    </row>
    <row r="118" spans="1:30" x14ac:dyDescent="0.35">
      <c r="A118" s="5">
        <v>397</v>
      </c>
      <c r="B118" s="10" t="str">
        <f>LEFT(D118,FIND("-",D118)-1)</f>
        <v>SIRA005</v>
      </c>
      <c r="C118" s="27" t="s">
        <v>471</v>
      </c>
      <c r="D118" s="6" t="s">
        <v>391</v>
      </c>
      <c r="E118" s="34"/>
      <c r="F118" s="35"/>
      <c r="G118" s="30">
        <v>3</v>
      </c>
      <c r="H118" s="31">
        <v>7182</v>
      </c>
      <c r="I118" s="28"/>
      <c r="J118" s="29"/>
      <c r="K118" s="28"/>
      <c r="L118" s="29"/>
      <c r="M118" s="28">
        <v>10</v>
      </c>
      <c r="N118" s="29">
        <v>23940</v>
      </c>
      <c r="O118" s="28"/>
      <c r="P118" s="32"/>
      <c r="Q118" s="28"/>
      <c r="R118" s="32"/>
      <c r="S118" s="28"/>
      <c r="T118" s="32"/>
      <c r="U118" s="28"/>
      <c r="V118" s="32"/>
      <c r="W118" s="32"/>
      <c r="X118" s="32"/>
      <c r="Y118" s="32"/>
      <c r="Z118" s="32"/>
      <c r="AA118" s="32"/>
      <c r="AB118" s="32"/>
      <c r="AC118" s="36">
        <f>E118+G118+I118+K118+M118+O118+Q118+S118+U118+W118+Y118+AA118</f>
        <v>13</v>
      </c>
      <c r="AD118" s="33">
        <f>F118+H118+J118+L118+N118+P118+R118+T118+V118+X118+Z118+AB118</f>
        <v>31122</v>
      </c>
    </row>
    <row r="119" spans="1:30" x14ac:dyDescent="0.35">
      <c r="A119" s="5">
        <v>433</v>
      </c>
      <c r="B119" s="10" t="str">
        <f>LEFT(D119,FIND("-",D119)-1)</f>
        <v>SIWG</v>
      </c>
      <c r="C119" s="27" t="s">
        <v>471</v>
      </c>
      <c r="D119" s="6" t="s">
        <v>522</v>
      </c>
      <c r="E119" s="34"/>
      <c r="F119" s="35"/>
      <c r="G119" s="30"/>
      <c r="H119" s="31"/>
      <c r="I119" s="28"/>
      <c r="J119" s="29"/>
      <c r="K119" s="28"/>
      <c r="L119" s="29"/>
      <c r="M119" s="28">
        <v>10</v>
      </c>
      <c r="N119" s="29">
        <v>17100</v>
      </c>
      <c r="O119" s="28"/>
      <c r="P119" s="32"/>
      <c r="Q119" s="28"/>
      <c r="R119" s="32"/>
      <c r="S119" s="28"/>
      <c r="T119" s="32"/>
      <c r="U119" s="28"/>
      <c r="V119" s="32"/>
      <c r="W119" s="32"/>
      <c r="X119" s="32"/>
      <c r="Y119" s="32"/>
      <c r="Z119" s="32"/>
      <c r="AA119" s="32"/>
      <c r="AB119" s="32"/>
      <c r="AC119" s="37">
        <f>E119+G119+I119+K119+M119+O119+Q119+S119+U119+W119+Y119+AA119</f>
        <v>10</v>
      </c>
      <c r="AD119" s="33">
        <f>F119+H119+J119+L119+N119+P119+R119+T119+V119+X119+Z119+AB119</f>
        <v>17100</v>
      </c>
    </row>
    <row r="120" spans="1:30" x14ac:dyDescent="0.35">
      <c r="A120" s="5">
        <v>370</v>
      </c>
      <c r="B120" s="10" t="str">
        <f>LEFT(D120,FIND("-",D120)-1)</f>
        <v>SIRA002</v>
      </c>
      <c r="C120" s="27" t="s">
        <v>471</v>
      </c>
      <c r="D120" s="6" t="s">
        <v>100</v>
      </c>
      <c r="E120" s="34">
        <v>2</v>
      </c>
      <c r="F120" s="35">
        <v>4788</v>
      </c>
      <c r="G120" s="30">
        <v>3</v>
      </c>
      <c r="H120" s="31">
        <v>7182</v>
      </c>
      <c r="I120" s="28"/>
      <c r="J120" s="29"/>
      <c r="K120" s="28"/>
      <c r="L120" s="29"/>
      <c r="M120" s="28">
        <v>6</v>
      </c>
      <c r="N120" s="29">
        <v>14364</v>
      </c>
      <c r="O120" s="28"/>
      <c r="P120" s="32"/>
      <c r="Q120" s="28"/>
      <c r="R120" s="32"/>
      <c r="S120" s="28"/>
      <c r="T120" s="32"/>
      <c r="U120" s="28"/>
      <c r="V120" s="32"/>
      <c r="W120" s="32"/>
      <c r="X120" s="32"/>
      <c r="Y120" s="32"/>
      <c r="Z120" s="32"/>
      <c r="AA120" s="32"/>
      <c r="AB120" s="32"/>
      <c r="AC120" s="36">
        <f>E120+G120+I120+K120+M120+O120+Q120+S120+U120+W120+Y120+AA120</f>
        <v>11</v>
      </c>
      <c r="AD120" s="33">
        <f>F120+H120+J120+L120+N120+P120+R120+T120+V120+X120+Z120+AB120</f>
        <v>26334</v>
      </c>
    </row>
    <row r="121" spans="1:30" x14ac:dyDescent="0.35">
      <c r="A121" s="5">
        <v>382</v>
      </c>
      <c r="B121" s="10" t="str">
        <f>LEFT(D121,FIND("-",D121)-1)</f>
        <v>SILD021</v>
      </c>
      <c r="C121" s="27" t="s">
        <v>471</v>
      </c>
      <c r="D121" s="6" t="s">
        <v>125</v>
      </c>
      <c r="E121" s="34">
        <v>4</v>
      </c>
      <c r="F121" s="35">
        <v>7296</v>
      </c>
      <c r="G121" s="30"/>
      <c r="H121" s="31"/>
      <c r="I121" s="28"/>
      <c r="J121" s="29"/>
      <c r="K121" s="28"/>
      <c r="L121" s="29"/>
      <c r="M121" s="28">
        <v>6</v>
      </c>
      <c r="N121" s="29">
        <v>10944</v>
      </c>
      <c r="O121" s="28"/>
      <c r="P121" s="32"/>
      <c r="Q121" s="28"/>
      <c r="R121" s="32"/>
      <c r="S121" s="28"/>
      <c r="T121" s="32"/>
      <c r="U121" s="28"/>
      <c r="V121" s="32"/>
      <c r="W121" s="32"/>
      <c r="X121" s="32"/>
      <c r="Y121" s="32"/>
      <c r="Z121" s="32"/>
      <c r="AA121" s="32"/>
      <c r="AB121" s="32"/>
      <c r="AC121" s="36">
        <f>E121+G121+I121+K121+M121+O121+Q121+S121+U121+W121+Y121+AA121</f>
        <v>10</v>
      </c>
      <c r="AD121" s="33">
        <f>F121+H121+J121+L121+N121+P121+R121+T121+V121+X121+Z121+AB121</f>
        <v>18240</v>
      </c>
    </row>
    <row r="122" spans="1:30" x14ac:dyDescent="0.35">
      <c r="A122" s="5">
        <v>383</v>
      </c>
      <c r="B122" s="10" t="str">
        <f>LEFT(D122,FIND("-",D122)-1)</f>
        <v>SILD023</v>
      </c>
      <c r="C122" s="27" t="s">
        <v>471</v>
      </c>
      <c r="D122" s="6" t="s">
        <v>92</v>
      </c>
      <c r="E122" s="34">
        <v>4</v>
      </c>
      <c r="F122" s="35">
        <v>7296</v>
      </c>
      <c r="G122" s="30"/>
      <c r="H122" s="31"/>
      <c r="I122" s="28"/>
      <c r="J122" s="29"/>
      <c r="K122" s="28"/>
      <c r="L122" s="29"/>
      <c r="M122" s="28">
        <v>6</v>
      </c>
      <c r="N122" s="29">
        <v>10944</v>
      </c>
      <c r="O122" s="28"/>
      <c r="P122" s="32"/>
      <c r="Q122" s="28"/>
      <c r="R122" s="32"/>
      <c r="S122" s="28"/>
      <c r="T122" s="32"/>
      <c r="U122" s="28"/>
      <c r="V122" s="32"/>
      <c r="W122" s="32"/>
      <c r="X122" s="32"/>
      <c r="Y122" s="32"/>
      <c r="Z122" s="32"/>
      <c r="AA122" s="32"/>
      <c r="AB122" s="32"/>
      <c r="AC122" s="36">
        <f>E122+G122+I122+K122+M122+O122+Q122+S122+U122+W122+Y122+AA122</f>
        <v>10</v>
      </c>
      <c r="AD122" s="33">
        <f>F122+H122+J122+L122+N122+P122+R122+T122+V122+X122+Z122+AB122</f>
        <v>18240</v>
      </c>
    </row>
    <row r="123" spans="1:30" x14ac:dyDescent="0.35">
      <c r="A123" s="5">
        <v>384</v>
      </c>
      <c r="B123" s="10" t="str">
        <f>LEFT(D123,FIND("-",D123)-1)</f>
        <v>SILD025</v>
      </c>
      <c r="C123" s="27" t="s">
        <v>471</v>
      </c>
      <c r="D123" s="6" t="s">
        <v>93</v>
      </c>
      <c r="E123" s="34">
        <v>4</v>
      </c>
      <c r="F123" s="35">
        <v>7296</v>
      </c>
      <c r="G123" s="30"/>
      <c r="H123" s="31"/>
      <c r="I123" s="28"/>
      <c r="J123" s="29"/>
      <c r="K123" s="28"/>
      <c r="L123" s="29"/>
      <c r="M123" s="28">
        <v>6</v>
      </c>
      <c r="N123" s="29">
        <v>10944</v>
      </c>
      <c r="O123" s="28"/>
      <c r="P123" s="32"/>
      <c r="Q123" s="28"/>
      <c r="R123" s="32"/>
      <c r="S123" s="28"/>
      <c r="T123" s="32"/>
      <c r="U123" s="28"/>
      <c r="V123" s="32"/>
      <c r="W123" s="32"/>
      <c r="X123" s="32"/>
      <c r="Y123" s="32"/>
      <c r="Z123" s="32"/>
      <c r="AA123" s="32"/>
      <c r="AB123" s="32"/>
      <c r="AC123" s="36">
        <f>E123+G123+I123+K123+M123+O123+Q123+S123+U123+W123+Y123+AA123</f>
        <v>10</v>
      </c>
      <c r="AD123" s="33">
        <f>F123+H123+J123+L123+N123+P123+R123+T123+V123+X123+Z123+AB123</f>
        <v>18240</v>
      </c>
    </row>
    <row r="124" spans="1:30" x14ac:dyDescent="0.35">
      <c r="A124" s="5">
        <v>314</v>
      </c>
      <c r="B124" s="10" t="str">
        <f>LEFT(D124,FIND("-",D124)-1)</f>
        <v>SILE005</v>
      </c>
      <c r="C124" s="27" t="s">
        <v>471</v>
      </c>
      <c r="D124" s="6" t="s">
        <v>127</v>
      </c>
      <c r="E124" s="34">
        <v>2</v>
      </c>
      <c r="F124" s="35">
        <v>3648</v>
      </c>
      <c r="G124" s="30"/>
      <c r="H124" s="31"/>
      <c r="I124" s="28">
        <v>7</v>
      </c>
      <c r="J124" s="29">
        <v>12768</v>
      </c>
      <c r="K124" s="28">
        <v>10</v>
      </c>
      <c r="L124" s="29">
        <v>18240</v>
      </c>
      <c r="M124" s="28">
        <v>5</v>
      </c>
      <c r="N124" s="29">
        <v>9120</v>
      </c>
      <c r="O124" s="28"/>
      <c r="P124" s="32"/>
      <c r="Q124" s="28"/>
      <c r="R124" s="32"/>
      <c r="S124" s="28"/>
      <c r="T124" s="32"/>
      <c r="U124" s="28"/>
      <c r="V124" s="32"/>
      <c r="W124" s="32"/>
      <c r="X124" s="32"/>
      <c r="Y124" s="32"/>
      <c r="Z124" s="32"/>
      <c r="AA124" s="32"/>
      <c r="AB124" s="32"/>
      <c r="AC124" s="37">
        <f>E124+G124+I124+K124+M124+O124+Q124+S124+U124+W124+Y124+AA124</f>
        <v>24</v>
      </c>
      <c r="AD124" s="33">
        <f>F124+H124+J124+L124+N124+P124+R124+T124+V124+X124+Z124+AB124</f>
        <v>43776</v>
      </c>
    </row>
    <row r="125" spans="1:30" x14ac:dyDescent="0.35">
      <c r="A125" s="5">
        <v>181</v>
      </c>
      <c r="B125" s="10" t="str">
        <f>LEFT(D125,FIND("-",D125)-1)</f>
        <v>SIUQ</v>
      </c>
      <c r="C125" s="27" t="s">
        <v>471</v>
      </c>
      <c r="D125" s="6" t="s">
        <v>140</v>
      </c>
      <c r="E125" s="34">
        <v>8</v>
      </c>
      <c r="F125" s="35">
        <v>18240</v>
      </c>
      <c r="G125" s="30">
        <v>25</v>
      </c>
      <c r="H125" s="31">
        <v>57000</v>
      </c>
      <c r="I125" s="28"/>
      <c r="J125" s="29"/>
      <c r="K125" s="28">
        <v>6</v>
      </c>
      <c r="L125" s="29">
        <v>13680</v>
      </c>
      <c r="M125" s="28">
        <v>4</v>
      </c>
      <c r="N125" s="29">
        <v>9120</v>
      </c>
      <c r="O125" s="28"/>
      <c r="P125" s="32"/>
      <c r="Q125" s="28"/>
      <c r="R125" s="32"/>
      <c r="S125" s="28"/>
      <c r="T125" s="32"/>
      <c r="U125" s="28"/>
      <c r="V125" s="32"/>
      <c r="W125" s="32"/>
      <c r="X125" s="32"/>
      <c r="Y125" s="32"/>
      <c r="Z125" s="32"/>
      <c r="AA125" s="32"/>
      <c r="AB125" s="32"/>
      <c r="AC125" s="36">
        <f>E125+G125+I125+K125+M125+O125+Q125+S125+U125+W125+Y125+AA125</f>
        <v>43</v>
      </c>
      <c r="AD125" s="33">
        <f>F125+H125+J125+L125+N125+P125+R125+T125+V125+X125+Z125+AB125</f>
        <v>98040</v>
      </c>
    </row>
    <row r="126" spans="1:30" x14ac:dyDescent="0.35">
      <c r="A126" s="5">
        <v>433</v>
      </c>
      <c r="B126" s="10" t="str">
        <f>LEFT(D126,FIND("-",D126)-1)</f>
        <v>STII010</v>
      </c>
      <c r="C126" s="27" t="s">
        <v>471</v>
      </c>
      <c r="D126" s="6" t="s">
        <v>523</v>
      </c>
      <c r="E126" s="34"/>
      <c r="F126" s="35"/>
      <c r="G126" s="30"/>
      <c r="H126" s="31"/>
      <c r="I126" s="28"/>
      <c r="J126" s="29"/>
      <c r="K126" s="28"/>
      <c r="L126" s="29"/>
      <c r="M126" s="28">
        <v>4</v>
      </c>
      <c r="N126" s="29">
        <v>5244</v>
      </c>
      <c r="O126" s="28"/>
      <c r="P126" s="32"/>
      <c r="Q126" s="28"/>
      <c r="R126" s="32"/>
      <c r="S126" s="28"/>
      <c r="T126" s="32"/>
      <c r="U126" s="28"/>
      <c r="V126" s="32"/>
      <c r="W126" s="32"/>
      <c r="X126" s="32"/>
      <c r="Y126" s="32"/>
      <c r="Z126" s="32"/>
      <c r="AA126" s="32"/>
      <c r="AB126" s="32"/>
      <c r="AC126" s="37">
        <f>E126+G126+I126+K126+M126+O126+Q126+S126+U126+W126+Y126+AA126</f>
        <v>4</v>
      </c>
      <c r="AD126" s="33">
        <f>F126+H126+J126+L126+N126+P126+R126+T126+V126+X126+Z126+AB126</f>
        <v>5244</v>
      </c>
    </row>
    <row r="127" spans="1:30" x14ac:dyDescent="0.35">
      <c r="A127" s="5">
        <v>343</v>
      </c>
      <c r="B127" s="10" t="str">
        <f>LEFT(D127,FIND("-",D127)-1)</f>
        <v>SIFD</v>
      </c>
      <c r="C127" s="27" t="s">
        <v>471</v>
      </c>
      <c r="D127" s="6" t="s">
        <v>375</v>
      </c>
      <c r="E127" s="34"/>
      <c r="F127" s="35"/>
      <c r="G127" s="30">
        <v>2</v>
      </c>
      <c r="H127" s="31">
        <v>6156</v>
      </c>
      <c r="I127" s="28">
        <v>4</v>
      </c>
      <c r="J127" s="29">
        <v>12312</v>
      </c>
      <c r="K127" s="28">
        <v>21</v>
      </c>
      <c r="L127" s="29">
        <v>64638</v>
      </c>
      <c r="M127" s="28">
        <v>3</v>
      </c>
      <c r="N127" s="29">
        <v>9234</v>
      </c>
      <c r="O127" s="28"/>
      <c r="P127" s="32"/>
      <c r="Q127" s="28"/>
      <c r="R127" s="32"/>
      <c r="S127" s="28"/>
      <c r="T127" s="32"/>
      <c r="U127" s="28"/>
      <c r="V127" s="32"/>
      <c r="W127" s="32"/>
      <c r="X127" s="32"/>
      <c r="Y127" s="32"/>
      <c r="Z127" s="32"/>
      <c r="AA127" s="32"/>
      <c r="AB127" s="32"/>
      <c r="AC127" s="36">
        <f>E127+G127+I127+K127+M127+O127+Q127+S127+U127+W127+Y127+AA127</f>
        <v>30</v>
      </c>
      <c r="AD127" s="33">
        <f>F127+H127+J127+L127+N127+P127+R127+T127+V127+X127+Z127+AB127</f>
        <v>92340</v>
      </c>
    </row>
    <row r="128" spans="1:30" x14ac:dyDescent="0.35">
      <c r="A128" s="5">
        <v>427</v>
      </c>
      <c r="B128" s="10" t="str">
        <f>LEFT(D128,FIND("-",D128)-1)</f>
        <v>SIRQ</v>
      </c>
      <c r="C128" s="27" t="s">
        <v>471</v>
      </c>
      <c r="D128" s="6" t="s">
        <v>395</v>
      </c>
      <c r="E128" s="34"/>
      <c r="F128" s="35"/>
      <c r="G128" s="30">
        <v>2</v>
      </c>
      <c r="H128" s="31">
        <v>4104</v>
      </c>
      <c r="I128" s="28"/>
      <c r="J128" s="29"/>
      <c r="K128" s="28">
        <v>3</v>
      </c>
      <c r="L128" s="29">
        <v>6156</v>
      </c>
      <c r="M128" s="28">
        <v>3</v>
      </c>
      <c r="N128" s="29">
        <v>6156</v>
      </c>
      <c r="O128" s="28"/>
      <c r="P128" s="32"/>
      <c r="Q128" s="28"/>
      <c r="R128" s="32"/>
      <c r="S128" s="28"/>
      <c r="T128" s="32"/>
      <c r="U128" s="28"/>
      <c r="V128" s="32"/>
      <c r="W128" s="32"/>
      <c r="X128" s="32"/>
      <c r="Y128" s="32"/>
      <c r="Z128" s="32"/>
      <c r="AA128" s="32"/>
      <c r="AB128" s="32"/>
      <c r="AC128" s="36">
        <f>E128+G128+I128+K128+M128+O128+Q128+S128+U128+W128+Y128+AA128</f>
        <v>8</v>
      </c>
      <c r="AD128" s="33">
        <f>F128+H128+J128+L128+N128+P128+R128+T128+V128+X128+Z128+AB128</f>
        <v>16416</v>
      </c>
    </row>
    <row r="129" spans="1:30" x14ac:dyDescent="0.35">
      <c r="A129" s="5">
        <v>463</v>
      </c>
      <c r="B129" s="10" t="str">
        <f>LEFT(D129,FIND("-",D129)-1)</f>
        <v>SIRR</v>
      </c>
      <c r="C129" s="27" t="s">
        <v>503</v>
      </c>
      <c r="D129" s="6" t="s">
        <v>502</v>
      </c>
      <c r="E129" s="34"/>
      <c r="F129" s="35"/>
      <c r="G129" s="30"/>
      <c r="H129" s="31"/>
      <c r="I129" s="28"/>
      <c r="J129" s="29"/>
      <c r="K129" s="28">
        <v>2</v>
      </c>
      <c r="L129" s="29">
        <v>4104</v>
      </c>
      <c r="M129" s="28">
        <v>3</v>
      </c>
      <c r="N129" s="29">
        <v>6156</v>
      </c>
      <c r="O129" s="28"/>
      <c r="P129" s="32"/>
      <c r="Q129" s="28"/>
      <c r="R129" s="32"/>
      <c r="S129" s="28"/>
      <c r="T129" s="32"/>
      <c r="U129" s="28"/>
      <c r="V129" s="32"/>
      <c r="W129" s="32"/>
      <c r="X129" s="32"/>
      <c r="Y129" s="32"/>
      <c r="Z129" s="32"/>
      <c r="AA129" s="32"/>
      <c r="AB129" s="32"/>
      <c r="AC129" s="37">
        <f>E129+G129+I129+K129+M129+O129+Q129+S129+U129+W129+Y129+AA129</f>
        <v>5</v>
      </c>
      <c r="AD129" s="33">
        <f>F129+H129+J129+L129+N129+P129+R129+T129+V129+X129+Z129+AB129</f>
        <v>10260</v>
      </c>
    </row>
    <row r="130" spans="1:30" x14ac:dyDescent="0.35">
      <c r="A130" s="5">
        <v>337</v>
      </c>
      <c r="B130" s="10" t="str">
        <f>LEFT(D130,FIND("-",D130)-1)</f>
        <v>SJFD</v>
      </c>
      <c r="C130" s="27" t="s">
        <v>471</v>
      </c>
      <c r="D130" s="6" t="s">
        <v>399</v>
      </c>
      <c r="E130" s="34"/>
      <c r="F130" s="35"/>
      <c r="G130" s="30">
        <v>3</v>
      </c>
      <c r="H130" s="31">
        <v>6840</v>
      </c>
      <c r="I130" s="28">
        <v>4</v>
      </c>
      <c r="J130" s="29">
        <v>9120</v>
      </c>
      <c r="K130" s="28"/>
      <c r="L130" s="29"/>
      <c r="M130" s="28">
        <v>3</v>
      </c>
      <c r="N130" s="29">
        <v>6840</v>
      </c>
      <c r="O130" s="28"/>
      <c r="P130" s="32"/>
      <c r="Q130" s="28"/>
      <c r="R130" s="32"/>
      <c r="S130" s="28"/>
      <c r="T130" s="32"/>
      <c r="U130" s="28"/>
      <c r="V130" s="32"/>
      <c r="W130" s="32"/>
      <c r="X130" s="32"/>
      <c r="Y130" s="32"/>
      <c r="Z130" s="32"/>
      <c r="AA130" s="32"/>
      <c r="AB130" s="32"/>
      <c r="AC130" s="36">
        <f>E130+G130+I130+K130+M130+O130+Q130+S130+U130+W130+Y130+AA130</f>
        <v>10</v>
      </c>
      <c r="AD130" s="33">
        <f>F130+H130+J130+L130+N130+P130+R130+T130+V130+X130+Z130+AB130</f>
        <v>22800</v>
      </c>
    </row>
    <row r="131" spans="1:30" x14ac:dyDescent="0.35">
      <c r="A131" s="5">
        <v>369</v>
      </c>
      <c r="B131" s="10" t="str">
        <f>LEFT(D131,FIND("-",D131)-1)</f>
        <v>SILE007</v>
      </c>
      <c r="C131" s="27" t="s">
        <v>471</v>
      </c>
      <c r="D131" s="6" t="s">
        <v>461</v>
      </c>
      <c r="E131" s="34"/>
      <c r="F131" s="35"/>
      <c r="G131" s="30"/>
      <c r="H131" s="31"/>
      <c r="I131" s="28">
        <v>5</v>
      </c>
      <c r="J131" s="29">
        <v>9120</v>
      </c>
      <c r="K131" s="28">
        <v>5</v>
      </c>
      <c r="L131" s="29">
        <v>9120</v>
      </c>
      <c r="M131" s="28">
        <v>2</v>
      </c>
      <c r="N131" s="29">
        <v>3648</v>
      </c>
      <c r="O131" s="28"/>
      <c r="P131" s="32"/>
      <c r="Q131" s="28"/>
      <c r="R131" s="32"/>
      <c r="S131" s="28"/>
      <c r="T131" s="32"/>
      <c r="U131" s="28"/>
      <c r="V131" s="32"/>
      <c r="W131" s="32"/>
      <c r="X131" s="32"/>
      <c r="Y131" s="32"/>
      <c r="Z131" s="32"/>
      <c r="AA131" s="32"/>
      <c r="AB131" s="32"/>
      <c r="AC131" s="36">
        <f>E131+G131+I131+K131+M131+O131+Q131+S131+U131+W131+Y131+AA131</f>
        <v>12</v>
      </c>
      <c r="AD131" s="33">
        <f>F131+H131+J131+L131+N131+P131+R131+T131+V131+X131+Z131+AB131</f>
        <v>21888</v>
      </c>
    </row>
    <row r="132" spans="1:30" x14ac:dyDescent="0.35">
      <c r="A132" s="5">
        <v>331</v>
      </c>
      <c r="B132" s="10" t="str">
        <f>LEFT(D132,FIND("-",D132)-1)</f>
        <v>SJQT101</v>
      </c>
      <c r="C132" s="27" t="s">
        <v>471</v>
      </c>
      <c r="D132" s="6" t="s">
        <v>400</v>
      </c>
      <c r="E132" s="34"/>
      <c r="F132" s="35"/>
      <c r="G132" s="30">
        <v>3</v>
      </c>
      <c r="H132" s="31">
        <v>4788</v>
      </c>
      <c r="I132" s="28">
        <v>5</v>
      </c>
      <c r="J132" s="29">
        <v>7980</v>
      </c>
      <c r="K132" s="28">
        <v>3</v>
      </c>
      <c r="L132" s="29">
        <v>4788</v>
      </c>
      <c r="M132" s="28">
        <v>2</v>
      </c>
      <c r="N132" s="29">
        <v>3192</v>
      </c>
      <c r="O132" s="28"/>
      <c r="P132" s="32"/>
      <c r="Q132" s="28"/>
      <c r="R132" s="32"/>
      <c r="S132" s="28"/>
      <c r="T132" s="32"/>
      <c r="U132" s="28"/>
      <c r="V132" s="32"/>
      <c r="W132" s="32"/>
      <c r="X132" s="32"/>
      <c r="Y132" s="32"/>
      <c r="Z132" s="32"/>
      <c r="AA132" s="32"/>
      <c r="AB132" s="32"/>
      <c r="AC132" s="36">
        <f>E132+G132+I132+K132+M132+O132+Q132+S132+U132+W132+Y132+AA132</f>
        <v>13</v>
      </c>
      <c r="AD132" s="33">
        <f>F132+H132+J132+L132+N132+P132+R132+T132+V132+X132+Z132+AB132</f>
        <v>20748</v>
      </c>
    </row>
    <row r="133" spans="1:30" x14ac:dyDescent="0.35">
      <c r="A133" s="5">
        <v>448</v>
      </c>
      <c r="B133" s="10" t="str">
        <f>LEFT(D133,FIND("-",D133)-1)</f>
        <v>SILD022</v>
      </c>
      <c r="C133" s="27" t="s">
        <v>471</v>
      </c>
      <c r="D133" s="6" t="s">
        <v>458</v>
      </c>
      <c r="E133" s="34"/>
      <c r="F133" s="35"/>
      <c r="G133" s="30"/>
      <c r="H133" s="31"/>
      <c r="I133" s="28">
        <v>1</v>
      </c>
      <c r="J133" s="29">
        <v>1824</v>
      </c>
      <c r="K133" s="28">
        <v>3</v>
      </c>
      <c r="L133" s="29">
        <v>5472</v>
      </c>
      <c r="M133" s="28">
        <v>2</v>
      </c>
      <c r="N133" s="29">
        <v>3648</v>
      </c>
      <c r="O133" s="28"/>
      <c r="P133" s="32"/>
      <c r="Q133" s="28"/>
      <c r="R133" s="32"/>
      <c r="S133" s="28"/>
      <c r="T133" s="32"/>
      <c r="U133" s="28"/>
      <c r="V133" s="32"/>
      <c r="W133" s="32"/>
      <c r="X133" s="32"/>
      <c r="Y133" s="32"/>
      <c r="Z133" s="32"/>
      <c r="AA133" s="32"/>
      <c r="AB133" s="32"/>
      <c r="AC133" s="36">
        <f>E133+G133+I133+K133+M133+O133+Q133+S133+U133+W133+Y133+AA133</f>
        <v>6</v>
      </c>
      <c r="AD133" s="33">
        <f>F133+H133+J133+L133+N133+P133+R133+T133+V133+X133+Z133+AB133</f>
        <v>10944</v>
      </c>
    </row>
    <row r="134" spans="1:30" x14ac:dyDescent="0.35">
      <c r="A134" s="5">
        <v>272</v>
      </c>
      <c r="B134" s="10" t="str">
        <f>LEFT(D134,FIND("-",D134)-1)</f>
        <v>SIJG</v>
      </c>
      <c r="C134" s="27" t="s">
        <v>471</v>
      </c>
      <c r="D134" s="6" t="s">
        <v>379</v>
      </c>
      <c r="E134" s="34"/>
      <c r="F134" s="35"/>
      <c r="G134" s="30">
        <v>4</v>
      </c>
      <c r="H134" s="31">
        <v>7296</v>
      </c>
      <c r="I134" s="28">
        <v>9</v>
      </c>
      <c r="J134" s="29">
        <v>16416</v>
      </c>
      <c r="K134" s="28"/>
      <c r="L134" s="29"/>
      <c r="M134" s="28">
        <v>2</v>
      </c>
      <c r="N134" s="29">
        <v>3648</v>
      </c>
      <c r="O134" s="28"/>
      <c r="P134" s="32"/>
      <c r="Q134" s="28"/>
      <c r="R134" s="32"/>
      <c r="S134" s="28"/>
      <c r="T134" s="32"/>
      <c r="U134" s="28"/>
      <c r="V134" s="32"/>
      <c r="W134" s="32"/>
      <c r="X134" s="32"/>
      <c r="Y134" s="32"/>
      <c r="Z134" s="32"/>
      <c r="AA134" s="32"/>
      <c r="AB134" s="32"/>
      <c r="AC134" s="36">
        <f>E134+G134+I134+K134+M134+O134+Q134+S134+U134+W134+Y134+AA134</f>
        <v>15</v>
      </c>
      <c r="AD134" s="33">
        <f>F134+H134+J134+L134+N134+P134+R134+T134+V134+X134+Z134+AB134</f>
        <v>27360</v>
      </c>
    </row>
    <row r="135" spans="1:30" x14ac:dyDescent="0.35">
      <c r="A135" s="5">
        <v>321</v>
      </c>
      <c r="B135" s="10" t="str">
        <f>LEFT(D135,FIND("-",D135)-1)</f>
        <v>SIED014</v>
      </c>
      <c r="C135" s="27" t="s">
        <v>471</v>
      </c>
      <c r="D135" s="6" t="s">
        <v>138</v>
      </c>
      <c r="E135" s="34">
        <v>2</v>
      </c>
      <c r="F135" s="35">
        <v>6612</v>
      </c>
      <c r="G135" s="30"/>
      <c r="H135" s="31"/>
      <c r="I135" s="28">
        <v>6</v>
      </c>
      <c r="J135" s="29">
        <v>19836</v>
      </c>
      <c r="K135" s="28"/>
      <c r="L135" s="29"/>
      <c r="M135" s="28">
        <v>2</v>
      </c>
      <c r="N135" s="29">
        <v>6612</v>
      </c>
      <c r="O135" s="28"/>
      <c r="P135" s="32"/>
      <c r="Q135" s="28"/>
      <c r="R135" s="32"/>
      <c r="S135" s="28"/>
      <c r="T135" s="32"/>
      <c r="U135" s="28"/>
      <c r="V135" s="32"/>
      <c r="W135" s="32"/>
      <c r="X135" s="32"/>
      <c r="Y135" s="32"/>
      <c r="Z135" s="32"/>
      <c r="AA135" s="32"/>
      <c r="AB135" s="32"/>
      <c r="AC135" s="36">
        <f>E135+G135+I135+K135+M135+O135+Q135+S135+U135+W135+Y135+AA135</f>
        <v>10</v>
      </c>
      <c r="AD135" s="33">
        <f>F135+H135+J135+L135+N135+P135+R135+T135+V135+X135+Z135+AB135</f>
        <v>33060</v>
      </c>
    </row>
    <row r="136" spans="1:30" x14ac:dyDescent="0.35">
      <c r="A136" s="5">
        <v>444</v>
      </c>
      <c r="B136" s="10" t="str">
        <f>LEFT(D136,FIND("-",D136)-1)</f>
        <v>SILD004</v>
      </c>
      <c r="C136" s="27" t="s">
        <v>471</v>
      </c>
      <c r="D136" s="6" t="s">
        <v>453</v>
      </c>
      <c r="E136" s="34"/>
      <c r="F136" s="35"/>
      <c r="G136" s="30"/>
      <c r="H136" s="31"/>
      <c r="I136" s="28">
        <v>1</v>
      </c>
      <c r="J136" s="29">
        <v>1824</v>
      </c>
      <c r="K136" s="28"/>
      <c r="L136" s="29"/>
      <c r="M136" s="28">
        <v>2</v>
      </c>
      <c r="N136" s="29">
        <v>3648</v>
      </c>
      <c r="O136" s="28"/>
      <c r="P136" s="32"/>
      <c r="Q136" s="28"/>
      <c r="R136" s="32"/>
      <c r="S136" s="28"/>
      <c r="T136" s="32"/>
      <c r="U136" s="28"/>
      <c r="V136" s="32"/>
      <c r="W136" s="32"/>
      <c r="X136" s="32"/>
      <c r="Y136" s="32"/>
      <c r="Z136" s="32"/>
      <c r="AA136" s="32"/>
      <c r="AB136" s="32"/>
      <c r="AC136" s="36">
        <f>E136+G136+I136+K136+M136+O136+Q136+S136+U136+W136+Y136+AA136</f>
        <v>3</v>
      </c>
      <c r="AD136" s="33">
        <f>F136+H136+J136+L136+N136+P136+R136+T136+V136+X136+Z136+AB136</f>
        <v>5472</v>
      </c>
    </row>
    <row r="137" spans="1:30" x14ac:dyDescent="0.35">
      <c r="A137" s="5">
        <v>424</v>
      </c>
      <c r="B137" s="10" t="str">
        <f>LEFT(D137,FIND("-",D137)-1)</f>
        <v>SILD006</v>
      </c>
      <c r="C137" s="27" t="s">
        <v>471</v>
      </c>
      <c r="D137" s="6" t="s">
        <v>132</v>
      </c>
      <c r="E137" s="34">
        <v>2</v>
      </c>
      <c r="F137" s="35">
        <v>3648</v>
      </c>
      <c r="G137" s="30"/>
      <c r="H137" s="31"/>
      <c r="I137" s="28"/>
      <c r="J137" s="29"/>
      <c r="K137" s="28"/>
      <c r="L137" s="29"/>
      <c r="M137" s="28">
        <v>2</v>
      </c>
      <c r="N137" s="29">
        <v>3648</v>
      </c>
      <c r="O137" s="28"/>
      <c r="P137" s="32"/>
      <c r="Q137" s="28"/>
      <c r="R137" s="32"/>
      <c r="S137" s="28"/>
      <c r="T137" s="32"/>
      <c r="U137" s="28"/>
      <c r="V137" s="32"/>
      <c r="W137" s="32"/>
      <c r="X137" s="32"/>
      <c r="Y137" s="32"/>
      <c r="Z137" s="32"/>
      <c r="AA137" s="32"/>
      <c r="AB137" s="32"/>
      <c r="AC137" s="36">
        <f>E137+G137+I137+K137+M137+O137+Q137+S137+U137+W137+Y137+AA137</f>
        <v>4</v>
      </c>
      <c r="AD137" s="33">
        <f>F137+H137+J137+L137+N137+P137+R137+T137+V137+X137+Z137+AB137</f>
        <v>7296</v>
      </c>
    </row>
    <row r="138" spans="1:30" x14ac:dyDescent="0.35">
      <c r="A138" s="5">
        <v>335</v>
      </c>
      <c r="B138" s="10" t="str">
        <f>LEFT(D138,FIND("-",D138)-1)</f>
        <v>SILE006</v>
      </c>
      <c r="C138" s="27" t="s">
        <v>471</v>
      </c>
      <c r="D138" s="6" t="s">
        <v>460</v>
      </c>
      <c r="E138" s="34"/>
      <c r="F138" s="35"/>
      <c r="G138" s="30"/>
      <c r="H138" s="31"/>
      <c r="I138" s="28">
        <v>7</v>
      </c>
      <c r="J138" s="29">
        <v>12768</v>
      </c>
      <c r="K138" s="28"/>
      <c r="L138" s="29"/>
      <c r="M138" s="28">
        <v>1</v>
      </c>
      <c r="N138" s="29">
        <v>1824</v>
      </c>
      <c r="O138" s="28"/>
      <c r="P138" s="32"/>
      <c r="Q138" s="28"/>
      <c r="R138" s="32"/>
      <c r="S138" s="28"/>
      <c r="T138" s="32"/>
      <c r="U138" s="28"/>
      <c r="V138" s="32"/>
      <c r="W138" s="32"/>
      <c r="X138" s="32"/>
      <c r="Y138" s="32"/>
      <c r="Z138" s="32"/>
      <c r="AA138" s="32"/>
      <c r="AB138" s="32"/>
      <c r="AC138" s="36">
        <f>E138+G138+I138+K138+M138+O138+Q138+S138+U138+W138+Y138+AA138</f>
        <v>8</v>
      </c>
      <c r="AD138" s="33">
        <f>F138+H138+J138+L138+N138+P138+R138+T138+V138+X138+Z138+AB138</f>
        <v>14592</v>
      </c>
    </row>
    <row r="139" spans="1:30" x14ac:dyDescent="0.35">
      <c r="A139" s="5">
        <v>150</v>
      </c>
      <c r="B139" s="10" t="str">
        <f>LEFT(D139,FIND("-",D139)-1)</f>
        <v>STFR</v>
      </c>
      <c r="C139" s="27" t="s">
        <v>471</v>
      </c>
      <c r="D139" s="6" t="s">
        <v>108</v>
      </c>
      <c r="E139" s="34">
        <v>60</v>
      </c>
      <c r="F139" s="35">
        <v>194940</v>
      </c>
      <c r="G139" s="30"/>
      <c r="H139" s="31"/>
      <c r="I139" s="28"/>
      <c r="J139" s="29"/>
      <c r="K139" s="28"/>
      <c r="L139" s="29"/>
      <c r="M139" s="28">
        <v>1</v>
      </c>
      <c r="N139" s="29">
        <v>3249</v>
      </c>
      <c r="O139" s="28"/>
      <c r="P139" s="32"/>
      <c r="Q139" s="28"/>
      <c r="R139" s="32"/>
      <c r="S139" s="28"/>
      <c r="T139" s="32"/>
      <c r="U139" s="28"/>
      <c r="V139" s="32"/>
      <c r="W139" s="32"/>
      <c r="X139" s="32"/>
      <c r="Y139" s="32"/>
      <c r="Z139" s="32"/>
      <c r="AA139" s="32"/>
      <c r="AB139" s="32"/>
      <c r="AC139" s="36">
        <f>E139+G139+I139+K139+M139+O139+Q139+S139+U139+W139+Y139+AA139</f>
        <v>61</v>
      </c>
      <c r="AD139" s="33">
        <f>F139+H139+J139+L139+N139+P139+R139+T139+V139+X139+Z139+AB139</f>
        <v>198189</v>
      </c>
    </row>
    <row r="140" spans="1:30" x14ac:dyDescent="0.35">
      <c r="A140" s="5">
        <v>442</v>
      </c>
      <c r="B140" s="10" t="str">
        <f>LEFT(D140,FIND("-",D140)-1)</f>
        <v>SIAK002</v>
      </c>
      <c r="C140" s="27" t="s">
        <v>471</v>
      </c>
      <c r="D140" s="6" t="s">
        <v>136</v>
      </c>
      <c r="E140" s="34">
        <v>1</v>
      </c>
      <c r="F140" s="35">
        <v>1482</v>
      </c>
      <c r="G140" s="30"/>
      <c r="H140" s="31"/>
      <c r="I140" s="28"/>
      <c r="J140" s="29"/>
      <c r="K140" s="28"/>
      <c r="L140" s="29"/>
      <c r="M140" s="28">
        <v>1</v>
      </c>
      <c r="N140" s="29">
        <v>1482</v>
      </c>
      <c r="O140" s="28"/>
      <c r="P140" s="32"/>
      <c r="Q140" s="28"/>
      <c r="R140" s="32"/>
      <c r="S140" s="28"/>
      <c r="T140" s="32"/>
      <c r="U140" s="28"/>
      <c r="V140" s="32"/>
      <c r="W140" s="32"/>
      <c r="X140" s="32"/>
      <c r="Y140" s="32"/>
      <c r="Z140" s="32"/>
      <c r="AA140" s="32"/>
      <c r="AB140" s="32"/>
      <c r="AC140" s="36">
        <f>E140+G140+I140+K140+M140+O140+Q140+S140+U140+W140+Y140+AA140</f>
        <v>2</v>
      </c>
      <c r="AD140" s="33">
        <f>F140+H140+J140+L140+N140+P140+R140+T140+V140+X140+Z140+AB140</f>
        <v>2964</v>
      </c>
    </row>
    <row r="141" spans="1:30" x14ac:dyDescent="0.35">
      <c r="A141" s="5">
        <v>433</v>
      </c>
      <c r="B141" s="10" t="str">
        <f>LEFT(D141,FIND("-",D141)-1)</f>
        <v>SIAK005</v>
      </c>
      <c r="C141" s="27" t="s">
        <v>471</v>
      </c>
      <c r="D141" s="6" t="s">
        <v>520</v>
      </c>
      <c r="E141" s="34"/>
      <c r="F141" s="35"/>
      <c r="G141" s="30"/>
      <c r="H141" s="31"/>
      <c r="I141" s="28"/>
      <c r="J141" s="29"/>
      <c r="K141" s="28"/>
      <c r="L141" s="29"/>
      <c r="M141" s="28">
        <v>1</v>
      </c>
      <c r="N141" s="29">
        <v>1482</v>
      </c>
      <c r="O141" s="28"/>
      <c r="P141" s="32"/>
      <c r="Q141" s="28"/>
      <c r="R141" s="32"/>
      <c r="S141" s="28"/>
      <c r="T141" s="32"/>
      <c r="U141" s="28"/>
      <c r="V141" s="32"/>
      <c r="W141" s="32"/>
      <c r="X141" s="32"/>
      <c r="Y141" s="32"/>
      <c r="Z141" s="32"/>
      <c r="AA141" s="32"/>
      <c r="AB141" s="32"/>
      <c r="AC141" s="37">
        <f>E141+G141+I141+K141+M141+O141+Q141+S141+U141+W141+Y141+AA141</f>
        <v>1</v>
      </c>
      <c r="AD141" s="33">
        <f>F141+H141+J141+L141+N141+P141+R141+T141+V141+X141+Z141+AB141</f>
        <v>1482</v>
      </c>
    </row>
    <row r="142" spans="1:30" x14ac:dyDescent="0.35">
      <c r="A142" s="5">
        <v>433</v>
      </c>
      <c r="B142" s="10" t="str">
        <f>LEFT(D142,FIND("-",D142)-1)</f>
        <v>SILK003</v>
      </c>
      <c r="C142" s="27" t="s">
        <v>471</v>
      </c>
      <c r="D142" s="6" t="s">
        <v>521</v>
      </c>
      <c r="E142" s="34"/>
      <c r="F142" s="35"/>
      <c r="G142" s="30"/>
      <c r="H142" s="31"/>
      <c r="I142" s="28"/>
      <c r="J142" s="29"/>
      <c r="K142" s="28"/>
      <c r="L142" s="29"/>
      <c r="M142" s="28">
        <v>1</v>
      </c>
      <c r="N142" s="29">
        <v>1938</v>
      </c>
      <c r="O142" s="28"/>
      <c r="P142" s="32"/>
      <c r="Q142" s="28"/>
      <c r="R142" s="32"/>
      <c r="S142" s="28"/>
      <c r="T142" s="32"/>
      <c r="U142" s="28"/>
      <c r="V142" s="32"/>
      <c r="W142" s="32"/>
      <c r="X142" s="32"/>
      <c r="Y142" s="32"/>
      <c r="Z142" s="32"/>
      <c r="AA142" s="32"/>
      <c r="AB142" s="32"/>
      <c r="AC142" s="37">
        <f>E142+G142+I142+K142+M142+O142+Q142+S142+U142+W142+Y142+AA142</f>
        <v>1</v>
      </c>
      <c r="AD142" s="33">
        <f>F142+H142+J142+L142+N142+P142+R142+T142+V142+X142+Z142+AB142</f>
        <v>1938</v>
      </c>
    </row>
    <row r="143" spans="1:30" x14ac:dyDescent="0.35">
      <c r="A143" s="5">
        <v>460</v>
      </c>
      <c r="B143" s="10" t="str">
        <f>LEFT(D143,FIND("-",D143)-1)</f>
        <v>SHLP001</v>
      </c>
      <c r="C143" s="27" t="s">
        <v>503</v>
      </c>
      <c r="D143" s="6" t="s">
        <v>499</v>
      </c>
      <c r="E143" s="34"/>
      <c r="F143" s="35"/>
      <c r="G143" s="30"/>
      <c r="H143" s="31"/>
      <c r="I143" s="28"/>
      <c r="J143" s="29"/>
      <c r="K143" s="28">
        <v>1150</v>
      </c>
      <c r="L143" s="29">
        <v>3146400</v>
      </c>
      <c r="M143" s="28"/>
      <c r="N143" s="29"/>
      <c r="O143" s="28"/>
      <c r="P143" s="32"/>
      <c r="Q143" s="28"/>
      <c r="R143" s="32"/>
      <c r="S143" s="28"/>
      <c r="T143" s="32"/>
      <c r="U143" s="28"/>
      <c r="V143" s="32"/>
      <c r="W143" s="32"/>
      <c r="X143" s="32"/>
      <c r="Y143" s="32"/>
      <c r="Z143" s="32"/>
      <c r="AA143" s="32"/>
      <c r="AB143" s="32"/>
      <c r="AC143" s="37">
        <f>E143+G143+I143+K143+M143+O143+Q143+S143+U143+W143+Y143+AA143</f>
        <v>1150</v>
      </c>
      <c r="AD143" s="33">
        <f>F143+H143+J143+L143+N143+P143+R143+T143+V143+X143+Z143+AB143</f>
        <v>3146400</v>
      </c>
    </row>
    <row r="144" spans="1:30" x14ac:dyDescent="0.35">
      <c r="A144" s="5">
        <v>67</v>
      </c>
      <c r="B144" s="10" t="str">
        <f>LEFT(D144,FIND("-",D144)-1)</f>
        <v>SHLP003</v>
      </c>
      <c r="C144" s="27" t="s">
        <v>471</v>
      </c>
      <c r="D144" s="6" t="s">
        <v>449</v>
      </c>
      <c r="E144" s="34"/>
      <c r="F144" s="35"/>
      <c r="G144" s="30"/>
      <c r="H144" s="31"/>
      <c r="I144" s="28">
        <v>171</v>
      </c>
      <c r="J144" s="29">
        <v>467856</v>
      </c>
      <c r="K144" s="28">
        <v>279</v>
      </c>
      <c r="L144" s="29">
        <v>763344</v>
      </c>
      <c r="M144" s="28"/>
      <c r="N144" s="29"/>
      <c r="O144" s="28"/>
      <c r="P144" s="32"/>
      <c r="Q144" s="28"/>
      <c r="R144" s="32"/>
      <c r="S144" s="28"/>
      <c r="T144" s="32"/>
      <c r="U144" s="28"/>
      <c r="V144" s="32"/>
      <c r="W144" s="32"/>
      <c r="X144" s="32"/>
      <c r="Y144" s="32"/>
      <c r="Z144" s="32"/>
      <c r="AA144" s="32"/>
      <c r="AB144" s="32"/>
      <c r="AC144" s="36">
        <f>E144+G144+I144+K144+M144+O144+Q144+S144+U144+W144+Y144+AA144</f>
        <v>450</v>
      </c>
      <c r="AD144" s="33">
        <f>F144+H144+J144+L144+N144+P144+R144+T144+V144+X144+Z144+AB144</f>
        <v>1231200</v>
      </c>
    </row>
    <row r="145" spans="1:30" x14ac:dyDescent="0.35">
      <c r="A145" s="5">
        <v>240</v>
      </c>
      <c r="B145" s="10" t="str">
        <f>LEFT(D145,FIND("-",D145)-1)</f>
        <v>SIOA002</v>
      </c>
      <c r="C145" s="27" t="s">
        <v>471</v>
      </c>
      <c r="D145" s="6" t="s">
        <v>387</v>
      </c>
      <c r="E145" s="34"/>
      <c r="F145" s="35"/>
      <c r="G145" s="30">
        <v>20</v>
      </c>
      <c r="H145" s="31">
        <v>39900</v>
      </c>
      <c r="I145" s="28"/>
      <c r="J145" s="29"/>
      <c r="K145" s="28">
        <v>133</v>
      </c>
      <c r="L145" s="29">
        <v>265335</v>
      </c>
      <c r="M145" s="28"/>
      <c r="N145" s="29"/>
      <c r="O145" s="28"/>
      <c r="P145" s="32"/>
      <c r="Q145" s="28"/>
      <c r="R145" s="32"/>
      <c r="S145" s="28"/>
      <c r="T145" s="32"/>
      <c r="U145" s="28"/>
      <c r="V145" s="32"/>
      <c r="W145" s="32"/>
      <c r="X145" s="32"/>
      <c r="Y145" s="32"/>
      <c r="Z145" s="32"/>
      <c r="AA145" s="32"/>
      <c r="AB145" s="32"/>
      <c r="AC145" s="37">
        <f>E145+G145+I145+K145+M145+O145+Q145+S145+U145+W145+Y145+AA145</f>
        <v>153</v>
      </c>
      <c r="AD145" s="33">
        <f>F145+H145+J145+L145+N145+P145+R145+T145+V145+X145+Z145+AB145</f>
        <v>305235</v>
      </c>
    </row>
    <row r="146" spans="1:30" x14ac:dyDescent="0.35">
      <c r="A146" s="5">
        <v>373</v>
      </c>
      <c r="B146" s="10" t="str">
        <f>LEFT(D146,FIND("-",D146)-1)</f>
        <v>STFQ</v>
      </c>
      <c r="C146" s="27" t="s">
        <v>471</v>
      </c>
      <c r="D146" s="6" t="s">
        <v>137</v>
      </c>
      <c r="E146" s="34">
        <v>5</v>
      </c>
      <c r="F146" s="35">
        <v>22230</v>
      </c>
      <c r="G146" s="30"/>
      <c r="H146" s="31"/>
      <c r="I146" s="28"/>
      <c r="J146" s="29"/>
      <c r="K146" s="28">
        <v>100</v>
      </c>
      <c r="L146" s="29">
        <v>444600</v>
      </c>
      <c r="M146" s="28"/>
      <c r="N146" s="29"/>
      <c r="O146" s="28"/>
      <c r="P146" s="32"/>
      <c r="Q146" s="28"/>
      <c r="R146" s="32"/>
      <c r="S146" s="28"/>
      <c r="T146" s="32"/>
      <c r="U146" s="28"/>
      <c r="V146" s="32"/>
      <c r="W146" s="32"/>
      <c r="X146" s="32"/>
      <c r="Y146" s="32"/>
      <c r="Z146" s="32"/>
      <c r="AA146" s="32"/>
      <c r="AB146" s="32"/>
      <c r="AC146" s="37">
        <f>E146+G146+I146+K146+M146+O146+Q146+S146+U146+W146+Y146+AA146</f>
        <v>105</v>
      </c>
      <c r="AD146" s="33">
        <f>F146+H146+J146+L146+N146+P146+R146+T146+V146+X146+Z146+AB146</f>
        <v>466830</v>
      </c>
    </row>
    <row r="147" spans="1:30" x14ac:dyDescent="0.35">
      <c r="A147" s="5">
        <v>76</v>
      </c>
      <c r="B147" s="10" t="str">
        <f>LEFT(D147,FIND("-",D147)-1)</f>
        <v>SHLP002</v>
      </c>
      <c r="C147" s="27" t="s">
        <v>471</v>
      </c>
      <c r="D147" s="6" t="s">
        <v>448</v>
      </c>
      <c r="E147" s="34"/>
      <c r="F147" s="35"/>
      <c r="G147" s="30"/>
      <c r="H147" s="31"/>
      <c r="I147" s="28">
        <v>150</v>
      </c>
      <c r="J147" s="29">
        <v>410400</v>
      </c>
      <c r="K147" s="28">
        <v>65</v>
      </c>
      <c r="L147" s="29">
        <v>177840</v>
      </c>
      <c r="M147" s="28"/>
      <c r="N147" s="29"/>
      <c r="O147" s="28"/>
      <c r="P147" s="32"/>
      <c r="Q147" s="28"/>
      <c r="R147" s="32"/>
      <c r="S147" s="28"/>
      <c r="T147" s="32"/>
      <c r="U147" s="28"/>
      <c r="V147" s="32"/>
      <c r="W147" s="32"/>
      <c r="X147" s="32"/>
      <c r="Y147" s="32"/>
      <c r="Z147" s="32"/>
      <c r="AA147" s="32"/>
      <c r="AB147" s="32"/>
      <c r="AC147" s="36">
        <f>E147+G147+I147+K147+M147+O147+Q147+S147+U147+W147+Y147+AA147</f>
        <v>215</v>
      </c>
      <c r="AD147" s="33">
        <f>F147+H147+J147+L147+N147+P147+R147+T147+V147+X147+Z147+AB147</f>
        <v>588240</v>
      </c>
    </row>
    <row r="148" spans="1:30" x14ac:dyDescent="0.35">
      <c r="A148" s="5">
        <v>84</v>
      </c>
      <c r="B148" s="10" t="str">
        <f>LEFT(D148,FIND("-",D148)-1)</f>
        <v>SHLP004</v>
      </c>
      <c r="C148" s="27" t="s">
        <v>471</v>
      </c>
      <c r="D148" s="6" t="s">
        <v>450</v>
      </c>
      <c r="E148" s="34"/>
      <c r="F148" s="35"/>
      <c r="G148" s="30"/>
      <c r="H148" s="31"/>
      <c r="I148" s="28">
        <v>127</v>
      </c>
      <c r="J148" s="29">
        <v>347472</v>
      </c>
      <c r="K148" s="28">
        <v>17</v>
      </c>
      <c r="L148" s="29">
        <v>46512</v>
      </c>
      <c r="M148" s="28"/>
      <c r="N148" s="29"/>
      <c r="O148" s="28"/>
      <c r="P148" s="32"/>
      <c r="Q148" s="28"/>
      <c r="R148" s="32"/>
      <c r="S148" s="28"/>
      <c r="T148" s="32"/>
      <c r="U148" s="28"/>
      <c r="V148" s="32"/>
      <c r="W148" s="32"/>
      <c r="X148" s="32"/>
      <c r="Y148" s="32"/>
      <c r="Z148" s="32"/>
      <c r="AA148" s="32"/>
      <c r="AB148" s="32"/>
      <c r="AC148" s="36">
        <f>E148+G148+I148+K148+M148+O148+Q148+S148+U148+W148+Y148+AA148</f>
        <v>144</v>
      </c>
      <c r="AD148" s="33">
        <f>F148+H148+J148+L148+N148+P148+R148+T148+V148+X148+Z148+AB148</f>
        <v>393984</v>
      </c>
    </row>
    <row r="149" spans="1:30" x14ac:dyDescent="0.35">
      <c r="A149" s="5">
        <v>372</v>
      </c>
      <c r="B149" s="10" t="str">
        <f>LEFT(D149,FIND("-",D149)-1)</f>
        <v>SJFA</v>
      </c>
      <c r="C149" s="27" t="s">
        <v>471</v>
      </c>
      <c r="D149" s="6" t="s">
        <v>462</v>
      </c>
      <c r="E149" s="34"/>
      <c r="F149" s="35"/>
      <c r="G149" s="30"/>
      <c r="H149" s="31"/>
      <c r="I149" s="28">
        <v>5</v>
      </c>
      <c r="J149" s="29">
        <v>7980</v>
      </c>
      <c r="K149" s="28">
        <v>10</v>
      </c>
      <c r="L149" s="29">
        <v>15960</v>
      </c>
      <c r="M149" s="28"/>
      <c r="N149" s="29"/>
      <c r="O149" s="28"/>
      <c r="P149" s="32"/>
      <c r="Q149" s="28"/>
      <c r="R149" s="32"/>
      <c r="S149" s="28"/>
      <c r="T149" s="32"/>
      <c r="U149" s="28"/>
      <c r="V149" s="32"/>
      <c r="W149" s="32"/>
      <c r="X149" s="32"/>
      <c r="Y149" s="32"/>
      <c r="Z149" s="32"/>
      <c r="AA149" s="32"/>
      <c r="AB149" s="32"/>
      <c r="AC149" s="37">
        <f>E149+G149+I149+K149+M149+O149+Q149+S149+U149+W149+Y149+AA149</f>
        <v>15</v>
      </c>
      <c r="AD149" s="33">
        <f>F149+H149+J149+L149+N149+P149+R149+T149+V149+X149+Z149+AB149</f>
        <v>23940</v>
      </c>
    </row>
    <row r="150" spans="1:30" x14ac:dyDescent="0.35">
      <c r="A150" s="5">
        <v>349</v>
      </c>
      <c r="B150" s="10" t="str">
        <f>LEFT(D150,FIND("-",D150)-1)</f>
        <v>STII009</v>
      </c>
      <c r="C150" s="27" t="s">
        <v>471</v>
      </c>
      <c r="D150" s="6" t="s">
        <v>402</v>
      </c>
      <c r="E150" s="34"/>
      <c r="F150" s="35"/>
      <c r="G150" s="30">
        <v>6</v>
      </c>
      <c r="H150" s="31">
        <v>7866</v>
      </c>
      <c r="I150" s="28"/>
      <c r="J150" s="29"/>
      <c r="K150" s="28">
        <v>6</v>
      </c>
      <c r="L150" s="29">
        <v>7866</v>
      </c>
      <c r="M150" s="28"/>
      <c r="N150" s="29"/>
      <c r="O150" s="28"/>
      <c r="P150" s="32"/>
      <c r="Q150" s="28"/>
      <c r="R150" s="32"/>
      <c r="S150" s="28"/>
      <c r="T150" s="32"/>
      <c r="U150" s="28"/>
      <c r="V150" s="32"/>
      <c r="W150" s="32"/>
      <c r="X150" s="32"/>
      <c r="Y150" s="32"/>
      <c r="Z150" s="32"/>
      <c r="AA150" s="32"/>
      <c r="AB150" s="32"/>
      <c r="AC150" s="36">
        <f>E150+G150+I150+K150+M150+O150+Q150+S150+U150+W150+Y150+AA150</f>
        <v>12</v>
      </c>
      <c r="AD150" s="33">
        <f>F150+H150+J150+L150+N150+P150+R150+T150+V150+X150+Z150+AB150</f>
        <v>15732</v>
      </c>
    </row>
    <row r="151" spans="1:30" x14ac:dyDescent="0.35">
      <c r="A151" s="5">
        <v>287</v>
      </c>
      <c r="B151" s="10" t="str">
        <f>LEFT(D151,FIND("-",D151)-1)</f>
        <v>SJQU</v>
      </c>
      <c r="C151" s="27" t="s">
        <v>471</v>
      </c>
      <c r="D151" s="6" t="s">
        <v>401</v>
      </c>
      <c r="E151" s="34"/>
      <c r="F151" s="35"/>
      <c r="G151" s="30">
        <v>4</v>
      </c>
      <c r="H151" s="31">
        <v>2736</v>
      </c>
      <c r="I151" s="28">
        <v>8</v>
      </c>
      <c r="J151" s="29">
        <v>5472</v>
      </c>
      <c r="K151" s="28">
        <v>3</v>
      </c>
      <c r="L151" s="29">
        <v>2052</v>
      </c>
      <c r="M151" s="28"/>
      <c r="N151" s="29"/>
      <c r="O151" s="28"/>
      <c r="P151" s="32"/>
      <c r="Q151" s="28"/>
      <c r="R151" s="32"/>
      <c r="S151" s="28"/>
      <c r="T151" s="32"/>
      <c r="U151" s="28"/>
      <c r="V151" s="32"/>
      <c r="W151" s="32"/>
      <c r="X151" s="32"/>
      <c r="Y151" s="32"/>
      <c r="Z151" s="32"/>
      <c r="AA151" s="32"/>
      <c r="AB151" s="32"/>
      <c r="AC151" s="37">
        <f>E151+G151+I151+K151+M151+O151+Q151+S151+U151+W151+Y151+AA151</f>
        <v>15</v>
      </c>
      <c r="AD151" s="33">
        <f>F151+H151+J151+L151+N151+P151+R151+T151+V151+X151+Z151+AB151</f>
        <v>10260</v>
      </c>
    </row>
    <row r="152" spans="1:30" x14ac:dyDescent="0.35">
      <c r="A152" s="5">
        <v>305</v>
      </c>
      <c r="B152" s="10" t="str">
        <f>LEFT(D152,FIND("-",D152)-1)</f>
        <v>SILL012</v>
      </c>
      <c r="C152" s="27" t="s">
        <v>471</v>
      </c>
      <c r="D152" s="6" t="s">
        <v>95</v>
      </c>
      <c r="E152" s="34">
        <v>1</v>
      </c>
      <c r="F152" s="35">
        <v>1938</v>
      </c>
      <c r="G152" s="30">
        <v>4</v>
      </c>
      <c r="H152" s="31">
        <v>7752</v>
      </c>
      <c r="I152" s="28">
        <v>5</v>
      </c>
      <c r="J152" s="29">
        <v>9690</v>
      </c>
      <c r="K152" s="28">
        <v>2</v>
      </c>
      <c r="L152" s="29">
        <v>3876</v>
      </c>
      <c r="M152" s="28"/>
      <c r="N152" s="29"/>
      <c r="O152" s="28"/>
      <c r="P152" s="32"/>
      <c r="Q152" s="28"/>
      <c r="R152" s="32"/>
      <c r="S152" s="28"/>
      <c r="T152" s="32"/>
      <c r="U152" s="28"/>
      <c r="V152" s="32"/>
      <c r="W152" s="32"/>
      <c r="X152" s="32"/>
      <c r="Y152" s="32"/>
      <c r="Z152" s="32"/>
      <c r="AA152" s="32"/>
      <c r="AB152" s="32"/>
      <c r="AC152" s="37">
        <f>E152+G152+I152+K152+M152+O152+Q152+S152+U152+W152+Y152+AA152</f>
        <v>12</v>
      </c>
      <c r="AD152" s="33">
        <f>F152+H152+J152+L152+N152+P152+R152+T152+V152+X152+Z152+AB152</f>
        <v>23256</v>
      </c>
    </row>
    <row r="153" spans="1:30" x14ac:dyDescent="0.35">
      <c r="A153" s="5">
        <v>322</v>
      </c>
      <c r="B153" s="10" t="str">
        <f>LEFT(D153,FIND("-",D153)-1)</f>
        <v>SIJH</v>
      </c>
      <c r="C153" s="27" t="s">
        <v>471</v>
      </c>
      <c r="D153" s="6" t="s">
        <v>380</v>
      </c>
      <c r="E153" s="34"/>
      <c r="F153" s="35"/>
      <c r="G153" s="30">
        <v>3</v>
      </c>
      <c r="H153" s="31">
        <v>5472</v>
      </c>
      <c r="I153" s="28">
        <v>5</v>
      </c>
      <c r="J153" s="29">
        <v>9120</v>
      </c>
      <c r="K153" s="28">
        <v>2</v>
      </c>
      <c r="L153" s="29">
        <v>3648</v>
      </c>
      <c r="M153" s="28"/>
      <c r="N153" s="29"/>
      <c r="O153" s="28"/>
      <c r="P153" s="32"/>
      <c r="Q153" s="28"/>
      <c r="R153" s="32"/>
      <c r="S153" s="28"/>
      <c r="T153" s="32"/>
      <c r="U153" s="28"/>
      <c r="V153" s="32"/>
      <c r="W153" s="32"/>
      <c r="X153" s="32"/>
      <c r="Y153" s="32"/>
      <c r="Z153" s="32"/>
      <c r="AA153" s="32"/>
      <c r="AB153" s="32"/>
      <c r="AC153" s="36">
        <f>E153+G153+I153+K153+M153+O153+Q153+S153+U153+W153+Y153+AA153</f>
        <v>10</v>
      </c>
      <c r="AD153" s="33">
        <f>F153+H153+J153+L153+N153+P153+R153+T153+V153+X153+Z153+AB153</f>
        <v>18240</v>
      </c>
    </row>
    <row r="154" spans="1:30" x14ac:dyDescent="0.35">
      <c r="A154" s="5">
        <v>462</v>
      </c>
      <c r="B154" s="10" t="str">
        <f>LEFT(D154,FIND("-",D154)-1)</f>
        <v>SILD024</v>
      </c>
      <c r="C154" s="27" t="s">
        <v>503</v>
      </c>
      <c r="D154" s="6" t="s">
        <v>501</v>
      </c>
      <c r="E154" s="34"/>
      <c r="F154" s="35"/>
      <c r="G154" s="30"/>
      <c r="H154" s="31"/>
      <c r="I154" s="28"/>
      <c r="J154" s="29"/>
      <c r="K154" s="28">
        <v>2</v>
      </c>
      <c r="L154" s="29">
        <v>3648</v>
      </c>
      <c r="M154" s="28"/>
      <c r="N154" s="29"/>
      <c r="O154" s="28"/>
      <c r="P154" s="32"/>
      <c r="Q154" s="28"/>
      <c r="R154" s="32"/>
      <c r="S154" s="28"/>
      <c r="T154" s="32"/>
      <c r="U154" s="28"/>
      <c r="V154" s="32"/>
      <c r="W154" s="32"/>
      <c r="X154" s="32"/>
      <c r="Y154" s="32"/>
      <c r="Z154" s="32"/>
      <c r="AA154" s="32"/>
      <c r="AB154" s="32"/>
      <c r="AC154" s="37">
        <f>E154+G154+I154+K154+M154+O154+Q154+S154+U154+W154+Y154+AA154</f>
        <v>2</v>
      </c>
      <c r="AD154" s="33">
        <f>F154+H154+J154+L154+N154+P154+R154+T154+V154+X154+Z154+AB154</f>
        <v>3648</v>
      </c>
    </row>
    <row r="155" spans="1:30" x14ac:dyDescent="0.35">
      <c r="A155" s="5">
        <v>449</v>
      </c>
      <c r="B155" s="10" t="str">
        <f>LEFT(D155,FIND("-",D155)-1)</f>
        <v>SILK005</v>
      </c>
      <c r="C155" s="27" t="s">
        <v>471</v>
      </c>
      <c r="D155" s="6" t="s">
        <v>94</v>
      </c>
      <c r="E155" s="34">
        <v>1</v>
      </c>
      <c r="F155" s="35">
        <v>1938</v>
      </c>
      <c r="G155" s="30"/>
      <c r="H155" s="31"/>
      <c r="I155" s="28"/>
      <c r="J155" s="29"/>
      <c r="K155" s="28">
        <v>1</v>
      </c>
      <c r="L155" s="29">
        <v>1938</v>
      </c>
      <c r="M155" s="28"/>
      <c r="N155" s="29"/>
      <c r="O155" s="28"/>
      <c r="P155" s="32"/>
      <c r="Q155" s="28"/>
      <c r="R155" s="32"/>
      <c r="S155" s="28"/>
      <c r="T155" s="32"/>
      <c r="U155" s="28"/>
      <c r="V155" s="32"/>
      <c r="W155" s="32"/>
      <c r="X155" s="32"/>
      <c r="Y155" s="32"/>
      <c r="Z155" s="32"/>
      <c r="AA155" s="32"/>
      <c r="AB155" s="32"/>
      <c r="AC155" s="37">
        <f>E155+G155+I155+K155+M155+O155+Q155+S155+U155+W155+Y155+AA155</f>
        <v>2</v>
      </c>
      <c r="AD155" s="33">
        <f>F155+H155+J155+L155+N155+P155+R155+T155+V155+X155+Z155+AB155</f>
        <v>3876</v>
      </c>
    </row>
    <row r="156" spans="1:30" x14ac:dyDescent="0.35">
      <c r="A156" s="5">
        <v>461</v>
      </c>
      <c r="B156" s="10" t="str">
        <f>LEFT(D156,FIND("-",D156)-1)</f>
        <v>SILD008</v>
      </c>
      <c r="C156" s="27" t="s">
        <v>503</v>
      </c>
      <c r="D156" s="6" t="s">
        <v>500</v>
      </c>
      <c r="E156" s="34"/>
      <c r="F156" s="35"/>
      <c r="G156" s="30"/>
      <c r="H156" s="31"/>
      <c r="I156" s="28"/>
      <c r="J156" s="29"/>
      <c r="K156" s="28">
        <v>1</v>
      </c>
      <c r="L156" s="29">
        <v>1824</v>
      </c>
      <c r="M156" s="28"/>
      <c r="N156" s="29"/>
      <c r="O156" s="28"/>
      <c r="P156" s="32"/>
      <c r="Q156" s="28"/>
      <c r="R156" s="32"/>
      <c r="S156" s="28"/>
      <c r="T156" s="32"/>
      <c r="U156" s="28"/>
      <c r="V156" s="32"/>
      <c r="W156" s="32"/>
      <c r="X156" s="32"/>
      <c r="Y156" s="32"/>
      <c r="Z156" s="32"/>
      <c r="AA156" s="32"/>
      <c r="AB156" s="32"/>
      <c r="AC156" s="37">
        <f>E156+G156+I156+K156+M156+O156+Q156+S156+U156+W156+Y156+AA156</f>
        <v>1</v>
      </c>
      <c r="AD156" s="33">
        <f>F156+H156+J156+L156+N156+P156+R156+T156+V156+X156+Z156+AB156</f>
        <v>1824</v>
      </c>
    </row>
    <row r="157" spans="1:30" x14ac:dyDescent="0.35">
      <c r="A157" s="5">
        <v>26</v>
      </c>
      <c r="B157" s="10" t="str">
        <f>LEFT(D157,FIND("-",D157)-1)</f>
        <v>SITA</v>
      </c>
      <c r="C157" s="27" t="s">
        <v>471</v>
      </c>
      <c r="D157" s="6" t="s">
        <v>396</v>
      </c>
      <c r="E157" s="34"/>
      <c r="F157" s="35"/>
      <c r="G157" s="30">
        <v>210</v>
      </c>
      <c r="H157" s="31">
        <v>478800</v>
      </c>
      <c r="I157" s="28">
        <v>210</v>
      </c>
      <c r="J157" s="29">
        <v>478800</v>
      </c>
      <c r="K157" s="28"/>
      <c r="L157" s="29"/>
      <c r="M157" s="28"/>
      <c r="N157" s="29"/>
      <c r="O157" s="28"/>
      <c r="P157" s="32"/>
      <c r="Q157" s="28"/>
      <c r="R157" s="32"/>
      <c r="S157" s="28"/>
      <c r="T157" s="32"/>
      <c r="U157" s="28"/>
      <c r="V157" s="32"/>
      <c r="W157" s="32"/>
      <c r="X157" s="32"/>
      <c r="Y157" s="32"/>
      <c r="Z157" s="32"/>
      <c r="AA157" s="32"/>
      <c r="AB157" s="32"/>
      <c r="AC157" s="36">
        <f>E157+G157+I157+K157+M157+O157+Q157+S157+U157+W157+Y157+AA157</f>
        <v>420</v>
      </c>
      <c r="AD157" s="33">
        <f>F157+H157+J157+L157+N157+P157+R157+T157+V157+X157+Z157+AB157</f>
        <v>957600</v>
      </c>
    </row>
    <row r="158" spans="1:30" x14ac:dyDescent="0.35">
      <c r="A158" s="5">
        <v>54</v>
      </c>
      <c r="B158" s="10" t="str">
        <f>LEFT(D158,FIND("-",D158)-1)</f>
        <v>SHBA003</v>
      </c>
      <c r="C158" s="27" t="s">
        <v>471</v>
      </c>
      <c r="D158" s="6" t="s">
        <v>444</v>
      </c>
      <c r="E158" s="34"/>
      <c r="F158" s="35"/>
      <c r="G158" s="30"/>
      <c r="H158" s="31"/>
      <c r="I158" s="28">
        <v>204</v>
      </c>
      <c r="J158" s="29">
        <v>523260</v>
      </c>
      <c r="K158" s="28"/>
      <c r="L158" s="29"/>
      <c r="M158" s="28"/>
      <c r="N158" s="29"/>
      <c r="O158" s="28"/>
      <c r="P158" s="32"/>
      <c r="Q158" s="28"/>
      <c r="R158" s="32"/>
      <c r="S158" s="28"/>
      <c r="T158" s="32"/>
      <c r="U158" s="28"/>
      <c r="V158" s="32"/>
      <c r="W158" s="32"/>
      <c r="X158" s="32"/>
      <c r="Y158" s="32"/>
      <c r="Z158" s="32"/>
      <c r="AA158" s="32"/>
      <c r="AB158" s="32"/>
      <c r="AC158" s="36">
        <f>E158+G158+I158+K158+M158+O158+Q158+S158+U158+W158+Y158+AA158</f>
        <v>204</v>
      </c>
      <c r="AD158" s="33">
        <f>F158+H158+J158+L158+N158+P158+R158+T158+V158+X158+Z158+AB158</f>
        <v>523260</v>
      </c>
    </row>
    <row r="159" spans="1:30" x14ac:dyDescent="0.35">
      <c r="A159" s="5">
        <v>101</v>
      </c>
      <c r="B159" s="10" t="str">
        <f>LEFT(D159,FIND("-",D159)-1)</f>
        <v>SHBA004</v>
      </c>
      <c r="C159" s="27" t="s">
        <v>471</v>
      </c>
      <c r="D159" s="6" t="s">
        <v>445</v>
      </c>
      <c r="E159" s="34"/>
      <c r="F159" s="35"/>
      <c r="G159" s="30"/>
      <c r="H159" s="31"/>
      <c r="I159" s="28">
        <v>102</v>
      </c>
      <c r="J159" s="29">
        <v>261630</v>
      </c>
      <c r="K159" s="28"/>
      <c r="L159" s="29"/>
      <c r="M159" s="28"/>
      <c r="N159" s="29"/>
      <c r="O159" s="28"/>
      <c r="P159" s="32"/>
      <c r="Q159" s="28"/>
      <c r="R159" s="32"/>
      <c r="S159" s="28"/>
      <c r="T159" s="32"/>
      <c r="U159" s="28"/>
      <c r="V159" s="32"/>
      <c r="W159" s="32"/>
      <c r="X159" s="32"/>
      <c r="Y159" s="32"/>
      <c r="Z159" s="32"/>
      <c r="AA159" s="32"/>
      <c r="AB159" s="32"/>
      <c r="AC159" s="36">
        <f>E159+G159+I159+K159+M159+O159+Q159+S159+U159+W159+Y159+AA159</f>
        <v>102</v>
      </c>
      <c r="AD159" s="33">
        <f>F159+H159+J159+L159+N159+P159+R159+T159+V159+X159+Z159+AB159</f>
        <v>261630</v>
      </c>
    </row>
    <row r="160" spans="1:30" x14ac:dyDescent="0.35">
      <c r="A160" s="5">
        <v>147</v>
      </c>
      <c r="B160" s="10" t="str">
        <f>LEFT(D160,FIND("-",D160)-1)</f>
        <v>SIOA003</v>
      </c>
      <c r="C160" s="27" t="s">
        <v>471</v>
      </c>
      <c r="D160" s="6" t="s">
        <v>97</v>
      </c>
      <c r="E160" s="34">
        <v>2</v>
      </c>
      <c r="F160" s="35">
        <v>3990</v>
      </c>
      <c r="G160" s="30">
        <v>40</v>
      </c>
      <c r="H160" s="31">
        <v>79800</v>
      </c>
      <c r="I160" s="28">
        <v>22</v>
      </c>
      <c r="J160" s="29">
        <v>43890</v>
      </c>
      <c r="K160" s="28"/>
      <c r="L160" s="29"/>
      <c r="M160" s="28"/>
      <c r="N160" s="29"/>
      <c r="O160" s="28"/>
      <c r="P160" s="32"/>
      <c r="Q160" s="28"/>
      <c r="R160" s="32"/>
      <c r="S160" s="28"/>
      <c r="T160" s="32"/>
      <c r="U160" s="28"/>
      <c r="V160" s="32"/>
      <c r="W160" s="32"/>
      <c r="X160" s="32"/>
      <c r="Y160" s="32"/>
      <c r="Z160" s="32"/>
      <c r="AA160" s="32"/>
      <c r="AB160" s="32"/>
      <c r="AC160" s="36">
        <f>E160+G160+I160+K160+M160+O160+Q160+S160+U160+W160+Y160+AA160</f>
        <v>64</v>
      </c>
      <c r="AD160" s="33">
        <f>F160+H160+J160+L160+N160+P160+R160+T160+V160+X160+Z160+AB160</f>
        <v>127680</v>
      </c>
    </row>
    <row r="161" spans="1:30" x14ac:dyDescent="0.35">
      <c r="A161" s="5">
        <v>185</v>
      </c>
      <c r="B161" s="10" t="str">
        <f>LEFT(D161,FIND("-",D161)-1)</f>
        <v>SIEI002</v>
      </c>
      <c r="C161" s="27" t="s">
        <v>471</v>
      </c>
      <c r="D161" s="6" t="s">
        <v>373</v>
      </c>
      <c r="E161" s="34"/>
      <c r="F161" s="35"/>
      <c r="G161" s="30">
        <v>22</v>
      </c>
      <c r="H161" s="31">
        <v>75240</v>
      </c>
      <c r="I161" s="28">
        <v>10</v>
      </c>
      <c r="J161" s="29">
        <v>34200</v>
      </c>
      <c r="K161" s="28"/>
      <c r="L161" s="29"/>
      <c r="M161" s="28"/>
      <c r="N161" s="29"/>
      <c r="O161" s="28"/>
      <c r="P161" s="32"/>
      <c r="Q161" s="28"/>
      <c r="R161" s="32"/>
      <c r="S161" s="28"/>
      <c r="T161" s="32"/>
      <c r="U161" s="28"/>
      <c r="V161" s="32"/>
      <c r="W161" s="32"/>
      <c r="X161" s="32"/>
      <c r="Y161" s="32"/>
      <c r="Z161" s="32"/>
      <c r="AA161" s="32"/>
      <c r="AB161" s="32"/>
      <c r="AC161" s="36">
        <f>E161+G161+I161+K161+M161+O161+Q161+S161+U161+W161+Y161+AA161</f>
        <v>32</v>
      </c>
      <c r="AD161" s="33">
        <f>F161+H161+J161+L161+N161+P161+R161+T161+V161+X161+Z161+AB161</f>
        <v>109440</v>
      </c>
    </row>
    <row r="162" spans="1:30" x14ac:dyDescent="0.35">
      <c r="A162" s="5">
        <v>200</v>
      </c>
      <c r="B162" s="10" t="str">
        <f>LEFT(D162,FIND("-",D162)-1)</f>
        <v>SIEI003</v>
      </c>
      <c r="C162" s="27" t="s">
        <v>471</v>
      </c>
      <c r="D162" s="6" t="s">
        <v>374</v>
      </c>
      <c r="E162" s="34"/>
      <c r="F162" s="35"/>
      <c r="G162" s="30">
        <v>20</v>
      </c>
      <c r="H162" s="31">
        <v>68400</v>
      </c>
      <c r="I162" s="28">
        <v>10</v>
      </c>
      <c r="J162" s="29">
        <v>34200</v>
      </c>
      <c r="K162" s="28"/>
      <c r="L162" s="29"/>
      <c r="M162" s="28"/>
      <c r="N162" s="29"/>
      <c r="O162" s="28"/>
      <c r="P162" s="32"/>
      <c r="Q162" s="28"/>
      <c r="R162" s="32"/>
      <c r="S162" s="28"/>
      <c r="T162" s="32"/>
      <c r="U162" s="28"/>
      <c r="V162" s="32"/>
      <c r="W162" s="32"/>
      <c r="X162" s="32"/>
      <c r="Y162" s="32"/>
      <c r="Z162" s="32"/>
      <c r="AA162" s="32"/>
      <c r="AB162" s="32"/>
      <c r="AC162" s="36">
        <f>E162+G162+I162+K162+M162+O162+Q162+S162+U162+W162+Y162+AA162</f>
        <v>30</v>
      </c>
      <c r="AD162" s="33">
        <f>F162+H162+J162+L162+N162+P162+R162+T162+V162+X162+Z162+AB162</f>
        <v>102600</v>
      </c>
    </row>
    <row r="163" spans="1:30" x14ac:dyDescent="0.35">
      <c r="A163" s="5">
        <v>208</v>
      </c>
      <c r="B163" s="10" t="str">
        <f>LEFT(D163,FIND("-",D163)-1)</f>
        <v>SIEI004</v>
      </c>
      <c r="C163" s="27" t="s">
        <v>471</v>
      </c>
      <c r="D163" s="6" t="s">
        <v>79</v>
      </c>
      <c r="E163" s="34">
        <v>1</v>
      </c>
      <c r="F163" s="35">
        <v>3420</v>
      </c>
      <c r="G163" s="30">
        <v>17</v>
      </c>
      <c r="H163" s="31">
        <v>58140</v>
      </c>
      <c r="I163" s="28">
        <v>8</v>
      </c>
      <c r="J163" s="29">
        <v>27360</v>
      </c>
      <c r="K163" s="28"/>
      <c r="L163" s="29"/>
      <c r="M163" s="28"/>
      <c r="N163" s="29"/>
      <c r="O163" s="28"/>
      <c r="P163" s="32"/>
      <c r="Q163" s="28"/>
      <c r="R163" s="32"/>
      <c r="S163" s="28"/>
      <c r="T163" s="32"/>
      <c r="U163" s="28"/>
      <c r="V163" s="32"/>
      <c r="W163" s="32"/>
      <c r="X163" s="32"/>
      <c r="Y163" s="32"/>
      <c r="Z163" s="32"/>
      <c r="AA163" s="32"/>
      <c r="AB163" s="32"/>
      <c r="AC163" s="36">
        <f>E163+G163+I163+K163+M163+O163+Q163+S163+U163+W163+Y163+AA163</f>
        <v>26</v>
      </c>
      <c r="AD163" s="33">
        <f>F163+H163+J163+L163+N163+P163+R163+T163+V163+X163+Z163+AB163</f>
        <v>88920</v>
      </c>
    </row>
    <row r="164" spans="1:30" x14ac:dyDescent="0.35">
      <c r="A164" s="5">
        <v>320</v>
      </c>
      <c r="B164" s="10" t="str">
        <f>LEFT(D164,FIND("-",D164)-1)</f>
        <v>SIED013</v>
      </c>
      <c r="C164" s="27" t="s">
        <v>471</v>
      </c>
      <c r="D164" s="6" t="s">
        <v>233</v>
      </c>
      <c r="E164" s="34">
        <v>2</v>
      </c>
      <c r="F164" s="35">
        <v>6612</v>
      </c>
      <c r="G164" s="30"/>
      <c r="H164" s="31"/>
      <c r="I164" s="28">
        <v>6</v>
      </c>
      <c r="J164" s="29">
        <v>19836</v>
      </c>
      <c r="K164" s="28"/>
      <c r="L164" s="29"/>
      <c r="M164" s="28"/>
      <c r="N164" s="29"/>
      <c r="O164" s="28"/>
      <c r="P164" s="32"/>
      <c r="Q164" s="28"/>
      <c r="R164" s="32"/>
      <c r="S164" s="28"/>
      <c r="T164" s="32"/>
      <c r="U164" s="28"/>
      <c r="V164" s="32"/>
      <c r="W164" s="32"/>
      <c r="X164" s="32"/>
      <c r="Y164" s="32"/>
      <c r="Z164" s="32"/>
      <c r="AA164" s="32"/>
      <c r="AB164" s="32"/>
      <c r="AC164" s="36">
        <f>E164+G164+I164+K164+M164+O164+Q164+S164+U164+W164+Y164+AA164</f>
        <v>8</v>
      </c>
      <c r="AD164" s="33">
        <f>F164+H164+J164+L164+N164+P164+R164+T164+V164+X164+Z164+AB164</f>
        <v>26448</v>
      </c>
    </row>
    <row r="165" spans="1:30" x14ac:dyDescent="0.35">
      <c r="A165" s="5">
        <v>290</v>
      </c>
      <c r="B165" s="10" t="str">
        <f>LEFT(D165,FIND("-",D165)-1)</f>
        <v>SIWH</v>
      </c>
      <c r="C165" s="27" t="s">
        <v>471</v>
      </c>
      <c r="D165" s="6" t="s">
        <v>238</v>
      </c>
      <c r="E165" s="34">
        <v>3</v>
      </c>
      <c r="F165" s="35">
        <v>3762</v>
      </c>
      <c r="G165" s="30">
        <v>3</v>
      </c>
      <c r="H165" s="31">
        <v>3762</v>
      </c>
      <c r="I165" s="28">
        <v>5</v>
      </c>
      <c r="J165" s="29">
        <v>6270</v>
      </c>
      <c r="K165" s="28"/>
      <c r="L165" s="29"/>
      <c r="M165" s="28"/>
      <c r="N165" s="29"/>
      <c r="O165" s="28"/>
      <c r="P165" s="32"/>
      <c r="Q165" s="28"/>
      <c r="R165" s="32"/>
      <c r="S165" s="28"/>
      <c r="T165" s="32"/>
      <c r="U165" s="28"/>
      <c r="V165" s="32"/>
      <c r="W165" s="32"/>
      <c r="X165" s="32"/>
      <c r="Y165" s="32"/>
      <c r="Z165" s="32"/>
      <c r="AA165" s="32"/>
      <c r="AB165" s="32"/>
      <c r="AC165" s="36">
        <f>E165+G165+I165+K165+M165+O165+Q165+S165+U165+W165+Y165+AA165</f>
        <v>11</v>
      </c>
      <c r="AD165" s="33">
        <f>F165+H165+J165+L165+N165+P165+R165+T165+V165+X165+Z165+AB165</f>
        <v>13794</v>
      </c>
    </row>
    <row r="166" spans="1:30" x14ac:dyDescent="0.35">
      <c r="A166" s="5">
        <v>306</v>
      </c>
      <c r="B166" s="10" t="str">
        <f>LEFT(D166,FIND("-",D166)-1)</f>
        <v>SILL013</v>
      </c>
      <c r="C166" s="27" t="s">
        <v>471</v>
      </c>
      <c r="D166" s="6" t="s">
        <v>134</v>
      </c>
      <c r="E166" s="34">
        <v>1</v>
      </c>
      <c r="F166" s="35">
        <v>1938</v>
      </c>
      <c r="G166" s="30">
        <v>4</v>
      </c>
      <c r="H166" s="31">
        <v>7752</v>
      </c>
      <c r="I166" s="28">
        <v>5</v>
      </c>
      <c r="J166" s="29">
        <v>9690</v>
      </c>
      <c r="K166" s="28"/>
      <c r="L166" s="29"/>
      <c r="M166" s="28"/>
      <c r="N166" s="29"/>
      <c r="O166" s="28"/>
      <c r="P166" s="32"/>
      <c r="Q166" s="28"/>
      <c r="R166" s="32"/>
      <c r="S166" s="28"/>
      <c r="T166" s="32"/>
      <c r="U166" s="28"/>
      <c r="V166" s="32"/>
      <c r="W166" s="32"/>
      <c r="X166" s="32"/>
      <c r="Y166" s="32"/>
      <c r="Z166" s="32"/>
      <c r="AA166" s="32"/>
      <c r="AB166" s="32"/>
      <c r="AC166" s="36">
        <f>E166+G166+I166+K166+M166+O166+Q166+S166+U166+W166+Y166+AA166</f>
        <v>10</v>
      </c>
      <c r="AD166" s="33">
        <f>F166+H166+J166+L166+N166+P166+R166+T166+V166+X166+Z166+AB166</f>
        <v>19380</v>
      </c>
    </row>
    <row r="167" spans="1:30" x14ac:dyDescent="0.35">
      <c r="A167" s="5">
        <v>307</v>
      </c>
      <c r="B167" s="10" t="str">
        <f>LEFT(D167,FIND("-",D167)-1)</f>
        <v>SILL014</v>
      </c>
      <c r="C167" s="27" t="s">
        <v>471</v>
      </c>
      <c r="D167" s="6" t="s">
        <v>139</v>
      </c>
      <c r="E167" s="34">
        <v>1</v>
      </c>
      <c r="F167" s="35">
        <v>1938</v>
      </c>
      <c r="G167" s="30">
        <v>4</v>
      </c>
      <c r="H167" s="31">
        <v>7752</v>
      </c>
      <c r="I167" s="28">
        <v>5</v>
      </c>
      <c r="J167" s="29">
        <v>9690</v>
      </c>
      <c r="K167" s="28"/>
      <c r="L167" s="29"/>
      <c r="M167" s="28"/>
      <c r="N167" s="29"/>
      <c r="O167" s="28"/>
      <c r="P167" s="32"/>
      <c r="Q167" s="28"/>
      <c r="R167" s="32"/>
      <c r="S167" s="28"/>
      <c r="T167" s="32"/>
      <c r="U167" s="28"/>
      <c r="V167" s="32"/>
      <c r="W167" s="32"/>
      <c r="X167" s="32"/>
      <c r="Y167" s="32"/>
      <c r="Z167" s="32"/>
      <c r="AA167" s="32"/>
      <c r="AB167" s="32"/>
      <c r="AC167" s="36">
        <f>E167+G167+I167+K167+M167+O167+Q167+S167+U167+W167+Y167+AA167</f>
        <v>10</v>
      </c>
      <c r="AD167" s="33">
        <f>F167+H167+J167+L167+N167+P167+R167+T167+V167+X167+Z167+AB167</f>
        <v>19380</v>
      </c>
    </row>
    <row r="168" spans="1:30" x14ac:dyDescent="0.35">
      <c r="A168" s="5">
        <v>308</v>
      </c>
      <c r="B168" s="10" t="str">
        <f>LEFT(D168,FIND("-",D168)-1)</f>
        <v>SILL015</v>
      </c>
      <c r="C168" s="27" t="s">
        <v>471</v>
      </c>
      <c r="D168" s="6" t="s">
        <v>135</v>
      </c>
      <c r="E168" s="34">
        <v>1</v>
      </c>
      <c r="F168" s="35">
        <v>1938</v>
      </c>
      <c r="G168" s="30">
        <v>4</v>
      </c>
      <c r="H168" s="31">
        <v>7752</v>
      </c>
      <c r="I168" s="28">
        <v>5</v>
      </c>
      <c r="J168" s="29">
        <v>9690</v>
      </c>
      <c r="K168" s="28"/>
      <c r="L168" s="29"/>
      <c r="M168" s="28"/>
      <c r="N168" s="29"/>
      <c r="O168" s="28"/>
      <c r="P168" s="32"/>
      <c r="Q168" s="28"/>
      <c r="R168" s="32"/>
      <c r="S168" s="28"/>
      <c r="T168" s="32"/>
      <c r="U168" s="28"/>
      <c r="V168" s="32"/>
      <c r="W168" s="32"/>
      <c r="X168" s="32"/>
      <c r="Y168" s="32"/>
      <c r="Z168" s="32"/>
      <c r="AA168" s="32"/>
      <c r="AB168" s="32"/>
      <c r="AC168" s="37">
        <f>E168+G168+I168+K168+M168+O168+Q168+S168+U168+W168+Y168+AA168</f>
        <v>10</v>
      </c>
      <c r="AD168" s="33">
        <f>F168+H168+J168+L168+N168+P168+R168+T168+V168+X168+Z168+AB168</f>
        <v>19380</v>
      </c>
    </row>
    <row r="169" spans="1:30" x14ac:dyDescent="0.35">
      <c r="A169" s="5">
        <v>327</v>
      </c>
      <c r="B169" s="10" t="str">
        <f>LEFT(D169,FIND("-",D169)-1)</f>
        <v>SILL004</v>
      </c>
      <c r="C169" s="27" t="s">
        <v>471</v>
      </c>
      <c r="D169" s="6" t="s">
        <v>383</v>
      </c>
      <c r="E169" s="34"/>
      <c r="F169" s="35"/>
      <c r="G169" s="30">
        <v>3</v>
      </c>
      <c r="H169" s="31">
        <v>5814</v>
      </c>
      <c r="I169" s="28">
        <v>5</v>
      </c>
      <c r="J169" s="29">
        <v>9690</v>
      </c>
      <c r="K169" s="28"/>
      <c r="L169" s="29"/>
      <c r="M169" s="28"/>
      <c r="N169" s="29"/>
      <c r="O169" s="28"/>
      <c r="P169" s="32"/>
      <c r="Q169" s="28"/>
      <c r="R169" s="32"/>
      <c r="S169" s="28"/>
      <c r="T169" s="32"/>
      <c r="U169" s="28"/>
      <c r="V169" s="32"/>
      <c r="W169" s="32"/>
      <c r="X169" s="32"/>
      <c r="Y169" s="32"/>
      <c r="Z169" s="32"/>
      <c r="AA169" s="32"/>
      <c r="AB169" s="32"/>
      <c r="AC169" s="36">
        <f>E169+G169+I169+K169+M169+O169+Q169+S169+U169+W169+Y169+AA169</f>
        <v>8</v>
      </c>
      <c r="AD169" s="33">
        <f>F169+H169+J169+L169+N169+P169+R169+T169+V169+X169+Z169+AB169</f>
        <v>15504</v>
      </c>
    </row>
    <row r="170" spans="1:30" x14ac:dyDescent="0.35">
      <c r="A170" s="5">
        <v>330</v>
      </c>
      <c r="B170" s="10" t="str">
        <f>LEFT(D170,FIND("-",D170)-1)</f>
        <v>SILL011</v>
      </c>
      <c r="C170" s="27" t="s">
        <v>471</v>
      </c>
      <c r="D170" s="6" t="s">
        <v>386</v>
      </c>
      <c r="E170" s="34"/>
      <c r="F170" s="35"/>
      <c r="G170" s="30">
        <v>3</v>
      </c>
      <c r="H170" s="31">
        <v>5814</v>
      </c>
      <c r="I170" s="28">
        <v>5</v>
      </c>
      <c r="J170" s="29">
        <v>9690</v>
      </c>
      <c r="K170" s="28"/>
      <c r="L170" s="29"/>
      <c r="M170" s="28"/>
      <c r="N170" s="29"/>
      <c r="O170" s="28"/>
      <c r="P170" s="32"/>
      <c r="Q170" s="28"/>
      <c r="R170" s="32"/>
      <c r="S170" s="28"/>
      <c r="T170" s="32"/>
      <c r="U170" s="28"/>
      <c r="V170" s="32"/>
      <c r="W170" s="32"/>
      <c r="X170" s="32"/>
      <c r="Y170" s="32"/>
      <c r="Z170" s="32"/>
      <c r="AA170" s="32"/>
      <c r="AB170" s="32"/>
      <c r="AC170" s="36">
        <f>E170+G170+I170+K170+M170+O170+Q170+S170+U170+W170+Y170+AA170</f>
        <v>8</v>
      </c>
      <c r="AD170" s="33">
        <f>F170+H170+J170+L170+N170+P170+R170+T170+V170+X170+Z170+AB170</f>
        <v>15504</v>
      </c>
    </row>
    <row r="171" spans="1:30" x14ac:dyDescent="0.35">
      <c r="A171" s="5">
        <v>336</v>
      </c>
      <c r="B171" s="10" t="str">
        <f>LEFT(D171,FIND("-",D171)-1)</f>
        <v>SIRN</v>
      </c>
      <c r="C171" s="27" t="s">
        <v>471</v>
      </c>
      <c r="D171" s="6" t="s">
        <v>101</v>
      </c>
      <c r="E171" s="34">
        <v>3</v>
      </c>
      <c r="F171" s="35">
        <v>6156</v>
      </c>
      <c r="G171" s="30"/>
      <c r="H171" s="31"/>
      <c r="I171" s="28">
        <v>4</v>
      </c>
      <c r="J171" s="29">
        <v>8208</v>
      </c>
      <c r="K171" s="28"/>
      <c r="L171" s="29"/>
      <c r="M171" s="28"/>
      <c r="N171" s="29"/>
      <c r="O171" s="28"/>
      <c r="P171" s="32"/>
      <c r="Q171" s="28"/>
      <c r="R171" s="32"/>
      <c r="S171" s="28"/>
      <c r="T171" s="32"/>
      <c r="U171" s="28"/>
      <c r="V171" s="32"/>
      <c r="W171" s="32"/>
      <c r="X171" s="32"/>
      <c r="Y171" s="32"/>
      <c r="Z171" s="32"/>
      <c r="AA171" s="32"/>
      <c r="AB171" s="32"/>
      <c r="AC171" s="36">
        <f>E171+G171+I171+K171+M171+O171+Q171+S171+U171+W171+Y171+AA171</f>
        <v>7</v>
      </c>
      <c r="AD171" s="33">
        <f>F171+H171+J171+L171+N171+P171+R171+T171+V171+X171+Z171+AB171</f>
        <v>14364</v>
      </c>
    </row>
    <row r="172" spans="1:30" x14ac:dyDescent="0.35">
      <c r="A172" s="5">
        <v>344</v>
      </c>
      <c r="B172" s="10" t="str">
        <f>LEFT(D172,FIND("-",D172)-1)</f>
        <v>SILD003</v>
      </c>
      <c r="C172" s="27" t="s">
        <v>471</v>
      </c>
      <c r="D172" s="6" t="s">
        <v>87</v>
      </c>
      <c r="E172" s="34">
        <v>2</v>
      </c>
      <c r="F172" s="35">
        <v>3648</v>
      </c>
      <c r="G172" s="30"/>
      <c r="H172" s="31"/>
      <c r="I172" s="28">
        <v>4</v>
      </c>
      <c r="J172" s="29">
        <v>7296</v>
      </c>
      <c r="K172" s="28"/>
      <c r="L172" s="29"/>
      <c r="M172" s="28"/>
      <c r="N172" s="29"/>
      <c r="O172" s="28"/>
      <c r="P172" s="32"/>
      <c r="Q172" s="28"/>
      <c r="R172" s="32"/>
      <c r="S172" s="28"/>
      <c r="T172" s="32"/>
      <c r="U172" s="28"/>
      <c r="V172" s="32"/>
      <c r="W172" s="32"/>
      <c r="X172" s="32"/>
      <c r="Y172" s="32"/>
      <c r="Z172" s="32"/>
      <c r="AA172" s="32"/>
      <c r="AB172" s="32"/>
      <c r="AC172" s="36">
        <f>E172+G172+I172+K172+M172+O172+Q172+S172+U172+W172+Y172+AA172</f>
        <v>6</v>
      </c>
      <c r="AD172" s="33">
        <f>F172+H172+J172+L172+N172+P172+R172+T172+V172+X172+Z172+AB172</f>
        <v>10944</v>
      </c>
    </row>
    <row r="173" spans="1:30" x14ac:dyDescent="0.35">
      <c r="A173" s="5">
        <v>345</v>
      </c>
      <c r="B173" s="10" t="str">
        <f>LEFT(D173,FIND("-",D173)-1)</f>
        <v>SILD005</v>
      </c>
      <c r="C173" s="27" t="s">
        <v>471</v>
      </c>
      <c r="D173" s="6" t="s">
        <v>88</v>
      </c>
      <c r="E173" s="34">
        <v>2</v>
      </c>
      <c r="F173" s="35">
        <v>3648</v>
      </c>
      <c r="G173" s="30"/>
      <c r="H173" s="31"/>
      <c r="I173" s="28">
        <v>4</v>
      </c>
      <c r="J173" s="29">
        <v>7296</v>
      </c>
      <c r="K173" s="28"/>
      <c r="L173" s="29"/>
      <c r="M173" s="28"/>
      <c r="N173" s="29"/>
      <c r="O173" s="28"/>
      <c r="P173" s="32"/>
      <c r="Q173" s="28"/>
      <c r="R173" s="32"/>
      <c r="S173" s="28"/>
      <c r="T173" s="32"/>
      <c r="U173" s="28"/>
      <c r="V173" s="32"/>
      <c r="W173" s="32"/>
      <c r="X173" s="32"/>
      <c r="Y173" s="32"/>
      <c r="Z173" s="32"/>
      <c r="AA173" s="32"/>
      <c r="AB173" s="32"/>
      <c r="AC173" s="36">
        <f>E173+G173+I173+K173+M173+O173+Q173+S173+U173+W173+Y173+AA173</f>
        <v>6</v>
      </c>
      <c r="AD173" s="33">
        <f>F173+H173+J173+L173+N173+P173+R173+T173+V173+X173+Z173+AB173</f>
        <v>10944</v>
      </c>
    </row>
    <row r="174" spans="1:30" x14ac:dyDescent="0.35">
      <c r="A174" s="5">
        <v>347</v>
      </c>
      <c r="B174" s="10" t="str">
        <f>LEFT(D174,FIND("-",D174)-1)</f>
        <v>SIRP</v>
      </c>
      <c r="C174" s="27" t="s">
        <v>471</v>
      </c>
      <c r="D174" s="6" t="s">
        <v>394</v>
      </c>
      <c r="E174" s="34"/>
      <c r="F174" s="35"/>
      <c r="G174" s="30">
        <v>3</v>
      </c>
      <c r="H174" s="31">
        <v>6498</v>
      </c>
      <c r="I174" s="28">
        <v>3</v>
      </c>
      <c r="J174" s="29">
        <v>6498</v>
      </c>
      <c r="K174" s="28"/>
      <c r="L174" s="29"/>
      <c r="M174" s="28"/>
      <c r="N174" s="29"/>
      <c r="O174" s="28"/>
      <c r="P174" s="32"/>
      <c r="Q174" s="28"/>
      <c r="R174" s="32"/>
      <c r="S174" s="28"/>
      <c r="T174" s="32"/>
      <c r="U174" s="28"/>
      <c r="V174" s="32"/>
      <c r="W174" s="32"/>
      <c r="X174" s="32"/>
      <c r="Y174" s="32"/>
      <c r="Z174" s="32"/>
      <c r="AA174" s="32"/>
      <c r="AB174" s="32"/>
      <c r="AC174" s="36">
        <f>E174+G174+I174+K174+M174+O174+Q174+S174+U174+W174+Y174+AA174</f>
        <v>6</v>
      </c>
      <c r="AD174" s="33">
        <f>F174+H174+J174+L174+N174+P174+R174+T174+V174+X174+Z174+AB174</f>
        <v>12996</v>
      </c>
    </row>
    <row r="175" spans="1:30" x14ac:dyDescent="0.35">
      <c r="A175" s="5">
        <v>400</v>
      </c>
      <c r="B175" s="10" t="str">
        <f>LEFT(D175,FIND("-",D175)-1)</f>
        <v>SJQT103</v>
      </c>
      <c r="C175" s="27" t="s">
        <v>471</v>
      </c>
      <c r="D175" s="6" t="s">
        <v>463</v>
      </c>
      <c r="E175" s="34"/>
      <c r="F175" s="35"/>
      <c r="G175" s="30"/>
      <c r="H175" s="31"/>
      <c r="I175" s="28">
        <v>3</v>
      </c>
      <c r="J175" s="29">
        <v>4788</v>
      </c>
      <c r="K175" s="28"/>
      <c r="L175" s="29"/>
      <c r="M175" s="28"/>
      <c r="N175" s="29"/>
      <c r="O175" s="28"/>
      <c r="P175" s="32"/>
      <c r="Q175" s="28"/>
      <c r="R175" s="32"/>
      <c r="S175" s="28"/>
      <c r="T175" s="32"/>
      <c r="U175" s="28"/>
      <c r="V175" s="32"/>
      <c r="W175" s="32"/>
      <c r="X175" s="32"/>
      <c r="Y175" s="32"/>
      <c r="Z175" s="32"/>
      <c r="AA175" s="32"/>
      <c r="AB175" s="32"/>
      <c r="AC175" s="36">
        <f>E175+G175+I175+K175+M175+O175+Q175+S175+U175+W175+Y175+AA175</f>
        <v>3</v>
      </c>
      <c r="AD175" s="33">
        <f>F175+H175+J175+L175+N175+P175+R175+T175+V175+X175+Z175+AB175</f>
        <v>4788</v>
      </c>
    </row>
    <row r="176" spans="1:30" x14ac:dyDescent="0.35">
      <c r="A176" s="5">
        <v>426</v>
      </c>
      <c r="B176" s="10" t="str">
        <f>LEFT(D176,FIND("-",D176)-1)</f>
        <v>SILD015</v>
      </c>
      <c r="C176" s="27" t="s">
        <v>471</v>
      </c>
      <c r="D176" s="6" t="s">
        <v>455</v>
      </c>
      <c r="E176" s="34"/>
      <c r="F176" s="35"/>
      <c r="G176" s="30"/>
      <c r="H176" s="31"/>
      <c r="I176" s="28">
        <v>2</v>
      </c>
      <c r="J176" s="29">
        <v>3648</v>
      </c>
      <c r="K176" s="28"/>
      <c r="L176" s="29"/>
      <c r="M176" s="28"/>
      <c r="N176" s="29"/>
      <c r="O176" s="28"/>
      <c r="P176" s="32"/>
      <c r="Q176" s="28"/>
      <c r="R176" s="32"/>
      <c r="S176" s="28"/>
      <c r="T176" s="32"/>
      <c r="U176" s="28"/>
      <c r="V176" s="32"/>
      <c r="W176" s="32"/>
      <c r="X176" s="32"/>
      <c r="Y176" s="32"/>
      <c r="Z176" s="32"/>
      <c r="AA176" s="32"/>
      <c r="AB176" s="32"/>
      <c r="AC176" s="36">
        <f>E176+G176+I176+K176+M176+O176+Q176+S176+U176+W176+Y176+AA176</f>
        <v>2</v>
      </c>
      <c r="AD176" s="33">
        <f>F176+H176+J176+L176+N176+P176+R176+T176+V176+X176+Z176+AB176</f>
        <v>3648</v>
      </c>
    </row>
    <row r="177" spans="1:30" x14ac:dyDescent="0.35">
      <c r="A177" s="5">
        <v>428</v>
      </c>
      <c r="B177" s="10" t="str">
        <f>LEFT(D177,FIND("-",D177)-1)</f>
        <v>SJQT202</v>
      </c>
      <c r="C177" s="27" t="s">
        <v>471</v>
      </c>
      <c r="D177" s="6" t="s">
        <v>464</v>
      </c>
      <c r="E177" s="34"/>
      <c r="F177" s="35"/>
      <c r="G177" s="30"/>
      <c r="H177" s="31"/>
      <c r="I177" s="28">
        <v>2</v>
      </c>
      <c r="J177" s="29">
        <v>3192</v>
      </c>
      <c r="K177" s="28"/>
      <c r="L177" s="29"/>
      <c r="M177" s="28"/>
      <c r="N177" s="29"/>
      <c r="O177" s="28"/>
      <c r="P177" s="32"/>
      <c r="Q177" s="28"/>
      <c r="R177" s="32"/>
      <c r="S177" s="28"/>
      <c r="T177" s="32"/>
      <c r="U177" s="28"/>
      <c r="V177" s="32"/>
      <c r="W177" s="32"/>
      <c r="X177" s="32"/>
      <c r="Y177" s="32"/>
      <c r="Z177" s="32"/>
      <c r="AA177" s="32"/>
      <c r="AB177" s="32"/>
      <c r="AC177" s="36">
        <f>E177+G177+I177+K177+M177+O177+Q177+S177+U177+W177+Y177+AA177</f>
        <v>2</v>
      </c>
      <c r="AD177" s="33">
        <f>F177+H177+J177+L177+N177+P177+R177+T177+V177+X177+Z177+AB177</f>
        <v>3192</v>
      </c>
    </row>
    <row r="178" spans="1:30" x14ac:dyDescent="0.35">
      <c r="A178" s="5">
        <v>445</v>
      </c>
      <c r="B178" s="10" t="str">
        <f>LEFT(D178,FIND("-",D178)-1)</f>
        <v>SILD011</v>
      </c>
      <c r="C178" s="27" t="s">
        <v>471</v>
      </c>
      <c r="D178" s="6" t="s">
        <v>454</v>
      </c>
      <c r="E178" s="34"/>
      <c r="F178" s="35"/>
      <c r="G178" s="30"/>
      <c r="H178" s="31"/>
      <c r="I178" s="28">
        <v>1</v>
      </c>
      <c r="J178" s="29">
        <v>1824</v>
      </c>
      <c r="K178" s="28"/>
      <c r="L178" s="29"/>
      <c r="M178" s="28"/>
      <c r="N178" s="29"/>
      <c r="O178" s="28"/>
      <c r="P178" s="32"/>
      <c r="Q178" s="28"/>
      <c r="R178" s="32"/>
      <c r="S178" s="28"/>
      <c r="T178" s="32"/>
      <c r="U178" s="28"/>
      <c r="V178" s="32"/>
      <c r="W178" s="32"/>
      <c r="X178" s="32"/>
      <c r="Y178" s="32"/>
      <c r="Z178" s="32"/>
      <c r="AA178" s="32"/>
      <c r="AB178" s="32"/>
      <c r="AC178" s="36">
        <f>E178+G178+I178+K178+M178+O178+Q178+S178+U178+W178+Y178+AA178</f>
        <v>1</v>
      </c>
      <c r="AD178" s="33">
        <f>F178+H178+J178+L178+N178+P178+R178+T178+V178+X178+Z178+AB178</f>
        <v>1824</v>
      </c>
    </row>
    <row r="179" spans="1:30" x14ac:dyDescent="0.35">
      <c r="A179" s="5">
        <v>446</v>
      </c>
      <c r="B179" s="10" t="str">
        <f>LEFT(D179,FIND("-",D179)-1)</f>
        <v>SILD019</v>
      </c>
      <c r="C179" s="27" t="s">
        <v>471</v>
      </c>
      <c r="D179" s="6" t="s">
        <v>456</v>
      </c>
      <c r="E179" s="34"/>
      <c r="F179" s="35"/>
      <c r="G179" s="30"/>
      <c r="H179" s="31"/>
      <c r="I179" s="28">
        <v>1</v>
      </c>
      <c r="J179" s="29">
        <v>1824</v>
      </c>
      <c r="K179" s="28"/>
      <c r="L179" s="29"/>
      <c r="M179" s="28"/>
      <c r="N179" s="29"/>
      <c r="O179" s="28"/>
      <c r="P179" s="32"/>
      <c r="Q179" s="28"/>
      <c r="R179" s="32"/>
      <c r="S179" s="28"/>
      <c r="T179" s="32"/>
      <c r="U179" s="28"/>
      <c r="V179" s="32"/>
      <c r="W179" s="32"/>
      <c r="X179" s="32"/>
      <c r="Y179" s="32"/>
      <c r="Z179" s="32"/>
      <c r="AA179" s="32"/>
      <c r="AB179" s="32"/>
      <c r="AC179" s="37">
        <f>E179+G179+I179+K179+M179+O179+Q179+S179+U179+W179+Y179+AA179</f>
        <v>1</v>
      </c>
      <c r="AD179" s="33">
        <f>F179+H179+J179+L179+N179+P179+R179+T179+V179+X179+Z179+AB179</f>
        <v>1824</v>
      </c>
    </row>
    <row r="180" spans="1:30" x14ac:dyDescent="0.35">
      <c r="A180" s="5">
        <v>447</v>
      </c>
      <c r="B180" s="10" t="str">
        <f>LEFT(D180,FIND("-",D180)-1)</f>
        <v>SILD020</v>
      </c>
      <c r="C180" s="27" t="s">
        <v>471</v>
      </c>
      <c r="D180" s="6" t="s">
        <v>457</v>
      </c>
      <c r="E180" s="34"/>
      <c r="F180" s="35"/>
      <c r="G180" s="30"/>
      <c r="H180" s="31"/>
      <c r="I180" s="28">
        <v>1</v>
      </c>
      <c r="J180" s="29">
        <v>1824</v>
      </c>
      <c r="K180" s="28"/>
      <c r="L180" s="29"/>
      <c r="M180" s="28"/>
      <c r="N180" s="29"/>
      <c r="O180" s="28"/>
      <c r="P180" s="32"/>
      <c r="Q180" s="28"/>
      <c r="R180" s="32"/>
      <c r="S180" s="28"/>
      <c r="T180" s="32"/>
      <c r="U180" s="28"/>
      <c r="V180" s="32"/>
      <c r="W180" s="32"/>
      <c r="X180" s="32"/>
      <c r="Y180" s="32"/>
      <c r="Z180" s="32"/>
      <c r="AA180" s="32"/>
      <c r="AB180" s="32"/>
      <c r="AC180" s="36">
        <f>E180+G180+I180+K180+M180+O180+Q180+S180+U180+W180+Y180+AA180</f>
        <v>1</v>
      </c>
      <c r="AD180" s="33">
        <f>F180+H180+J180+L180+N180+P180+R180+T180+V180+X180+Z180+AB180</f>
        <v>1824</v>
      </c>
    </row>
    <row r="181" spans="1:30" x14ac:dyDescent="0.35">
      <c r="A181" s="5">
        <v>56</v>
      </c>
      <c r="B181" s="10" t="str">
        <f>LEFT(D181,FIND("-",D181)-1)</f>
        <v>SHSG</v>
      </c>
      <c r="C181" s="27" t="s">
        <v>471</v>
      </c>
      <c r="D181" s="6" t="s">
        <v>370</v>
      </c>
      <c r="E181" s="34"/>
      <c r="F181" s="35"/>
      <c r="G181" s="30">
        <v>201</v>
      </c>
      <c r="H181" s="31">
        <v>389538</v>
      </c>
      <c r="I181" s="28"/>
      <c r="J181" s="29"/>
      <c r="K181" s="28"/>
      <c r="L181" s="29"/>
      <c r="M181" s="28"/>
      <c r="N181" s="29"/>
      <c r="O181" s="28"/>
      <c r="P181" s="32"/>
      <c r="Q181" s="28"/>
      <c r="R181" s="32"/>
      <c r="S181" s="28"/>
      <c r="T181" s="32"/>
      <c r="U181" s="28"/>
      <c r="V181" s="32"/>
      <c r="W181" s="32"/>
      <c r="X181" s="32"/>
      <c r="Y181" s="32"/>
      <c r="Z181" s="32"/>
      <c r="AA181" s="32"/>
      <c r="AB181" s="32"/>
      <c r="AC181" s="36">
        <f>E181+G181+I181+K181+M181+O181+Q181+S181+U181+W181+Y181+AA181</f>
        <v>201</v>
      </c>
      <c r="AD181" s="33">
        <f>F181+H181+J181+L181+N181+P181+R181+T181+V181+X181+Z181+AB181</f>
        <v>389538</v>
      </c>
    </row>
    <row r="182" spans="1:30" x14ac:dyDescent="0.35">
      <c r="A182" s="5">
        <v>57</v>
      </c>
      <c r="B182" s="10" t="str">
        <f>LEFT(D182,FIND("-",D182)-1)</f>
        <v>SHSC</v>
      </c>
      <c r="C182" s="27" t="s">
        <v>471</v>
      </c>
      <c r="D182" s="6" t="s">
        <v>368</v>
      </c>
      <c r="E182" s="34"/>
      <c r="F182" s="35"/>
      <c r="G182" s="30">
        <v>200</v>
      </c>
      <c r="H182" s="31">
        <v>387600</v>
      </c>
      <c r="I182" s="28"/>
      <c r="J182" s="29"/>
      <c r="K182" s="28"/>
      <c r="L182" s="29"/>
      <c r="M182" s="28"/>
      <c r="N182" s="29"/>
      <c r="O182" s="28"/>
      <c r="P182" s="32"/>
      <c r="Q182" s="28"/>
      <c r="R182" s="32"/>
      <c r="S182" s="28"/>
      <c r="T182" s="32"/>
      <c r="U182" s="28"/>
      <c r="V182" s="32"/>
      <c r="W182" s="32"/>
      <c r="X182" s="32"/>
      <c r="Y182" s="32"/>
      <c r="Z182" s="32"/>
      <c r="AA182" s="32"/>
      <c r="AB182" s="32"/>
      <c r="AC182" s="36">
        <f>E182+G182+I182+K182+M182+O182+Q182+S182+U182+W182+Y182+AA182</f>
        <v>200</v>
      </c>
      <c r="AD182" s="33">
        <f>F182+H182+J182+L182+N182+P182+R182+T182+V182+X182+Z182+AB182</f>
        <v>387600</v>
      </c>
    </row>
    <row r="183" spans="1:30" x14ac:dyDescent="0.35">
      <c r="A183" s="5">
        <v>58</v>
      </c>
      <c r="B183" s="10" t="str">
        <f>LEFT(D183,FIND("-",D183)-1)</f>
        <v>SHSF103</v>
      </c>
      <c r="C183" s="27" t="s">
        <v>471</v>
      </c>
      <c r="D183" s="6" t="s">
        <v>369</v>
      </c>
      <c r="E183" s="34"/>
      <c r="F183" s="35"/>
      <c r="G183" s="30">
        <v>200</v>
      </c>
      <c r="H183" s="31">
        <v>478800</v>
      </c>
      <c r="I183" s="28"/>
      <c r="J183" s="29"/>
      <c r="K183" s="28"/>
      <c r="L183" s="29"/>
      <c r="M183" s="28"/>
      <c r="N183" s="29"/>
      <c r="O183" s="28"/>
      <c r="P183" s="32"/>
      <c r="Q183" s="28"/>
      <c r="R183" s="32"/>
      <c r="S183" s="28"/>
      <c r="T183" s="32"/>
      <c r="U183" s="28"/>
      <c r="V183" s="32"/>
      <c r="W183" s="32"/>
      <c r="X183" s="32"/>
      <c r="Y183" s="32"/>
      <c r="Z183" s="32"/>
      <c r="AA183" s="32"/>
      <c r="AB183" s="32"/>
      <c r="AC183" s="36">
        <f>E183+G183+I183+K183+M183+O183+Q183+S183+U183+W183+Y183+AA183</f>
        <v>200</v>
      </c>
      <c r="AD183" s="33">
        <f>F183+H183+J183+L183+N183+P183+R183+T183+V183+X183+Z183+AB183</f>
        <v>478800</v>
      </c>
    </row>
    <row r="184" spans="1:30" x14ac:dyDescent="0.35">
      <c r="A184" s="5">
        <v>77</v>
      </c>
      <c r="B184" s="10" t="str">
        <f>LEFT(D184,FIND("-",D184)-1)</f>
        <v>SHSB</v>
      </c>
      <c r="C184" s="27" t="s">
        <v>471</v>
      </c>
      <c r="D184" s="6" t="s">
        <v>367</v>
      </c>
      <c r="E184" s="34"/>
      <c r="F184" s="35"/>
      <c r="G184" s="30">
        <v>150</v>
      </c>
      <c r="H184" s="31">
        <v>205200</v>
      </c>
      <c r="I184" s="28"/>
      <c r="J184" s="29"/>
      <c r="K184" s="28"/>
      <c r="L184" s="29"/>
      <c r="M184" s="28"/>
      <c r="N184" s="29"/>
      <c r="O184" s="28"/>
      <c r="P184" s="32"/>
      <c r="Q184" s="28"/>
      <c r="R184" s="32"/>
      <c r="S184" s="28"/>
      <c r="T184" s="32"/>
      <c r="U184" s="28"/>
      <c r="V184" s="32"/>
      <c r="W184" s="32"/>
      <c r="X184" s="32"/>
      <c r="Y184" s="32"/>
      <c r="Z184" s="32"/>
      <c r="AA184" s="32"/>
      <c r="AB184" s="32"/>
      <c r="AC184" s="36">
        <f>E184+G184+I184+K184+M184+O184+Q184+S184+U184+W184+Y184+AA184</f>
        <v>150</v>
      </c>
      <c r="AD184" s="33">
        <f>F184+H184+J184+L184+N184+P184+R184+T184+V184+X184+Z184+AB184</f>
        <v>205200</v>
      </c>
    </row>
    <row r="185" spans="1:30" x14ac:dyDescent="0.35">
      <c r="A185" s="5">
        <v>103</v>
      </c>
      <c r="B185" s="10" t="str">
        <f>LEFT(D185,FIND("-",D185)-1)</f>
        <v>SHSH</v>
      </c>
      <c r="C185" s="27" t="s">
        <v>471</v>
      </c>
      <c r="D185" s="6" t="s">
        <v>371</v>
      </c>
      <c r="E185" s="34"/>
      <c r="F185" s="35"/>
      <c r="G185" s="30">
        <v>100</v>
      </c>
      <c r="H185" s="31">
        <v>307800</v>
      </c>
      <c r="I185" s="28"/>
      <c r="J185" s="29"/>
      <c r="K185" s="28"/>
      <c r="L185" s="29"/>
      <c r="M185" s="28"/>
      <c r="N185" s="29"/>
      <c r="O185" s="28"/>
      <c r="P185" s="32"/>
      <c r="Q185" s="28"/>
      <c r="R185" s="32"/>
      <c r="S185" s="28"/>
      <c r="T185" s="32"/>
      <c r="U185" s="28"/>
      <c r="V185" s="32"/>
      <c r="W185" s="32"/>
      <c r="X185" s="32"/>
      <c r="Y185" s="32"/>
      <c r="Z185" s="32"/>
      <c r="AA185" s="32"/>
      <c r="AB185" s="32"/>
      <c r="AC185" s="36">
        <f>E185+G185+I185+K185+M185+O185+Q185+S185+U185+W185+Y185+AA185</f>
        <v>100</v>
      </c>
      <c r="AD185" s="33">
        <f>F185+H185+J185+L185+N185+P185+R185+T185+V185+X185+Z185+AB185</f>
        <v>307800</v>
      </c>
    </row>
    <row r="186" spans="1:30" x14ac:dyDescent="0.35">
      <c r="A186" s="5">
        <v>105</v>
      </c>
      <c r="B186" s="10" t="str">
        <f>LEFT(D186,FIND("-",D186)-1)</f>
        <v>SJPK001</v>
      </c>
      <c r="C186" s="27" t="s">
        <v>471</v>
      </c>
      <c r="D186" s="6" t="s">
        <v>106</v>
      </c>
      <c r="E186" s="34">
        <v>100</v>
      </c>
      <c r="F186" s="35">
        <v>239400</v>
      </c>
      <c r="G186" s="30"/>
      <c r="H186" s="31"/>
      <c r="I186" s="28"/>
      <c r="J186" s="29"/>
      <c r="K186" s="28"/>
      <c r="L186" s="29"/>
      <c r="M186" s="28"/>
      <c r="N186" s="29"/>
      <c r="O186" s="28"/>
      <c r="P186" s="32"/>
      <c r="Q186" s="28"/>
      <c r="R186" s="32"/>
      <c r="S186" s="28"/>
      <c r="T186" s="32"/>
      <c r="U186" s="28"/>
      <c r="V186" s="32"/>
      <c r="W186" s="32"/>
      <c r="X186" s="32"/>
      <c r="Y186" s="32"/>
      <c r="Z186" s="32"/>
      <c r="AA186" s="32"/>
      <c r="AB186" s="32"/>
      <c r="AC186" s="36">
        <f>E186+G186+I186+K186+M186+O186+Q186+S186+U186+W186+Y186+AA186</f>
        <v>100</v>
      </c>
      <c r="AD186" s="33">
        <f>F186+H186+J186+L186+N186+P186+R186+T186+V186+X186+Z186+AB186</f>
        <v>239400</v>
      </c>
    </row>
    <row r="187" spans="1:30" x14ac:dyDescent="0.35">
      <c r="A187" s="5">
        <v>179</v>
      </c>
      <c r="B187" s="10" t="str">
        <f>LEFT(D187,FIND("-",D187)-1)</f>
        <v>SJPK027</v>
      </c>
      <c r="C187" s="27" t="s">
        <v>471</v>
      </c>
      <c r="D187" s="6" t="s">
        <v>128</v>
      </c>
      <c r="E187" s="34">
        <v>34</v>
      </c>
      <c r="F187" s="35">
        <v>81396</v>
      </c>
      <c r="G187" s="30"/>
      <c r="H187" s="31"/>
      <c r="I187" s="28"/>
      <c r="J187" s="29"/>
      <c r="K187" s="28"/>
      <c r="L187" s="29"/>
      <c r="M187" s="28"/>
      <c r="N187" s="29"/>
      <c r="O187" s="28"/>
      <c r="P187" s="32"/>
      <c r="Q187" s="28"/>
      <c r="R187" s="32"/>
      <c r="S187" s="28"/>
      <c r="T187" s="32"/>
      <c r="U187" s="28"/>
      <c r="V187" s="32"/>
      <c r="W187" s="32"/>
      <c r="X187" s="32"/>
      <c r="Y187" s="32"/>
      <c r="Z187" s="32"/>
      <c r="AA187" s="32"/>
      <c r="AB187" s="32"/>
      <c r="AC187" s="36">
        <f>E187+G187+I187+K187+M187+O187+Q187+S187+U187+W187+Y187+AA187</f>
        <v>34</v>
      </c>
      <c r="AD187" s="33">
        <f>F187+H187+J187+L187+N187+P187+R187+T187+V187+X187+Z187+AB187</f>
        <v>81396</v>
      </c>
    </row>
    <row r="188" spans="1:30" x14ac:dyDescent="0.35">
      <c r="A188" s="5">
        <v>323</v>
      </c>
      <c r="B188" s="10" t="str">
        <f>LEFT(D188,FIND("-",D188)-1)</f>
        <v>SILD017</v>
      </c>
      <c r="C188" s="27" t="s">
        <v>471</v>
      </c>
      <c r="D188" s="6" t="s">
        <v>91</v>
      </c>
      <c r="E188" s="34">
        <v>8</v>
      </c>
      <c r="F188" s="35">
        <v>14592</v>
      </c>
      <c r="G188" s="30"/>
      <c r="H188" s="31"/>
      <c r="I188" s="28"/>
      <c r="J188" s="29"/>
      <c r="K188" s="28"/>
      <c r="L188" s="29"/>
      <c r="M188" s="28"/>
      <c r="N188" s="29"/>
      <c r="O188" s="28"/>
      <c r="P188" s="32"/>
      <c r="Q188" s="28"/>
      <c r="R188" s="32"/>
      <c r="S188" s="28"/>
      <c r="T188" s="32"/>
      <c r="U188" s="28"/>
      <c r="V188" s="32"/>
      <c r="W188" s="32"/>
      <c r="X188" s="32"/>
      <c r="Y188" s="32"/>
      <c r="Z188" s="32"/>
      <c r="AA188" s="32"/>
      <c r="AB188" s="32"/>
      <c r="AC188" s="36">
        <f>E188+G188+I188+K188+M188+O188+Q188+S188+U188+W188+Y188+AA188</f>
        <v>8</v>
      </c>
      <c r="AD188" s="33">
        <f>F188+H188+J188+L188+N188+P188+R188+T188+V188+X188+Z188+AB188</f>
        <v>14592</v>
      </c>
    </row>
    <row r="189" spans="1:30" x14ac:dyDescent="0.35">
      <c r="A189" s="5">
        <v>333</v>
      </c>
      <c r="B189" s="10" t="str">
        <f>LEFT(D189,FIND("-",D189)-1)</f>
        <v>SHRC</v>
      </c>
      <c r="C189" s="27" t="s">
        <v>471</v>
      </c>
      <c r="D189" s="6" t="s">
        <v>231</v>
      </c>
      <c r="E189" s="34">
        <v>7</v>
      </c>
      <c r="F189" s="35">
        <v>17157</v>
      </c>
      <c r="G189" s="30"/>
      <c r="H189" s="31"/>
      <c r="I189" s="28"/>
      <c r="J189" s="29"/>
      <c r="K189" s="28"/>
      <c r="L189" s="29"/>
      <c r="M189" s="28"/>
      <c r="N189" s="29"/>
      <c r="O189" s="28"/>
      <c r="P189" s="32"/>
      <c r="Q189" s="28"/>
      <c r="R189" s="32"/>
      <c r="S189" s="28"/>
      <c r="T189" s="32"/>
      <c r="U189" s="28"/>
      <c r="V189" s="32"/>
      <c r="W189" s="32"/>
      <c r="X189" s="32"/>
      <c r="Y189" s="32"/>
      <c r="Z189" s="32"/>
      <c r="AA189" s="32"/>
      <c r="AB189" s="32"/>
      <c r="AC189" s="36">
        <f>E189+G189+I189+K189+M189+O189+Q189+S189+U189+W189+Y189+AA189</f>
        <v>7</v>
      </c>
      <c r="AD189" s="33">
        <f>F189+H189+J189+L189+N189+P189+R189+T189+V189+X189+Z189+AB189</f>
        <v>17157</v>
      </c>
    </row>
    <row r="190" spans="1:30" x14ac:dyDescent="0.35">
      <c r="A190" s="5">
        <v>342</v>
      </c>
      <c r="B190" s="10" t="str">
        <f>LEFT(D190,FIND("-",D190)-1)</f>
        <v>SHRA</v>
      </c>
      <c r="C190" s="27" t="s">
        <v>471</v>
      </c>
      <c r="D190" s="6" t="s">
        <v>229</v>
      </c>
      <c r="E190" s="34">
        <v>6</v>
      </c>
      <c r="F190" s="35">
        <v>14706</v>
      </c>
      <c r="G190" s="30"/>
      <c r="H190" s="31"/>
      <c r="I190" s="28"/>
      <c r="J190" s="29"/>
      <c r="K190" s="28"/>
      <c r="L190" s="29"/>
      <c r="M190" s="28"/>
      <c r="N190" s="29"/>
      <c r="O190" s="28"/>
      <c r="P190" s="32"/>
      <c r="Q190" s="28"/>
      <c r="R190" s="32"/>
      <c r="S190" s="28"/>
      <c r="T190" s="32"/>
      <c r="U190" s="28"/>
      <c r="V190" s="32"/>
      <c r="W190" s="32"/>
      <c r="X190" s="32"/>
      <c r="Y190" s="32"/>
      <c r="Z190" s="32"/>
      <c r="AA190" s="32"/>
      <c r="AB190" s="32"/>
      <c r="AC190" s="36">
        <f>E190+G190+I190+K190+M190+O190+Q190+S190+U190+W190+Y190+AA190</f>
        <v>6</v>
      </c>
      <c r="AD190" s="33">
        <f>F190+H190+J190+L190+N190+P190+R190+T190+V190+X190+Z190+AB190</f>
        <v>14706</v>
      </c>
    </row>
    <row r="191" spans="1:30" x14ac:dyDescent="0.35">
      <c r="A191" s="5">
        <v>346</v>
      </c>
      <c r="B191" s="10" t="str">
        <f>LEFT(D191,FIND("-",D191)-1)</f>
        <v>SIRD</v>
      </c>
      <c r="C191" s="27" t="s">
        <v>471</v>
      </c>
      <c r="D191" s="6" t="s">
        <v>392</v>
      </c>
      <c r="E191" s="34"/>
      <c r="F191" s="35"/>
      <c r="G191" s="30">
        <v>6</v>
      </c>
      <c r="H191" s="31">
        <v>3078</v>
      </c>
      <c r="I191" s="28"/>
      <c r="J191" s="29"/>
      <c r="K191" s="28"/>
      <c r="L191" s="29"/>
      <c r="M191" s="28"/>
      <c r="N191" s="29"/>
      <c r="O191" s="28"/>
      <c r="P191" s="32"/>
      <c r="Q191" s="28"/>
      <c r="R191" s="32"/>
      <c r="S191" s="28"/>
      <c r="T191" s="32"/>
      <c r="U191" s="28"/>
      <c r="V191" s="32"/>
      <c r="W191" s="32"/>
      <c r="X191" s="32"/>
      <c r="Y191" s="32"/>
      <c r="Z191" s="32"/>
      <c r="AA191" s="32"/>
      <c r="AB191" s="32"/>
      <c r="AC191" s="36">
        <f>E191+G191+I191+K191+M191+O191+Q191+S191+U191+W191+Y191+AA191</f>
        <v>6</v>
      </c>
      <c r="AD191" s="33">
        <f>F191+H191+J191+L191+N191+P191+R191+T191+V191+X191+Z191+AB191</f>
        <v>3078</v>
      </c>
    </row>
    <row r="192" spans="1:30" x14ac:dyDescent="0.35">
      <c r="A192" s="5">
        <v>379</v>
      </c>
      <c r="B192" s="10" t="str">
        <f>LEFT(D192,FIND("-",D192)-1)</f>
        <v>SHRB</v>
      </c>
      <c r="C192" s="27" t="s">
        <v>471</v>
      </c>
      <c r="D192" s="6" t="s">
        <v>230</v>
      </c>
      <c r="E192" s="34">
        <v>4</v>
      </c>
      <c r="F192" s="35">
        <v>9804</v>
      </c>
      <c r="G192" s="30"/>
      <c r="H192" s="31"/>
      <c r="I192" s="28"/>
      <c r="J192" s="29"/>
      <c r="K192" s="28"/>
      <c r="L192" s="29"/>
      <c r="M192" s="28"/>
      <c r="N192" s="29"/>
      <c r="O192" s="28"/>
      <c r="P192" s="32"/>
      <c r="Q192" s="28"/>
      <c r="R192" s="32"/>
      <c r="S192" s="28"/>
      <c r="T192" s="32"/>
      <c r="U192" s="28"/>
      <c r="V192" s="32"/>
      <c r="W192" s="32"/>
      <c r="X192" s="32"/>
      <c r="Y192" s="32"/>
      <c r="Z192" s="32"/>
      <c r="AA192" s="32"/>
      <c r="AB192" s="32"/>
      <c r="AC192" s="36">
        <f>E192+G192+I192+K192+M192+O192+Q192+S192+U192+W192+Y192+AA192</f>
        <v>4</v>
      </c>
      <c r="AD192" s="33">
        <f>F192+H192+J192+L192+N192+P192+R192+T192+V192+X192+Z192+AB192</f>
        <v>9804</v>
      </c>
    </row>
    <row r="193" spans="1:30" x14ac:dyDescent="0.35">
      <c r="A193" s="5">
        <v>380</v>
      </c>
      <c r="B193" s="10" t="str">
        <f>LEFT(D193,FIND("-",D193)-1)</f>
        <v>SILD002</v>
      </c>
      <c r="C193" s="27" t="s">
        <v>471</v>
      </c>
      <c r="D193" s="6" t="s">
        <v>86</v>
      </c>
      <c r="E193" s="34">
        <v>4</v>
      </c>
      <c r="F193" s="35">
        <v>7296</v>
      </c>
      <c r="G193" s="30"/>
      <c r="H193" s="31"/>
      <c r="I193" s="28"/>
      <c r="J193" s="29"/>
      <c r="K193" s="28"/>
      <c r="L193" s="29"/>
      <c r="M193" s="28"/>
      <c r="N193" s="29"/>
      <c r="O193" s="28"/>
      <c r="P193" s="32"/>
      <c r="Q193" s="28"/>
      <c r="R193" s="32"/>
      <c r="S193" s="28"/>
      <c r="T193" s="32"/>
      <c r="U193" s="28"/>
      <c r="V193" s="32"/>
      <c r="W193" s="32"/>
      <c r="X193" s="32"/>
      <c r="Y193" s="32"/>
      <c r="Z193" s="32"/>
      <c r="AA193" s="32"/>
      <c r="AB193" s="32"/>
      <c r="AC193" s="37">
        <f>E193+G193+I193+K193+M193+O193+Q193+S193+U193+W193+Y193+AA193</f>
        <v>4</v>
      </c>
      <c r="AD193" s="33">
        <f>F193+H193+J193+L193+N193+P193+R193+T193+V193+X193+Z193+AB193</f>
        <v>7296</v>
      </c>
    </row>
    <row r="194" spans="1:30" x14ac:dyDescent="0.35">
      <c r="A194" s="5">
        <v>381</v>
      </c>
      <c r="B194" s="10" t="str">
        <f>LEFT(D194,FIND("-",D194)-1)</f>
        <v>SILD010</v>
      </c>
      <c r="C194" s="27" t="s">
        <v>471</v>
      </c>
      <c r="D194" s="6" t="s">
        <v>89</v>
      </c>
      <c r="E194" s="34">
        <v>4</v>
      </c>
      <c r="F194" s="35">
        <v>7296</v>
      </c>
      <c r="G194" s="30"/>
      <c r="H194" s="31"/>
      <c r="I194" s="28"/>
      <c r="J194" s="29"/>
      <c r="K194" s="28"/>
      <c r="L194" s="29"/>
      <c r="M194" s="28"/>
      <c r="N194" s="29"/>
      <c r="O194" s="28"/>
      <c r="P194" s="32"/>
      <c r="Q194" s="28"/>
      <c r="R194" s="32"/>
      <c r="S194" s="28"/>
      <c r="T194" s="32"/>
      <c r="U194" s="28"/>
      <c r="V194" s="32"/>
      <c r="W194" s="32"/>
      <c r="X194" s="32"/>
      <c r="Y194" s="32"/>
      <c r="Z194" s="32"/>
      <c r="AA194" s="32"/>
      <c r="AB194" s="32"/>
      <c r="AC194" s="36">
        <f>E194+G194+I194+K194+M194+O194+Q194+S194+U194+W194+Y194+AA194</f>
        <v>4</v>
      </c>
      <c r="AD194" s="33">
        <f>F194+H194+J194+L194+N194+P194+R194+T194+V194+X194+Z194+AB194</f>
        <v>7296</v>
      </c>
    </row>
    <row r="195" spans="1:30" x14ac:dyDescent="0.35">
      <c r="A195" s="5">
        <v>396</v>
      </c>
      <c r="B195" s="10" t="str">
        <f>LEFT(D195,FIND("-",D195)-1)</f>
        <v>SIGR</v>
      </c>
      <c r="C195" s="27" t="s">
        <v>471</v>
      </c>
      <c r="D195" s="6" t="s">
        <v>378</v>
      </c>
      <c r="E195" s="34"/>
      <c r="F195" s="35"/>
      <c r="G195" s="30">
        <v>3</v>
      </c>
      <c r="H195" s="31">
        <v>2565</v>
      </c>
      <c r="I195" s="28"/>
      <c r="J195" s="29"/>
      <c r="K195" s="28"/>
      <c r="L195" s="29"/>
      <c r="M195" s="28"/>
      <c r="N195" s="29"/>
      <c r="O195" s="28"/>
      <c r="P195" s="32"/>
      <c r="Q195" s="28"/>
      <c r="R195" s="32"/>
      <c r="S195" s="28"/>
      <c r="T195" s="32"/>
      <c r="U195" s="28"/>
      <c r="V195" s="32"/>
      <c r="W195" s="32"/>
      <c r="X195" s="32"/>
      <c r="Y195" s="32"/>
      <c r="Z195" s="32"/>
      <c r="AA195" s="32"/>
      <c r="AB195" s="32"/>
      <c r="AC195" s="36">
        <f>E195+G195+I195+K195+M195+O195+Q195+S195+U195+W195+Y195+AA195</f>
        <v>3</v>
      </c>
      <c r="AD195" s="33">
        <f>F195+H195+J195+L195+N195+P195+R195+T195+V195+X195+Z195+AB195</f>
        <v>2565</v>
      </c>
    </row>
    <row r="196" spans="1:30" x14ac:dyDescent="0.35">
      <c r="A196" s="5">
        <v>398</v>
      </c>
      <c r="B196" s="10" t="str">
        <f>LEFT(D196,FIND("-",D196)-1)</f>
        <v>SIRO</v>
      </c>
      <c r="C196" s="27" t="s">
        <v>471</v>
      </c>
      <c r="D196" s="6" t="s">
        <v>393</v>
      </c>
      <c r="E196" s="34"/>
      <c r="F196" s="35"/>
      <c r="G196" s="30">
        <v>3</v>
      </c>
      <c r="H196" s="31">
        <v>4788</v>
      </c>
      <c r="I196" s="28"/>
      <c r="J196" s="29"/>
      <c r="K196" s="28"/>
      <c r="L196" s="29"/>
      <c r="M196" s="28"/>
      <c r="N196" s="29"/>
      <c r="O196" s="28"/>
      <c r="P196" s="32"/>
      <c r="Q196" s="28"/>
      <c r="R196" s="32"/>
      <c r="S196" s="28"/>
      <c r="T196" s="32"/>
      <c r="U196" s="28"/>
      <c r="V196" s="32"/>
      <c r="W196" s="32"/>
      <c r="X196" s="32"/>
      <c r="Y196" s="32"/>
      <c r="Z196" s="32"/>
      <c r="AA196" s="32"/>
      <c r="AB196" s="32"/>
      <c r="AC196" s="37">
        <f>E196+G196+I196+K196+M196+O196+Q196+S196+U196+W196+Y196+AA196</f>
        <v>3</v>
      </c>
      <c r="AD196" s="33">
        <f>F196+H196+J196+L196+N196+P196+R196+T196+V196+X196+Z196+AB196</f>
        <v>4788</v>
      </c>
    </row>
    <row r="197" spans="1:30" x14ac:dyDescent="0.35">
      <c r="A197" s="5">
        <v>399</v>
      </c>
      <c r="B197" s="10" t="str">
        <f>LEFT(D197,FIND("-",D197)-1)</f>
        <v>SITK</v>
      </c>
      <c r="C197" s="27" t="s">
        <v>471</v>
      </c>
      <c r="D197" s="6" t="s">
        <v>397</v>
      </c>
      <c r="E197" s="34"/>
      <c r="F197" s="35"/>
      <c r="G197" s="30">
        <v>3</v>
      </c>
      <c r="H197" s="31">
        <v>4446</v>
      </c>
      <c r="I197" s="28"/>
      <c r="J197" s="29"/>
      <c r="K197" s="28"/>
      <c r="L197" s="29"/>
      <c r="M197" s="28"/>
      <c r="N197" s="29"/>
      <c r="O197" s="28"/>
      <c r="P197" s="32"/>
      <c r="Q197" s="28"/>
      <c r="R197" s="32"/>
      <c r="S197" s="28"/>
      <c r="T197" s="32"/>
      <c r="U197" s="28"/>
      <c r="V197" s="32"/>
      <c r="W197" s="32"/>
      <c r="X197" s="32"/>
      <c r="Y197" s="32"/>
      <c r="Z197" s="32"/>
      <c r="AA197" s="32"/>
      <c r="AB197" s="32"/>
      <c r="AC197" s="36">
        <f>E197+G197+I197+K197+M197+O197+Q197+S197+U197+W197+Y197+AA197</f>
        <v>3</v>
      </c>
      <c r="AD197" s="33">
        <f>F197+H197+J197+L197+N197+P197+R197+T197+V197+X197+Z197+AB197</f>
        <v>4446</v>
      </c>
    </row>
    <row r="198" spans="1:30" x14ac:dyDescent="0.35">
      <c r="A198" s="5">
        <v>419</v>
      </c>
      <c r="B198" s="10" t="str">
        <f>LEFT(D198,FIND("-",D198)-1)</f>
        <v>SIBL001</v>
      </c>
      <c r="C198" s="27" t="s">
        <v>471</v>
      </c>
      <c r="D198" s="6" t="s">
        <v>232</v>
      </c>
      <c r="E198" s="34">
        <v>2</v>
      </c>
      <c r="F198" s="35">
        <v>3420</v>
      </c>
      <c r="G198" s="30"/>
      <c r="H198" s="31"/>
      <c r="I198" s="28"/>
      <c r="J198" s="29"/>
      <c r="K198" s="28"/>
      <c r="L198" s="29"/>
      <c r="M198" s="28"/>
      <c r="N198" s="29"/>
      <c r="O198" s="28"/>
      <c r="P198" s="32"/>
      <c r="Q198" s="28"/>
      <c r="R198" s="32"/>
      <c r="S198" s="28"/>
      <c r="T198" s="32"/>
      <c r="U198" s="28"/>
      <c r="V198" s="32"/>
      <c r="W198" s="32"/>
      <c r="X198" s="32"/>
      <c r="Y198" s="32"/>
      <c r="Z198" s="32"/>
      <c r="AA198" s="32"/>
      <c r="AB198" s="32"/>
      <c r="AC198" s="36">
        <f>E198+G198+I198+K198+M198+O198+Q198+S198+U198+W198+Y198+AA198</f>
        <v>2</v>
      </c>
      <c r="AD198" s="33">
        <f>F198+H198+J198+L198+N198+P198+R198+T198+V198+X198+Z198+AB198</f>
        <v>3420</v>
      </c>
    </row>
    <row r="199" spans="1:30" x14ac:dyDescent="0.35">
      <c r="A199" s="5">
        <v>420</v>
      </c>
      <c r="B199" s="10" t="str">
        <f>LEFT(D199,FIND("-",D199)-1)</f>
        <v>SIEQ</v>
      </c>
      <c r="C199" s="27" t="s">
        <v>471</v>
      </c>
      <c r="D199" s="6" t="s">
        <v>80</v>
      </c>
      <c r="E199" s="34">
        <v>2</v>
      </c>
      <c r="F199" s="35">
        <v>2280</v>
      </c>
      <c r="G199" s="30"/>
      <c r="H199" s="31"/>
      <c r="I199" s="28"/>
      <c r="J199" s="29"/>
      <c r="K199" s="28"/>
      <c r="L199" s="29"/>
      <c r="M199" s="28"/>
      <c r="N199" s="29"/>
      <c r="O199" s="28"/>
      <c r="P199" s="32"/>
      <c r="Q199" s="28"/>
      <c r="R199" s="32"/>
      <c r="S199" s="28"/>
      <c r="T199" s="32"/>
      <c r="U199" s="28"/>
      <c r="V199" s="32"/>
      <c r="W199" s="32"/>
      <c r="X199" s="32"/>
      <c r="Y199" s="32"/>
      <c r="Z199" s="32"/>
      <c r="AA199" s="32"/>
      <c r="AB199" s="32"/>
      <c r="AC199" s="36">
        <f>E199+G199+I199+K199+M199+O199+Q199+S199+U199+W199+Y199+AA199</f>
        <v>2</v>
      </c>
      <c r="AD199" s="33">
        <f>F199+H199+J199+L199+N199+P199+R199+T199+V199+X199+Z199+AB199</f>
        <v>2280</v>
      </c>
    </row>
    <row r="200" spans="1:30" x14ac:dyDescent="0.35">
      <c r="A200" s="5">
        <v>421</v>
      </c>
      <c r="B200" s="10" t="str">
        <f>LEFT(D200,FIND("-",D200)-1)</f>
        <v>SIGQ001</v>
      </c>
      <c r="C200" s="27" t="s">
        <v>471</v>
      </c>
      <c r="D200" s="6" t="s">
        <v>376</v>
      </c>
      <c r="E200" s="34"/>
      <c r="F200" s="35"/>
      <c r="G200" s="30">
        <v>2</v>
      </c>
      <c r="H200" s="31">
        <v>3420</v>
      </c>
      <c r="I200" s="28"/>
      <c r="J200" s="29"/>
      <c r="K200" s="28"/>
      <c r="L200" s="29"/>
      <c r="M200" s="28"/>
      <c r="N200" s="29"/>
      <c r="O200" s="28"/>
      <c r="P200" s="32"/>
      <c r="Q200" s="28"/>
      <c r="R200" s="32"/>
      <c r="S200" s="28"/>
      <c r="T200" s="32"/>
      <c r="U200" s="28"/>
      <c r="V200" s="32"/>
      <c r="W200" s="32"/>
      <c r="X200" s="32"/>
      <c r="Y200" s="32"/>
      <c r="Z200" s="32"/>
      <c r="AA200" s="32"/>
      <c r="AB200" s="32"/>
      <c r="AC200" s="36">
        <f>E200+G200+I200+K200+M200+O200+Q200+S200+U200+W200+Y200+AA200</f>
        <v>2</v>
      </c>
      <c r="AD200" s="33">
        <f>F200+H200+J200+L200+N200+P200+R200+T200+V200+X200+Z200+AB200</f>
        <v>3420</v>
      </c>
    </row>
    <row r="201" spans="1:30" x14ac:dyDescent="0.35">
      <c r="A201" s="5">
        <v>422</v>
      </c>
      <c r="B201" s="10" t="str">
        <f>LEFT(D201,FIND("-",D201)-1)</f>
        <v>SIGQ002</v>
      </c>
      <c r="C201" s="27" t="s">
        <v>471</v>
      </c>
      <c r="D201" s="6" t="s">
        <v>377</v>
      </c>
      <c r="E201" s="34"/>
      <c r="F201" s="35"/>
      <c r="G201" s="30">
        <v>2</v>
      </c>
      <c r="H201" s="31">
        <v>3420</v>
      </c>
      <c r="I201" s="28"/>
      <c r="J201" s="29"/>
      <c r="K201" s="28"/>
      <c r="L201" s="29"/>
      <c r="M201" s="28"/>
      <c r="N201" s="29"/>
      <c r="O201" s="28"/>
      <c r="P201" s="32"/>
      <c r="Q201" s="28"/>
      <c r="R201" s="32"/>
      <c r="S201" s="28"/>
      <c r="T201" s="32"/>
      <c r="U201" s="28"/>
      <c r="V201" s="32"/>
      <c r="W201" s="32"/>
      <c r="X201" s="32"/>
      <c r="Y201" s="32"/>
      <c r="Z201" s="32"/>
      <c r="AA201" s="32"/>
      <c r="AB201" s="32"/>
      <c r="AC201" s="36">
        <f>E201+G201+I201+K201+M201+O201+Q201+S201+U201+W201+Y201+AA201</f>
        <v>2</v>
      </c>
      <c r="AD201" s="33">
        <f>F201+H201+J201+L201+N201+P201+R201+T201+V201+X201+Z201+AB201</f>
        <v>3420</v>
      </c>
    </row>
    <row r="202" spans="1:30" x14ac:dyDescent="0.35">
      <c r="A202" s="5">
        <v>423</v>
      </c>
      <c r="B202" s="10" t="str">
        <f>LEFT(D202,FIND("-",D202)-1)</f>
        <v>SILD001</v>
      </c>
      <c r="C202" s="27" t="s">
        <v>471</v>
      </c>
      <c r="D202" s="6" t="s">
        <v>85</v>
      </c>
      <c r="E202" s="34">
        <v>2</v>
      </c>
      <c r="F202" s="35">
        <v>3648</v>
      </c>
      <c r="G202" s="30"/>
      <c r="H202" s="31"/>
      <c r="I202" s="28"/>
      <c r="J202" s="29"/>
      <c r="K202" s="28"/>
      <c r="L202" s="29"/>
      <c r="M202" s="28"/>
      <c r="N202" s="29"/>
      <c r="O202" s="28"/>
      <c r="P202" s="32"/>
      <c r="Q202" s="28"/>
      <c r="R202" s="32"/>
      <c r="S202" s="28"/>
      <c r="T202" s="32"/>
      <c r="U202" s="28"/>
      <c r="V202" s="32"/>
      <c r="W202" s="32"/>
      <c r="X202" s="32"/>
      <c r="Y202" s="32"/>
      <c r="Z202" s="32"/>
      <c r="AA202" s="32"/>
      <c r="AB202" s="32"/>
      <c r="AC202" s="36">
        <f>E202+G202+I202+K202+M202+O202+Q202+S202+U202+W202+Y202+AA202</f>
        <v>2</v>
      </c>
      <c r="AD202" s="33">
        <f>F202+H202+J202+L202+N202+P202+R202+T202+V202+X202+Z202+AB202</f>
        <v>3648</v>
      </c>
    </row>
    <row r="203" spans="1:30" x14ac:dyDescent="0.35">
      <c r="A203" s="5">
        <v>425</v>
      </c>
      <c r="B203" s="10" t="str">
        <f>LEFT(D203,FIND("-",D203)-1)</f>
        <v>SILD012</v>
      </c>
      <c r="C203" s="27" t="s">
        <v>471</v>
      </c>
      <c r="D203" s="6" t="s">
        <v>90</v>
      </c>
      <c r="E203" s="34">
        <v>2</v>
      </c>
      <c r="F203" s="35">
        <v>3648</v>
      </c>
      <c r="G203" s="30"/>
      <c r="H203" s="31"/>
      <c r="I203" s="28"/>
      <c r="J203" s="29"/>
      <c r="K203" s="28"/>
      <c r="L203" s="29"/>
      <c r="M203" s="28"/>
      <c r="N203" s="29"/>
      <c r="O203" s="28"/>
      <c r="P203" s="32"/>
      <c r="Q203" s="28"/>
      <c r="R203" s="32"/>
      <c r="S203" s="28"/>
      <c r="T203" s="32"/>
      <c r="U203" s="28"/>
      <c r="V203" s="32"/>
      <c r="W203" s="32"/>
      <c r="X203" s="32"/>
      <c r="Y203" s="32"/>
      <c r="Z203" s="32"/>
      <c r="AA203" s="32"/>
      <c r="AB203" s="32"/>
      <c r="AC203" s="36">
        <f>E203+G203+I203+K203+M203+O203+Q203+S203+U203+W203+Y203+AA203</f>
        <v>2</v>
      </c>
      <c r="AD203" s="33">
        <f>F203+H203+J203+L203+N203+P203+R203+T203+V203+X203+Z203+AB203</f>
        <v>3648</v>
      </c>
    </row>
    <row r="204" spans="1:30" x14ac:dyDescent="0.35">
      <c r="A204" s="5">
        <v>295</v>
      </c>
      <c r="B204" s="10" t="str">
        <f>LEFT(D204,FIND("-",D204)-1)</f>
        <v>JEGP003</v>
      </c>
      <c r="C204" s="27" t="s">
        <v>469</v>
      </c>
      <c r="D204" s="6" t="s">
        <v>414</v>
      </c>
      <c r="E204" s="34"/>
      <c r="F204" s="35"/>
      <c r="G204" s="30"/>
      <c r="H204" s="31"/>
      <c r="I204" s="28">
        <v>10</v>
      </c>
      <c r="J204" s="29">
        <v>38500</v>
      </c>
      <c r="K204" s="28">
        <v>300</v>
      </c>
      <c r="L204" s="29">
        <v>1155000</v>
      </c>
      <c r="M204" s="28">
        <v>2650</v>
      </c>
      <c r="N204" s="29">
        <v>10202500</v>
      </c>
      <c r="O204" s="28"/>
      <c r="P204" s="32"/>
      <c r="Q204" s="28"/>
      <c r="R204" s="32"/>
      <c r="S204" s="28"/>
      <c r="T204" s="32"/>
      <c r="U204" s="28"/>
      <c r="V204" s="32"/>
      <c r="W204" s="32"/>
      <c r="X204" s="32"/>
      <c r="Y204" s="32"/>
      <c r="Z204" s="32"/>
      <c r="AA204" s="32"/>
      <c r="AB204" s="32"/>
      <c r="AC204" s="36">
        <f>E204+G204+I204+K204+M204+O204+Q204+S204+U204+W204+Y204+AA204</f>
        <v>2960</v>
      </c>
      <c r="AD204" s="33">
        <f>F204+H204+J204+L204+N204+P204+R204+T204+V204+X204+Z204+AB204</f>
        <v>11396000</v>
      </c>
    </row>
    <row r="205" spans="1:30" x14ac:dyDescent="0.35">
      <c r="A205" s="5">
        <v>3</v>
      </c>
      <c r="B205" s="10" t="str">
        <f>LEFT(D205,FIND("-",D205)-1)</f>
        <v>JQHQ</v>
      </c>
      <c r="C205" s="27" t="s">
        <v>469</v>
      </c>
      <c r="D205" s="6" t="s">
        <v>29</v>
      </c>
      <c r="E205" s="34">
        <v>999</v>
      </c>
      <c r="F205" s="35">
        <v>2912085</v>
      </c>
      <c r="G205" s="30">
        <v>1703</v>
      </c>
      <c r="H205" s="31">
        <v>4964245</v>
      </c>
      <c r="I205" s="28">
        <v>999</v>
      </c>
      <c r="J205" s="29">
        <v>2912085</v>
      </c>
      <c r="K205" s="28">
        <v>999</v>
      </c>
      <c r="L205" s="29">
        <v>2912085</v>
      </c>
      <c r="M205" s="28">
        <v>1998</v>
      </c>
      <c r="N205" s="29">
        <v>5824170</v>
      </c>
      <c r="O205" s="28"/>
      <c r="P205" s="32"/>
      <c r="Q205" s="28"/>
      <c r="R205" s="32"/>
      <c r="S205" s="28"/>
      <c r="T205" s="32"/>
      <c r="U205" s="28"/>
      <c r="V205" s="32"/>
      <c r="W205" s="32"/>
      <c r="X205" s="32"/>
      <c r="Y205" s="32"/>
      <c r="Z205" s="32"/>
      <c r="AA205" s="32"/>
      <c r="AB205" s="32"/>
      <c r="AC205" s="37">
        <f>E205+G205+I205+K205+M205+O205+Q205+S205+U205+W205+Y205+AA205</f>
        <v>6698</v>
      </c>
      <c r="AD205" s="33">
        <f>F205+H205+J205+L205+N205+P205+R205+T205+V205+X205+Z205+AB205</f>
        <v>19524670</v>
      </c>
    </row>
    <row r="206" spans="1:30" x14ac:dyDescent="0.35">
      <c r="A206" s="5">
        <v>2</v>
      </c>
      <c r="B206" s="10" t="str">
        <f>LEFT(D206,FIND("-",D206)-1)</f>
        <v>JENE</v>
      </c>
      <c r="C206" s="27" t="s">
        <v>469</v>
      </c>
      <c r="D206" s="6" t="s">
        <v>189</v>
      </c>
      <c r="E206" s="34">
        <v>700</v>
      </c>
      <c r="F206" s="35">
        <v>1232000</v>
      </c>
      <c r="G206" s="30">
        <v>740</v>
      </c>
      <c r="H206" s="31">
        <v>1302400</v>
      </c>
      <c r="I206" s="28">
        <v>2782</v>
      </c>
      <c r="J206" s="29">
        <v>4896320</v>
      </c>
      <c r="K206" s="28">
        <v>188</v>
      </c>
      <c r="L206" s="29">
        <v>330880</v>
      </c>
      <c r="M206" s="28">
        <v>880</v>
      </c>
      <c r="N206" s="29">
        <v>1548800</v>
      </c>
      <c r="O206" s="28"/>
      <c r="P206" s="32"/>
      <c r="Q206" s="28"/>
      <c r="R206" s="32"/>
      <c r="S206" s="28"/>
      <c r="T206" s="32"/>
      <c r="U206" s="28"/>
      <c r="V206" s="32"/>
      <c r="W206" s="32"/>
      <c r="X206" s="32"/>
      <c r="Y206" s="32"/>
      <c r="Z206" s="32"/>
      <c r="AA206" s="32"/>
      <c r="AB206" s="32"/>
      <c r="AC206" s="37">
        <f>E206+G206+I206+K206+M206+O206+Q206+S206+U206+W206+Y206+AA206</f>
        <v>5290</v>
      </c>
      <c r="AD206" s="33">
        <f>F206+H206+J206+L206+N206+P206+R206+T206+V206+X206+Z206+AB206</f>
        <v>9310400</v>
      </c>
    </row>
    <row r="207" spans="1:30" x14ac:dyDescent="0.35">
      <c r="A207" s="5">
        <v>220</v>
      </c>
      <c r="B207" s="10" t="str">
        <f>LEFT(D207,FIND("-",D207)-1)</f>
        <v>JEFT</v>
      </c>
      <c r="C207" s="27" t="s">
        <v>469</v>
      </c>
      <c r="D207" s="6" t="s">
        <v>278</v>
      </c>
      <c r="E207" s="34"/>
      <c r="F207" s="35"/>
      <c r="G207" s="30">
        <v>18</v>
      </c>
      <c r="H207" s="31">
        <v>31680</v>
      </c>
      <c r="I207" s="28">
        <v>5</v>
      </c>
      <c r="J207" s="29">
        <v>8800</v>
      </c>
      <c r="K207" s="28">
        <v>173</v>
      </c>
      <c r="L207" s="29">
        <v>304480</v>
      </c>
      <c r="M207" s="28">
        <v>856</v>
      </c>
      <c r="N207" s="29">
        <v>1506560</v>
      </c>
      <c r="O207" s="28"/>
      <c r="P207" s="32"/>
      <c r="Q207" s="28"/>
      <c r="R207" s="32"/>
      <c r="S207" s="28"/>
      <c r="T207" s="32"/>
      <c r="U207" s="28"/>
      <c r="V207" s="32"/>
      <c r="W207" s="32"/>
      <c r="X207" s="32"/>
      <c r="Y207" s="32"/>
      <c r="Z207" s="32"/>
      <c r="AA207" s="32"/>
      <c r="AB207" s="32"/>
      <c r="AC207" s="37">
        <f>E207+G207+I207+K207+M207+O207+Q207+S207+U207+W207+Y207+AA207</f>
        <v>1052</v>
      </c>
      <c r="AD207" s="33">
        <f>F207+H207+J207+L207+N207+P207+R207+T207+V207+X207+Z207+AB207</f>
        <v>1851520</v>
      </c>
    </row>
    <row r="208" spans="1:30" x14ac:dyDescent="0.35">
      <c r="A208" s="5">
        <v>31</v>
      </c>
      <c r="B208" s="10" t="str">
        <f>LEFT(D208,FIND("-",D208)-1)</f>
        <v>JQHO</v>
      </c>
      <c r="C208" s="27" t="s">
        <v>469</v>
      </c>
      <c r="D208" s="6" t="s">
        <v>28</v>
      </c>
      <c r="E208" s="34">
        <v>120</v>
      </c>
      <c r="F208" s="35">
        <v>409200</v>
      </c>
      <c r="G208" s="30">
        <v>40</v>
      </c>
      <c r="H208" s="31">
        <v>136400</v>
      </c>
      <c r="I208" s="28">
        <v>173</v>
      </c>
      <c r="J208" s="29">
        <v>589930</v>
      </c>
      <c r="K208" s="28">
        <v>10</v>
      </c>
      <c r="L208" s="29">
        <v>34100</v>
      </c>
      <c r="M208" s="28">
        <v>755</v>
      </c>
      <c r="N208" s="29">
        <v>2574550</v>
      </c>
      <c r="O208" s="28"/>
      <c r="P208" s="32"/>
      <c r="Q208" s="28"/>
      <c r="R208" s="32"/>
      <c r="S208" s="28"/>
      <c r="T208" s="32"/>
      <c r="U208" s="28"/>
      <c r="V208" s="32"/>
      <c r="W208" s="32"/>
      <c r="X208" s="32"/>
      <c r="Y208" s="32"/>
      <c r="Z208" s="32"/>
      <c r="AA208" s="32"/>
      <c r="AB208" s="32"/>
      <c r="AC208" s="36">
        <f>E208+G208+I208+K208+M208+O208+Q208+S208+U208+W208+Y208+AA208</f>
        <v>1098</v>
      </c>
      <c r="AD208" s="33">
        <f>F208+H208+J208+L208+N208+P208+R208+T208+V208+X208+Z208+AB208</f>
        <v>3744180</v>
      </c>
    </row>
    <row r="209" spans="1:30" x14ac:dyDescent="0.35">
      <c r="A209" s="5">
        <v>59</v>
      </c>
      <c r="B209" s="10" t="str">
        <f>LEFT(D209,FIND("-",D209)-1)</f>
        <v>JQHV</v>
      </c>
      <c r="C209" s="27" t="s">
        <v>469</v>
      </c>
      <c r="D209" s="6" t="s">
        <v>30</v>
      </c>
      <c r="E209" s="34">
        <v>117</v>
      </c>
      <c r="F209" s="35">
        <v>431145</v>
      </c>
      <c r="G209" s="30">
        <v>20</v>
      </c>
      <c r="H209" s="31">
        <v>73700</v>
      </c>
      <c r="I209" s="28">
        <v>60</v>
      </c>
      <c r="J209" s="29">
        <v>221100</v>
      </c>
      <c r="K209" s="28">
        <v>75</v>
      </c>
      <c r="L209" s="29">
        <v>276375</v>
      </c>
      <c r="M209" s="28">
        <v>700</v>
      </c>
      <c r="N209" s="29">
        <v>2579500</v>
      </c>
      <c r="O209" s="28"/>
      <c r="P209" s="32"/>
      <c r="Q209" s="28"/>
      <c r="R209" s="32"/>
      <c r="S209" s="28"/>
      <c r="T209" s="32"/>
      <c r="U209" s="28"/>
      <c r="V209" s="32"/>
      <c r="W209" s="32"/>
      <c r="X209" s="32"/>
      <c r="Y209" s="32"/>
      <c r="Z209" s="32"/>
      <c r="AA209" s="32"/>
      <c r="AB209" s="32"/>
      <c r="AC209" s="37">
        <f>E209+G209+I209+K209+M209+O209+Q209+S209+U209+W209+Y209+AA209</f>
        <v>972</v>
      </c>
      <c r="AD209" s="33">
        <f>F209+H209+J209+L209+N209+P209+R209+T209+V209+X209+Z209+AB209</f>
        <v>3581820</v>
      </c>
    </row>
    <row r="210" spans="1:30" x14ac:dyDescent="0.35">
      <c r="A210" s="5">
        <v>14</v>
      </c>
      <c r="B210" s="10" t="str">
        <f>LEFT(D210,FIND("-",D210)-1)</f>
        <v>JVXC</v>
      </c>
      <c r="C210" s="27" t="s">
        <v>469</v>
      </c>
      <c r="D210" s="6" t="s">
        <v>34</v>
      </c>
      <c r="E210" s="34">
        <v>58</v>
      </c>
      <c r="F210" s="35">
        <v>478500</v>
      </c>
      <c r="G210" s="30">
        <v>271</v>
      </c>
      <c r="H210" s="31">
        <v>2235750</v>
      </c>
      <c r="I210" s="28">
        <v>426</v>
      </c>
      <c r="J210" s="29">
        <v>3514500</v>
      </c>
      <c r="K210" s="28">
        <v>150</v>
      </c>
      <c r="L210" s="29">
        <v>1237500</v>
      </c>
      <c r="M210" s="28">
        <v>616</v>
      </c>
      <c r="N210" s="29">
        <v>5082000</v>
      </c>
      <c r="O210" s="28"/>
      <c r="P210" s="32"/>
      <c r="Q210" s="28"/>
      <c r="R210" s="32"/>
      <c r="S210" s="28"/>
      <c r="T210" s="32"/>
      <c r="U210" s="28"/>
      <c r="V210" s="32"/>
      <c r="W210" s="32"/>
      <c r="X210" s="32"/>
      <c r="Y210" s="32"/>
      <c r="Z210" s="32"/>
      <c r="AA210" s="32"/>
      <c r="AB210" s="32"/>
      <c r="AC210" s="37">
        <f>E210+G210+I210+K210+M210+O210+Q210+S210+U210+W210+Y210+AA210</f>
        <v>1521</v>
      </c>
      <c r="AD210" s="33">
        <f>F210+H210+J210+L210+N210+P210+R210+T210+V210+X210+Z210+AB210</f>
        <v>12548250</v>
      </c>
    </row>
    <row r="211" spans="1:30" x14ac:dyDescent="0.35">
      <c r="A211" s="5">
        <v>88</v>
      </c>
      <c r="B211" s="10" t="str">
        <f>LEFT(D211,FIND("-",D211)-1)</f>
        <v>JEGP010</v>
      </c>
      <c r="C211" s="27" t="s">
        <v>469</v>
      </c>
      <c r="D211" s="6" t="s">
        <v>416</v>
      </c>
      <c r="E211" s="34"/>
      <c r="F211" s="35"/>
      <c r="G211" s="30"/>
      <c r="H211" s="31"/>
      <c r="I211" s="28">
        <v>120</v>
      </c>
      <c r="J211" s="29">
        <v>462000</v>
      </c>
      <c r="K211" s="28">
        <v>10</v>
      </c>
      <c r="L211" s="29">
        <v>38500</v>
      </c>
      <c r="M211" s="28">
        <v>590</v>
      </c>
      <c r="N211" s="29">
        <v>2271500</v>
      </c>
      <c r="O211" s="28"/>
      <c r="P211" s="32"/>
      <c r="Q211" s="28"/>
      <c r="R211" s="32"/>
      <c r="S211" s="28"/>
      <c r="T211" s="32"/>
      <c r="U211" s="28"/>
      <c r="V211" s="32"/>
      <c r="W211" s="32"/>
      <c r="X211" s="32"/>
      <c r="Y211" s="32"/>
      <c r="Z211" s="32"/>
      <c r="AA211" s="32"/>
      <c r="AB211" s="32"/>
      <c r="AC211" s="36">
        <f>E211+G211+I211+K211+M211+O211+Q211+S211+U211+W211+Y211+AA211</f>
        <v>720</v>
      </c>
      <c r="AD211" s="33">
        <f>F211+H211+J211+L211+N211+P211+R211+T211+V211+X211+Z211+AB211</f>
        <v>2772000</v>
      </c>
    </row>
    <row r="212" spans="1:30" x14ac:dyDescent="0.35">
      <c r="A212" s="5">
        <v>10</v>
      </c>
      <c r="B212" s="10" t="str">
        <f>LEFT(D212,FIND("-",D212)-1)</f>
        <v>JCFC301</v>
      </c>
      <c r="C212" s="27" t="s">
        <v>469</v>
      </c>
      <c r="D212" s="6" t="s">
        <v>141</v>
      </c>
      <c r="E212" s="34">
        <v>666</v>
      </c>
      <c r="F212" s="35">
        <v>1831500</v>
      </c>
      <c r="G212" s="30">
        <v>190</v>
      </c>
      <c r="H212" s="31">
        <v>522500</v>
      </c>
      <c r="I212" s="28">
        <v>228</v>
      </c>
      <c r="J212" s="29">
        <v>627000</v>
      </c>
      <c r="K212" s="28">
        <v>445</v>
      </c>
      <c r="L212" s="29">
        <v>1223750</v>
      </c>
      <c r="M212" s="28">
        <v>550</v>
      </c>
      <c r="N212" s="29">
        <v>1512500</v>
      </c>
      <c r="O212" s="28"/>
      <c r="P212" s="32"/>
      <c r="Q212" s="28"/>
      <c r="R212" s="32"/>
      <c r="S212" s="28"/>
      <c r="T212" s="32"/>
      <c r="U212" s="28"/>
      <c r="V212" s="32"/>
      <c r="W212" s="32"/>
      <c r="X212" s="32"/>
      <c r="Y212" s="32"/>
      <c r="Z212" s="32"/>
      <c r="AA212" s="32"/>
      <c r="AB212" s="32"/>
      <c r="AC212" s="36">
        <f>E212+G212+I212+K212+M212+O212+Q212+S212+U212+W212+Y212+AA212</f>
        <v>2079</v>
      </c>
      <c r="AD212" s="33">
        <f>F212+H212+J212+L212+N212+P212+R212+T212+V212+X212+Z212+AB212</f>
        <v>5717250</v>
      </c>
    </row>
    <row r="213" spans="1:30" x14ac:dyDescent="0.35">
      <c r="A213" s="5">
        <v>433</v>
      </c>
      <c r="B213" s="10" t="str">
        <f>LEFT(D213,FIND("-",D213)-1)</f>
        <v>JVAR</v>
      </c>
      <c r="C213" s="27" t="s">
        <v>469</v>
      </c>
      <c r="D213" s="6" t="s">
        <v>513</v>
      </c>
      <c r="E213" s="34"/>
      <c r="F213" s="35"/>
      <c r="G213" s="30"/>
      <c r="H213" s="31"/>
      <c r="I213" s="28"/>
      <c r="J213" s="29"/>
      <c r="K213" s="28"/>
      <c r="L213" s="29"/>
      <c r="M213" s="28">
        <v>536</v>
      </c>
      <c r="N213" s="29">
        <v>4422000</v>
      </c>
      <c r="O213" s="28"/>
      <c r="P213" s="32"/>
      <c r="Q213" s="28"/>
      <c r="R213" s="32"/>
      <c r="S213" s="28"/>
      <c r="T213" s="32"/>
      <c r="U213" s="28"/>
      <c r="V213" s="32"/>
      <c r="W213" s="32"/>
      <c r="X213" s="32"/>
      <c r="Y213" s="32"/>
      <c r="Z213" s="32"/>
      <c r="AA213" s="32"/>
      <c r="AB213" s="32"/>
      <c r="AC213" s="36">
        <f>E213+G213+I213+K213+M213+O213+Q213+S213+U213+W213+Y213+AA213</f>
        <v>536</v>
      </c>
      <c r="AD213" s="33">
        <f>F213+H213+J213+L213+N213+P213+R213+T213+V213+X213+Z213+AB213</f>
        <v>4422000</v>
      </c>
    </row>
    <row r="214" spans="1:30" x14ac:dyDescent="0.35">
      <c r="A214" s="5">
        <v>193</v>
      </c>
      <c r="B214" s="10" t="str">
        <f>LEFT(D214,FIND("-",D214)-1)</f>
        <v>JEGP001</v>
      </c>
      <c r="C214" s="27" t="s">
        <v>469</v>
      </c>
      <c r="D214" s="6" t="s">
        <v>412</v>
      </c>
      <c r="E214" s="34"/>
      <c r="F214" s="35"/>
      <c r="G214" s="30"/>
      <c r="H214" s="31"/>
      <c r="I214" s="28">
        <v>30</v>
      </c>
      <c r="J214" s="29">
        <v>115500</v>
      </c>
      <c r="K214" s="28">
        <v>739</v>
      </c>
      <c r="L214" s="29">
        <v>2845150</v>
      </c>
      <c r="M214" s="28">
        <v>500</v>
      </c>
      <c r="N214" s="29">
        <v>1925000</v>
      </c>
      <c r="O214" s="28"/>
      <c r="P214" s="32"/>
      <c r="Q214" s="28"/>
      <c r="R214" s="32"/>
      <c r="S214" s="28"/>
      <c r="T214" s="32"/>
      <c r="U214" s="28"/>
      <c r="V214" s="32"/>
      <c r="W214" s="32"/>
      <c r="X214" s="32"/>
      <c r="Y214" s="32"/>
      <c r="Z214" s="32"/>
      <c r="AA214" s="32"/>
      <c r="AB214" s="32"/>
      <c r="AC214" s="36">
        <f>E214+G214+I214+K214+M214+O214+Q214+S214+U214+W214+Y214+AA214</f>
        <v>1269</v>
      </c>
      <c r="AD214" s="33">
        <f>F214+H214+J214+L214+N214+P214+R214+T214+V214+X214+Z214+AB214</f>
        <v>4885650</v>
      </c>
    </row>
    <row r="215" spans="1:30" x14ac:dyDescent="0.35">
      <c r="A215" s="5">
        <v>46</v>
      </c>
      <c r="B215" s="10" t="str">
        <f>LEFT(D215,FIND("-",D215)-1)</f>
        <v>JKFC</v>
      </c>
      <c r="C215" s="27" t="s">
        <v>469</v>
      </c>
      <c r="D215" s="6" t="s">
        <v>322</v>
      </c>
      <c r="E215" s="34"/>
      <c r="F215" s="35"/>
      <c r="G215" s="30">
        <v>162</v>
      </c>
      <c r="H215" s="31">
        <v>490050</v>
      </c>
      <c r="I215" s="28">
        <v>80</v>
      </c>
      <c r="J215" s="29">
        <v>242000</v>
      </c>
      <c r="K215" s="28">
        <v>491</v>
      </c>
      <c r="L215" s="29">
        <v>1485275</v>
      </c>
      <c r="M215" s="28">
        <v>400</v>
      </c>
      <c r="N215" s="29">
        <v>1210000</v>
      </c>
      <c r="O215" s="28"/>
      <c r="P215" s="32"/>
      <c r="Q215" s="28"/>
      <c r="R215" s="32"/>
      <c r="S215" s="28"/>
      <c r="T215" s="32"/>
      <c r="U215" s="28"/>
      <c r="V215" s="32"/>
      <c r="W215" s="32"/>
      <c r="X215" s="32"/>
      <c r="Y215" s="32"/>
      <c r="Z215" s="32"/>
      <c r="AA215" s="32"/>
      <c r="AB215" s="32"/>
      <c r="AC215" s="36">
        <f>E215+G215+I215+K215+M215+O215+Q215+S215+U215+W215+Y215+AA215</f>
        <v>1133</v>
      </c>
      <c r="AD215" s="33">
        <f>F215+H215+J215+L215+N215+P215+R215+T215+V215+X215+Z215+AB215</f>
        <v>3427325</v>
      </c>
    </row>
    <row r="216" spans="1:30" x14ac:dyDescent="0.35">
      <c r="A216" s="5">
        <v>194</v>
      </c>
      <c r="B216" s="10" t="str">
        <f>LEFT(D216,FIND("-",D216)-1)</f>
        <v>JEGP009</v>
      </c>
      <c r="C216" s="27" t="s">
        <v>469</v>
      </c>
      <c r="D216" s="6" t="s">
        <v>415</v>
      </c>
      <c r="E216" s="34"/>
      <c r="F216" s="35"/>
      <c r="G216" s="30"/>
      <c r="H216" s="31"/>
      <c r="I216" s="28">
        <v>30</v>
      </c>
      <c r="J216" s="29">
        <v>115500</v>
      </c>
      <c r="K216" s="28"/>
      <c r="L216" s="29"/>
      <c r="M216" s="28">
        <v>400</v>
      </c>
      <c r="N216" s="29">
        <v>1540000</v>
      </c>
      <c r="O216" s="28"/>
      <c r="P216" s="32"/>
      <c r="Q216" s="28"/>
      <c r="R216" s="32"/>
      <c r="S216" s="28"/>
      <c r="T216" s="32"/>
      <c r="U216" s="28"/>
      <c r="V216" s="32"/>
      <c r="W216" s="32"/>
      <c r="X216" s="32"/>
      <c r="Y216" s="32"/>
      <c r="Z216" s="32"/>
      <c r="AA216" s="32"/>
      <c r="AB216" s="32"/>
      <c r="AC216" s="36">
        <f>E216+G216+I216+K216+M216+O216+Q216+S216+U216+W216+Y216+AA216</f>
        <v>430</v>
      </c>
      <c r="AD216" s="33">
        <f>F216+H216+J216+L216+N216+P216+R216+T216+V216+X216+Z216+AB216</f>
        <v>1655500</v>
      </c>
    </row>
    <row r="217" spans="1:30" x14ac:dyDescent="0.35">
      <c r="A217" s="5">
        <v>22</v>
      </c>
      <c r="B217" s="10" t="str">
        <f>LEFT(D217,FIND("-",D217)-1)</f>
        <v>JEGG012</v>
      </c>
      <c r="C217" s="27" t="s">
        <v>469</v>
      </c>
      <c r="D217" s="6" t="s">
        <v>12</v>
      </c>
      <c r="E217" s="34">
        <v>160</v>
      </c>
      <c r="F217" s="35">
        <v>264000</v>
      </c>
      <c r="G217" s="30">
        <v>222</v>
      </c>
      <c r="H217" s="31">
        <v>366300</v>
      </c>
      <c r="I217" s="28">
        <v>130</v>
      </c>
      <c r="J217" s="29">
        <v>214500</v>
      </c>
      <c r="K217" s="28">
        <v>271</v>
      </c>
      <c r="L217" s="29">
        <v>447150</v>
      </c>
      <c r="M217" s="28">
        <v>370</v>
      </c>
      <c r="N217" s="29">
        <v>610500</v>
      </c>
      <c r="O217" s="28"/>
      <c r="P217" s="32"/>
      <c r="Q217" s="28"/>
      <c r="R217" s="32"/>
      <c r="S217" s="28"/>
      <c r="T217" s="32"/>
      <c r="U217" s="28"/>
      <c r="V217" s="32"/>
      <c r="W217" s="32"/>
      <c r="X217" s="32"/>
      <c r="Y217" s="32"/>
      <c r="Z217" s="32"/>
      <c r="AA217" s="32"/>
      <c r="AB217" s="32"/>
      <c r="AC217" s="36">
        <f>E217+G217+I217+K217+M217+O217+Q217+S217+U217+W217+Y217+AA217</f>
        <v>1153</v>
      </c>
      <c r="AD217" s="33">
        <f>F217+H217+J217+L217+N217+P217+R217+T217+V217+X217+Z217+AB217</f>
        <v>1902450</v>
      </c>
    </row>
    <row r="218" spans="1:30" x14ac:dyDescent="0.35">
      <c r="A218" s="5">
        <v>117</v>
      </c>
      <c r="B218" s="10" t="str">
        <f>LEFT(D218,FIND("-",D218)-1)</f>
        <v>JEGP006</v>
      </c>
      <c r="C218" s="27" t="s">
        <v>469</v>
      </c>
      <c r="D218" s="6" t="s">
        <v>292</v>
      </c>
      <c r="E218" s="34"/>
      <c r="F218" s="35"/>
      <c r="G218" s="30">
        <v>20</v>
      </c>
      <c r="H218" s="31">
        <v>77000</v>
      </c>
      <c r="I218" s="28">
        <v>70</v>
      </c>
      <c r="J218" s="29">
        <v>269500</v>
      </c>
      <c r="K218" s="28"/>
      <c r="L218" s="29"/>
      <c r="M218" s="28">
        <v>370</v>
      </c>
      <c r="N218" s="29">
        <v>1424500</v>
      </c>
      <c r="O218" s="28"/>
      <c r="P218" s="32"/>
      <c r="Q218" s="28"/>
      <c r="R218" s="32"/>
      <c r="S218" s="28"/>
      <c r="T218" s="32"/>
      <c r="U218" s="28"/>
      <c r="V218" s="32"/>
      <c r="W218" s="32"/>
      <c r="X218" s="32"/>
      <c r="Y218" s="32"/>
      <c r="Z218" s="32"/>
      <c r="AA218" s="32"/>
      <c r="AB218" s="32"/>
      <c r="AC218" s="36">
        <f>E218+G218+I218+K218+M218+O218+Q218+S218+U218+W218+Y218+AA218</f>
        <v>460</v>
      </c>
      <c r="AD218" s="33">
        <f>F218+H218+J218+L218+N218+P218+R218+T218+V218+X218+Z218+AB218</f>
        <v>1771000</v>
      </c>
    </row>
    <row r="219" spans="1:30" x14ac:dyDescent="0.35">
      <c r="A219" s="5">
        <v>49</v>
      </c>
      <c r="B219" s="10" t="str">
        <f>LEFT(D219,FIND("-",D219)-1)</f>
        <v>JQHP</v>
      </c>
      <c r="C219" s="27" t="s">
        <v>469</v>
      </c>
      <c r="D219" s="6" t="s">
        <v>146</v>
      </c>
      <c r="E219" s="34">
        <v>88</v>
      </c>
      <c r="F219" s="35">
        <v>227480</v>
      </c>
      <c r="G219" s="30">
        <v>65</v>
      </c>
      <c r="H219" s="31">
        <v>168025</v>
      </c>
      <c r="I219" s="28">
        <v>81</v>
      </c>
      <c r="J219" s="29">
        <v>209385</v>
      </c>
      <c r="K219" s="28">
        <v>85</v>
      </c>
      <c r="L219" s="29">
        <v>219725</v>
      </c>
      <c r="M219" s="28">
        <v>335</v>
      </c>
      <c r="N219" s="29">
        <v>865975</v>
      </c>
      <c r="O219" s="28"/>
      <c r="P219" s="32"/>
      <c r="Q219" s="28"/>
      <c r="R219" s="32"/>
      <c r="S219" s="28"/>
      <c r="T219" s="32"/>
      <c r="U219" s="28"/>
      <c r="V219" s="32"/>
      <c r="W219" s="32"/>
      <c r="X219" s="32"/>
      <c r="Y219" s="32"/>
      <c r="Z219" s="32"/>
      <c r="AA219" s="32"/>
      <c r="AB219" s="32"/>
      <c r="AC219" s="36">
        <f>E219+G219+I219+K219+M219+O219+Q219+S219+U219+W219+Y219+AA219</f>
        <v>654</v>
      </c>
      <c r="AD219" s="33">
        <f>F219+H219+J219+L219+N219+P219+R219+T219+V219+X219+Z219+AB219</f>
        <v>1690590</v>
      </c>
    </row>
    <row r="220" spans="1:30" x14ac:dyDescent="0.35">
      <c r="A220" s="5">
        <v>159</v>
      </c>
      <c r="B220" s="10" t="str">
        <f>LEFT(D220,FIND("-",D220)-1)</f>
        <v>JLMZ</v>
      </c>
      <c r="C220" s="27" t="s">
        <v>469</v>
      </c>
      <c r="D220" s="6" t="s">
        <v>45</v>
      </c>
      <c r="E220" s="34">
        <v>10</v>
      </c>
      <c r="F220" s="35">
        <v>17600</v>
      </c>
      <c r="G220" s="30">
        <v>42</v>
      </c>
      <c r="H220" s="31">
        <v>73920</v>
      </c>
      <c r="I220" s="28">
        <v>2</v>
      </c>
      <c r="J220" s="29">
        <v>3520</v>
      </c>
      <c r="K220" s="28">
        <v>15</v>
      </c>
      <c r="L220" s="29">
        <v>26400</v>
      </c>
      <c r="M220" s="28">
        <v>300</v>
      </c>
      <c r="N220" s="29">
        <v>528000</v>
      </c>
      <c r="O220" s="28"/>
      <c r="P220" s="32"/>
      <c r="Q220" s="28"/>
      <c r="R220" s="32"/>
      <c r="S220" s="28"/>
      <c r="T220" s="32"/>
      <c r="U220" s="28"/>
      <c r="V220" s="32"/>
      <c r="W220" s="32"/>
      <c r="X220" s="32"/>
      <c r="Y220" s="32"/>
      <c r="Z220" s="32"/>
      <c r="AA220" s="32"/>
      <c r="AB220" s="32"/>
      <c r="AC220" s="37">
        <f>E220+G220+I220+K220+M220+O220+Q220+S220+U220+W220+Y220+AA220</f>
        <v>369</v>
      </c>
      <c r="AD220" s="33">
        <f>F220+H220+J220+L220+N220+P220+R220+T220+V220+X220+Z220+AB220</f>
        <v>649440</v>
      </c>
    </row>
    <row r="221" spans="1:30" x14ac:dyDescent="0.35">
      <c r="A221" s="5">
        <v>5</v>
      </c>
      <c r="B221" s="10" t="str">
        <f>LEFT(D221,FIND("-",D221)-1)</f>
        <v>JQHR</v>
      </c>
      <c r="C221" s="27" t="s">
        <v>469</v>
      </c>
      <c r="D221" s="6" t="s">
        <v>147</v>
      </c>
      <c r="E221" s="34">
        <v>988</v>
      </c>
      <c r="F221" s="35">
        <v>2608320</v>
      </c>
      <c r="G221" s="30">
        <v>750</v>
      </c>
      <c r="H221" s="31">
        <v>1980000</v>
      </c>
      <c r="I221" s="28">
        <v>403</v>
      </c>
      <c r="J221" s="29">
        <v>1063920</v>
      </c>
      <c r="K221" s="28">
        <v>521</v>
      </c>
      <c r="L221" s="29">
        <v>1375440</v>
      </c>
      <c r="M221" s="28">
        <v>290</v>
      </c>
      <c r="N221" s="29">
        <v>765600</v>
      </c>
      <c r="O221" s="28"/>
      <c r="P221" s="32"/>
      <c r="Q221" s="28"/>
      <c r="R221" s="32"/>
      <c r="S221" s="28"/>
      <c r="T221" s="32"/>
      <c r="U221" s="28"/>
      <c r="V221" s="32"/>
      <c r="W221" s="32"/>
      <c r="X221" s="32"/>
      <c r="Y221" s="32"/>
      <c r="Z221" s="32"/>
      <c r="AA221" s="32"/>
      <c r="AB221" s="32"/>
      <c r="AC221" s="37">
        <f>E221+G221+I221+K221+M221+O221+Q221+S221+U221+W221+Y221+AA221</f>
        <v>2952</v>
      </c>
      <c r="AD221" s="33">
        <f>F221+H221+J221+L221+N221+P221+R221+T221+V221+X221+Z221+AB221</f>
        <v>7793280</v>
      </c>
    </row>
    <row r="222" spans="1:30" x14ac:dyDescent="0.35">
      <c r="A222" s="5">
        <v>9</v>
      </c>
      <c r="B222" s="10" t="str">
        <f>LEFT(D222,FIND("-",D222)-1)</f>
        <v>JEFC001</v>
      </c>
      <c r="C222" s="27" t="s">
        <v>469</v>
      </c>
      <c r="D222" s="6" t="s">
        <v>41</v>
      </c>
      <c r="E222" s="34">
        <v>333</v>
      </c>
      <c r="F222" s="35">
        <v>860805</v>
      </c>
      <c r="G222" s="30">
        <v>238</v>
      </c>
      <c r="H222" s="31">
        <v>615230</v>
      </c>
      <c r="I222" s="28">
        <v>580</v>
      </c>
      <c r="J222" s="29">
        <v>1499300</v>
      </c>
      <c r="K222" s="28"/>
      <c r="L222" s="29"/>
      <c r="M222" s="28">
        <v>270</v>
      </c>
      <c r="N222" s="29">
        <v>697950</v>
      </c>
      <c r="O222" s="28"/>
      <c r="P222" s="32"/>
      <c r="Q222" s="28"/>
      <c r="R222" s="32"/>
      <c r="S222" s="28"/>
      <c r="T222" s="32"/>
      <c r="U222" s="28"/>
      <c r="V222" s="32"/>
      <c r="W222" s="32"/>
      <c r="X222" s="32"/>
      <c r="Y222" s="32"/>
      <c r="Z222" s="32"/>
      <c r="AA222" s="32"/>
      <c r="AB222" s="32"/>
      <c r="AC222" s="36">
        <f>E222+G222+I222+K222+M222+O222+Q222+S222+U222+W222+Y222+AA222</f>
        <v>1421</v>
      </c>
      <c r="AD222" s="33">
        <f>F222+H222+J222+L222+N222+P222+R222+T222+V222+X222+Z222+AB222</f>
        <v>3673285</v>
      </c>
    </row>
    <row r="223" spans="1:30" x14ac:dyDescent="0.35">
      <c r="A223" s="5">
        <v>24</v>
      </c>
      <c r="B223" s="10" t="str">
        <f>LEFT(D223,FIND("-",D223)-1)</f>
        <v>JCFC401</v>
      </c>
      <c r="C223" s="27" t="s">
        <v>469</v>
      </c>
      <c r="D223" s="6" t="s">
        <v>143</v>
      </c>
      <c r="E223" s="34">
        <v>300</v>
      </c>
      <c r="F223" s="35">
        <v>825000</v>
      </c>
      <c r="G223" s="30">
        <v>173</v>
      </c>
      <c r="H223" s="31">
        <v>475750</v>
      </c>
      <c r="I223" s="28"/>
      <c r="J223" s="29"/>
      <c r="K223" s="28">
        <v>50</v>
      </c>
      <c r="L223" s="29">
        <v>137500</v>
      </c>
      <c r="M223" s="28">
        <v>265</v>
      </c>
      <c r="N223" s="29">
        <v>728750</v>
      </c>
      <c r="O223" s="28"/>
      <c r="P223" s="32"/>
      <c r="Q223" s="28"/>
      <c r="R223" s="32"/>
      <c r="S223" s="28"/>
      <c r="T223" s="32"/>
      <c r="U223" s="28"/>
      <c r="V223" s="32"/>
      <c r="W223" s="32"/>
      <c r="X223" s="32"/>
      <c r="Y223" s="32"/>
      <c r="Z223" s="32"/>
      <c r="AA223" s="32"/>
      <c r="AB223" s="32"/>
      <c r="AC223" s="36">
        <f>E223+G223+I223+K223+M223+O223+Q223+S223+U223+W223+Y223+AA223</f>
        <v>788</v>
      </c>
      <c r="AD223" s="33">
        <f>F223+H223+J223+L223+N223+P223+R223+T223+V223+X223+Z223+AB223</f>
        <v>2167000</v>
      </c>
    </row>
    <row r="224" spans="1:30" x14ac:dyDescent="0.35">
      <c r="A224" s="5">
        <v>15</v>
      </c>
      <c r="B224" s="10" t="str">
        <f>LEFT(D224,FIND("-",D224)-1)</f>
        <v>JCAZ</v>
      </c>
      <c r="C224" s="27" t="s">
        <v>469</v>
      </c>
      <c r="D224" s="6" t="s">
        <v>149</v>
      </c>
      <c r="E224" s="34">
        <v>172</v>
      </c>
      <c r="F224" s="35">
        <v>66220</v>
      </c>
      <c r="G224" s="30">
        <v>288</v>
      </c>
      <c r="H224" s="31">
        <v>110880</v>
      </c>
      <c r="I224" s="28">
        <v>216</v>
      </c>
      <c r="J224" s="29">
        <v>83160</v>
      </c>
      <c r="K224" s="28">
        <v>21</v>
      </c>
      <c r="L224" s="29">
        <v>8085</v>
      </c>
      <c r="M224" s="28">
        <v>249</v>
      </c>
      <c r="N224" s="29">
        <v>95865</v>
      </c>
      <c r="O224" s="28"/>
      <c r="P224" s="32"/>
      <c r="Q224" s="28"/>
      <c r="R224" s="32"/>
      <c r="S224" s="28"/>
      <c r="T224" s="32"/>
      <c r="U224" s="28"/>
      <c r="V224" s="32"/>
      <c r="W224" s="32"/>
      <c r="X224" s="32"/>
      <c r="Y224" s="32"/>
      <c r="Z224" s="32"/>
      <c r="AA224" s="32"/>
      <c r="AB224" s="32"/>
      <c r="AC224" s="36">
        <f>E224+G224+I224+K224+M224+O224+Q224+S224+U224+W224+Y224+AA224</f>
        <v>946</v>
      </c>
      <c r="AD224" s="33">
        <f>F224+H224+J224+L224+N224+P224+R224+T224+V224+X224+Z224+AB224</f>
        <v>364210</v>
      </c>
    </row>
    <row r="225" spans="1:30" x14ac:dyDescent="0.35">
      <c r="A225" s="5">
        <v>129</v>
      </c>
      <c r="B225" s="10" t="str">
        <f>LEFT(D225,FIND("-",D225)-1)</f>
        <v>JKFT</v>
      </c>
      <c r="C225" s="27" t="s">
        <v>469</v>
      </c>
      <c r="D225" s="6" t="s">
        <v>424</v>
      </c>
      <c r="E225" s="34"/>
      <c r="F225" s="35"/>
      <c r="G225" s="30"/>
      <c r="H225" s="31"/>
      <c r="I225" s="28">
        <v>80</v>
      </c>
      <c r="J225" s="29">
        <v>272800</v>
      </c>
      <c r="K225" s="28">
        <v>464</v>
      </c>
      <c r="L225" s="29">
        <v>1582240</v>
      </c>
      <c r="M225" s="28">
        <v>230</v>
      </c>
      <c r="N225" s="29">
        <v>784300</v>
      </c>
      <c r="O225" s="28"/>
      <c r="P225" s="32"/>
      <c r="Q225" s="28"/>
      <c r="R225" s="32"/>
      <c r="S225" s="28"/>
      <c r="T225" s="32"/>
      <c r="U225" s="28"/>
      <c r="V225" s="32"/>
      <c r="W225" s="32"/>
      <c r="X225" s="32"/>
      <c r="Y225" s="32"/>
      <c r="Z225" s="32"/>
      <c r="AA225" s="32"/>
      <c r="AB225" s="32"/>
      <c r="AC225" s="37">
        <f>E225+G225+I225+K225+M225+O225+Q225+S225+U225+W225+Y225+AA225</f>
        <v>774</v>
      </c>
      <c r="AD225" s="33">
        <f>F225+H225+J225+L225+N225+P225+R225+T225+V225+X225+Z225+AB225</f>
        <v>2639340</v>
      </c>
    </row>
    <row r="226" spans="1:30" x14ac:dyDescent="0.35">
      <c r="A226" s="5">
        <v>48</v>
      </c>
      <c r="B226" s="10" t="str">
        <f>LEFT(D226,FIND("-",D226)-1)</f>
        <v>JQHM</v>
      </c>
      <c r="C226" s="27" t="s">
        <v>469</v>
      </c>
      <c r="D226" s="6" t="s">
        <v>145</v>
      </c>
      <c r="E226" s="34">
        <v>102</v>
      </c>
      <c r="F226" s="35">
        <v>347820</v>
      </c>
      <c r="G226" s="30">
        <v>62</v>
      </c>
      <c r="H226" s="31">
        <v>211420</v>
      </c>
      <c r="I226" s="28">
        <v>72</v>
      </c>
      <c r="J226" s="29">
        <v>245520</v>
      </c>
      <c r="K226" s="28">
        <v>50</v>
      </c>
      <c r="L226" s="29">
        <v>170500</v>
      </c>
      <c r="M226" s="28">
        <v>221</v>
      </c>
      <c r="N226" s="29">
        <v>753610</v>
      </c>
      <c r="O226" s="28"/>
      <c r="P226" s="32"/>
      <c r="Q226" s="28"/>
      <c r="R226" s="32"/>
      <c r="S226" s="28"/>
      <c r="T226" s="32"/>
      <c r="U226" s="28"/>
      <c r="V226" s="32"/>
      <c r="W226" s="32"/>
      <c r="X226" s="32"/>
      <c r="Y226" s="32"/>
      <c r="Z226" s="32"/>
      <c r="AA226" s="32"/>
      <c r="AB226" s="32"/>
      <c r="AC226" s="36">
        <f>E226+G226+I226+K226+M226+O226+Q226+S226+U226+W226+Y226+AA226</f>
        <v>507</v>
      </c>
      <c r="AD226" s="33">
        <f>F226+H226+J226+L226+N226+P226+R226+T226+V226+X226+Z226+AB226</f>
        <v>1728870</v>
      </c>
    </row>
    <row r="227" spans="1:30" x14ac:dyDescent="0.35">
      <c r="A227" s="5">
        <v>89</v>
      </c>
      <c r="B227" s="10" t="str">
        <f>LEFT(D227,FIND("-",D227)-1)</f>
        <v>JQHW</v>
      </c>
      <c r="C227" s="27" t="s">
        <v>469</v>
      </c>
      <c r="D227" s="6" t="s">
        <v>148</v>
      </c>
      <c r="E227" s="34">
        <v>70</v>
      </c>
      <c r="F227" s="35">
        <v>219450</v>
      </c>
      <c r="G227" s="30">
        <v>50</v>
      </c>
      <c r="H227" s="31">
        <v>156750</v>
      </c>
      <c r="I227" s="28"/>
      <c r="J227" s="29"/>
      <c r="K227" s="28">
        <v>91</v>
      </c>
      <c r="L227" s="29">
        <v>285285</v>
      </c>
      <c r="M227" s="28">
        <v>205</v>
      </c>
      <c r="N227" s="29">
        <v>642675</v>
      </c>
      <c r="O227" s="28"/>
      <c r="P227" s="32"/>
      <c r="Q227" s="28"/>
      <c r="R227" s="32"/>
      <c r="S227" s="28"/>
      <c r="T227" s="32"/>
      <c r="U227" s="28"/>
      <c r="V227" s="32"/>
      <c r="W227" s="32"/>
      <c r="X227" s="32"/>
      <c r="Y227" s="32"/>
      <c r="Z227" s="32"/>
      <c r="AA227" s="32"/>
      <c r="AB227" s="32"/>
      <c r="AC227" s="36">
        <f>E227+G227+I227+K227+M227+O227+Q227+S227+U227+W227+Y227+AA227</f>
        <v>416</v>
      </c>
      <c r="AD227" s="33">
        <f>F227+H227+J227+L227+N227+P227+R227+T227+V227+X227+Z227+AB227</f>
        <v>1304160</v>
      </c>
    </row>
    <row r="228" spans="1:30" x14ac:dyDescent="0.35">
      <c r="A228" s="5">
        <v>119</v>
      </c>
      <c r="B228" s="10" t="str">
        <f>LEFT(D228,FIND("-",D228)-1)</f>
        <v>JQHT</v>
      </c>
      <c r="C228" s="27" t="s">
        <v>469</v>
      </c>
      <c r="D228" s="6" t="s">
        <v>334</v>
      </c>
      <c r="E228" s="34"/>
      <c r="F228" s="35"/>
      <c r="G228" s="30">
        <v>58</v>
      </c>
      <c r="H228" s="31">
        <v>213730</v>
      </c>
      <c r="I228" s="28">
        <v>31</v>
      </c>
      <c r="J228" s="29">
        <v>114235</v>
      </c>
      <c r="K228" s="28"/>
      <c r="L228" s="29"/>
      <c r="M228" s="28">
        <v>202</v>
      </c>
      <c r="N228" s="29">
        <v>744370</v>
      </c>
      <c r="O228" s="28"/>
      <c r="P228" s="32"/>
      <c r="Q228" s="28"/>
      <c r="R228" s="32"/>
      <c r="S228" s="28"/>
      <c r="T228" s="32"/>
      <c r="U228" s="28"/>
      <c r="V228" s="32"/>
      <c r="W228" s="32"/>
      <c r="X228" s="32"/>
      <c r="Y228" s="32"/>
      <c r="Z228" s="32"/>
      <c r="AA228" s="32"/>
      <c r="AB228" s="32"/>
      <c r="AC228" s="37">
        <f>E228+G228+I228+K228+M228+O228+Q228+S228+U228+W228+Y228+AA228</f>
        <v>291</v>
      </c>
      <c r="AD228" s="33">
        <f>F228+H228+J228+L228+N228+P228+R228+T228+V228+X228+Z228+AB228</f>
        <v>1072335</v>
      </c>
    </row>
    <row r="229" spans="1:30" x14ac:dyDescent="0.35">
      <c r="A229" s="5">
        <v>11</v>
      </c>
      <c r="B229" s="10" t="str">
        <f>LEFT(D229,FIND("-",D229)-1)</f>
        <v>JEFC000</v>
      </c>
      <c r="C229" s="27" t="s">
        <v>469</v>
      </c>
      <c r="D229" s="6" t="s">
        <v>40</v>
      </c>
      <c r="E229" s="34">
        <v>467</v>
      </c>
      <c r="F229" s="35">
        <v>1207195</v>
      </c>
      <c r="G229" s="30">
        <v>387</v>
      </c>
      <c r="H229" s="31">
        <v>1000395</v>
      </c>
      <c r="I229" s="28">
        <v>200</v>
      </c>
      <c r="J229" s="29">
        <v>517000</v>
      </c>
      <c r="K229" s="28">
        <v>662</v>
      </c>
      <c r="L229" s="29">
        <v>1711270</v>
      </c>
      <c r="M229" s="28">
        <v>200</v>
      </c>
      <c r="N229" s="29">
        <v>517000</v>
      </c>
      <c r="O229" s="28"/>
      <c r="P229" s="32"/>
      <c r="Q229" s="28"/>
      <c r="R229" s="32"/>
      <c r="S229" s="28"/>
      <c r="T229" s="32"/>
      <c r="U229" s="28"/>
      <c r="V229" s="32"/>
      <c r="W229" s="32"/>
      <c r="X229" s="32"/>
      <c r="Y229" s="32"/>
      <c r="Z229" s="32"/>
      <c r="AA229" s="32"/>
      <c r="AB229" s="32"/>
      <c r="AC229" s="36">
        <f>E229+G229+I229+K229+M229+O229+Q229+S229+U229+W229+Y229+AA229</f>
        <v>1916</v>
      </c>
      <c r="AD229" s="33">
        <f>F229+H229+J229+L229+N229+P229+R229+T229+V229+X229+Z229+AB229</f>
        <v>4952860</v>
      </c>
    </row>
    <row r="230" spans="1:30" x14ac:dyDescent="0.35">
      <c r="A230" s="5">
        <v>20</v>
      </c>
      <c r="B230" s="10" t="str">
        <f>LEFT(D230,FIND("-",D230)-1)</f>
        <v>JEGG013</v>
      </c>
      <c r="C230" s="27" t="s">
        <v>469</v>
      </c>
      <c r="D230" s="6" t="s">
        <v>282</v>
      </c>
      <c r="E230" s="34"/>
      <c r="F230" s="35"/>
      <c r="G230" s="30">
        <v>387</v>
      </c>
      <c r="H230" s="31">
        <v>638550</v>
      </c>
      <c r="I230" s="28">
        <v>217</v>
      </c>
      <c r="J230" s="29">
        <v>358050</v>
      </c>
      <c r="K230" s="28">
        <v>80</v>
      </c>
      <c r="L230" s="29">
        <v>132000</v>
      </c>
      <c r="M230" s="28">
        <v>200</v>
      </c>
      <c r="N230" s="29">
        <v>330000</v>
      </c>
      <c r="O230" s="28"/>
      <c r="P230" s="32"/>
      <c r="Q230" s="28"/>
      <c r="R230" s="32"/>
      <c r="S230" s="28"/>
      <c r="T230" s="32"/>
      <c r="U230" s="28"/>
      <c r="V230" s="32"/>
      <c r="W230" s="32"/>
      <c r="X230" s="32"/>
      <c r="Y230" s="32"/>
      <c r="Z230" s="32"/>
      <c r="AA230" s="32"/>
      <c r="AB230" s="32"/>
      <c r="AC230" s="36">
        <f>E230+G230+I230+K230+M230+O230+Q230+S230+U230+W230+Y230+AA230</f>
        <v>884</v>
      </c>
      <c r="AD230" s="33">
        <f>F230+H230+J230+L230+N230+P230+R230+T230+V230+X230+Z230+AB230</f>
        <v>1458600</v>
      </c>
    </row>
    <row r="231" spans="1:30" x14ac:dyDescent="0.35">
      <c r="A231" s="5">
        <v>87</v>
      </c>
      <c r="B231" s="10" t="str">
        <f>LEFT(D231,FIND("-",D231)-1)</f>
        <v>JEGG011</v>
      </c>
      <c r="C231" s="27" t="s">
        <v>469</v>
      </c>
      <c r="D231" s="6" t="s">
        <v>11</v>
      </c>
      <c r="E231" s="34">
        <v>20</v>
      </c>
      <c r="F231" s="35">
        <v>33000</v>
      </c>
      <c r="G231" s="30">
        <v>101</v>
      </c>
      <c r="H231" s="31">
        <v>166650</v>
      </c>
      <c r="I231" s="28"/>
      <c r="J231" s="29"/>
      <c r="K231" s="28">
        <v>143</v>
      </c>
      <c r="L231" s="29">
        <v>235950</v>
      </c>
      <c r="M231" s="28">
        <v>190</v>
      </c>
      <c r="N231" s="29">
        <v>313500</v>
      </c>
      <c r="O231" s="28"/>
      <c r="P231" s="32"/>
      <c r="Q231" s="28"/>
      <c r="R231" s="32"/>
      <c r="S231" s="28"/>
      <c r="T231" s="32"/>
      <c r="U231" s="28"/>
      <c r="V231" s="32"/>
      <c r="W231" s="32"/>
      <c r="X231" s="32"/>
      <c r="Y231" s="32"/>
      <c r="Z231" s="32"/>
      <c r="AA231" s="32"/>
      <c r="AB231" s="32"/>
      <c r="AC231" s="37">
        <f>E231+G231+I231+K231+M231+O231+Q231+S231+U231+W231+Y231+AA231</f>
        <v>454</v>
      </c>
      <c r="AD231" s="33">
        <f>F231+H231+J231+L231+N231+P231+R231+T231+V231+X231+Z231+AB231</f>
        <v>749100</v>
      </c>
    </row>
    <row r="232" spans="1:30" x14ac:dyDescent="0.35">
      <c r="A232" s="5">
        <v>218</v>
      </c>
      <c r="B232" s="10" t="str">
        <f>LEFT(D232,FIND("-",D232)-1)</f>
        <v>JQHU</v>
      </c>
      <c r="C232" s="27" t="s">
        <v>469</v>
      </c>
      <c r="D232" s="6" t="s">
        <v>335</v>
      </c>
      <c r="E232" s="34"/>
      <c r="F232" s="35"/>
      <c r="G232" s="30">
        <v>10</v>
      </c>
      <c r="H232" s="31">
        <v>31350</v>
      </c>
      <c r="I232" s="28">
        <v>14</v>
      </c>
      <c r="J232" s="29">
        <v>43890</v>
      </c>
      <c r="K232" s="28">
        <v>8</v>
      </c>
      <c r="L232" s="29">
        <v>25080</v>
      </c>
      <c r="M232" s="28">
        <v>156</v>
      </c>
      <c r="N232" s="29">
        <v>489060</v>
      </c>
      <c r="O232" s="28"/>
      <c r="P232" s="32"/>
      <c r="Q232" s="28"/>
      <c r="R232" s="32"/>
      <c r="S232" s="28"/>
      <c r="T232" s="32"/>
      <c r="U232" s="28"/>
      <c r="V232" s="32"/>
      <c r="W232" s="32"/>
      <c r="X232" s="32"/>
      <c r="Y232" s="32"/>
      <c r="Z232" s="32"/>
      <c r="AA232" s="32"/>
      <c r="AB232" s="32"/>
      <c r="AC232" s="37">
        <f>E232+G232+I232+K232+M232+O232+Q232+S232+U232+W232+Y232+AA232</f>
        <v>188</v>
      </c>
      <c r="AD232" s="33">
        <f>F232+H232+J232+L232+N232+P232+R232+T232+V232+X232+Z232+AB232</f>
        <v>589380</v>
      </c>
    </row>
    <row r="233" spans="1:30" x14ac:dyDescent="0.35">
      <c r="A233" s="5">
        <v>44</v>
      </c>
      <c r="B233" s="10" t="str">
        <f>LEFT(D233,FIND("-",D233)-1)</f>
        <v>JEVN</v>
      </c>
      <c r="C233" s="27" t="s">
        <v>469</v>
      </c>
      <c r="D233" s="6" t="s">
        <v>67</v>
      </c>
      <c r="E233" s="34">
        <v>8</v>
      </c>
      <c r="F233" s="35">
        <v>4400</v>
      </c>
      <c r="G233" s="30">
        <v>110</v>
      </c>
      <c r="H233" s="31">
        <v>60500</v>
      </c>
      <c r="I233" s="28">
        <v>130</v>
      </c>
      <c r="J233" s="29">
        <v>71500</v>
      </c>
      <c r="K233" s="28">
        <v>42</v>
      </c>
      <c r="L233" s="29">
        <v>23100</v>
      </c>
      <c r="M233" s="28">
        <v>131</v>
      </c>
      <c r="N233" s="29">
        <v>72050</v>
      </c>
      <c r="O233" s="28"/>
      <c r="P233" s="32"/>
      <c r="Q233" s="28"/>
      <c r="R233" s="32"/>
      <c r="S233" s="28"/>
      <c r="T233" s="32"/>
      <c r="U233" s="28"/>
      <c r="V233" s="32"/>
      <c r="W233" s="32"/>
      <c r="X233" s="32"/>
      <c r="Y233" s="32"/>
      <c r="Z233" s="32"/>
      <c r="AA233" s="32"/>
      <c r="AB233" s="32"/>
      <c r="AC233" s="37">
        <f>E233+G233+I233+K233+M233+O233+Q233+S233+U233+W233+Y233+AA233</f>
        <v>421</v>
      </c>
      <c r="AD233" s="33">
        <f>F233+H233+J233+L233+N233+P233+R233+T233+V233+X233+Z233+AB233</f>
        <v>231550</v>
      </c>
    </row>
    <row r="234" spans="1:30" x14ac:dyDescent="0.35">
      <c r="A234" s="5">
        <v>63</v>
      </c>
      <c r="B234" s="10" t="str">
        <f>LEFT(D234,FIND("-",D234)-1)</f>
        <v>JLAD</v>
      </c>
      <c r="C234" s="27" t="s">
        <v>469</v>
      </c>
      <c r="D234" s="6" t="s">
        <v>44</v>
      </c>
      <c r="E234" s="34">
        <v>45</v>
      </c>
      <c r="F234" s="35">
        <v>123750</v>
      </c>
      <c r="G234" s="30">
        <v>107</v>
      </c>
      <c r="H234" s="31">
        <v>294250</v>
      </c>
      <c r="I234" s="28">
        <v>42</v>
      </c>
      <c r="J234" s="29">
        <v>115500</v>
      </c>
      <c r="K234" s="28">
        <v>69</v>
      </c>
      <c r="L234" s="29">
        <v>189750</v>
      </c>
      <c r="M234" s="28">
        <v>124</v>
      </c>
      <c r="N234" s="29">
        <v>341000</v>
      </c>
      <c r="O234" s="28"/>
      <c r="P234" s="32"/>
      <c r="Q234" s="28"/>
      <c r="R234" s="32"/>
      <c r="S234" s="28"/>
      <c r="T234" s="32"/>
      <c r="U234" s="28"/>
      <c r="V234" s="32"/>
      <c r="W234" s="32"/>
      <c r="X234" s="32"/>
      <c r="Y234" s="32"/>
      <c r="Z234" s="32"/>
      <c r="AA234" s="32"/>
      <c r="AB234" s="32"/>
      <c r="AC234" s="37">
        <f>E234+G234+I234+K234+M234+O234+Q234+S234+U234+W234+Y234+AA234</f>
        <v>387</v>
      </c>
      <c r="AD234" s="33">
        <f>F234+H234+J234+L234+N234+P234+R234+T234+V234+X234+Z234+AB234</f>
        <v>1064250</v>
      </c>
    </row>
    <row r="235" spans="1:30" x14ac:dyDescent="0.35">
      <c r="A235" s="5">
        <v>40</v>
      </c>
      <c r="B235" s="10" t="str">
        <f>LEFT(D235,FIND("-",D235)-1)</f>
        <v>JQHF</v>
      </c>
      <c r="C235" s="27" t="s">
        <v>469</v>
      </c>
      <c r="D235" s="6" t="s">
        <v>69</v>
      </c>
      <c r="E235" s="34">
        <v>175</v>
      </c>
      <c r="F235" s="35">
        <v>356125</v>
      </c>
      <c r="G235" s="30">
        <v>70</v>
      </c>
      <c r="H235" s="31">
        <v>142450</v>
      </c>
      <c r="I235" s="28">
        <v>30</v>
      </c>
      <c r="J235" s="29">
        <v>61050</v>
      </c>
      <c r="K235" s="28">
        <v>25</v>
      </c>
      <c r="L235" s="29">
        <v>50875</v>
      </c>
      <c r="M235" s="28">
        <v>118</v>
      </c>
      <c r="N235" s="29">
        <v>240130</v>
      </c>
      <c r="O235" s="28"/>
      <c r="P235" s="32"/>
      <c r="Q235" s="28"/>
      <c r="R235" s="32"/>
      <c r="S235" s="28"/>
      <c r="T235" s="32"/>
      <c r="U235" s="28"/>
      <c r="V235" s="32"/>
      <c r="W235" s="32"/>
      <c r="X235" s="32"/>
      <c r="Y235" s="32"/>
      <c r="Z235" s="32"/>
      <c r="AA235" s="32"/>
      <c r="AB235" s="32"/>
      <c r="AC235" s="36">
        <f>E235+G235+I235+K235+M235+O235+Q235+S235+U235+W235+Y235+AA235</f>
        <v>418</v>
      </c>
      <c r="AD235" s="33">
        <f>F235+H235+J235+L235+N235+P235+R235+T235+V235+X235+Z235+AB235</f>
        <v>850630</v>
      </c>
    </row>
    <row r="236" spans="1:30" x14ac:dyDescent="0.35">
      <c r="A236" s="5">
        <v>35</v>
      </c>
      <c r="B236" s="10" t="str">
        <f>LEFT(D236,FIND("-",D236)-1)</f>
        <v>JEBP301</v>
      </c>
      <c r="C236" s="27" t="s">
        <v>469</v>
      </c>
      <c r="D236" s="6" t="s">
        <v>166</v>
      </c>
      <c r="E236" s="34">
        <v>60</v>
      </c>
      <c r="F236" s="35">
        <v>171600</v>
      </c>
      <c r="G236" s="30">
        <v>130</v>
      </c>
      <c r="H236" s="31">
        <v>371800</v>
      </c>
      <c r="I236" s="28">
        <v>123</v>
      </c>
      <c r="J236" s="29">
        <v>351780</v>
      </c>
      <c r="K236" s="28">
        <v>100</v>
      </c>
      <c r="L236" s="29">
        <v>286000</v>
      </c>
      <c r="M236" s="28">
        <v>117</v>
      </c>
      <c r="N236" s="29">
        <v>334620</v>
      </c>
      <c r="O236" s="28"/>
      <c r="P236" s="32"/>
      <c r="Q236" s="28"/>
      <c r="R236" s="32"/>
      <c r="S236" s="28"/>
      <c r="T236" s="32"/>
      <c r="U236" s="28"/>
      <c r="V236" s="32"/>
      <c r="W236" s="32"/>
      <c r="X236" s="32"/>
      <c r="Y236" s="32"/>
      <c r="Z236" s="32"/>
      <c r="AA236" s="32"/>
      <c r="AB236" s="32"/>
      <c r="AC236" s="37">
        <f>E236+G236+I236+K236+M236+O236+Q236+S236+U236+W236+Y236+AA236</f>
        <v>530</v>
      </c>
      <c r="AD236" s="33">
        <f>F236+H236+J236+L236+N236+P236+R236+T236+V236+X236+Z236+AB236</f>
        <v>1515800</v>
      </c>
    </row>
    <row r="237" spans="1:30" x14ac:dyDescent="0.35">
      <c r="A237" s="5">
        <v>66</v>
      </c>
      <c r="B237" s="10" t="str">
        <f>LEFT(D237,FIND("-",D237)-1)</f>
        <v>JEAM016</v>
      </c>
      <c r="C237" s="27" t="s">
        <v>469</v>
      </c>
      <c r="D237" s="6" t="s">
        <v>262</v>
      </c>
      <c r="E237" s="34"/>
      <c r="F237" s="35"/>
      <c r="G237" s="30">
        <v>10</v>
      </c>
      <c r="H237" s="31">
        <v>38500</v>
      </c>
      <c r="I237" s="28">
        <v>166</v>
      </c>
      <c r="J237" s="29">
        <v>639100</v>
      </c>
      <c r="K237" s="28">
        <v>107</v>
      </c>
      <c r="L237" s="29">
        <v>411950</v>
      </c>
      <c r="M237" s="28">
        <v>110</v>
      </c>
      <c r="N237" s="29">
        <v>423500</v>
      </c>
      <c r="O237" s="28"/>
      <c r="P237" s="32"/>
      <c r="Q237" s="28"/>
      <c r="R237" s="32"/>
      <c r="S237" s="28"/>
      <c r="T237" s="32"/>
      <c r="U237" s="28"/>
      <c r="V237" s="32"/>
      <c r="W237" s="32"/>
      <c r="X237" s="32"/>
      <c r="Y237" s="32"/>
      <c r="Z237" s="32"/>
      <c r="AA237" s="32"/>
      <c r="AB237" s="32"/>
      <c r="AC237" s="36">
        <f>E237+G237+I237+K237+M237+O237+Q237+S237+U237+W237+Y237+AA237</f>
        <v>393</v>
      </c>
      <c r="AD237" s="33">
        <f>F237+H237+J237+L237+N237+P237+R237+T237+V237+X237+Z237+AB237</f>
        <v>1513050</v>
      </c>
    </row>
    <row r="238" spans="1:30" x14ac:dyDescent="0.35">
      <c r="A238" s="5">
        <v>454</v>
      </c>
      <c r="B238" s="10" t="str">
        <f>LEFT(D238,FIND("-",D238)-1)</f>
        <v>JLAQ</v>
      </c>
      <c r="C238" s="27" t="s">
        <v>469</v>
      </c>
      <c r="D238" s="6" t="s">
        <v>493</v>
      </c>
      <c r="E238" s="34"/>
      <c r="F238" s="35"/>
      <c r="G238" s="30"/>
      <c r="H238" s="31"/>
      <c r="I238" s="28"/>
      <c r="J238" s="29"/>
      <c r="K238" s="28">
        <v>67</v>
      </c>
      <c r="L238" s="29">
        <v>136345</v>
      </c>
      <c r="M238" s="28">
        <v>110</v>
      </c>
      <c r="N238" s="29">
        <v>223850</v>
      </c>
      <c r="O238" s="28"/>
      <c r="P238" s="32"/>
      <c r="Q238" s="28"/>
      <c r="R238" s="32"/>
      <c r="S238" s="28"/>
      <c r="T238" s="32"/>
      <c r="U238" s="28"/>
      <c r="V238" s="32"/>
      <c r="W238" s="32"/>
      <c r="X238" s="32"/>
      <c r="Y238" s="32"/>
      <c r="Z238" s="32"/>
      <c r="AA238" s="32"/>
      <c r="AB238" s="32"/>
      <c r="AC238" s="37">
        <f>E238+G238+I238+K238+M238+O238+Q238+S238+U238+W238+Y238+AA238</f>
        <v>177</v>
      </c>
      <c r="AD238" s="33">
        <f>F238+H238+J238+L238+N238+P238+R238+T238+V238+X238+Z238+AB238</f>
        <v>360195</v>
      </c>
    </row>
    <row r="239" spans="1:30" x14ac:dyDescent="0.35">
      <c r="A239" s="5">
        <v>64</v>
      </c>
      <c r="B239" s="10" t="str">
        <f>LEFT(D239,FIND("-",D239)-1)</f>
        <v>JEAP016</v>
      </c>
      <c r="C239" s="27" t="s">
        <v>469</v>
      </c>
      <c r="D239" s="6" t="s">
        <v>6</v>
      </c>
      <c r="E239" s="34">
        <v>138</v>
      </c>
      <c r="F239" s="35">
        <v>417450</v>
      </c>
      <c r="G239" s="30">
        <v>30</v>
      </c>
      <c r="H239" s="31">
        <v>90750</v>
      </c>
      <c r="I239" s="28">
        <v>25</v>
      </c>
      <c r="J239" s="29">
        <v>75625</v>
      </c>
      <c r="K239" s="28">
        <v>40</v>
      </c>
      <c r="L239" s="29">
        <v>121000</v>
      </c>
      <c r="M239" s="28">
        <v>109</v>
      </c>
      <c r="N239" s="29">
        <v>329725</v>
      </c>
      <c r="O239" s="28"/>
      <c r="P239" s="32"/>
      <c r="Q239" s="28"/>
      <c r="R239" s="32"/>
      <c r="S239" s="28"/>
      <c r="T239" s="32"/>
      <c r="U239" s="28"/>
      <c r="V239" s="32"/>
      <c r="W239" s="32"/>
      <c r="X239" s="32"/>
      <c r="Y239" s="32"/>
      <c r="Z239" s="32"/>
      <c r="AA239" s="32"/>
      <c r="AB239" s="32"/>
      <c r="AC239" s="37">
        <f>E239+G239+I239+K239+M239+O239+Q239+S239+U239+W239+Y239+AA239</f>
        <v>342</v>
      </c>
      <c r="AD239" s="33">
        <f>F239+H239+J239+L239+N239+P239+R239+T239+V239+X239+Z239+AB239</f>
        <v>1034550</v>
      </c>
    </row>
    <row r="240" spans="1:30" x14ac:dyDescent="0.35">
      <c r="A240" s="5">
        <v>115</v>
      </c>
      <c r="B240" s="10" t="str">
        <f>LEFT(D240,FIND("-",D240)-1)</f>
        <v>JEAI031</v>
      </c>
      <c r="C240" s="27" t="s">
        <v>469</v>
      </c>
      <c r="D240" s="6" t="s">
        <v>152</v>
      </c>
      <c r="E240" s="34">
        <v>51</v>
      </c>
      <c r="F240" s="35">
        <v>182325</v>
      </c>
      <c r="G240" s="30">
        <v>40</v>
      </c>
      <c r="H240" s="31">
        <v>143000</v>
      </c>
      <c r="I240" s="28"/>
      <c r="J240" s="29"/>
      <c r="K240" s="28">
        <v>4</v>
      </c>
      <c r="L240" s="29">
        <v>14300</v>
      </c>
      <c r="M240" s="28">
        <v>105</v>
      </c>
      <c r="N240" s="29">
        <v>375375</v>
      </c>
      <c r="O240" s="28"/>
      <c r="P240" s="32"/>
      <c r="Q240" s="28"/>
      <c r="R240" s="32"/>
      <c r="S240" s="28"/>
      <c r="T240" s="32"/>
      <c r="U240" s="28"/>
      <c r="V240" s="32"/>
      <c r="W240" s="32"/>
      <c r="X240" s="32"/>
      <c r="Y240" s="32"/>
      <c r="Z240" s="32"/>
      <c r="AA240" s="32"/>
      <c r="AB240" s="32"/>
      <c r="AC240" s="37">
        <f>E240+G240+I240+K240+M240+O240+Q240+S240+U240+W240+Y240+AA240</f>
        <v>200</v>
      </c>
      <c r="AD240" s="33">
        <f>F240+H240+J240+L240+N240+P240+R240+T240+V240+X240+Z240+AB240</f>
        <v>715000</v>
      </c>
    </row>
    <row r="241" spans="1:30" x14ac:dyDescent="0.35">
      <c r="A241" s="5">
        <v>118</v>
      </c>
      <c r="B241" s="10" t="str">
        <f>LEFT(D241,FIND("-",D241)-1)</f>
        <v>JEPA302</v>
      </c>
      <c r="C241" s="5" t="s">
        <v>469</v>
      </c>
      <c r="D241" s="6" t="s">
        <v>200</v>
      </c>
      <c r="E241" s="34">
        <v>55</v>
      </c>
      <c r="F241" s="35">
        <v>121000</v>
      </c>
      <c r="G241" s="30">
        <v>15</v>
      </c>
      <c r="H241" s="31">
        <v>33000</v>
      </c>
      <c r="I241" s="28">
        <v>20</v>
      </c>
      <c r="J241" s="29">
        <v>44000</v>
      </c>
      <c r="K241" s="28"/>
      <c r="L241" s="29"/>
      <c r="M241" s="28">
        <v>105</v>
      </c>
      <c r="N241" s="29">
        <v>231000</v>
      </c>
      <c r="O241" s="28"/>
      <c r="P241" s="32"/>
      <c r="Q241" s="28"/>
      <c r="R241" s="32"/>
      <c r="S241" s="28"/>
      <c r="T241" s="32"/>
      <c r="U241" s="28"/>
      <c r="V241" s="32"/>
      <c r="W241" s="32"/>
      <c r="X241" s="32"/>
      <c r="Y241" s="32"/>
      <c r="Z241" s="32"/>
      <c r="AA241" s="32"/>
      <c r="AB241" s="32"/>
      <c r="AC241" s="36">
        <f>E241+G241+I241+K241+M241+O241+Q241+S241+U241+W241+Y241+AA241</f>
        <v>195</v>
      </c>
      <c r="AD241" s="33">
        <f>F241+H241+J241+L241+N241+P241+R241+T241+V241+X241+Z241+AB241</f>
        <v>429000</v>
      </c>
    </row>
    <row r="242" spans="1:30" x14ac:dyDescent="0.35">
      <c r="A242" s="5">
        <v>141</v>
      </c>
      <c r="B242" s="10" t="str">
        <f>LEFT(D242,FIND("-",D242)-1)</f>
        <v>JKFU</v>
      </c>
      <c r="C242" s="27" t="s">
        <v>469</v>
      </c>
      <c r="D242" s="6" t="s">
        <v>425</v>
      </c>
      <c r="E242" s="34"/>
      <c r="F242" s="35"/>
      <c r="G242" s="30"/>
      <c r="H242" s="31"/>
      <c r="I242" s="28">
        <v>70</v>
      </c>
      <c r="J242" s="29">
        <v>238700</v>
      </c>
      <c r="K242" s="28">
        <v>387</v>
      </c>
      <c r="L242" s="29">
        <v>1319670</v>
      </c>
      <c r="M242" s="28">
        <v>100</v>
      </c>
      <c r="N242" s="29">
        <v>341000</v>
      </c>
      <c r="O242" s="28"/>
      <c r="P242" s="32"/>
      <c r="Q242" s="28"/>
      <c r="R242" s="32"/>
      <c r="S242" s="28"/>
      <c r="T242" s="32"/>
      <c r="U242" s="28"/>
      <c r="V242" s="32"/>
      <c r="W242" s="32"/>
      <c r="X242" s="32"/>
      <c r="Y242" s="32"/>
      <c r="Z242" s="32"/>
      <c r="AA242" s="32"/>
      <c r="AB242" s="32"/>
      <c r="AC242" s="37">
        <f>E242+G242+I242+K242+M242+O242+Q242+S242+U242+W242+Y242+AA242</f>
        <v>557</v>
      </c>
      <c r="AD242" s="33">
        <f>F242+H242+J242+L242+N242+P242+R242+T242+V242+X242+Z242+AB242</f>
        <v>1899370</v>
      </c>
    </row>
    <row r="243" spans="1:30" x14ac:dyDescent="0.35">
      <c r="A243" s="5">
        <v>70</v>
      </c>
      <c r="B243" s="10" t="str">
        <f>LEFT(D243,FIND("-",D243)-1)</f>
        <v>JEAM026</v>
      </c>
      <c r="C243" s="27" t="s">
        <v>469</v>
      </c>
      <c r="D243" s="6" t="s">
        <v>267</v>
      </c>
      <c r="E243" s="34"/>
      <c r="F243" s="35"/>
      <c r="G243" s="30">
        <v>10</v>
      </c>
      <c r="H243" s="31">
        <v>38500</v>
      </c>
      <c r="I243" s="28">
        <v>150</v>
      </c>
      <c r="J243" s="29">
        <v>577500</v>
      </c>
      <c r="K243" s="28">
        <v>95</v>
      </c>
      <c r="L243" s="29">
        <v>365750</v>
      </c>
      <c r="M243" s="28">
        <v>100</v>
      </c>
      <c r="N243" s="29">
        <v>385000</v>
      </c>
      <c r="O243" s="28"/>
      <c r="P243" s="32"/>
      <c r="Q243" s="28"/>
      <c r="R243" s="32"/>
      <c r="S243" s="28"/>
      <c r="T243" s="32"/>
      <c r="U243" s="28"/>
      <c r="V243" s="32"/>
      <c r="W243" s="32"/>
      <c r="X243" s="32"/>
      <c r="Y243" s="32"/>
      <c r="Z243" s="32"/>
      <c r="AA243" s="32"/>
      <c r="AB243" s="32"/>
      <c r="AC243" s="37">
        <f>E243+G243+I243+K243+M243+O243+Q243+S243+U243+W243+Y243+AA243</f>
        <v>355</v>
      </c>
      <c r="AD243" s="33">
        <f>F243+H243+J243+L243+N243+P243+R243+T243+V243+X243+Z243+AB243</f>
        <v>1366750</v>
      </c>
    </row>
    <row r="244" spans="1:30" x14ac:dyDescent="0.35">
      <c r="A244" s="5">
        <v>149</v>
      </c>
      <c r="B244" s="10" t="str">
        <f>LEFT(D244,FIND("-",D244)-1)</f>
        <v>JLAE</v>
      </c>
      <c r="C244" s="27" t="s">
        <v>469</v>
      </c>
      <c r="D244" s="6" t="s">
        <v>26</v>
      </c>
      <c r="E244" s="34">
        <v>10</v>
      </c>
      <c r="F244" s="35">
        <v>23100</v>
      </c>
      <c r="G244" s="30"/>
      <c r="H244" s="31"/>
      <c r="I244" s="28">
        <v>50</v>
      </c>
      <c r="J244" s="29">
        <v>115500</v>
      </c>
      <c r="K244" s="28"/>
      <c r="L244" s="29"/>
      <c r="M244" s="28">
        <v>100</v>
      </c>
      <c r="N244" s="29">
        <v>231000</v>
      </c>
      <c r="O244" s="28"/>
      <c r="P244" s="32"/>
      <c r="Q244" s="28"/>
      <c r="R244" s="32"/>
      <c r="S244" s="28"/>
      <c r="T244" s="32"/>
      <c r="U244" s="28"/>
      <c r="V244" s="32"/>
      <c r="W244" s="32"/>
      <c r="X244" s="32"/>
      <c r="Y244" s="32"/>
      <c r="Z244" s="32"/>
      <c r="AA244" s="32"/>
      <c r="AB244" s="32"/>
      <c r="AC244" s="36">
        <f>E244+G244+I244+K244+M244+O244+Q244+S244+U244+W244+Y244+AA244</f>
        <v>160</v>
      </c>
      <c r="AD244" s="33">
        <f>F244+H244+J244+L244+N244+P244+R244+T244+V244+X244+Z244+AB244</f>
        <v>369600</v>
      </c>
    </row>
    <row r="245" spans="1:30" x14ac:dyDescent="0.35">
      <c r="A245" s="5">
        <v>216</v>
      </c>
      <c r="B245" s="10" t="str">
        <f>LEFT(D245,FIND("-",D245)-1)</f>
        <v>JEAP011</v>
      </c>
      <c r="C245" s="27" t="s">
        <v>469</v>
      </c>
      <c r="D245" s="6" t="s">
        <v>408</v>
      </c>
      <c r="E245" s="34"/>
      <c r="F245" s="35"/>
      <c r="G245" s="30"/>
      <c r="H245" s="31"/>
      <c r="I245" s="28">
        <v>24</v>
      </c>
      <c r="J245" s="29">
        <v>72600</v>
      </c>
      <c r="K245" s="28">
        <v>25</v>
      </c>
      <c r="L245" s="29">
        <v>75625</v>
      </c>
      <c r="M245" s="28">
        <v>90</v>
      </c>
      <c r="N245" s="29">
        <v>272250</v>
      </c>
      <c r="O245" s="28"/>
      <c r="P245" s="32"/>
      <c r="Q245" s="28"/>
      <c r="R245" s="32"/>
      <c r="S245" s="28"/>
      <c r="T245" s="32"/>
      <c r="U245" s="28"/>
      <c r="V245" s="32"/>
      <c r="W245" s="32"/>
      <c r="X245" s="32"/>
      <c r="Y245" s="32"/>
      <c r="Z245" s="32"/>
      <c r="AA245" s="32"/>
      <c r="AB245" s="32"/>
      <c r="AC245" s="37">
        <f>E245+G245+I245+K245+M245+O245+Q245+S245+U245+W245+Y245+AA245</f>
        <v>139</v>
      </c>
      <c r="AD245" s="33">
        <f>F245+H245+J245+L245+N245+P245+R245+T245+V245+X245+Z245+AB245</f>
        <v>420475</v>
      </c>
    </row>
    <row r="246" spans="1:30" x14ac:dyDescent="0.35">
      <c r="A246" s="5">
        <v>107</v>
      </c>
      <c r="B246" s="10" t="str">
        <f>LEFT(D246,FIND("-",D246)-1)</f>
        <v>JEAM034</v>
      </c>
      <c r="C246" s="27" t="s">
        <v>469</v>
      </c>
      <c r="D246" s="6" t="s">
        <v>269</v>
      </c>
      <c r="E246" s="34"/>
      <c r="F246" s="35"/>
      <c r="G246" s="30">
        <v>10</v>
      </c>
      <c r="H246" s="31">
        <v>38500</v>
      </c>
      <c r="I246" s="28">
        <v>89</v>
      </c>
      <c r="J246" s="29">
        <v>342650</v>
      </c>
      <c r="K246" s="28">
        <v>68</v>
      </c>
      <c r="L246" s="29">
        <v>261800</v>
      </c>
      <c r="M246" s="28">
        <v>80</v>
      </c>
      <c r="N246" s="29">
        <v>308000</v>
      </c>
      <c r="O246" s="28"/>
      <c r="P246" s="32"/>
      <c r="Q246" s="28"/>
      <c r="R246" s="32"/>
      <c r="S246" s="28"/>
      <c r="T246" s="32"/>
      <c r="U246" s="28"/>
      <c r="V246" s="32"/>
      <c r="W246" s="32"/>
      <c r="X246" s="32"/>
      <c r="Y246" s="32"/>
      <c r="Z246" s="32"/>
      <c r="AA246" s="32"/>
      <c r="AB246" s="32"/>
      <c r="AC246" s="37">
        <f>E246+G246+I246+K246+M246+O246+Q246+S246+U246+W246+Y246+AA246</f>
        <v>247</v>
      </c>
      <c r="AD246" s="33">
        <f>F246+H246+J246+L246+N246+P246+R246+T246+V246+X246+Z246+AB246</f>
        <v>950950</v>
      </c>
    </row>
    <row r="247" spans="1:30" x14ac:dyDescent="0.35">
      <c r="A247" s="5">
        <v>19</v>
      </c>
      <c r="B247" s="10" t="str">
        <f>LEFT(D247,FIND("-",D247)-1)</f>
        <v>JEYP</v>
      </c>
      <c r="C247" s="27" t="s">
        <v>469</v>
      </c>
      <c r="D247" s="6" t="s">
        <v>25</v>
      </c>
      <c r="E247" s="34">
        <v>354</v>
      </c>
      <c r="F247" s="35">
        <v>292050</v>
      </c>
      <c r="G247" s="30">
        <v>240</v>
      </c>
      <c r="H247" s="31">
        <v>198000</v>
      </c>
      <c r="I247" s="28">
        <v>20</v>
      </c>
      <c r="J247" s="29">
        <v>16500</v>
      </c>
      <c r="K247" s="28">
        <v>5</v>
      </c>
      <c r="L247" s="29">
        <v>4125</v>
      </c>
      <c r="M247" s="28">
        <v>80</v>
      </c>
      <c r="N247" s="29">
        <v>66000</v>
      </c>
      <c r="O247" s="28"/>
      <c r="P247" s="32"/>
      <c r="Q247" s="28"/>
      <c r="R247" s="32"/>
      <c r="S247" s="28"/>
      <c r="T247" s="32"/>
      <c r="U247" s="28"/>
      <c r="V247" s="32"/>
      <c r="W247" s="32"/>
      <c r="X247" s="32"/>
      <c r="Y247" s="32"/>
      <c r="Z247" s="32"/>
      <c r="AA247" s="32"/>
      <c r="AB247" s="32"/>
      <c r="AC247" s="36">
        <f>E247+G247+I247+K247+M247+O247+Q247+S247+U247+W247+Y247+AA247</f>
        <v>699</v>
      </c>
      <c r="AD247" s="33">
        <f>F247+H247+J247+L247+N247+P247+R247+T247+V247+X247+Z247+AB247</f>
        <v>576675</v>
      </c>
    </row>
    <row r="248" spans="1:30" x14ac:dyDescent="0.35">
      <c r="A248" s="5">
        <v>153</v>
      </c>
      <c r="B248" s="10" t="str">
        <f>LEFT(D248,FIND("-",D248)-1)</f>
        <v>JEPA300</v>
      </c>
      <c r="C248" s="27" t="s">
        <v>469</v>
      </c>
      <c r="D248" s="6" t="s">
        <v>198</v>
      </c>
      <c r="E248" s="34">
        <v>21</v>
      </c>
      <c r="F248" s="35">
        <v>46200</v>
      </c>
      <c r="G248" s="30">
        <v>2</v>
      </c>
      <c r="H248" s="31">
        <v>4400</v>
      </c>
      <c r="I248" s="28">
        <v>35</v>
      </c>
      <c r="J248" s="29">
        <v>77000</v>
      </c>
      <c r="K248" s="28"/>
      <c r="L248" s="29"/>
      <c r="M248" s="28">
        <v>78</v>
      </c>
      <c r="N248" s="29">
        <v>171600</v>
      </c>
      <c r="O248" s="28"/>
      <c r="P248" s="32"/>
      <c r="Q248" s="28"/>
      <c r="R248" s="32"/>
      <c r="S248" s="28"/>
      <c r="T248" s="32"/>
      <c r="U248" s="28"/>
      <c r="V248" s="32"/>
      <c r="W248" s="32"/>
      <c r="X248" s="32"/>
      <c r="Y248" s="32"/>
      <c r="Z248" s="32"/>
      <c r="AA248" s="32"/>
      <c r="AB248" s="32"/>
      <c r="AC248" s="36">
        <f>E248+G248+I248+K248+M248+O248+Q248+S248+U248+W248+Y248+AA248</f>
        <v>136</v>
      </c>
      <c r="AD248" s="33">
        <f>F248+H248+J248+L248+N248+P248+R248+T248+V248+X248+Z248+AB248</f>
        <v>299200</v>
      </c>
    </row>
    <row r="249" spans="1:30" x14ac:dyDescent="0.35">
      <c r="A249" s="5">
        <v>157</v>
      </c>
      <c r="B249" s="10" t="str">
        <f>LEFT(D249,FIND("-",D249)-1)</f>
        <v>JQHN</v>
      </c>
      <c r="C249" s="27" t="s">
        <v>469</v>
      </c>
      <c r="D249" s="6" t="s">
        <v>333</v>
      </c>
      <c r="E249" s="34"/>
      <c r="F249" s="35"/>
      <c r="G249" s="30">
        <v>45</v>
      </c>
      <c r="H249" s="31">
        <v>116325</v>
      </c>
      <c r="I249" s="28">
        <v>10</v>
      </c>
      <c r="J249" s="29">
        <v>25850</v>
      </c>
      <c r="K249" s="28">
        <v>5</v>
      </c>
      <c r="L249" s="29">
        <v>12925</v>
      </c>
      <c r="M249" s="28">
        <v>75</v>
      </c>
      <c r="N249" s="29">
        <v>193875</v>
      </c>
      <c r="O249" s="28"/>
      <c r="P249" s="32"/>
      <c r="Q249" s="28"/>
      <c r="R249" s="32"/>
      <c r="S249" s="28"/>
      <c r="T249" s="32"/>
      <c r="U249" s="28"/>
      <c r="V249" s="32"/>
      <c r="W249" s="32"/>
      <c r="X249" s="32"/>
      <c r="Y249" s="32"/>
      <c r="Z249" s="32"/>
      <c r="AA249" s="32"/>
      <c r="AB249" s="32"/>
      <c r="AC249" s="37">
        <f>E249+G249+I249+K249+M249+O249+Q249+S249+U249+W249+Y249+AA249</f>
        <v>135</v>
      </c>
      <c r="AD249" s="33">
        <f>F249+H249+J249+L249+N249+P249+R249+T249+V249+X249+Z249+AB249</f>
        <v>348975</v>
      </c>
    </row>
    <row r="250" spans="1:30" x14ac:dyDescent="0.35">
      <c r="A250" s="5">
        <v>94</v>
      </c>
      <c r="B250" s="10" t="str">
        <f>LEFT(D250,FIND("-",D250)-1)</f>
        <v>JEAM010</v>
      </c>
      <c r="C250" s="27" t="s">
        <v>469</v>
      </c>
      <c r="D250" s="6" t="s">
        <v>256</v>
      </c>
      <c r="E250" s="34"/>
      <c r="F250" s="35"/>
      <c r="G250" s="30">
        <v>104</v>
      </c>
      <c r="H250" s="31">
        <v>400400</v>
      </c>
      <c r="I250" s="28"/>
      <c r="J250" s="29"/>
      <c r="K250" s="28"/>
      <c r="L250" s="29"/>
      <c r="M250" s="28">
        <v>72</v>
      </c>
      <c r="N250" s="29">
        <v>277200</v>
      </c>
      <c r="O250" s="28"/>
      <c r="P250" s="32"/>
      <c r="Q250" s="28"/>
      <c r="R250" s="32"/>
      <c r="S250" s="28"/>
      <c r="T250" s="32"/>
      <c r="U250" s="28"/>
      <c r="V250" s="32"/>
      <c r="W250" s="32"/>
      <c r="X250" s="32"/>
      <c r="Y250" s="32"/>
      <c r="Z250" s="32"/>
      <c r="AA250" s="32"/>
      <c r="AB250" s="32"/>
      <c r="AC250" s="37">
        <f>E250+G250+I250+K250+M250+O250+Q250+S250+U250+W250+Y250+AA250</f>
        <v>176</v>
      </c>
      <c r="AD250" s="33">
        <f>F250+H250+J250+L250+N250+P250+R250+T250+V250+X250+Z250+AB250</f>
        <v>677600</v>
      </c>
    </row>
    <row r="251" spans="1:30" x14ac:dyDescent="0.35">
      <c r="A251" s="5">
        <v>85</v>
      </c>
      <c r="B251" s="10" t="str">
        <f>LEFT(D251,FIND("-",D251)-1)</f>
        <v>JEAT022</v>
      </c>
      <c r="C251" s="27" t="s">
        <v>469</v>
      </c>
      <c r="D251" s="6" t="s">
        <v>38</v>
      </c>
      <c r="E251" s="34">
        <v>1</v>
      </c>
      <c r="F251" s="35">
        <v>3850</v>
      </c>
      <c r="G251" s="30">
        <v>105</v>
      </c>
      <c r="H251" s="31">
        <v>404250</v>
      </c>
      <c r="I251" s="28">
        <v>20</v>
      </c>
      <c r="J251" s="29">
        <v>77000</v>
      </c>
      <c r="K251" s="28">
        <v>45</v>
      </c>
      <c r="L251" s="29">
        <v>173250</v>
      </c>
      <c r="M251" s="28">
        <v>70</v>
      </c>
      <c r="N251" s="29">
        <v>269500</v>
      </c>
      <c r="O251" s="28"/>
      <c r="P251" s="32"/>
      <c r="Q251" s="28"/>
      <c r="R251" s="32"/>
      <c r="S251" s="28"/>
      <c r="T251" s="32"/>
      <c r="U251" s="28"/>
      <c r="V251" s="32"/>
      <c r="W251" s="32"/>
      <c r="X251" s="32"/>
      <c r="Y251" s="32"/>
      <c r="Z251" s="32"/>
      <c r="AA251" s="32"/>
      <c r="AB251" s="32"/>
      <c r="AC251" s="36">
        <f>E251+G251+I251+K251+M251+O251+Q251+S251+U251+W251+Y251+AA251</f>
        <v>241</v>
      </c>
      <c r="AD251" s="33">
        <f>F251+H251+J251+L251+N251+P251+R251+T251+V251+X251+Z251+AB251</f>
        <v>927850</v>
      </c>
    </row>
    <row r="252" spans="1:30" x14ac:dyDescent="0.35">
      <c r="A252" s="5">
        <v>39</v>
      </c>
      <c r="B252" s="10" t="str">
        <f>LEFT(D252,FIND("-",D252)-1)</f>
        <v>JCFC302</v>
      </c>
      <c r="C252" s="27" t="s">
        <v>469</v>
      </c>
      <c r="D252" s="6" t="s">
        <v>142</v>
      </c>
      <c r="E252" s="34">
        <v>225</v>
      </c>
      <c r="F252" s="35">
        <v>618750</v>
      </c>
      <c r="G252" s="30">
        <v>50</v>
      </c>
      <c r="H252" s="31">
        <v>137500</v>
      </c>
      <c r="I252" s="28"/>
      <c r="J252" s="29"/>
      <c r="K252" s="28">
        <v>90</v>
      </c>
      <c r="L252" s="29">
        <v>247500</v>
      </c>
      <c r="M252" s="28">
        <v>68</v>
      </c>
      <c r="N252" s="29">
        <v>187000</v>
      </c>
      <c r="O252" s="28"/>
      <c r="P252" s="32"/>
      <c r="Q252" s="28"/>
      <c r="R252" s="32"/>
      <c r="S252" s="28"/>
      <c r="T252" s="32"/>
      <c r="U252" s="28"/>
      <c r="V252" s="32"/>
      <c r="W252" s="32"/>
      <c r="X252" s="32"/>
      <c r="Y252" s="32"/>
      <c r="Z252" s="32"/>
      <c r="AA252" s="32"/>
      <c r="AB252" s="32"/>
      <c r="AC252" s="36">
        <f>E252+G252+I252+K252+M252+O252+Q252+S252+U252+W252+Y252+AA252</f>
        <v>433</v>
      </c>
      <c r="AD252" s="33">
        <f>F252+H252+J252+L252+N252+P252+R252+T252+V252+X252+Z252+AB252</f>
        <v>1190750</v>
      </c>
    </row>
    <row r="253" spans="1:30" x14ac:dyDescent="0.35">
      <c r="A253" s="5">
        <v>74</v>
      </c>
      <c r="B253" s="10" t="str">
        <f>LEFT(D253,FIND("-",D253)-1)</f>
        <v>JEAM022</v>
      </c>
      <c r="C253" s="27" t="s">
        <v>469</v>
      </c>
      <c r="D253" s="6" t="s">
        <v>263</v>
      </c>
      <c r="E253" s="34"/>
      <c r="F253" s="35"/>
      <c r="G253" s="30">
        <v>50</v>
      </c>
      <c r="H253" s="31">
        <v>192500</v>
      </c>
      <c r="I253" s="28">
        <v>102</v>
      </c>
      <c r="J253" s="29">
        <v>392700</v>
      </c>
      <c r="K253" s="28">
        <v>70</v>
      </c>
      <c r="L253" s="29">
        <v>269500</v>
      </c>
      <c r="M253" s="28">
        <v>67</v>
      </c>
      <c r="N253" s="29">
        <v>257950</v>
      </c>
      <c r="O253" s="28"/>
      <c r="P253" s="32"/>
      <c r="Q253" s="28"/>
      <c r="R253" s="32"/>
      <c r="S253" s="28"/>
      <c r="T253" s="32"/>
      <c r="U253" s="28"/>
      <c r="V253" s="32"/>
      <c r="W253" s="32"/>
      <c r="X253" s="32"/>
      <c r="Y253" s="32"/>
      <c r="Z253" s="32"/>
      <c r="AA253" s="32"/>
      <c r="AB253" s="32"/>
      <c r="AC253" s="36">
        <f>E253+G253+I253+K253+M253+O253+Q253+S253+U253+W253+Y253+AA253</f>
        <v>289</v>
      </c>
      <c r="AD253" s="33">
        <f>F253+H253+J253+L253+N253+P253+R253+T253+V253+X253+Z253+AB253</f>
        <v>1112650</v>
      </c>
    </row>
    <row r="254" spans="1:30" x14ac:dyDescent="0.35">
      <c r="A254" s="5">
        <v>114</v>
      </c>
      <c r="B254" s="10" t="str">
        <f>LEFT(D254,FIND("-",D254)-1)</f>
        <v>JEIH301</v>
      </c>
      <c r="C254" s="27" t="s">
        <v>469</v>
      </c>
      <c r="D254" s="6" t="s">
        <v>64</v>
      </c>
      <c r="E254" s="34">
        <v>27</v>
      </c>
      <c r="F254" s="35">
        <v>29700</v>
      </c>
      <c r="G254" s="30">
        <v>53</v>
      </c>
      <c r="H254" s="31">
        <v>58300</v>
      </c>
      <c r="I254" s="28">
        <v>12</v>
      </c>
      <c r="J254" s="29">
        <v>13200</v>
      </c>
      <c r="K254" s="28">
        <v>47</v>
      </c>
      <c r="L254" s="29">
        <v>51700</v>
      </c>
      <c r="M254" s="28">
        <v>66</v>
      </c>
      <c r="N254" s="29">
        <v>72600</v>
      </c>
      <c r="O254" s="28"/>
      <c r="P254" s="32"/>
      <c r="Q254" s="28"/>
      <c r="R254" s="32"/>
      <c r="S254" s="28"/>
      <c r="T254" s="32"/>
      <c r="U254" s="28"/>
      <c r="V254" s="32"/>
      <c r="W254" s="32"/>
      <c r="X254" s="32"/>
      <c r="Y254" s="32"/>
      <c r="Z254" s="32"/>
      <c r="AA254" s="32"/>
      <c r="AB254" s="32"/>
      <c r="AC254" s="37">
        <f>E254+G254+I254+K254+M254+O254+Q254+S254+U254+W254+Y254+AA254</f>
        <v>205</v>
      </c>
      <c r="AD254" s="33">
        <f>F254+H254+J254+L254+N254+P254+R254+T254+V254+X254+Z254+AB254</f>
        <v>225500</v>
      </c>
    </row>
    <row r="255" spans="1:30" x14ac:dyDescent="0.35">
      <c r="A255" s="5">
        <v>184</v>
      </c>
      <c r="B255" s="10" t="str">
        <f>LEFT(D255,FIND("-",D255)-1)</f>
        <v>JELT025</v>
      </c>
      <c r="C255" s="27" t="s">
        <v>469</v>
      </c>
      <c r="D255" s="6" t="s">
        <v>24</v>
      </c>
      <c r="E255" s="34">
        <v>16</v>
      </c>
      <c r="F255" s="35">
        <v>44000</v>
      </c>
      <c r="G255" s="30">
        <v>13</v>
      </c>
      <c r="H255" s="31">
        <v>35750</v>
      </c>
      <c r="I255" s="28">
        <v>3</v>
      </c>
      <c r="J255" s="29">
        <v>8250</v>
      </c>
      <c r="K255" s="28">
        <v>21</v>
      </c>
      <c r="L255" s="29">
        <v>57750</v>
      </c>
      <c r="M255" s="28">
        <v>63</v>
      </c>
      <c r="N255" s="29">
        <v>173250</v>
      </c>
      <c r="O255" s="28"/>
      <c r="P255" s="32"/>
      <c r="Q255" s="28"/>
      <c r="R255" s="32"/>
      <c r="S255" s="28"/>
      <c r="T255" s="32"/>
      <c r="U255" s="28"/>
      <c r="V255" s="32"/>
      <c r="W255" s="32"/>
      <c r="X255" s="32"/>
      <c r="Y255" s="32"/>
      <c r="Z255" s="32"/>
      <c r="AA255" s="32"/>
      <c r="AB255" s="32"/>
      <c r="AC255" s="36">
        <f>E255+G255+I255+K255+M255+O255+Q255+S255+U255+W255+Y255+AA255</f>
        <v>116</v>
      </c>
      <c r="AD255" s="33">
        <f>F255+H255+J255+L255+N255+P255+R255+T255+V255+X255+Z255+AB255</f>
        <v>319000</v>
      </c>
    </row>
    <row r="256" spans="1:30" x14ac:dyDescent="0.35">
      <c r="A256" s="5">
        <v>156</v>
      </c>
      <c r="B256" s="10" t="str">
        <f>LEFT(D256,FIND("-",D256)-1)</f>
        <v>JEJA002</v>
      </c>
      <c r="C256" s="27" t="s">
        <v>469</v>
      </c>
      <c r="D256" s="6" t="s">
        <v>72</v>
      </c>
      <c r="E256" s="34">
        <v>9</v>
      </c>
      <c r="F256" s="35">
        <v>20790</v>
      </c>
      <c r="G256" s="30">
        <v>46</v>
      </c>
      <c r="H256" s="31">
        <v>106260</v>
      </c>
      <c r="I256" s="28"/>
      <c r="J256" s="29"/>
      <c r="K256" s="28"/>
      <c r="L256" s="29"/>
      <c r="M256" s="28">
        <v>60</v>
      </c>
      <c r="N256" s="29">
        <v>138600</v>
      </c>
      <c r="O256" s="28"/>
      <c r="P256" s="32"/>
      <c r="Q256" s="28"/>
      <c r="R256" s="32"/>
      <c r="S256" s="28"/>
      <c r="T256" s="32"/>
      <c r="U256" s="28"/>
      <c r="V256" s="32"/>
      <c r="W256" s="32"/>
      <c r="X256" s="32"/>
      <c r="Y256" s="32"/>
      <c r="Z256" s="32"/>
      <c r="AA256" s="32"/>
      <c r="AB256" s="32"/>
      <c r="AC256" s="36">
        <f>E256+G256+I256+K256+M256+O256+Q256+S256+U256+W256+Y256+AA256</f>
        <v>115</v>
      </c>
      <c r="AD256" s="33">
        <f>F256+H256+J256+L256+N256+P256+R256+T256+V256+X256+Z256+AB256</f>
        <v>265650</v>
      </c>
    </row>
    <row r="257" spans="1:30" x14ac:dyDescent="0.35">
      <c r="A257" s="5">
        <v>72</v>
      </c>
      <c r="B257" s="10" t="str">
        <f>LEFT(D257,FIND("-",D257)-1)</f>
        <v>JEAP012</v>
      </c>
      <c r="C257" s="27" t="s">
        <v>469</v>
      </c>
      <c r="D257" s="6" t="s">
        <v>4</v>
      </c>
      <c r="E257" s="34">
        <v>108</v>
      </c>
      <c r="F257" s="35">
        <v>326700</v>
      </c>
      <c r="G257" s="30">
        <v>31</v>
      </c>
      <c r="H257" s="31">
        <v>93775</v>
      </c>
      <c r="I257" s="28">
        <v>20</v>
      </c>
      <c r="J257" s="29">
        <v>60500</v>
      </c>
      <c r="K257" s="28">
        <v>2</v>
      </c>
      <c r="L257" s="29">
        <v>6050</v>
      </c>
      <c r="M257" s="28">
        <v>57</v>
      </c>
      <c r="N257" s="29">
        <v>172425</v>
      </c>
      <c r="O257" s="28"/>
      <c r="P257" s="32"/>
      <c r="Q257" s="28"/>
      <c r="R257" s="32"/>
      <c r="S257" s="28"/>
      <c r="T257" s="32"/>
      <c r="U257" s="28"/>
      <c r="V257" s="32"/>
      <c r="W257" s="32"/>
      <c r="X257" s="32"/>
      <c r="Y257" s="32"/>
      <c r="Z257" s="32"/>
      <c r="AA257" s="32"/>
      <c r="AB257" s="32"/>
      <c r="AC257" s="36">
        <f>E257+G257+I257+K257+M257+O257+Q257+S257+U257+W257+Y257+AA257</f>
        <v>218</v>
      </c>
      <c r="AD257" s="33">
        <f>F257+H257+J257+L257+N257+P257+R257+T257+V257+X257+Z257+AB257</f>
        <v>659450</v>
      </c>
    </row>
    <row r="258" spans="1:30" x14ac:dyDescent="0.35">
      <c r="A258" s="5">
        <v>143</v>
      </c>
      <c r="B258" s="10" t="str">
        <f>LEFT(D258,FIND("-",D258)-1)</f>
        <v>JEAP022</v>
      </c>
      <c r="C258" s="27" t="s">
        <v>469</v>
      </c>
      <c r="D258" s="6" t="s">
        <v>8</v>
      </c>
      <c r="E258" s="34">
        <v>18</v>
      </c>
      <c r="F258" s="35">
        <v>54450</v>
      </c>
      <c r="G258" s="30">
        <v>25</v>
      </c>
      <c r="H258" s="31">
        <v>75625</v>
      </c>
      <c r="I258" s="28">
        <v>26</v>
      </c>
      <c r="J258" s="29">
        <v>78650</v>
      </c>
      <c r="K258" s="28">
        <v>65</v>
      </c>
      <c r="L258" s="29">
        <v>196625</v>
      </c>
      <c r="M258" s="28">
        <v>55</v>
      </c>
      <c r="N258" s="29">
        <v>166375</v>
      </c>
      <c r="O258" s="28"/>
      <c r="P258" s="32"/>
      <c r="Q258" s="28"/>
      <c r="R258" s="32"/>
      <c r="S258" s="28"/>
      <c r="T258" s="32"/>
      <c r="U258" s="28"/>
      <c r="V258" s="32"/>
      <c r="W258" s="32"/>
      <c r="X258" s="32"/>
      <c r="Y258" s="32"/>
      <c r="Z258" s="32"/>
      <c r="AA258" s="32"/>
      <c r="AB258" s="32"/>
      <c r="AC258" s="36">
        <f>E258+G258+I258+K258+M258+O258+Q258+S258+U258+W258+Y258+AA258</f>
        <v>189</v>
      </c>
      <c r="AD258" s="33">
        <f>F258+H258+J258+L258+N258+P258+R258+T258+V258+X258+Z258+AB258</f>
        <v>571725</v>
      </c>
    </row>
    <row r="259" spans="1:30" x14ac:dyDescent="0.35">
      <c r="A259" s="5">
        <v>140</v>
      </c>
      <c r="B259" s="10" t="str">
        <f>LEFT(D259,FIND("-",D259)-1)</f>
        <v>JEGP002</v>
      </c>
      <c r="C259" s="27" t="s">
        <v>469</v>
      </c>
      <c r="D259" s="6" t="s">
        <v>413</v>
      </c>
      <c r="E259" s="34"/>
      <c r="F259" s="35"/>
      <c r="G259" s="30"/>
      <c r="H259" s="31"/>
      <c r="I259" s="28">
        <v>70</v>
      </c>
      <c r="J259" s="29">
        <v>269500</v>
      </c>
      <c r="K259" s="28">
        <v>140</v>
      </c>
      <c r="L259" s="29">
        <v>539000</v>
      </c>
      <c r="M259" s="28">
        <v>53</v>
      </c>
      <c r="N259" s="29">
        <v>204050</v>
      </c>
      <c r="O259" s="28"/>
      <c r="P259" s="32"/>
      <c r="Q259" s="28"/>
      <c r="R259" s="32"/>
      <c r="S259" s="28"/>
      <c r="T259" s="32"/>
      <c r="U259" s="28"/>
      <c r="V259" s="32"/>
      <c r="W259" s="32"/>
      <c r="X259" s="32"/>
      <c r="Y259" s="32"/>
      <c r="Z259" s="32"/>
      <c r="AA259" s="32"/>
      <c r="AB259" s="32"/>
      <c r="AC259" s="36">
        <f>E259+G259+I259+K259+M259+O259+Q259+S259+U259+W259+Y259+AA259</f>
        <v>263</v>
      </c>
      <c r="AD259" s="33">
        <f>F259+H259+J259+L259+N259+P259+R259+T259+V259+X259+Z259+AB259</f>
        <v>1012550</v>
      </c>
    </row>
    <row r="260" spans="1:30" x14ac:dyDescent="0.35">
      <c r="A260" s="5">
        <v>69</v>
      </c>
      <c r="B260" s="10" t="str">
        <f>LEFT(D260,FIND("-",D260)-1)</f>
        <v>JEAT012</v>
      </c>
      <c r="C260" s="27" t="s">
        <v>469</v>
      </c>
      <c r="D260" s="6" t="s">
        <v>157</v>
      </c>
      <c r="E260" s="34">
        <v>65</v>
      </c>
      <c r="F260" s="35">
        <v>250250</v>
      </c>
      <c r="G260" s="30">
        <v>78</v>
      </c>
      <c r="H260" s="31">
        <v>300300</v>
      </c>
      <c r="I260" s="28">
        <v>20</v>
      </c>
      <c r="J260" s="29">
        <v>77000</v>
      </c>
      <c r="K260" s="28">
        <v>46</v>
      </c>
      <c r="L260" s="29">
        <v>177100</v>
      </c>
      <c r="M260" s="28">
        <v>50</v>
      </c>
      <c r="N260" s="29">
        <v>192500</v>
      </c>
      <c r="O260" s="28"/>
      <c r="P260" s="32"/>
      <c r="Q260" s="28"/>
      <c r="R260" s="32"/>
      <c r="S260" s="28"/>
      <c r="T260" s="32"/>
      <c r="U260" s="28"/>
      <c r="V260" s="32"/>
      <c r="W260" s="32"/>
      <c r="X260" s="32"/>
      <c r="Y260" s="32"/>
      <c r="Z260" s="32"/>
      <c r="AA260" s="32"/>
      <c r="AB260" s="32"/>
      <c r="AC260" s="37">
        <f>E260+G260+I260+K260+M260+O260+Q260+S260+U260+W260+Y260+AA260</f>
        <v>259</v>
      </c>
      <c r="AD260" s="33">
        <f>F260+H260+J260+L260+N260+P260+R260+T260+V260+X260+Z260+AB260</f>
        <v>997150</v>
      </c>
    </row>
    <row r="261" spans="1:30" x14ac:dyDescent="0.35">
      <c r="A261" s="5">
        <v>223</v>
      </c>
      <c r="B261" s="10" t="str">
        <f>LEFT(D261,FIND("-",D261)-1)</f>
        <v>JEBO150</v>
      </c>
      <c r="C261" s="27" t="s">
        <v>469</v>
      </c>
      <c r="D261" s="6" t="s">
        <v>163</v>
      </c>
      <c r="E261" s="34">
        <v>1</v>
      </c>
      <c r="F261" s="35">
        <v>2035</v>
      </c>
      <c r="G261" s="30">
        <v>10</v>
      </c>
      <c r="H261" s="31">
        <v>20350</v>
      </c>
      <c r="I261" s="28">
        <v>11</v>
      </c>
      <c r="J261" s="29">
        <v>22385</v>
      </c>
      <c r="K261" s="28">
        <v>14</v>
      </c>
      <c r="L261" s="29">
        <v>28490</v>
      </c>
      <c r="M261" s="28">
        <v>50</v>
      </c>
      <c r="N261" s="29">
        <v>101750</v>
      </c>
      <c r="O261" s="28"/>
      <c r="P261" s="32"/>
      <c r="Q261" s="28"/>
      <c r="R261" s="32"/>
      <c r="S261" s="28"/>
      <c r="T261" s="32"/>
      <c r="U261" s="28"/>
      <c r="V261" s="32"/>
      <c r="W261" s="32"/>
      <c r="X261" s="32"/>
      <c r="Y261" s="32"/>
      <c r="Z261" s="32"/>
      <c r="AA261" s="32"/>
      <c r="AB261" s="32"/>
      <c r="AC261" s="36">
        <f>E261+G261+I261+K261+M261+O261+Q261+S261+U261+W261+Y261+AA261</f>
        <v>86</v>
      </c>
      <c r="AD261" s="33">
        <f>F261+H261+J261+L261+N261+P261+R261+T261+V261+X261+Z261+AB261</f>
        <v>175010</v>
      </c>
    </row>
    <row r="262" spans="1:30" x14ac:dyDescent="0.35">
      <c r="A262" s="5">
        <v>232</v>
      </c>
      <c r="B262" s="10" t="str">
        <f>LEFT(D262,FIND("-",D262)-1)</f>
        <v>JEFB</v>
      </c>
      <c r="C262" s="27" t="s">
        <v>469</v>
      </c>
      <c r="D262" s="6" t="s">
        <v>410</v>
      </c>
      <c r="E262" s="34"/>
      <c r="F262" s="35"/>
      <c r="G262" s="30"/>
      <c r="H262" s="31"/>
      <c r="I262" s="28">
        <v>20</v>
      </c>
      <c r="J262" s="29">
        <v>35200</v>
      </c>
      <c r="K262" s="28">
        <v>2</v>
      </c>
      <c r="L262" s="29">
        <v>3520</v>
      </c>
      <c r="M262" s="28">
        <v>50</v>
      </c>
      <c r="N262" s="29">
        <v>88000</v>
      </c>
      <c r="O262" s="28"/>
      <c r="P262" s="32"/>
      <c r="Q262" s="28"/>
      <c r="R262" s="32"/>
      <c r="S262" s="28"/>
      <c r="T262" s="32"/>
      <c r="U262" s="28"/>
      <c r="V262" s="32"/>
      <c r="W262" s="32"/>
      <c r="X262" s="32"/>
      <c r="Y262" s="32"/>
      <c r="Z262" s="32"/>
      <c r="AA262" s="32"/>
      <c r="AB262" s="32"/>
      <c r="AC262" s="36">
        <f>E262+G262+I262+K262+M262+O262+Q262+S262+U262+W262+Y262+AA262</f>
        <v>72</v>
      </c>
      <c r="AD262" s="33">
        <f>F262+H262+J262+L262+N262+P262+R262+T262+V262+X262+Z262+AB262</f>
        <v>126720</v>
      </c>
    </row>
    <row r="263" spans="1:30" x14ac:dyDescent="0.35">
      <c r="A263" s="5">
        <v>166</v>
      </c>
      <c r="B263" s="10" t="str">
        <f>LEFT(D263,FIND("-",D263)-1)</f>
        <v>JEAP026</v>
      </c>
      <c r="C263" s="27" t="s">
        <v>469</v>
      </c>
      <c r="D263" s="6" t="s">
        <v>144</v>
      </c>
      <c r="E263" s="34">
        <v>13</v>
      </c>
      <c r="F263" s="35">
        <v>39325</v>
      </c>
      <c r="G263" s="30">
        <v>20</v>
      </c>
      <c r="H263" s="31">
        <v>60500</v>
      </c>
      <c r="I263" s="28">
        <v>10</v>
      </c>
      <c r="J263" s="29">
        <v>30250</v>
      </c>
      <c r="K263" s="28"/>
      <c r="L263" s="29"/>
      <c r="M263" s="28">
        <v>49</v>
      </c>
      <c r="N263" s="29">
        <v>148225</v>
      </c>
      <c r="O263" s="28"/>
      <c r="P263" s="32"/>
      <c r="Q263" s="28"/>
      <c r="R263" s="32"/>
      <c r="S263" s="28"/>
      <c r="T263" s="32"/>
      <c r="U263" s="28"/>
      <c r="V263" s="32"/>
      <c r="W263" s="32"/>
      <c r="X263" s="32"/>
      <c r="Y263" s="32"/>
      <c r="Z263" s="32"/>
      <c r="AA263" s="32"/>
      <c r="AB263" s="32"/>
      <c r="AC263" s="37">
        <f>E263+G263+I263+K263+M263+O263+Q263+S263+U263+W263+Y263+AA263</f>
        <v>92</v>
      </c>
      <c r="AD263" s="33">
        <f>F263+H263+J263+L263+N263+P263+R263+T263+V263+X263+Z263+AB263</f>
        <v>278300</v>
      </c>
    </row>
    <row r="264" spans="1:30" x14ac:dyDescent="0.35">
      <c r="A264" s="5">
        <v>73</v>
      </c>
      <c r="B264" s="10" t="str">
        <f>LEFT(D264,FIND("-",D264)-1)</f>
        <v>JEAT026</v>
      </c>
      <c r="C264" s="27" t="s">
        <v>469</v>
      </c>
      <c r="D264" s="6" t="s">
        <v>39</v>
      </c>
      <c r="E264" s="34">
        <v>32</v>
      </c>
      <c r="F264" s="35">
        <v>123200</v>
      </c>
      <c r="G264" s="30">
        <v>95</v>
      </c>
      <c r="H264" s="31">
        <v>365750</v>
      </c>
      <c r="I264" s="28">
        <v>30</v>
      </c>
      <c r="J264" s="29">
        <v>115500</v>
      </c>
      <c r="K264" s="28">
        <v>20</v>
      </c>
      <c r="L264" s="29">
        <v>77000</v>
      </c>
      <c r="M264" s="28">
        <v>45</v>
      </c>
      <c r="N264" s="29">
        <v>173250</v>
      </c>
      <c r="O264" s="28"/>
      <c r="P264" s="32"/>
      <c r="Q264" s="28"/>
      <c r="R264" s="32"/>
      <c r="S264" s="28"/>
      <c r="T264" s="32"/>
      <c r="U264" s="28"/>
      <c r="V264" s="32"/>
      <c r="W264" s="32"/>
      <c r="X264" s="32"/>
      <c r="Y264" s="32"/>
      <c r="Z264" s="32"/>
      <c r="AA264" s="32"/>
      <c r="AB264" s="32"/>
      <c r="AC264" s="37">
        <f>E264+G264+I264+K264+M264+O264+Q264+S264+U264+W264+Y264+AA264</f>
        <v>222</v>
      </c>
      <c r="AD264" s="33">
        <f>F264+H264+J264+L264+N264+P264+R264+T264+V264+X264+Z264+AB264</f>
        <v>854700</v>
      </c>
    </row>
    <row r="265" spans="1:30" x14ac:dyDescent="0.35">
      <c r="A265" s="5">
        <v>274</v>
      </c>
      <c r="B265" s="10" t="str">
        <f>LEFT(D265,FIND("-",D265)-1)</f>
        <v>JEBO251</v>
      </c>
      <c r="C265" s="27" t="s">
        <v>469</v>
      </c>
      <c r="D265" s="6" t="s">
        <v>272</v>
      </c>
      <c r="E265" s="34"/>
      <c r="F265" s="35"/>
      <c r="G265" s="30">
        <v>5</v>
      </c>
      <c r="H265" s="31">
        <v>10175</v>
      </c>
      <c r="I265" s="28">
        <v>7</v>
      </c>
      <c r="J265" s="29">
        <v>14245</v>
      </c>
      <c r="K265" s="28"/>
      <c r="L265" s="29"/>
      <c r="M265" s="28">
        <v>45</v>
      </c>
      <c r="N265" s="29">
        <v>91575</v>
      </c>
      <c r="O265" s="28"/>
      <c r="P265" s="32"/>
      <c r="Q265" s="28"/>
      <c r="R265" s="32"/>
      <c r="S265" s="28"/>
      <c r="T265" s="32"/>
      <c r="U265" s="28"/>
      <c r="V265" s="32"/>
      <c r="W265" s="32"/>
      <c r="X265" s="32"/>
      <c r="Y265" s="32"/>
      <c r="Z265" s="32"/>
      <c r="AA265" s="32"/>
      <c r="AB265" s="32"/>
      <c r="AC265" s="36">
        <f>E265+G265+I265+K265+M265+O265+Q265+S265+U265+W265+Y265+AA265</f>
        <v>57</v>
      </c>
      <c r="AD265" s="33">
        <f>F265+H265+J265+L265+N265+P265+R265+T265+V265+X265+Z265+AB265</f>
        <v>115995</v>
      </c>
    </row>
    <row r="266" spans="1:30" x14ac:dyDescent="0.35">
      <c r="A266" s="5">
        <v>86</v>
      </c>
      <c r="B266" s="10" t="str">
        <f>LEFT(D266,FIND("-",D266)-1)</f>
        <v>JEBP807</v>
      </c>
      <c r="C266" s="27" t="s">
        <v>469</v>
      </c>
      <c r="D266" s="6" t="s">
        <v>275</v>
      </c>
      <c r="E266" s="34"/>
      <c r="F266" s="35"/>
      <c r="G266" s="30">
        <v>125</v>
      </c>
      <c r="H266" s="31">
        <v>357500</v>
      </c>
      <c r="I266" s="28"/>
      <c r="J266" s="29"/>
      <c r="K266" s="28"/>
      <c r="L266" s="29"/>
      <c r="M266" s="28">
        <v>45</v>
      </c>
      <c r="N266" s="29">
        <v>128700</v>
      </c>
      <c r="O266" s="28"/>
      <c r="P266" s="32"/>
      <c r="Q266" s="28"/>
      <c r="R266" s="32"/>
      <c r="S266" s="28"/>
      <c r="T266" s="32"/>
      <c r="U266" s="28"/>
      <c r="V266" s="32"/>
      <c r="W266" s="32"/>
      <c r="X266" s="32"/>
      <c r="Y266" s="32"/>
      <c r="Z266" s="32"/>
      <c r="AA266" s="32"/>
      <c r="AB266" s="32"/>
      <c r="AC266" s="36">
        <f>E266+G266+I266+K266+M266+O266+Q266+S266+U266+W266+Y266+AA266</f>
        <v>170</v>
      </c>
      <c r="AD266" s="33">
        <f>F266+H266+J266+L266+N266+P266+R266+T266+V266+X266+Z266+AB266</f>
        <v>486200</v>
      </c>
    </row>
    <row r="267" spans="1:30" x14ac:dyDescent="0.35">
      <c r="A267" s="5">
        <v>257</v>
      </c>
      <c r="B267" s="10" t="str">
        <f>LEFT(D267,FIND("-",D267)-1)</f>
        <v>JEIH101</v>
      </c>
      <c r="C267" s="27" t="s">
        <v>469</v>
      </c>
      <c r="D267" s="6" t="s">
        <v>298</v>
      </c>
      <c r="E267" s="34"/>
      <c r="F267" s="35"/>
      <c r="G267" s="30">
        <v>10</v>
      </c>
      <c r="H267" s="31">
        <v>11000</v>
      </c>
      <c r="I267" s="28">
        <v>5</v>
      </c>
      <c r="J267" s="29">
        <v>5500</v>
      </c>
      <c r="K267" s="28">
        <v>20</v>
      </c>
      <c r="L267" s="29">
        <v>22000</v>
      </c>
      <c r="M267" s="28">
        <v>38</v>
      </c>
      <c r="N267" s="29">
        <v>41800</v>
      </c>
      <c r="O267" s="28"/>
      <c r="P267" s="32"/>
      <c r="Q267" s="28"/>
      <c r="R267" s="32"/>
      <c r="S267" s="28"/>
      <c r="T267" s="32"/>
      <c r="U267" s="28"/>
      <c r="V267" s="32"/>
      <c r="W267" s="32"/>
      <c r="X267" s="32"/>
      <c r="Y267" s="32"/>
      <c r="Z267" s="32"/>
      <c r="AA267" s="32"/>
      <c r="AB267" s="32"/>
      <c r="AC267" s="37">
        <f>E267+G267+I267+K267+M267+O267+Q267+S267+U267+W267+Y267+AA267</f>
        <v>73</v>
      </c>
      <c r="AD267" s="33">
        <f>F267+H267+J267+L267+N267+P267+R267+T267+V267+X267+Z267+AB267</f>
        <v>80300</v>
      </c>
    </row>
    <row r="268" spans="1:30" x14ac:dyDescent="0.35">
      <c r="A268" s="5">
        <v>136</v>
      </c>
      <c r="B268" s="10" t="str">
        <f>LEFT(D268,FIND("-",D268)-1)</f>
        <v>JEGH023</v>
      </c>
      <c r="C268" s="27" t="s">
        <v>469</v>
      </c>
      <c r="D268" s="6" t="s">
        <v>112</v>
      </c>
      <c r="E268" s="34">
        <v>10</v>
      </c>
      <c r="F268" s="35">
        <v>16500</v>
      </c>
      <c r="G268" s="30">
        <v>63</v>
      </c>
      <c r="H268" s="31">
        <v>103950</v>
      </c>
      <c r="I268" s="28"/>
      <c r="J268" s="29"/>
      <c r="K268" s="28"/>
      <c r="L268" s="29"/>
      <c r="M268" s="28">
        <v>36</v>
      </c>
      <c r="N268" s="29">
        <v>59400</v>
      </c>
      <c r="O268" s="28"/>
      <c r="P268" s="32"/>
      <c r="Q268" s="28"/>
      <c r="R268" s="32"/>
      <c r="S268" s="28"/>
      <c r="T268" s="32"/>
      <c r="U268" s="28"/>
      <c r="V268" s="32"/>
      <c r="W268" s="32"/>
      <c r="X268" s="32"/>
      <c r="Y268" s="32"/>
      <c r="Z268" s="32"/>
      <c r="AA268" s="32"/>
      <c r="AB268" s="32"/>
      <c r="AC268" s="36">
        <f>E268+G268+I268+K268+M268+O268+Q268+S268+U268+W268+Y268+AA268</f>
        <v>109</v>
      </c>
      <c r="AD268" s="33">
        <f>F268+H268+J268+L268+N268+P268+R268+T268+V268+X268+Z268+AB268</f>
        <v>179850</v>
      </c>
    </row>
    <row r="269" spans="1:30" x14ac:dyDescent="0.35">
      <c r="A269" s="5">
        <v>145</v>
      </c>
      <c r="B269" s="10" t="str">
        <f>LEFT(D269,FIND("-",D269)-1)</f>
        <v>JEAM011</v>
      </c>
      <c r="C269" s="27" t="s">
        <v>469</v>
      </c>
      <c r="D269" s="6" t="s">
        <v>257</v>
      </c>
      <c r="E269" s="34"/>
      <c r="F269" s="35"/>
      <c r="G269" s="30">
        <v>10</v>
      </c>
      <c r="H269" s="31">
        <v>38500</v>
      </c>
      <c r="I269" s="28">
        <v>57</v>
      </c>
      <c r="J269" s="29">
        <v>219450</v>
      </c>
      <c r="K269" s="28">
        <v>42</v>
      </c>
      <c r="L269" s="29">
        <v>161700</v>
      </c>
      <c r="M269" s="28">
        <v>35</v>
      </c>
      <c r="N269" s="29">
        <v>134750</v>
      </c>
      <c r="O269" s="28"/>
      <c r="P269" s="32"/>
      <c r="Q269" s="28"/>
      <c r="R269" s="32"/>
      <c r="S269" s="28"/>
      <c r="T269" s="32"/>
      <c r="U269" s="28"/>
      <c r="V269" s="32"/>
      <c r="W269" s="32"/>
      <c r="X269" s="32"/>
      <c r="Y269" s="32"/>
      <c r="Z269" s="32"/>
      <c r="AA269" s="32"/>
      <c r="AB269" s="32"/>
      <c r="AC269" s="37">
        <f>E269+G269+I269+K269+M269+O269+Q269+S269+U269+W269+Y269+AA269</f>
        <v>144</v>
      </c>
      <c r="AD269" s="33">
        <f>F269+H269+J269+L269+N269+P269+R269+T269+V269+X269+Z269+AB269</f>
        <v>554400</v>
      </c>
    </row>
    <row r="270" spans="1:30" x14ac:dyDescent="0.35">
      <c r="A270" s="5">
        <v>144</v>
      </c>
      <c r="B270" s="10" t="str">
        <f>LEFT(D270,FIND("-",D270)-1)</f>
        <v>JEAP013</v>
      </c>
      <c r="C270" s="27" t="s">
        <v>469</v>
      </c>
      <c r="D270" s="6" t="s">
        <v>5</v>
      </c>
      <c r="E270" s="34">
        <v>18</v>
      </c>
      <c r="F270" s="35">
        <v>54450</v>
      </c>
      <c r="G270" s="30">
        <v>15</v>
      </c>
      <c r="H270" s="31">
        <v>45375</v>
      </c>
      <c r="I270" s="28">
        <v>35</v>
      </c>
      <c r="J270" s="29">
        <v>105875</v>
      </c>
      <c r="K270" s="28">
        <v>20</v>
      </c>
      <c r="L270" s="29">
        <v>60500</v>
      </c>
      <c r="M270" s="28">
        <v>32</v>
      </c>
      <c r="N270" s="29">
        <v>96800</v>
      </c>
      <c r="O270" s="28"/>
      <c r="P270" s="32"/>
      <c r="Q270" s="28"/>
      <c r="R270" s="32"/>
      <c r="S270" s="28"/>
      <c r="T270" s="32"/>
      <c r="U270" s="28"/>
      <c r="V270" s="32"/>
      <c r="W270" s="32"/>
      <c r="X270" s="32"/>
      <c r="Y270" s="32"/>
      <c r="Z270" s="32"/>
      <c r="AA270" s="32"/>
      <c r="AB270" s="32"/>
      <c r="AC270" s="37">
        <f>E270+G270+I270+K270+M270+O270+Q270+S270+U270+W270+Y270+AA270</f>
        <v>120</v>
      </c>
      <c r="AD270" s="33">
        <f>F270+H270+J270+L270+N270+P270+R270+T270+V270+X270+Z270+AB270</f>
        <v>363000</v>
      </c>
    </row>
    <row r="271" spans="1:30" x14ac:dyDescent="0.35">
      <c r="A271" s="5">
        <v>32</v>
      </c>
      <c r="B271" s="10" t="str">
        <f>LEFT(D271,FIND("-",D271)-1)</f>
        <v>JEIC301</v>
      </c>
      <c r="C271" s="27" t="s">
        <v>469</v>
      </c>
      <c r="D271" s="6" t="s">
        <v>177</v>
      </c>
      <c r="E271" s="34">
        <v>80</v>
      </c>
      <c r="F271" s="35">
        <v>88000</v>
      </c>
      <c r="G271" s="30">
        <v>105</v>
      </c>
      <c r="H271" s="31">
        <v>115500</v>
      </c>
      <c r="I271" s="28">
        <v>140</v>
      </c>
      <c r="J271" s="29">
        <v>154000</v>
      </c>
      <c r="K271" s="28">
        <v>100</v>
      </c>
      <c r="L271" s="29">
        <v>110000</v>
      </c>
      <c r="M271" s="28">
        <v>30</v>
      </c>
      <c r="N271" s="29">
        <v>33000</v>
      </c>
      <c r="O271" s="28"/>
      <c r="P271" s="32"/>
      <c r="Q271" s="28"/>
      <c r="R271" s="32"/>
      <c r="S271" s="28"/>
      <c r="T271" s="32"/>
      <c r="U271" s="28"/>
      <c r="V271" s="32"/>
      <c r="W271" s="32"/>
      <c r="X271" s="32"/>
      <c r="Y271" s="32"/>
      <c r="Z271" s="32"/>
      <c r="AA271" s="32"/>
      <c r="AB271" s="32"/>
      <c r="AC271" s="37">
        <f>E271+G271+I271+K271+M271+O271+Q271+S271+U271+W271+Y271+AA271</f>
        <v>455</v>
      </c>
      <c r="AD271" s="33">
        <f>F271+H271+J271+L271+N271+P271+R271+T271+V271+X271+Z271+AB271</f>
        <v>500500</v>
      </c>
    </row>
    <row r="272" spans="1:30" x14ac:dyDescent="0.35">
      <c r="A272" s="5">
        <v>71</v>
      </c>
      <c r="B272" s="10" t="str">
        <f>LEFT(D272,FIND("-",D272)-1)</f>
        <v>JEGG017</v>
      </c>
      <c r="C272" s="27" t="s">
        <v>469</v>
      </c>
      <c r="D272" s="6" t="s">
        <v>284</v>
      </c>
      <c r="E272" s="34"/>
      <c r="F272" s="35"/>
      <c r="G272" s="30">
        <v>160</v>
      </c>
      <c r="H272" s="31">
        <v>264000</v>
      </c>
      <c r="I272" s="28"/>
      <c r="J272" s="29"/>
      <c r="K272" s="28">
        <v>71</v>
      </c>
      <c r="L272" s="29">
        <v>117150</v>
      </c>
      <c r="M272" s="28">
        <v>30</v>
      </c>
      <c r="N272" s="29">
        <v>49500</v>
      </c>
      <c r="O272" s="28"/>
      <c r="P272" s="32"/>
      <c r="Q272" s="28"/>
      <c r="R272" s="32"/>
      <c r="S272" s="28"/>
      <c r="T272" s="32"/>
      <c r="U272" s="28"/>
      <c r="V272" s="32"/>
      <c r="W272" s="32"/>
      <c r="X272" s="32"/>
      <c r="Y272" s="32"/>
      <c r="Z272" s="32"/>
      <c r="AA272" s="32"/>
      <c r="AB272" s="32"/>
      <c r="AC272" s="37">
        <f>E272+G272+I272+K272+M272+O272+Q272+S272+U272+W272+Y272+AA272</f>
        <v>261</v>
      </c>
      <c r="AD272" s="33">
        <f>F272+H272+J272+L272+N272+P272+R272+T272+V272+X272+Z272+AB272</f>
        <v>430650</v>
      </c>
    </row>
    <row r="273" spans="1:30" x14ac:dyDescent="0.35">
      <c r="A273" s="5">
        <v>102</v>
      </c>
      <c r="B273" s="10" t="str">
        <f>LEFT(D273,FIND("-",D273)-1)</f>
        <v>JEGP004</v>
      </c>
      <c r="C273" s="27" t="s">
        <v>469</v>
      </c>
      <c r="D273" s="6" t="s">
        <v>113</v>
      </c>
      <c r="E273" s="34">
        <v>20</v>
      </c>
      <c r="F273" s="35">
        <v>77000</v>
      </c>
      <c r="G273" s="30">
        <v>10</v>
      </c>
      <c r="H273" s="31">
        <v>38500</v>
      </c>
      <c r="I273" s="28">
        <v>70</v>
      </c>
      <c r="J273" s="29">
        <v>269500</v>
      </c>
      <c r="K273" s="28">
        <v>62</v>
      </c>
      <c r="L273" s="29">
        <v>238700</v>
      </c>
      <c r="M273" s="28">
        <v>30</v>
      </c>
      <c r="N273" s="29">
        <v>115500</v>
      </c>
      <c r="O273" s="28"/>
      <c r="P273" s="32"/>
      <c r="Q273" s="28"/>
      <c r="R273" s="32"/>
      <c r="S273" s="28"/>
      <c r="T273" s="32"/>
      <c r="U273" s="28"/>
      <c r="V273" s="32"/>
      <c r="W273" s="32"/>
      <c r="X273" s="32"/>
      <c r="Y273" s="32"/>
      <c r="Z273" s="32"/>
      <c r="AA273" s="32"/>
      <c r="AB273" s="32"/>
      <c r="AC273" s="36">
        <f>E273+G273+I273+K273+M273+O273+Q273+S273+U273+W273+Y273+AA273</f>
        <v>192</v>
      </c>
      <c r="AD273" s="33">
        <f>F273+H273+J273+L273+N273+P273+R273+T273+V273+X273+Z273+AB273</f>
        <v>739200</v>
      </c>
    </row>
    <row r="274" spans="1:30" x14ac:dyDescent="0.35">
      <c r="A274" s="5">
        <v>137</v>
      </c>
      <c r="B274" s="10" t="str">
        <f>LEFT(D274,FIND("-",D274)-1)</f>
        <v>JEPA301</v>
      </c>
      <c r="C274" s="27" t="s">
        <v>469</v>
      </c>
      <c r="D274" s="6" t="s">
        <v>199</v>
      </c>
      <c r="E274" s="34">
        <v>12</v>
      </c>
      <c r="F274" s="35">
        <v>26400</v>
      </c>
      <c r="G274" s="30"/>
      <c r="H274" s="31"/>
      <c r="I274" s="28">
        <v>60</v>
      </c>
      <c r="J274" s="29">
        <v>132000</v>
      </c>
      <c r="K274" s="28">
        <v>50</v>
      </c>
      <c r="L274" s="29">
        <v>110000</v>
      </c>
      <c r="M274" s="28">
        <v>30</v>
      </c>
      <c r="N274" s="29">
        <v>66000</v>
      </c>
      <c r="O274" s="28"/>
      <c r="P274" s="32"/>
      <c r="Q274" s="28"/>
      <c r="R274" s="32"/>
      <c r="S274" s="28"/>
      <c r="T274" s="32"/>
      <c r="U274" s="28"/>
      <c r="V274" s="32"/>
      <c r="W274" s="32"/>
      <c r="X274" s="32"/>
      <c r="Y274" s="32"/>
      <c r="Z274" s="32"/>
      <c r="AA274" s="32"/>
      <c r="AB274" s="32"/>
      <c r="AC274" s="36">
        <f>E274+G274+I274+K274+M274+O274+Q274+S274+U274+W274+Y274+AA274</f>
        <v>152</v>
      </c>
      <c r="AD274" s="33">
        <f>F274+H274+J274+L274+N274+P274+R274+T274+V274+X274+Z274+AB274</f>
        <v>334400</v>
      </c>
    </row>
    <row r="275" spans="1:30" x14ac:dyDescent="0.35">
      <c r="A275" s="5">
        <v>33</v>
      </c>
      <c r="B275" s="10" t="str">
        <f>LEFT(D275,FIND("-",D275)-1)</f>
        <v>JEAT016</v>
      </c>
      <c r="C275" s="27" t="s">
        <v>469</v>
      </c>
      <c r="D275" s="6" t="s">
        <v>37</v>
      </c>
      <c r="E275" s="34">
        <v>104</v>
      </c>
      <c r="F275" s="35">
        <v>400400</v>
      </c>
      <c r="G275" s="30">
        <v>190</v>
      </c>
      <c r="H275" s="31">
        <v>731500</v>
      </c>
      <c r="I275" s="28">
        <v>30</v>
      </c>
      <c r="J275" s="29">
        <v>115500</v>
      </c>
      <c r="K275" s="28">
        <v>30</v>
      </c>
      <c r="L275" s="29">
        <v>115500</v>
      </c>
      <c r="M275" s="28">
        <v>30</v>
      </c>
      <c r="N275" s="29">
        <v>115500</v>
      </c>
      <c r="O275" s="28"/>
      <c r="P275" s="32"/>
      <c r="Q275" s="28"/>
      <c r="R275" s="32"/>
      <c r="S275" s="28"/>
      <c r="T275" s="32"/>
      <c r="U275" s="28"/>
      <c r="V275" s="32"/>
      <c r="W275" s="32"/>
      <c r="X275" s="32"/>
      <c r="Y275" s="32"/>
      <c r="Z275" s="32"/>
      <c r="AA275" s="32"/>
      <c r="AB275" s="32"/>
      <c r="AC275" s="36">
        <f>E275+G275+I275+K275+M275+O275+Q275+S275+U275+W275+Y275+AA275</f>
        <v>384</v>
      </c>
      <c r="AD275" s="33">
        <f>F275+H275+J275+L275+N275+P275+R275+T275+V275+X275+Z275+AB275</f>
        <v>1478400</v>
      </c>
    </row>
    <row r="276" spans="1:30" x14ac:dyDescent="0.35">
      <c r="A276" s="5">
        <v>212</v>
      </c>
      <c r="B276" s="10" t="str">
        <f>LEFT(D276,FIND("-",D276)-1)</f>
        <v>JEPA201</v>
      </c>
      <c r="C276" s="27" t="s">
        <v>469</v>
      </c>
      <c r="D276" s="6" t="s">
        <v>196</v>
      </c>
      <c r="E276" s="34">
        <v>15</v>
      </c>
      <c r="F276" s="35">
        <v>33000</v>
      </c>
      <c r="G276" s="30"/>
      <c r="H276" s="31"/>
      <c r="I276" s="28">
        <v>10</v>
      </c>
      <c r="J276" s="29">
        <v>22000</v>
      </c>
      <c r="K276" s="28">
        <v>15</v>
      </c>
      <c r="L276" s="29">
        <v>33000</v>
      </c>
      <c r="M276" s="28">
        <v>30</v>
      </c>
      <c r="N276" s="29">
        <v>66000</v>
      </c>
      <c r="O276" s="28"/>
      <c r="P276" s="32"/>
      <c r="Q276" s="28"/>
      <c r="R276" s="32"/>
      <c r="S276" s="28"/>
      <c r="T276" s="32"/>
      <c r="U276" s="28"/>
      <c r="V276" s="32"/>
      <c r="W276" s="32"/>
      <c r="X276" s="32"/>
      <c r="Y276" s="32"/>
      <c r="Z276" s="32"/>
      <c r="AA276" s="32"/>
      <c r="AB276" s="32"/>
      <c r="AC276" s="36">
        <f>E276+G276+I276+K276+M276+O276+Q276+S276+U276+W276+Y276+AA276</f>
        <v>70</v>
      </c>
      <c r="AD276" s="33">
        <f>F276+H276+J276+L276+N276+P276+R276+T276+V276+X276+Z276+AB276</f>
        <v>154000</v>
      </c>
    </row>
    <row r="277" spans="1:30" x14ac:dyDescent="0.35">
      <c r="A277" s="5">
        <v>172</v>
      </c>
      <c r="B277" s="10" t="str">
        <f>LEFT(D277,FIND("-",D277)-1)</f>
        <v>JEAP024</v>
      </c>
      <c r="C277" s="27" t="s">
        <v>469</v>
      </c>
      <c r="D277" s="6" t="s">
        <v>9</v>
      </c>
      <c r="E277" s="34">
        <v>8</v>
      </c>
      <c r="F277" s="35">
        <v>24200</v>
      </c>
      <c r="G277" s="30">
        <v>5</v>
      </c>
      <c r="H277" s="31">
        <v>15125</v>
      </c>
      <c r="I277" s="28">
        <v>25</v>
      </c>
      <c r="J277" s="29">
        <v>75625</v>
      </c>
      <c r="K277" s="28">
        <v>10</v>
      </c>
      <c r="L277" s="29">
        <v>30250</v>
      </c>
      <c r="M277" s="28">
        <v>30</v>
      </c>
      <c r="N277" s="29">
        <v>90750</v>
      </c>
      <c r="O277" s="28"/>
      <c r="P277" s="32"/>
      <c r="Q277" s="28"/>
      <c r="R277" s="32"/>
      <c r="S277" s="28"/>
      <c r="T277" s="32"/>
      <c r="U277" s="28"/>
      <c r="V277" s="32"/>
      <c r="W277" s="32"/>
      <c r="X277" s="32"/>
      <c r="Y277" s="32"/>
      <c r="Z277" s="32"/>
      <c r="AA277" s="32"/>
      <c r="AB277" s="32"/>
      <c r="AC277" s="36">
        <f>E277+G277+I277+K277+M277+O277+Q277+S277+U277+W277+Y277+AA277</f>
        <v>78</v>
      </c>
      <c r="AD277" s="33">
        <f>F277+H277+J277+L277+N277+P277+R277+T277+V277+X277+Z277+AB277</f>
        <v>235950</v>
      </c>
    </row>
    <row r="278" spans="1:30" x14ac:dyDescent="0.35">
      <c r="A278" s="5">
        <v>30</v>
      </c>
      <c r="B278" s="10" t="str">
        <f>LEFT(D278,FIND("-",D278)-1)</f>
        <v>JEGH022</v>
      </c>
      <c r="C278" s="27" t="s">
        <v>469</v>
      </c>
      <c r="D278" s="6" t="s">
        <v>111</v>
      </c>
      <c r="E278" s="34">
        <v>19</v>
      </c>
      <c r="F278" s="35">
        <v>31350</v>
      </c>
      <c r="G278" s="30">
        <v>315</v>
      </c>
      <c r="H278" s="31">
        <v>519750</v>
      </c>
      <c r="I278" s="28"/>
      <c r="J278" s="29"/>
      <c r="K278" s="28"/>
      <c r="L278" s="29"/>
      <c r="M278" s="28">
        <v>30</v>
      </c>
      <c r="N278" s="29">
        <v>49500</v>
      </c>
      <c r="O278" s="28"/>
      <c r="P278" s="32"/>
      <c r="Q278" s="28"/>
      <c r="R278" s="32"/>
      <c r="S278" s="28"/>
      <c r="T278" s="32"/>
      <c r="U278" s="28"/>
      <c r="V278" s="32"/>
      <c r="W278" s="32"/>
      <c r="X278" s="32"/>
      <c r="Y278" s="32"/>
      <c r="Z278" s="32"/>
      <c r="AA278" s="32"/>
      <c r="AB278" s="32"/>
      <c r="AC278" s="36">
        <f>E278+G278+I278+K278+M278+O278+Q278+S278+U278+W278+Y278+AA278</f>
        <v>364</v>
      </c>
      <c r="AD278" s="33">
        <f>F278+H278+J278+L278+N278+P278+R278+T278+V278+X278+Z278+AB278</f>
        <v>600600</v>
      </c>
    </row>
    <row r="279" spans="1:30" x14ac:dyDescent="0.35">
      <c r="A279" s="5">
        <v>100</v>
      </c>
      <c r="B279" s="10" t="str">
        <f>LEFT(D279,FIND("-",D279)-1)</f>
        <v>JEAM013</v>
      </c>
      <c r="C279" s="27" t="s">
        <v>469</v>
      </c>
      <c r="D279" s="6" t="s">
        <v>259</v>
      </c>
      <c r="E279" s="34"/>
      <c r="F279" s="35"/>
      <c r="G279" s="30">
        <v>102</v>
      </c>
      <c r="H279" s="31">
        <v>392700</v>
      </c>
      <c r="I279" s="28"/>
      <c r="J279" s="29"/>
      <c r="K279" s="28"/>
      <c r="L279" s="29"/>
      <c r="M279" s="28">
        <v>30</v>
      </c>
      <c r="N279" s="29">
        <v>115500</v>
      </c>
      <c r="O279" s="28"/>
      <c r="P279" s="32"/>
      <c r="Q279" s="28"/>
      <c r="R279" s="32"/>
      <c r="S279" s="28"/>
      <c r="T279" s="32"/>
      <c r="U279" s="28"/>
      <c r="V279" s="32"/>
      <c r="W279" s="32"/>
      <c r="X279" s="32"/>
      <c r="Y279" s="32"/>
      <c r="Z279" s="32"/>
      <c r="AA279" s="32"/>
      <c r="AB279" s="32"/>
      <c r="AC279" s="36">
        <f>E279+G279+I279+K279+M279+O279+Q279+S279+U279+W279+Y279+AA279</f>
        <v>132</v>
      </c>
      <c r="AD279" s="33">
        <f>F279+H279+J279+L279+N279+P279+R279+T279+V279+X279+Z279+AB279</f>
        <v>508200</v>
      </c>
    </row>
    <row r="280" spans="1:30" x14ac:dyDescent="0.35">
      <c r="A280" s="5">
        <v>256</v>
      </c>
      <c r="B280" s="10" t="str">
        <f>LEFT(D280,FIND("-",D280)-1)</f>
        <v>JEAT021</v>
      </c>
      <c r="C280" s="27" t="s">
        <v>469</v>
      </c>
      <c r="D280" s="6" t="s">
        <v>159</v>
      </c>
      <c r="E280" s="34">
        <v>10</v>
      </c>
      <c r="F280" s="35">
        <v>38500</v>
      </c>
      <c r="G280" s="30">
        <v>5</v>
      </c>
      <c r="H280" s="31">
        <v>19250</v>
      </c>
      <c r="I280" s="28"/>
      <c r="J280" s="29"/>
      <c r="K280" s="28">
        <v>20</v>
      </c>
      <c r="L280" s="29">
        <v>77000</v>
      </c>
      <c r="M280" s="28">
        <v>28</v>
      </c>
      <c r="N280" s="29">
        <v>107800</v>
      </c>
      <c r="O280" s="28"/>
      <c r="P280" s="32"/>
      <c r="Q280" s="28"/>
      <c r="R280" s="32"/>
      <c r="S280" s="28"/>
      <c r="T280" s="32"/>
      <c r="U280" s="28"/>
      <c r="V280" s="32"/>
      <c r="W280" s="32"/>
      <c r="X280" s="32"/>
      <c r="Y280" s="32"/>
      <c r="Z280" s="32"/>
      <c r="AA280" s="32"/>
      <c r="AB280" s="32"/>
      <c r="AC280" s="36">
        <f>E280+G280+I280+K280+M280+O280+Q280+S280+U280+W280+Y280+AA280</f>
        <v>63</v>
      </c>
      <c r="AD280" s="33">
        <f>F280+H280+J280+L280+N280+P280+R280+T280+V280+X280+Z280+AB280</f>
        <v>242550</v>
      </c>
    </row>
    <row r="281" spans="1:30" x14ac:dyDescent="0.35">
      <c r="A281" s="5">
        <v>165</v>
      </c>
      <c r="B281" s="10" t="str">
        <f>LEFT(D281,FIND("-",D281)-1)</f>
        <v>JEGG005</v>
      </c>
      <c r="C281" s="27" t="s">
        <v>469</v>
      </c>
      <c r="D281" s="6" t="s">
        <v>117</v>
      </c>
      <c r="E281" s="34">
        <v>25</v>
      </c>
      <c r="F281" s="35">
        <v>41250</v>
      </c>
      <c r="G281" s="30"/>
      <c r="H281" s="31"/>
      <c r="I281" s="28">
        <v>21</v>
      </c>
      <c r="J281" s="29">
        <v>34650</v>
      </c>
      <c r="K281" s="28"/>
      <c r="L281" s="29"/>
      <c r="M281" s="28">
        <v>25</v>
      </c>
      <c r="N281" s="29">
        <v>41250</v>
      </c>
      <c r="O281" s="28"/>
      <c r="P281" s="32"/>
      <c r="Q281" s="28"/>
      <c r="R281" s="32"/>
      <c r="S281" s="28"/>
      <c r="T281" s="32"/>
      <c r="U281" s="28"/>
      <c r="V281" s="32"/>
      <c r="W281" s="32"/>
      <c r="X281" s="32"/>
      <c r="Y281" s="32"/>
      <c r="Z281" s="32"/>
      <c r="AA281" s="32"/>
      <c r="AB281" s="32"/>
      <c r="AC281" s="36">
        <f>E281+G281+I281+K281+M281+O281+Q281+S281+U281+W281+Y281+AA281</f>
        <v>71</v>
      </c>
      <c r="AD281" s="33">
        <f>F281+H281+J281+L281+N281+P281+R281+T281+V281+X281+Z281+AB281</f>
        <v>117150</v>
      </c>
    </row>
    <row r="282" spans="1:30" x14ac:dyDescent="0.35">
      <c r="A282" s="5">
        <v>138</v>
      </c>
      <c r="B282" s="10" t="str">
        <f>LEFT(D282,FIND("-",D282)-1)</f>
        <v>JELT014</v>
      </c>
      <c r="C282" s="27" t="s">
        <v>469</v>
      </c>
      <c r="D282" s="6" t="s">
        <v>21</v>
      </c>
      <c r="E282" s="34">
        <v>3</v>
      </c>
      <c r="F282" s="35">
        <v>8250</v>
      </c>
      <c r="G282" s="30">
        <v>33</v>
      </c>
      <c r="H282" s="31">
        <v>90750</v>
      </c>
      <c r="I282" s="28">
        <v>35</v>
      </c>
      <c r="J282" s="29">
        <v>96250</v>
      </c>
      <c r="K282" s="28"/>
      <c r="L282" s="29"/>
      <c r="M282" s="28">
        <v>23</v>
      </c>
      <c r="N282" s="29">
        <v>63250</v>
      </c>
      <c r="O282" s="28"/>
      <c r="P282" s="32"/>
      <c r="Q282" s="28"/>
      <c r="R282" s="32"/>
      <c r="S282" s="28"/>
      <c r="T282" s="32"/>
      <c r="U282" s="28"/>
      <c r="V282" s="32"/>
      <c r="W282" s="32"/>
      <c r="X282" s="32"/>
      <c r="Y282" s="32"/>
      <c r="Z282" s="32"/>
      <c r="AA282" s="32"/>
      <c r="AB282" s="32"/>
      <c r="AC282" s="37">
        <f>E282+G282+I282+K282+M282+O282+Q282+S282+U282+W282+Y282+AA282</f>
        <v>94</v>
      </c>
      <c r="AD282" s="33">
        <f>F282+H282+J282+L282+N282+P282+R282+T282+V282+X282+Z282+AB282</f>
        <v>258500</v>
      </c>
    </row>
    <row r="283" spans="1:30" x14ac:dyDescent="0.35">
      <c r="A283" s="5">
        <v>215</v>
      </c>
      <c r="B283" s="10" t="str">
        <f>LEFT(D283,FIND("-",D283)-1)</f>
        <v>JVAG</v>
      </c>
      <c r="C283" s="27" t="s">
        <v>469</v>
      </c>
      <c r="D283" s="6" t="s">
        <v>341</v>
      </c>
      <c r="E283" s="34"/>
      <c r="F283" s="35"/>
      <c r="G283" s="30">
        <v>12</v>
      </c>
      <c r="H283" s="31">
        <v>102300</v>
      </c>
      <c r="I283" s="28">
        <v>13</v>
      </c>
      <c r="J283" s="29">
        <v>110825</v>
      </c>
      <c r="K283" s="28">
        <v>10</v>
      </c>
      <c r="L283" s="29">
        <v>85250</v>
      </c>
      <c r="M283" s="28">
        <v>22</v>
      </c>
      <c r="N283" s="29">
        <v>187550</v>
      </c>
      <c r="O283" s="28"/>
      <c r="P283" s="32"/>
      <c r="Q283" s="28"/>
      <c r="R283" s="32"/>
      <c r="S283" s="28"/>
      <c r="T283" s="32"/>
      <c r="U283" s="28"/>
      <c r="V283" s="32"/>
      <c r="W283" s="32"/>
      <c r="X283" s="32"/>
      <c r="Y283" s="32"/>
      <c r="Z283" s="32"/>
      <c r="AA283" s="32"/>
      <c r="AB283" s="32"/>
      <c r="AC283" s="37">
        <f>E283+G283+I283+K283+M283+O283+Q283+S283+U283+W283+Y283+AA283</f>
        <v>57</v>
      </c>
      <c r="AD283" s="33">
        <f>F283+H283+J283+L283+N283+P283+R283+T283+V283+X283+Z283+AB283</f>
        <v>485925</v>
      </c>
    </row>
    <row r="284" spans="1:30" x14ac:dyDescent="0.35">
      <c r="A284" s="5">
        <v>268</v>
      </c>
      <c r="B284" s="10" t="str">
        <f>LEFT(D284,FIND("-",D284)-1)</f>
        <v>JEJC003</v>
      </c>
      <c r="C284" s="27" t="s">
        <v>469</v>
      </c>
      <c r="D284" s="6" t="s">
        <v>182</v>
      </c>
      <c r="E284" s="34">
        <v>10</v>
      </c>
      <c r="F284" s="35">
        <v>23100</v>
      </c>
      <c r="G284" s="30">
        <v>3</v>
      </c>
      <c r="H284" s="31">
        <v>6930</v>
      </c>
      <c r="I284" s="28"/>
      <c r="J284" s="29"/>
      <c r="K284" s="28">
        <v>15</v>
      </c>
      <c r="L284" s="29">
        <v>34650</v>
      </c>
      <c r="M284" s="28">
        <v>21</v>
      </c>
      <c r="N284" s="29">
        <v>48510</v>
      </c>
      <c r="O284" s="28"/>
      <c r="P284" s="32"/>
      <c r="Q284" s="28"/>
      <c r="R284" s="32"/>
      <c r="S284" s="28"/>
      <c r="T284" s="32"/>
      <c r="U284" s="28"/>
      <c r="V284" s="32"/>
      <c r="W284" s="32"/>
      <c r="X284" s="32"/>
      <c r="Y284" s="32"/>
      <c r="Z284" s="32"/>
      <c r="AA284" s="32"/>
      <c r="AB284" s="32"/>
      <c r="AC284" s="37">
        <f>E284+G284+I284+K284+M284+O284+Q284+S284+U284+W284+Y284+AA284</f>
        <v>49</v>
      </c>
      <c r="AD284" s="33">
        <f>F284+H284+J284+L284+N284+P284+R284+T284+V284+X284+Z284+AB284</f>
        <v>113190</v>
      </c>
    </row>
    <row r="285" spans="1:30" x14ac:dyDescent="0.35">
      <c r="A285" s="5">
        <v>227</v>
      </c>
      <c r="B285" s="10" t="str">
        <f>LEFT(D285,FIND("-",D285)-1)</f>
        <v>JLRB</v>
      </c>
      <c r="C285" s="27" t="s">
        <v>469</v>
      </c>
      <c r="D285" s="6" t="s">
        <v>325</v>
      </c>
      <c r="E285" s="34"/>
      <c r="F285" s="35"/>
      <c r="G285" s="30">
        <v>17</v>
      </c>
      <c r="H285" s="31">
        <v>280500</v>
      </c>
      <c r="I285" s="28">
        <v>5</v>
      </c>
      <c r="J285" s="29">
        <v>82500</v>
      </c>
      <c r="K285" s="28">
        <v>12</v>
      </c>
      <c r="L285" s="29">
        <v>198000</v>
      </c>
      <c r="M285" s="28">
        <v>21</v>
      </c>
      <c r="N285" s="29">
        <v>346500</v>
      </c>
      <c r="O285" s="28"/>
      <c r="P285" s="32"/>
      <c r="Q285" s="28"/>
      <c r="R285" s="32"/>
      <c r="S285" s="28"/>
      <c r="T285" s="32"/>
      <c r="U285" s="28"/>
      <c r="V285" s="32"/>
      <c r="W285" s="32"/>
      <c r="X285" s="32"/>
      <c r="Y285" s="32"/>
      <c r="Z285" s="32"/>
      <c r="AA285" s="32"/>
      <c r="AB285" s="32"/>
      <c r="AC285" s="37">
        <f>E285+G285+I285+K285+M285+O285+Q285+S285+U285+W285+Y285+AA285</f>
        <v>55</v>
      </c>
      <c r="AD285" s="33">
        <f>F285+H285+J285+L285+N285+P285+R285+T285+V285+X285+Z285+AB285</f>
        <v>907500</v>
      </c>
    </row>
    <row r="286" spans="1:30" x14ac:dyDescent="0.35">
      <c r="A286" s="5">
        <v>78</v>
      </c>
      <c r="B286" s="10" t="str">
        <f>LEFT(D286,FIND("-",D286)-1)</f>
        <v>JEYX</v>
      </c>
      <c r="C286" s="27" t="s">
        <v>469</v>
      </c>
      <c r="D286" s="6" t="s">
        <v>204</v>
      </c>
      <c r="E286" s="34">
        <v>3</v>
      </c>
      <c r="F286" s="35">
        <v>990</v>
      </c>
      <c r="G286" s="30">
        <v>20</v>
      </c>
      <c r="H286" s="31">
        <v>6600</v>
      </c>
      <c r="I286" s="28">
        <v>120</v>
      </c>
      <c r="J286" s="29">
        <v>39600</v>
      </c>
      <c r="K286" s="28">
        <v>139</v>
      </c>
      <c r="L286" s="29">
        <v>45870</v>
      </c>
      <c r="M286" s="28">
        <v>20</v>
      </c>
      <c r="N286" s="29">
        <v>6600</v>
      </c>
      <c r="O286" s="28"/>
      <c r="P286" s="32"/>
      <c r="Q286" s="28"/>
      <c r="R286" s="32"/>
      <c r="S286" s="28"/>
      <c r="T286" s="32"/>
      <c r="U286" s="28"/>
      <c r="V286" s="32"/>
      <c r="W286" s="32"/>
      <c r="X286" s="32"/>
      <c r="Y286" s="32"/>
      <c r="Z286" s="32"/>
      <c r="AA286" s="32"/>
      <c r="AB286" s="32"/>
      <c r="AC286" s="37">
        <f>E286+G286+I286+K286+M286+O286+Q286+S286+U286+W286+Y286+AA286</f>
        <v>302</v>
      </c>
      <c r="AD286" s="33">
        <f>F286+H286+J286+L286+N286+P286+R286+T286+V286+X286+Z286+AB286</f>
        <v>99660</v>
      </c>
    </row>
    <row r="287" spans="1:30" x14ac:dyDescent="0.35">
      <c r="A287" s="5">
        <v>47</v>
      </c>
      <c r="B287" s="10" t="str">
        <f>LEFT(D287,FIND("-",D287)-1)</f>
        <v>JEIC302</v>
      </c>
      <c r="C287" s="27" t="s">
        <v>469</v>
      </c>
      <c r="D287" s="6" t="s">
        <v>62</v>
      </c>
      <c r="E287" s="34">
        <v>140</v>
      </c>
      <c r="F287" s="35">
        <v>154000</v>
      </c>
      <c r="G287" s="30">
        <v>70</v>
      </c>
      <c r="H287" s="31">
        <v>77000</v>
      </c>
      <c r="I287" s="28">
        <v>30</v>
      </c>
      <c r="J287" s="29">
        <v>33000</v>
      </c>
      <c r="K287" s="28">
        <v>40</v>
      </c>
      <c r="L287" s="29">
        <v>44000</v>
      </c>
      <c r="M287" s="28">
        <v>20</v>
      </c>
      <c r="N287" s="29">
        <v>22000</v>
      </c>
      <c r="O287" s="28"/>
      <c r="P287" s="32"/>
      <c r="Q287" s="28"/>
      <c r="R287" s="32"/>
      <c r="S287" s="28"/>
      <c r="T287" s="32"/>
      <c r="U287" s="28"/>
      <c r="V287" s="32"/>
      <c r="W287" s="32"/>
      <c r="X287" s="32"/>
      <c r="Y287" s="32"/>
      <c r="Z287" s="32"/>
      <c r="AA287" s="32"/>
      <c r="AB287" s="32"/>
      <c r="AC287" s="36">
        <f>E287+G287+I287+K287+M287+O287+Q287+S287+U287+W287+Y287+AA287</f>
        <v>300</v>
      </c>
      <c r="AD287" s="33">
        <f>F287+H287+J287+L287+N287+P287+R287+T287+V287+X287+Z287+AB287</f>
        <v>330000</v>
      </c>
    </row>
    <row r="288" spans="1:30" x14ac:dyDescent="0.35">
      <c r="A288" s="5">
        <v>97</v>
      </c>
      <c r="B288" s="10" t="str">
        <f>LEFT(D288,FIND("-",D288)-1)</f>
        <v>JEIC002</v>
      </c>
      <c r="C288" s="27" t="s">
        <v>469</v>
      </c>
      <c r="D288" s="6" t="s">
        <v>61</v>
      </c>
      <c r="E288" s="34">
        <v>41</v>
      </c>
      <c r="F288" s="35">
        <v>45100</v>
      </c>
      <c r="G288" s="30">
        <v>52</v>
      </c>
      <c r="H288" s="31">
        <v>57200</v>
      </c>
      <c r="I288" s="28">
        <v>10</v>
      </c>
      <c r="J288" s="29">
        <v>11000</v>
      </c>
      <c r="K288" s="28">
        <v>32</v>
      </c>
      <c r="L288" s="29">
        <v>35200</v>
      </c>
      <c r="M288" s="28">
        <v>20</v>
      </c>
      <c r="N288" s="29">
        <v>22000</v>
      </c>
      <c r="O288" s="28"/>
      <c r="P288" s="32"/>
      <c r="Q288" s="28"/>
      <c r="R288" s="32"/>
      <c r="S288" s="28"/>
      <c r="T288" s="32"/>
      <c r="U288" s="28"/>
      <c r="V288" s="32"/>
      <c r="W288" s="32"/>
      <c r="X288" s="32"/>
      <c r="Y288" s="32"/>
      <c r="Z288" s="32"/>
      <c r="AA288" s="32"/>
      <c r="AB288" s="32"/>
      <c r="AC288" s="36">
        <f>E288+G288+I288+K288+M288+O288+Q288+S288+U288+W288+Y288+AA288</f>
        <v>155</v>
      </c>
      <c r="AD288" s="33">
        <f>F288+H288+J288+L288+N288+P288+R288+T288+V288+X288+Z288+AB288</f>
        <v>170500</v>
      </c>
    </row>
    <row r="289" spans="1:30" x14ac:dyDescent="0.35">
      <c r="A289" s="5">
        <v>260</v>
      </c>
      <c r="B289" s="10" t="str">
        <f>LEFT(D289,FIND("-",D289)-1)</f>
        <v>JEPA202</v>
      </c>
      <c r="C289" s="27" t="s">
        <v>469</v>
      </c>
      <c r="D289" s="6" t="s">
        <v>197</v>
      </c>
      <c r="E289" s="34">
        <v>15</v>
      </c>
      <c r="F289" s="35">
        <v>33000</v>
      </c>
      <c r="G289" s="30"/>
      <c r="H289" s="31"/>
      <c r="I289" s="28"/>
      <c r="J289" s="29"/>
      <c r="K289" s="28">
        <v>15</v>
      </c>
      <c r="L289" s="29">
        <v>33000</v>
      </c>
      <c r="M289" s="28">
        <v>20</v>
      </c>
      <c r="N289" s="29">
        <v>44000</v>
      </c>
      <c r="O289" s="28"/>
      <c r="P289" s="32"/>
      <c r="Q289" s="28"/>
      <c r="R289" s="32"/>
      <c r="S289" s="28"/>
      <c r="T289" s="32"/>
      <c r="U289" s="28"/>
      <c r="V289" s="32"/>
      <c r="W289" s="32"/>
      <c r="X289" s="32"/>
      <c r="Y289" s="32"/>
      <c r="Z289" s="32"/>
      <c r="AA289" s="32"/>
      <c r="AB289" s="32"/>
      <c r="AC289" s="36">
        <f>E289+G289+I289+K289+M289+O289+Q289+S289+U289+W289+Y289+AA289</f>
        <v>50</v>
      </c>
      <c r="AD289" s="33">
        <f>F289+H289+J289+L289+N289+P289+R289+T289+V289+X289+Z289+AB289</f>
        <v>110000</v>
      </c>
    </row>
    <row r="290" spans="1:30" x14ac:dyDescent="0.35">
      <c r="A290" s="5">
        <v>121</v>
      </c>
      <c r="B290" s="10" t="str">
        <f>LEFT(D290,FIND("-",D290)-1)</f>
        <v>JEGG001</v>
      </c>
      <c r="C290" s="27" t="s">
        <v>469</v>
      </c>
      <c r="D290" s="6" t="s">
        <v>116</v>
      </c>
      <c r="E290" s="34">
        <v>35</v>
      </c>
      <c r="F290" s="35">
        <v>57750</v>
      </c>
      <c r="G290" s="30">
        <v>51</v>
      </c>
      <c r="H290" s="31">
        <v>84150</v>
      </c>
      <c r="I290" s="28"/>
      <c r="J290" s="29"/>
      <c r="K290" s="28">
        <v>5</v>
      </c>
      <c r="L290" s="29">
        <v>8250</v>
      </c>
      <c r="M290" s="28">
        <v>20</v>
      </c>
      <c r="N290" s="29">
        <v>33000</v>
      </c>
      <c r="O290" s="28"/>
      <c r="P290" s="32"/>
      <c r="Q290" s="28"/>
      <c r="R290" s="32"/>
      <c r="S290" s="28"/>
      <c r="T290" s="32"/>
      <c r="U290" s="28"/>
      <c r="V290" s="32"/>
      <c r="W290" s="32"/>
      <c r="X290" s="32"/>
      <c r="Y290" s="32"/>
      <c r="Z290" s="32"/>
      <c r="AA290" s="32"/>
      <c r="AB290" s="32"/>
      <c r="AC290" s="36">
        <f>E290+G290+I290+K290+M290+O290+Q290+S290+U290+W290+Y290+AA290</f>
        <v>111</v>
      </c>
      <c r="AD290" s="33">
        <f>F290+H290+J290+L290+N290+P290+R290+T290+V290+X290+Z290+AB290</f>
        <v>183150</v>
      </c>
    </row>
    <row r="291" spans="1:30" x14ac:dyDescent="0.35">
      <c r="A291" s="5">
        <v>90</v>
      </c>
      <c r="B291" s="10" t="str">
        <f>LEFT(D291,FIND("-",D291)-1)</f>
        <v>JEAI034</v>
      </c>
      <c r="C291" s="27" t="s">
        <v>469</v>
      </c>
      <c r="D291" s="6" t="s">
        <v>155</v>
      </c>
      <c r="E291" s="34">
        <v>16</v>
      </c>
      <c r="F291" s="35">
        <v>57200</v>
      </c>
      <c r="G291" s="30">
        <v>102</v>
      </c>
      <c r="H291" s="31">
        <v>364650</v>
      </c>
      <c r="I291" s="28"/>
      <c r="J291" s="29"/>
      <c r="K291" s="28">
        <v>2</v>
      </c>
      <c r="L291" s="29">
        <v>7150</v>
      </c>
      <c r="M291" s="28">
        <v>20</v>
      </c>
      <c r="N291" s="29">
        <v>71500</v>
      </c>
      <c r="O291" s="28"/>
      <c r="P291" s="32"/>
      <c r="Q291" s="28"/>
      <c r="R291" s="32"/>
      <c r="S291" s="28"/>
      <c r="T291" s="32"/>
      <c r="U291" s="28"/>
      <c r="V291" s="32"/>
      <c r="W291" s="32"/>
      <c r="X291" s="32"/>
      <c r="Y291" s="32"/>
      <c r="Z291" s="32"/>
      <c r="AA291" s="32"/>
      <c r="AB291" s="32"/>
      <c r="AC291" s="36">
        <f>E291+G291+I291+K291+M291+O291+Q291+S291+U291+W291+Y291+AA291</f>
        <v>140</v>
      </c>
      <c r="AD291" s="33">
        <f>F291+H291+J291+L291+N291+P291+R291+T291+V291+X291+Z291+AB291</f>
        <v>500500</v>
      </c>
    </row>
    <row r="292" spans="1:30" x14ac:dyDescent="0.35">
      <c r="A292" s="5">
        <v>252</v>
      </c>
      <c r="B292" s="10" t="str">
        <f>LEFT(D292,FIND("-",D292)-1)</f>
        <v>JELT012</v>
      </c>
      <c r="C292" s="27" t="s">
        <v>469</v>
      </c>
      <c r="D292" s="6" t="s">
        <v>306</v>
      </c>
      <c r="E292" s="34"/>
      <c r="F292" s="35"/>
      <c r="G292" s="30">
        <v>8</v>
      </c>
      <c r="H292" s="31">
        <v>22000</v>
      </c>
      <c r="I292" s="28">
        <v>8</v>
      </c>
      <c r="J292" s="29">
        <v>22000</v>
      </c>
      <c r="K292" s="28">
        <v>1</v>
      </c>
      <c r="L292" s="29">
        <v>2750</v>
      </c>
      <c r="M292" s="28">
        <v>20</v>
      </c>
      <c r="N292" s="29">
        <v>55000</v>
      </c>
      <c r="O292" s="28"/>
      <c r="P292" s="32"/>
      <c r="Q292" s="28"/>
      <c r="R292" s="32"/>
      <c r="S292" s="28"/>
      <c r="T292" s="32"/>
      <c r="U292" s="28"/>
      <c r="V292" s="32"/>
      <c r="W292" s="32"/>
      <c r="X292" s="32"/>
      <c r="Y292" s="32"/>
      <c r="Z292" s="32"/>
      <c r="AA292" s="32"/>
      <c r="AB292" s="32"/>
      <c r="AC292" s="36">
        <f>E292+G292+I292+K292+M292+O292+Q292+S292+U292+W292+Y292+AA292</f>
        <v>37</v>
      </c>
      <c r="AD292" s="33">
        <f>F292+H292+J292+L292+N292+P292+R292+T292+V292+X292+Z292+AB292</f>
        <v>101750</v>
      </c>
    </row>
    <row r="293" spans="1:30" x14ac:dyDescent="0.35">
      <c r="A293" s="5">
        <v>122</v>
      </c>
      <c r="B293" s="10" t="str">
        <f>LEFT(D293,FIND("-",D293)-1)</f>
        <v>JEGP005</v>
      </c>
      <c r="C293" s="27" t="s">
        <v>469</v>
      </c>
      <c r="D293" s="6" t="s">
        <v>291</v>
      </c>
      <c r="E293" s="34"/>
      <c r="F293" s="35"/>
      <c r="G293" s="30">
        <v>30</v>
      </c>
      <c r="H293" s="31">
        <v>115500</v>
      </c>
      <c r="I293" s="28">
        <v>54</v>
      </c>
      <c r="J293" s="29">
        <v>207900</v>
      </c>
      <c r="K293" s="28"/>
      <c r="L293" s="29"/>
      <c r="M293" s="28">
        <v>20</v>
      </c>
      <c r="N293" s="29">
        <v>77000</v>
      </c>
      <c r="O293" s="28"/>
      <c r="P293" s="32"/>
      <c r="Q293" s="28"/>
      <c r="R293" s="32"/>
      <c r="S293" s="28"/>
      <c r="T293" s="32"/>
      <c r="U293" s="28"/>
      <c r="V293" s="32"/>
      <c r="W293" s="32"/>
      <c r="X293" s="32"/>
      <c r="Y293" s="32"/>
      <c r="Z293" s="32"/>
      <c r="AA293" s="32"/>
      <c r="AB293" s="32"/>
      <c r="AC293" s="36">
        <f>E293+G293+I293+K293+M293+O293+Q293+S293+U293+W293+Y293+AA293</f>
        <v>104</v>
      </c>
      <c r="AD293" s="33">
        <f>F293+H293+J293+L293+N293+P293+R293+T293+V293+X293+Z293+AB293</f>
        <v>400400</v>
      </c>
    </row>
    <row r="294" spans="1:30" x14ac:dyDescent="0.35">
      <c r="A294" s="5">
        <v>80</v>
      </c>
      <c r="B294" s="10" t="str">
        <f>LEFT(D294,FIND("-",D294)-1)</f>
        <v>JEGP007</v>
      </c>
      <c r="C294" s="27" t="s">
        <v>469</v>
      </c>
      <c r="D294" s="6" t="s">
        <v>114</v>
      </c>
      <c r="E294" s="34">
        <v>14</v>
      </c>
      <c r="F294" s="35">
        <v>53900</v>
      </c>
      <c r="G294" s="30">
        <v>70</v>
      </c>
      <c r="H294" s="31">
        <v>269500</v>
      </c>
      <c r="I294" s="28">
        <v>49</v>
      </c>
      <c r="J294" s="29">
        <v>188650</v>
      </c>
      <c r="K294" s="28"/>
      <c r="L294" s="29"/>
      <c r="M294" s="28">
        <v>20</v>
      </c>
      <c r="N294" s="29">
        <v>77000</v>
      </c>
      <c r="O294" s="28"/>
      <c r="P294" s="32"/>
      <c r="Q294" s="28"/>
      <c r="R294" s="32"/>
      <c r="S294" s="28"/>
      <c r="T294" s="32"/>
      <c r="U294" s="28"/>
      <c r="V294" s="32"/>
      <c r="W294" s="32"/>
      <c r="X294" s="32"/>
      <c r="Y294" s="32"/>
      <c r="Z294" s="32"/>
      <c r="AA294" s="32"/>
      <c r="AB294" s="32"/>
      <c r="AC294" s="36">
        <f>E294+G294+I294+K294+M294+O294+Q294+S294+U294+W294+Y294+AA294</f>
        <v>153</v>
      </c>
      <c r="AD294" s="33">
        <f>F294+H294+J294+L294+N294+P294+R294+T294+V294+X294+Z294+AB294</f>
        <v>589050</v>
      </c>
    </row>
    <row r="295" spans="1:30" x14ac:dyDescent="0.35">
      <c r="A295" s="5">
        <v>91</v>
      </c>
      <c r="B295" s="10" t="str">
        <f>LEFT(D295,FIND("-",D295)-1)</f>
        <v>JEAT031</v>
      </c>
      <c r="C295" s="27" t="s">
        <v>469</v>
      </c>
      <c r="D295" s="6" t="s">
        <v>161</v>
      </c>
      <c r="E295" s="34">
        <v>54</v>
      </c>
      <c r="F295" s="35">
        <v>207900</v>
      </c>
      <c r="G295" s="30">
        <v>50</v>
      </c>
      <c r="H295" s="31">
        <v>192500</v>
      </c>
      <c r="I295" s="28">
        <v>10</v>
      </c>
      <c r="J295" s="29">
        <v>38500</v>
      </c>
      <c r="K295" s="28"/>
      <c r="L295" s="29"/>
      <c r="M295" s="28">
        <v>20</v>
      </c>
      <c r="N295" s="29">
        <v>77000</v>
      </c>
      <c r="O295" s="28"/>
      <c r="P295" s="32"/>
      <c r="Q295" s="28"/>
      <c r="R295" s="32"/>
      <c r="S295" s="28"/>
      <c r="T295" s="32"/>
      <c r="U295" s="28"/>
      <c r="V295" s="32"/>
      <c r="W295" s="32"/>
      <c r="X295" s="32"/>
      <c r="Y295" s="32"/>
      <c r="Z295" s="32"/>
      <c r="AA295" s="32"/>
      <c r="AB295" s="32"/>
      <c r="AC295" s="37">
        <f>E295+G295+I295+K295+M295+O295+Q295+S295+U295+W295+Y295+AA295</f>
        <v>134</v>
      </c>
      <c r="AD295" s="33">
        <f>F295+H295+J295+L295+N295+P295+R295+T295+V295+X295+Z295+AB295</f>
        <v>515900</v>
      </c>
    </row>
    <row r="296" spans="1:30" x14ac:dyDescent="0.35">
      <c r="A296" s="5">
        <v>231</v>
      </c>
      <c r="B296" s="10" t="str">
        <f>LEFT(D296,FIND("-",D296)-1)</f>
        <v>JEAK</v>
      </c>
      <c r="C296" s="27" t="s">
        <v>469</v>
      </c>
      <c r="D296" s="6" t="s">
        <v>3</v>
      </c>
      <c r="E296" s="34">
        <v>7</v>
      </c>
      <c r="F296" s="35">
        <v>15400</v>
      </c>
      <c r="G296" s="30">
        <v>3</v>
      </c>
      <c r="H296" s="31">
        <v>6600</v>
      </c>
      <c r="I296" s="28">
        <v>10</v>
      </c>
      <c r="J296" s="29">
        <v>22000</v>
      </c>
      <c r="K296" s="28"/>
      <c r="L296" s="29"/>
      <c r="M296" s="28">
        <v>20</v>
      </c>
      <c r="N296" s="29">
        <v>44000</v>
      </c>
      <c r="O296" s="28"/>
      <c r="P296" s="32"/>
      <c r="Q296" s="28"/>
      <c r="R296" s="32"/>
      <c r="S296" s="28"/>
      <c r="T296" s="32"/>
      <c r="U296" s="28"/>
      <c r="V296" s="32"/>
      <c r="W296" s="32"/>
      <c r="X296" s="32"/>
      <c r="Y296" s="32"/>
      <c r="Z296" s="32"/>
      <c r="AA296" s="32"/>
      <c r="AB296" s="32"/>
      <c r="AC296" s="37">
        <f>E296+G296+I296+K296+M296+O296+Q296+S296+U296+W296+Y296+AA296</f>
        <v>40</v>
      </c>
      <c r="AD296" s="33">
        <f>F296+H296+J296+L296+N296+P296+R296+T296+V296+X296+Z296+AB296</f>
        <v>88000</v>
      </c>
    </row>
    <row r="297" spans="1:30" x14ac:dyDescent="0.35">
      <c r="A297" s="5">
        <v>235</v>
      </c>
      <c r="B297" s="10" t="str">
        <f>LEFT(D297,FIND("-",D297)-1)</f>
        <v>JEIH401</v>
      </c>
      <c r="C297" s="27" t="s">
        <v>469</v>
      </c>
      <c r="D297" s="6" t="s">
        <v>299</v>
      </c>
      <c r="E297" s="34"/>
      <c r="F297" s="35"/>
      <c r="G297" s="30">
        <v>20</v>
      </c>
      <c r="H297" s="31">
        <v>22000</v>
      </c>
      <c r="I297" s="28"/>
      <c r="J297" s="29"/>
      <c r="K297" s="28">
        <v>20</v>
      </c>
      <c r="L297" s="29">
        <v>22000</v>
      </c>
      <c r="M297" s="28">
        <v>19</v>
      </c>
      <c r="N297" s="29">
        <v>20900</v>
      </c>
      <c r="O297" s="28"/>
      <c r="P297" s="32"/>
      <c r="Q297" s="28"/>
      <c r="R297" s="32"/>
      <c r="S297" s="28"/>
      <c r="T297" s="32"/>
      <c r="U297" s="28"/>
      <c r="V297" s="32"/>
      <c r="W297" s="32"/>
      <c r="X297" s="32"/>
      <c r="Y297" s="32"/>
      <c r="Z297" s="32"/>
      <c r="AA297" s="32"/>
      <c r="AB297" s="32"/>
      <c r="AC297" s="37">
        <f>E297+G297+I297+K297+M297+O297+Q297+S297+U297+W297+Y297+AA297</f>
        <v>59</v>
      </c>
      <c r="AD297" s="33">
        <f>F297+H297+J297+L297+N297+P297+R297+T297+V297+X297+Z297+AB297</f>
        <v>64900</v>
      </c>
    </row>
    <row r="298" spans="1:30" x14ac:dyDescent="0.35">
      <c r="A298" s="5">
        <v>262</v>
      </c>
      <c r="B298" s="10" t="str">
        <f>LEFT(D298,FIND("-",D298)-1)</f>
        <v>JLRH</v>
      </c>
      <c r="C298" s="27" t="s">
        <v>469</v>
      </c>
      <c r="D298" s="6" t="s">
        <v>330</v>
      </c>
      <c r="E298" s="34"/>
      <c r="F298" s="35"/>
      <c r="G298" s="30">
        <v>13</v>
      </c>
      <c r="H298" s="31">
        <v>143000</v>
      </c>
      <c r="I298" s="28">
        <v>2</v>
      </c>
      <c r="J298" s="29">
        <v>22000</v>
      </c>
      <c r="K298" s="28">
        <v>10</v>
      </c>
      <c r="L298" s="29">
        <v>110000</v>
      </c>
      <c r="M298" s="28">
        <v>18</v>
      </c>
      <c r="N298" s="29">
        <v>198000</v>
      </c>
      <c r="O298" s="28"/>
      <c r="P298" s="32"/>
      <c r="Q298" s="28"/>
      <c r="R298" s="32"/>
      <c r="S298" s="28"/>
      <c r="T298" s="32"/>
      <c r="U298" s="28"/>
      <c r="V298" s="32"/>
      <c r="W298" s="32"/>
      <c r="X298" s="32"/>
      <c r="Y298" s="32"/>
      <c r="Z298" s="32"/>
      <c r="AA298" s="32"/>
      <c r="AB298" s="32"/>
      <c r="AC298" s="37">
        <f>E298+G298+I298+K298+M298+O298+Q298+S298+U298+W298+Y298+AA298</f>
        <v>43</v>
      </c>
      <c r="AD298" s="33">
        <f>F298+H298+J298+L298+N298+P298+R298+T298+V298+X298+Z298+AB298</f>
        <v>473000</v>
      </c>
    </row>
    <row r="299" spans="1:30" x14ac:dyDescent="0.35">
      <c r="A299" s="5">
        <v>442</v>
      </c>
      <c r="B299" s="10" t="str">
        <f>LEFT(D299,FIND("-",D299)-1)</f>
        <v>JEBO001</v>
      </c>
      <c r="C299" s="27" t="s">
        <v>469</v>
      </c>
      <c r="D299" s="6" t="s">
        <v>481</v>
      </c>
      <c r="E299" s="34"/>
      <c r="F299" s="35"/>
      <c r="G299" s="30"/>
      <c r="H299" s="31"/>
      <c r="I299" s="28"/>
      <c r="J299" s="29"/>
      <c r="K299" s="28">
        <v>5</v>
      </c>
      <c r="L299" s="29">
        <v>10175</v>
      </c>
      <c r="M299" s="28">
        <v>17</v>
      </c>
      <c r="N299" s="29">
        <v>34595</v>
      </c>
      <c r="O299" s="28"/>
      <c r="P299" s="32"/>
      <c r="Q299" s="28"/>
      <c r="R299" s="32"/>
      <c r="S299" s="28"/>
      <c r="T299" s="32"/>
      <c r="U299" s="28"/>
      <c r="V299" s="32"/>
      <c r="W299" s="32"/>
      <c r="X299" s="32"/>
      <c r="Y299" s="32"/>
      <c r="Z299" s="32"/>
      <c r="AA299" s="32"/>
      <c r="AB299" s="32"/>
      <c r="AC299" s="37">
        <f>E299+G299+I299+K299+M299+O299+Q299+S299+U299+W299+Y299+AA299</f>
        <v>22</v>
      </c>
      <c r="AD299" s="33">
        <f>F299+H299+J299+L299+N299+P299+R299+T299+V299+X299+Z299+AB299</f>
        <v>44770</v>
      </c>
    </row>
    <row r="300" spans="1:30" x14ac:dyDescent="0.35">
      <c r="A300" s="5">
        <v>445</v>
      </c>
      <c r="B300" s="10" t="str">
        <f>LEFT(D300,FIND("-",D300)-1)</f>
        <v>JEDZ002</v>
      </c>
      <c r="C300" s="27" t="s">
        <v>469</v>
      </c>
      <c r="D300" s="6" t="s">
        <v>484</v>
      </c>
      <c r="E300" s="34"/>
      <c r="F300" s="35"/>
      <c r="G300" s="30"/>
      <c r="H300" s="31"/>
      <c r="I300" s="28"/>
      <c r="J300" s="29"/>
      <c r="K300" s="28">
        <v>3</v>
      </c>
      <c r="L300" s="29">
        <v>5280</v>
      </c>
      <c r="M300" s="28">
        <v>17</v>
      </c>
      <c r="N300" s="29">
        <v>29920</v>
      </c>
      <c r="O300" s="28"/>
      <c r="P300" s="32"/>
      <c r="Q300" s="28"/>
      <c r="R300" s="32"/>
      <c r="S300" s="28"/>
      <c r="T300" s="32"/>
      <c r="U300" s="28"/>
      <c r="V300" s="32"/>
      <c r="W300" s="32"/>
      <c r="X300" s="32"/>
      <c r="Y300" s="32"/>
      <c r="Z300" s="32"/>
      <c r="AA300" s="32"/>
      <c r="AB300" s="32"/>
      <c r="AC300" s="37">
        <f>E300+G300+I300+K300+M300+O300+Q300+S300+U300+W300+Y300+AA300</f>
        <v>20</v>
      </c>
      <c r="AD300" s="33">
        <f>F300+H300+J300+L300+N300+P300+R300+T300+V300+X300+Z300+AB300</f>
        <v>35200</v>
      </c>
    </row>
    <row r="301" spans="1:30" x14ac:dyDescent="0.35">
      <c r="A301" s="5">
        <v>170</v>
      </c>
      <c r="B301" s="10" t="str">
        <f>LEFT(D301,FIND("-",D301)-1)</f>
        <v>JEGG002</v>
      </c>
      <c r="C301" s="27" t="s">
        <v>469</v>
      </c>
      <c r="D301" s="6" t="s">
        <v>58</v>
      </c>
      <c r="E301" s="34">
        <v>15</v>
      </c>
      <c r="F301" s="35">
        <v>24750</v>
      </c>
      <c r="G301" s="30">
        <v>24</v>
      </c>
      <c r="H301" s="31">
        <v>39600</v>
      </c>
      <c r="I301" s="28"/>
      <c r="J301" s="29"/>
      <c r="K301" s="28">
        <v>20</v>
      </c>
      <c r="L301" s="29">
        <v>33000</v>
      </c>
      <c r="M301" s="28">
        <v>16</v>
      </c>
      <c r="N301" s="29">
        <v>26400</v>
      </c>
      <c r="O301" s="28"/>
      <c r="P301" s="32"/>
      <c r="Q301" s="28"/>
      <c r="R301" s="32"/>
      <c r="S301" s="28"/>
      <c r="T301" s="32"/>
      <c r="U301" s="28"/>
      <c r="V301" s="32"/>
      <c r="W301" s="32"/>
      <c r="X301" s="32"/>
      <c r="Y301" s="32"/>
      <c r="Z301" s="32"/>
      <c r="AA301" s="32"/>
      <c r="AB301" s="32"/>
      <c r="AC301" s="36">
        <f>E301+G301+I301+K301+M301+O301+Q301+S301+U301+W301+Y301+AA301</f>
        <v>75</v>
      </c>
      <c r="AD301" s="33">
        <f>F301+H301+J301+L301+N301+P301+R301+T301+V301+X301+Z301+AB301</f>
        <v>123750</v>
      </c>
    </row>
    <row r="302" spans="1:30" x14ac:dyDescent="0.35">
      <c r="A302" s="5">
        <v>368</v>
      </c>
      <c r="B302" s="10" t="str">
        <f>LEFT(D302,FIND("-",D302)-1)</f>
        <v>JQKU</v>
      </c>
      <c r="C302" s="27" t="s">
        <v>469</v>
      </c>
      <c r="D302" s="6" t="s">
        <v>336</v>
      </c>
      <c r="E302" s="34"/>
      <c r="F302" s="35"/>
      <c r="G302" s="30">
        <v>5</v>
      </c>
      <c r="H302" s="31">
        <v>8800</v>
      </c>
      <c r="I302" s="28"/>
      <c r="J302" s="29"/>
      <c r="K302" s="28">
        <v>2</v>
      </c>
      <c r="L302" s="29">
        <v>3520</v>
      </c>
      <c r="M302" s="28">
        <v>16</v>
      </c>
      <c r="N302" s="29">
        <v>28160</v>
      </c>
      <c r="O302" s="28"/>
      <c r="P302" s="32"/>
      <c r="Q302" s="28"/>
      <c r="R302" s="32"/>
      <c r="S302" s="28"/>
      <c r="T302" s="32"/>
      <c r="U302" s="28"/>
      <c r="V302" s="32"/>
      <c r="W302" s="32"/>
      <c r="X302" s="32"/>
      <c r="Y302" s="32"/>
      <c r="Z302" s="32"/>
      <c r="AA302" s="32"/>
      <c r="AB302" s="32"/>
      <c r="AC302" s="36">
        <f>E302+G302+I302+K302+M302+O302+Q302+S302+U302+W302+Y302+AA302</f>
        <v>23</v>
      </c>
      <c r="AD302" s="33">
        <f>F302+H302+J302+L302+N302+P302+R302+T302+V302+X302+Z302+AB302</f>
        <v>40480</v>
      </c>
    </row>
    <row r="303" spans="1:30" x14ac:dyDescent="0.35">
      <c r="A303" s="5">
        <v>111</v>
      </c>
      <c r="B303" s="10" t="str">
        <f>LEFT(D303,FIND("-",D303)-1)</f>
        <v>JEAM031</v>
      </c>
      <c r="C303" s="27" t="s">
        <v>469</v>
      </c>
      <c r="D303" s="6" t="s">
        <v>268</v>
      </c>
      <c r="E303" s="34"/>
      <c r="F303" s="35"/>
      <c r="G303" s="30">
        <v>10</v>
      </c>
      <c r="H303" s="31">
        <v>38500</v>
      </c>
      <c r="I303" s="28">
        <v>88</v>
      </c>
      <c r="J303" s="29">
        <v>338800</v>
      </c>
      <c r="K303" s="28">
        <v>90</v>
      </c>
      <c r="L303" s="29">
        <v>346500</v>
      </c>
      <c r="M303" s="28">
        <v>15</v>
      </c>
      <c r="N303" s="29">
        <v>57750</v>
      </c>
      <c r="O303" s="28"/>
      <c r="P303" s="32"/>
      <c r="Q303" s="28"/>
      <c r="R303" s="32"/>
      <c r="S303" s="28"/>
      <c r="T303" s="32"/>
      <c r="U303" s="28"/>
      <c r="V303" s="32"/>
      <c r="W303" s="32"/>
      <c r="X303" s="32"/>
      <c r="Y303" s="32"/>
      <c r="Z303" s="32"/>
      <c r="AA303" s="32"/>
      <c r="AB303" s="32"/>
      <c r="AC303" s="36">
        <f>E303+G303+I303+K303+M303+O303+Q303+S303+U303+W303+Y303+AA303</f>
        <v>203</v>
      </c>
      <c r="AD303" s="33">
        <f>F303+H303+J303+L303+N303+P303+R303+T303+V303+X303+Z303+AB303</f>
        <v>781550</v>
      </c>
    </row>
    <row r="304" spans="1:30" x14ac:dyDescent="0.35">
      <c r="A304" s="5">
        <v>163</v>
      </c>
      <c r="B304" s="10" t="str">
        <f>LEFT(D304,FIND("-",D304)-1)</f>
        <v>JEGG015</v>
      </c>
      <c r="C304" s="27" t="s">
        <v>469</v>
      </c>
      <c r="D304" s="6" t="s">
        <v>13</v>
      </c>
      <c r="E304" s="34">
        <v>5</v>
      </c>
      <c r="F304" s="35">
        <v>8250</v>
      </c>
      <c r="G304" s="30">
        <v>26</v>
      </c>
      <c r="H304" s="31">
        <v>42900</v>
      </c>
      <c r="I304" s="28">
        <v>17</v>
      </c>
      <c r="J304" s="29">
        <v>28050</v>
      </c>
      <c r="K304" s="28">
        <v>10</v>
      </c>
      <c r="L304" s="29">
        <v>16500</v>
      </c>
      <c r="M304" s="28">
        <v>14</v>
      </c>
      <c r="N304" s="29">
        <v>23100</v>
      </c>
      <c r="O304" s="28"/>
      <c r="P304" s="32"/>
      <c r="Q304" s="28"/>
      <c r="R304" s="32"/>
      <c r="S304" s="28"/>
      <c r="T304" s="32"/>
      <c r="U304" s="28"/>
      <c r="V304" s="32"/>
      <c r="W304" s="32"/>
      <c r="X304" s="32"/>
      <c r="Y304" s="32"/>
      <c r="Z304" s="32"/>
      <c r="AA304" s="32"/>
      <c r="AB304" s="32"/>
      <c r="AC304" s="37">
        <f>E304+G304+I304+K304+M304+O304+Q304+S304+U304+W304+Y304+AA304</f>
        <v>72</v>
      </c>
      <c r="AD304" s="33">
        <f>F304+H304+J304+L304+N304+P304+R304+T304+V304+X304+Z304+AB304</f>
        <v>118800</v>
      </c>
    </row>
    <row r="305" spans="1:30" x14ac:dyDescent="0.35">
      <c r="A305" s="5">
        <v>183</v>
      </c>
      <c r="B305" s="10" t="str">
        <f>LEFT(D305,FIND("-",D305)-1)</f>
        <v>JELT008</v>
      </c>
      <c r="C305" s="27" t="s">
        <v>469</v>
      </c>
      <c r="D305" s="6" t="s">
        <v>184</v>
      </c>
      <c r="E305" s="34">
        <v>23</v>
      </c>
      <c r="F305" s="35">
        <v>63250</v>
      </c>
      <c r="G305" s="30">
        <v>3</v>
      </c>
      <c r="H305" s="31">
        <v>8250</v>
      </c>
      <c r="I305" s="28">
        <v>6</v>
      </c>
      <c r="J305" s="29">
        <v>16500</v>
      </c>
      <c r="K305" s="28">
        <v>8</v>
      </c>
      <c r="L305" s="29">
        <v>22000</v>
      </c>
      <c r="M305" s="28">
        <v>14</v>
      </c>
      <c r="N305" s="29">
        <v>38500</v>
      </c>
      <c r="O305" s="28"/>
      <c r="P305" s="32"/>
      <c r="Q305" s="28"/>
      <c r="R305" s="32"/>
      <c r="S305" s="28"/>
      <c r="T305" s="32"/>
      <c r="U305" s="28"/>
      <c r="V305" s="32"/>
      <c r="W305" s="32"/>
      <c r="X305" s="32"/>
      <c r="Y305" s="32"/>
      <c r="Z305" s="32"/>
      <c r="AA305" s="32"/>
      <c r="AB305" s="32"/>
      <c r="AC305" s="37">
        <f>E305+G305+I305+K305+M305+O305+Q305+S305+U305+W305+Y305+AA305</f>
        <v>54</v>
      </c>
      <c r="AD305" s="33">
        <f>F305+H305+J305+L305+N305+P305+R305+T305+V305+X305+Z305+AB305</f>
        <v>148500</v>
      </c>
    </row>
    <row r="306" spans="1:30" x14ac:dyDescent="0.35">
      <c r="A306" s="5">
        <v>213</v>
      </c>
      <c r="B306" s="10" t="str">
        <f>LEFT(D306,FIND("-",D306)-1)</f>
        <v>JLRA</v>
      </c>
      <c r="C306" s="27" t="s">
        <v>469</v>
      </c>
      <c r="D306" s="6" t="s">
        <v>429</v>
      </c>
      <c r="E306" s="34"/>
      <c r="F306" s="35"/>
      <c r="G306" s="30"/>
      <c r="H306" s="31"/>
      <c r="I306" s="28">
        <v>25</v>
      </c>
      <c r="J306" s="29">
        <v>247500</v>
      </c>
      <c r="K306" s="28"/>
      <c r="L306" s="29"/>
      <c r="M306" s="28">
        <v>14</v>
      </c>
      <c r="N306" s="29">
        <v>138600</v>
      </c>
      <c r="O306" s="28"/>
      <c r="P306" s="32"/>
      <c r="Q306" s="28"/>
      <c r="R306" s="32"/>
      <c r="S306" s="28"/>
      <c r="T306" s="32"/>
      <c r="U306" s="28"/>
      <c r="V306" s="32"/>
      <c r="W306" s="32"/>
      <c r="X306" s="32"/>
      <c r="Y306" s="32"/>
      <c r="Z306" s="32"/>
      <c r="AA306" s="32"/>
      <c r="AB306" s="32"/>
      <c r="AC306" s="37">
        <f>E306+G306+I306+K306+M306+O306+Q306+S306+U306+W306+Y306+AA306</f>
        <v>39</v>
      </c>
      <c r="AD306" s="33">
        <f>F306+H306+J306+L306+N306+P306+R306+T306+V306+X306+Z306+AB306</f>
        <v>386100</v>
      </c>
    </row>
    <row r="307" spans="1:30" x14ac:dyDescent="0.35">
      <c r="A307" s="5">
        <v>242</v>
      </c>
      <c r="B307" s="10" t="str">
        <f>LEFT(D307,FIND("-",D307)-1)</f>
        <v>JEAT010</v>
      </c>
      <c r="C307" s="27" t="s">
        <v>469</v>
      </c>
      <c r="D307" s="6" t="s">
        <v>57</v>
      </c>
      <c r="E307" s="34">
        <v>1</v>
      </c>
      <c r="F307" s="35">
        <v>3850</v>
      </c>
      <c r="G307" s="30">
        <v>14</v>
      </c>
      <c r="H307" s="31">
        <v>53900</v>
      </c>
      <c r="I307" s="28">
        <v>3</v>
      </c>
      <c r="J307" s="29">
        <v>11550</v>
      </c>
      <c r="K307" s="28">
        <v>10</v>
      </c>
      <c r="L307" s="29">
        <v>38500</v>
      </c>
      <c r="M307" s="28">
        <v>13</v>
      </c>
      <c r="N307" s="29">
        <v>50050</v>
      </c>
      <c r="O307" s="28"/>
      <c r="P307" s="32"/>
      <c r="Q307" s="28"/>
      <c r="R307" s="32"/>
      <c r="S307" s="28"/>
      <c r="T307" s="32"/>
      <c r="U307" s="28"/>
      <c r="V307" s="32"/>
      <c r="W307" s="32"/>
      <c r="X307" s="32"/>
      <c r="Y307" s="32"/>
      <c r="Z307" s="32"/>
      <c r="AA307" s="32"/>
      <c r="AB307" s="32"/>
      <c r="AC307" s="37">
        <f>E307+G307+I307+K307+M307+O307+Q307+S307+U307+W307+Y307+AA307</f>
        <v>41</v>
      </c>
      <c r="AD307" s="33">
        <f>F307+H307+J307+L307+N307+P307+R307+T307+V307+X307+Z307+AB307</f>
        <v>157850</v>
      </c>
    </row>
    <row r="308" spans="1:30" x14ac:dyDescent="0.35">
      <c r="A308" s="5">
        <v>439</v>
      </c>
      <c r="B308" s="10" t="str">
        <f>LEFT(D308,FIND("-",D308)-1)</f>
        <v>JVAE</v>
      </c>
      <c r="C308" s="27" t="s">
        <v>469</v>
      </c>
      <c r="D308" s="6" t="s">
        <v>340</v>
      </c>
      <c r="E308" s="34"/>
      <c r="F308" s="35"/>
      <c r="G308" s="30">
        <v>1</v>
      </c>
      <c r="H308" s="31">
        <v>4400</v>
      </c>
      <c r="I308" s="28"/>
      <c r="J308" s="29"/>
      <c r="K308" s="28">
        <v>3</v>
      </c>
      <c r="L308" s="29">
        <v>13200</v>
      </c>
      <c r="M308" s="28">
        <v>13</v>
      </c>
      <c r="N308" s="29">
        <v>57200</v>
      </c>
      <c r="O308" s="28"/>
      <c r="P308" s="32"/>
      <c r="Q308" s="28"/>
      <c r="R308" s="32"/>
      <c r="S308" s="28"/>
      <c r="T308" s="32"/>
      <c r="U308" s="28"/>
      <c r="V308" s="32"/>
      <c r="W308" s="32"/>
      <c r="X308" s="32"/>
      <c r="Y308" s="32"/>
      <c r="Z308" s="32"/>
      <c r="AA308" s="32"/>
      <c r="AB308" s="32"/>
      <c r="AC308" s="37">
        <f>E308+G308+I308+K308+M308+O308+Q308+S308+U308+W308+Y308+AA308</f>
        <v>17</v>
      </c>
      <c r="AD308" s="33">
        <f>F308+H308+J308+L308+N308+P308+R308+T308+V308+X308+Z308+AB308</f>
        <v>74800</v>
      </c>
    </row>
    <row r="309" spans="1:30" x14ac:dyDescent="0.35">
      <c r="A309" s="5">
        <v>226</v>
      </c>
      <c r="B309" s="10" t="str">
        <f>LEFT(D309,FIND("-",D309)-1)</f>
        <v>JEGH025</v>
      </c>
      <c r="C309" s="27" t="s">
        <v>469</v>
      </c>
      <c r="D309" s="6" t="s">
        <v>60</v>
      </c>
      <c r="E309" s="34">
        <v>3</v>
      </c>
      <c r="F309" s="35">
        <v>4950</v>
      </c>
      <c r="G309" s="30"/>
      <c r="H309" s="31"/>
      <c r="I309" s="28">
        <v>19</v>
      </c>
      <c r="J309" s="29">
        <v>31350</v>
      </c>
      <c r="K309" s="28"/>
      <c r="L309" s="29"/>
      <c r="M309" s="28">
        <v>13</v>
      </c>
      <c r="N309" s="29">
        <v>21450</v>
      </c>
      <c r="O309" s="28"/>
      <c r="P309" s="32"/>
      <c r="Q309" s="28"/>
      <c r="R309" s="32"/>
      <c r="S309" s="28"/>
      <c r="T309" s="32"/>
      <c r="U309" s="28"/>
      <c r="V309" s="32"/>
      <c r="W309" s="32"/>
      <c r="X309" s="32"/>
      <c r="Y309" s="32"/>
      <c r="Z309" s="32"/>
      <c r="AA309" s="32"/>
      <c r="AB309" s="32"/>
      <c r="AC309" s="37">
        <f>E309+G309+I309+K309+M309+O309+Q309+S309+U309+W309+Y309+AA309</f>
        <v>35</v>
      </c>
      <c r="AD309" s="33">
        <f>F309+H309+J309+L309+N309+P309+R309+T309+V309+X309+Z309+AB309</f>
        <v>57750</v>
      </c>
    </row>
    <row r="310" spans="1:30" x14ac:dyDescent="0.35">
      <c r="A310" s="5">
        <v>214</v>
      </c>
      <c r="B310" s="10" t="str">
        <f>LEFT(D310,FIND("-",D310)-1)</f>
        <v>JLRG</v>
      </c>
      <c r="C310" s="27" t="s">
        <v>469</v>
      </c>
      <c r="D310" s="6" t="s">
        <v>329</v>
      </c>
      <c r="E310" s="34"/>
      <c r="F310" s="35"/>
      <c r="G310" s="30">
        <v>23</v>
      </c>
      <c r="H310" s="31">
        <v>151800</v>
      </c>
      <c r="I310" s="28">
        <v>2</v>
      </c>
      <c r="J310" s="29">
        <v>13200</v>
      </c>
      <c r="K310" s="28"/>
      <c r="L310" s="29"/>
      <c r="M310" s="28">
        <v>12</v>
      </c>
      <c r="N310" s="29">
        <v>79200</v>
      </c>
      <c r="O310" s="28"/>
      <c r="P310" s="32"/>
      <c r="Q310" s="28"/>
      <c r="R310" s="32"/>
      <c r="S310" s="28"/>
      <c r="T310" s="32"/>
      <c r="U310" s="28"/>
      <c r="V310" s="32"/>
      <c r="W310" s="32"/>
      <c r="X310" s="32"/>
      <c r="Y310" s="32"/>
      <c r="Z310" s="32"/>
      <c r="AA310" s="32"/>
      <c r="AB310" s="32"/>
      <c r="AC310" s="37">
        <f>E310+G310+I310+K310+M310+O310+Q310+S310+U310+W310+Y310+AA310</f>
        <v>37</v>
      </c>
      <c r="AD310" s="33">
        <f>F310+H310+J310+L310+N310+P310+R310+T310+V310+X310+Z310+AB310</f>
        <v>244200</v>
      </c>
    </row>
    <row r="311" spans="1:30" x14ac:dyDescent="0.35">
      <c r="A311" s="5">
        <v>271</v>
      </c>
      <c r="B311" s="10" t="str">
        <f>LEFT(D311,FIND("-",D311)-1)</f>
        <v>JLRE</v>
      </c>
      <c r="C311" s="27" t="s">
        <v>469</v>
      </c>
      <c r="D311" s="6" t="s">
        <v>328</v>
      </c>
      <c r="E311" s="34"/>
      <c r="F311" s="35"/>
      <c r="G311" s="30">
        <v>12</v>
      </c>
      <c r="H311" s="31">
        <v>72600</v>
      </c>
      <c r="I311" s="28">
        <v>1</v>
      </c>
      <c r="J311" s="29">
        <v>6050</v>
      </c>
      <c r="K311" s="28"/>
      <c r="L311" s="29"/>
      <c r="M311" s="28">
        <v>12</v>
      </c>
      <c r="N311" s="29">
        <v>72600</v>
      </c>
      <c r="O311" s="28"/>
      <c r="P311" s="32"/>
      <c r="Q311" s="28"/>
      <c r="R311" s="32"/>
      <c r="S311" s="28"/>
      <c r="T311" s="32"/>
      <c r="U311" s="28"/>
      <c r="V311" s="32"/>
      <c r="W311" s="32"/>
      <c r="X311" s="32"/>
      <c r="Y311" s="32"/>
      <c r="Z311" s="32"/>
      <c r="AA311" s="32"/>
      <c r="AB311" s="32"/>
      <c r="AC311" s="37">
        <f>E311+G311+I311+K311+M311+O311+Q311+S311+U311+W311+Y311+AA311</f>
        <v>25</v>
      </c>
      <c r="AD311" s="33">
        <f>F311+H311+J311+L311+N311+P311+R311+T311+V311+X311+Z311+AB311</f>
        <v>151250</v>
      </c>
    </row>
    <row r="312" spans="1:30" x14ac:dyDescent="0.35">
      <c r="A312" s="5">
        <v>433</v>
      </c>
      <c r="B312" s="10" t="str">
        <f>LEFT(D312,FIND("-",D312)-1)</f>
        <v>JQHH</v>
      </c>
      <c r="C312" s="27" t="s">
        <v>469</v>
      </c>
      <c r="D312" s="6" t="s">
        <v>512</v>
      </c>
      <c r="E312" s="34"/>
      <c r="F312" s="35"/>
      <c r="G312" s="30"/>
      <c r="H312" s="31"/>
      <c r="I312" s="28"/>
      <c r="J312" s="29"/>
      <c r="K312" s="28"/>
      <c r="L312" s="29"/>
      <c r="M312" s="28">
        <v>12</v>
      </c>
      <c r="N312" s="29">
        <v>27720</v>
      </c>
      <c r="O312" s="28"/>
      <c r="P312" s="32"/>
      <c r="Q312" s="28"/>
      <c r="R312" s="32"/>
      <c r="S312" s="28"/>
      <c r="T312" s="32"/>
      <c r="U312" s="28"/>
      <c r="V312" s="32"/>
      <c r="W312" s="32"/>
      <c r="X312" s="32"/>
      <c r="Y312" s="32"/>
      <c r="Z312" s="32"/>
      <c r="AA312" s="32"/>
      <c r="AB312" s="32"/>
      <c r="AC312" s="36">
        <f>E312+G312+I312+K312+M312+O312+Q312+S312+U312+W312+Y312+AA312</f>
        <v>12</v>
      </c>
      <c r="AD312" s="33">
        <f>F312+H312+J312+L312+N312+P312+R312+T312+V312+X312+Z312+AB312</f>
        <v>27720</v>
      </c>
    </row>
    <row r="313" spans="1:30" x14ac:dyDescent="0.35">
      <c r="A313" s="5">
        <v>444</v>
      </c>
      <c r="B313" s="10" t="str">
        <f>LEFT(D313,FIND("-",D313)-1)</f>
        <v>JEBO855</v>
      </c>
      <c r="C313" s="27" t="s">
        <v>469</v>
      </c>
      <c r="D313" s="6" t="s">
        <v>483</v>
      </c>
      <c r="E313" s="34"/>
      <c r="F313" s="35"/>
      <c r="G313" s="30"/>
      <c r="H313" s="31"/>
      <c r="I313" s="28"/>
      <c r="J313" s="29"/>
      <c r="K313" s="28">
        <v>10</v>
      </c>
      <c r="L313" s="29">
        <v>20350</v>
      </c>
      <c r="M313" s="28">
        <v>11</v>
      </c>
      <c r="N313" s="29">
        <v>22385</v>
      </c>
      <c r="O313" s="28"/>
      <c r="P313" s="32"/>
      <c r="Q313" s="28"/>
      <c r="R313" s="32"/>
      <c r="S313" s="28"/>
      <c r="T313" s="32"/>
      <c r="U313" s="28"/>
      <c r="V313" s="32"/>
      <c r="W313" s="32"/>
      <c r="X313" s="32"/>
      <c r="Y313" s="32"/>
      <c r="Z313" s="32"/>
      <c r="AA313" s="32"/>
      <c r="AB313" s="32"/>
      <c r="AC313" s="37">
        <f>E313+G313+I313+K313+M313+O313+Q313+S313+U313+W313+Y313+AA313</f>
        <v>21</v>
      </c>
      <c r="AD313" s="33">
        <f>F313+H313+J313+L313+N313+P313+R313+T313+V313+X313+Z313+AB313</f>
        <v>42735</v>
      </c>
    </row>
    <row r="314" spans="1:30" x14ac:dyDescent="0.35">
      <c r="A314" s="5">
        <v>52</v>
      </c>
      <c r="B314" s="10" t="str">
        <f>LEFT(D314,FIND("-",D314)-1)</f>
        <v>JELT013</v>
      </c>
      <c r="C314" s="27" t="s">
        <v>469</v>
      </c>
      <c r="D314" s="6" t="s">
        <v>20</v>
      </c>
      <c r="E314" s="34">
        <v>4</v>
      </c>
      <c r="F314" s="35">
        <v>11000</v>
      </c>
      <c r="G314" s="30">
        <v>159</v>
      </c>
      <c r="H314" s="31">
        <v>437250</v>
      </c>
      <c r="I314" s="28">
        <v>55</v>
      </c>
      <c r="J314" s="29">
        <v>151250</v>
      </c>
      <c r="K314" s="28">
        <v>148</v>
      </c>
      <c r="L314" s="29">
        <v>407000</v>
      </c>
      <c r="M314" s="28">
        <v>10</v>
      </c>
      <c r="N314" s="29">
        <v>27500</v>
      </c>
      <c r="O314" s="28"/>
      <c r="P314" s="32"/>
      <c r="Q314" s="28"/>
      <c r="R314" s="32"/>
      <c r="S314" s="28"/>
      <c r="T314" s="32"/>
      <c r="U314" s="28"/>
      <c r="V314" s="32"/>
      <c r="W314" s="32"/>
      <c r="X314" s="32"/>
      <c r="Y314" s="32"/>
      <c r="Z314" s="32"/>
      <c r="AA314" s="32"/>
      <c r="AB314" s="32"/>
      <c r="AC314" s="37">
        <f>E314+G314+I314+K314+M314+O314+Q314+S314+U314+W314+Y314+AA314</f>
        <v>376</v>
      </c>
      <c r="AD314" s="33">
        <f>F314+H314+J314+L314+N314+P314+R314+T314+V314+X314+Z314+AB314</f>
        <v>1034000</v>
      </c>
    </row>
    <row r="315" spans="1:30" x14ac:dyDescent="0.35">
      <c r="A315" s="5">
        <v>385</v>
      </c>
      <c r="B315" s="10" t="str">
        <f>LEFT(D315,FIND("-",D315)-1)</f>
        <v>JEFF</v>
      </c>
      <c r="C315" s="27" t="s">
        <v>469</v>
      </c>
      <c r="D315" s="6" t="s">
        <v>173</v>
      </c>
      <c r="E315" s="34">
        <v>3</v>
      </c>
      <c r="F315" s="35">
        <v>8580</v>
      </c>
      <c r="G315" s="30"/>
      <c r="H315" s="31"/>
      <c r="I315" s="28"/>
      <c r="J315" s="29"/>
      <c r="K315" s="28">
        <v>21</v>
      </c>
      <c r="L315" s="29">
        <v>60060</v>
      </c>
      <c r="M315" s="28">
        <v>10</v>
      </c>
      <c r="N315" s="29">
        <v>28600</v>
      </c>
      <c r="O315" s="28"/>
      <c r="P315" s="32"/>
      <c r="Q315" s="28"/>
      <c r="R315" s="32"/>
      <c r="S315" s="28"/>
      <c r="T315" s="32"/>
      <c r="U315" s="28"/>
      <c r="V315" s="32"/>
      <c r="W315" s="32"/>
      <c r="X315" s="32"/>
      <c r="Y315" s="32"/>
      <c r="Z315" s="32"/>
      <c r="AA315" s="32"/>
      <c r="AB315" s="32"/>
      <c r="AC315" s="37">
        <f>E315+G315+I315+K315+M315+O315+Q315+S315+U315+W315+Y315+AA315</f>
        <v>34</v>
      </c>
      <c r="AD315" s="33">
        <f>F315+H315+J315+L315+N315+P315+R315+T315+V315+X315+Z315+AB315</f>
        <v>97240</v>
      </c>
    </row>
    <row r="316" spans="1:30" x14ac:dyDescent="0.35">
      <c r="A316" s="5">
        <v>148</v>
      </c>
      <c r="B316" s="10" t="str">
        <f>LEFT(D316,FIND("-",D316)-1)</f>
        <v>JEAT024</v>
      </c>
      <c r="C316" s="27" t="s">
        <v>469</v>
      </c>
      <c r="D316" s="6" t="s">
        <v>160</v>
      </c>
      <c r="E316" s="34">
        <v>20</v>
      </c>
      <c r="F316" s="35">
        <v>77000</v>
      </c>
      <c r="G316" s="30">
        <v>30</v>
      </c>
      <c r="H316" s="31">
        <v>115500</v>
      </c>
      <c r="I316" s="28">
        <v>10</v>
      </c>
      <c r="J316" s="29">
        <v>38500</v>
      </c>
      <c r="K316" s="28">
        <v>12</v>
      </c>
      <c r="L316" s="29">
        <v>46200</v>
      </c>
      <c r="M316" s="28">
        <v>10</v>
      </c>
      <c r="N316" s="29">
        <v>38500</v>
      </c>
      <c r="O316" s="28"/>
      <c r="P316" s="32"/>
      <c r="Q316" s="28"/>
      <c r="R316" s="32"/>
      <c r="S316" s="28"/>
      <c r="T316" s="32"/>
      <c r="U316" s="28"/>
      <c r="V316" s="32"/>
      <c r="W316" s="32"/>
      <c r="X316" s="32"/>
      <c r="Y316" s="32"/>
      <c r="Z316" s="32"/>
      <c r="AA316" s="32"/>
      <c r="AB316" s="32"/>
      <c r="AC316" s="37">
        <f>E316+G316+I316+K316+M316+O316+Q316+S316+U316+W316+Y316+AA316</f>
        <v>82</v>
      </c>
      <c r="AD316" s="33">
        <f>F316+H316+J316+L316+N316+P316+R316+T316+V316+X316+Z316+AB316</f>
        <v>315700</v>
      </c>
    </row>
    <row r="317" spans="1:30" x14ac:dyDescent="0.35">
      <c r="A317" s="5">
        <v>168</v>
      </c>
      <c r="B317" s="10" t="str">
        <f>LEFT(D317,FIND("-",D317)-1)</f>
        <v>JEAP034</v>
      </c>
      <c r="C317" s="27" t="s">
        <v>469</v>
      </c>
      <c r="D317" s="6" t="s">
        <v>56</v>
      </c>
      <c r="E317" s="34">
        <v>8</v>
      </c>
      <c r="F317" s="35">
        <v>24200</v>
      </c>
      <c r="G317" s="30">
        <v>5</v>
      </c>
      <c r="H317" s="31">
        <v>15125</v>
      </c>
      <c r="I317" s="28">
        <v>30</v>
      </c>
      <c r="J317" s="29">
        <v>90750</v>
      </c>
      <c r="K317" s="28">
        <v>10</v>
      </c>
      <c r="L317" s="29">
        <v>30250</v>
      </c>
      <c r="M317" s="28">
        <v>10</v>
      </c>
      <c r="N317" s="29">
        <v>30250</v>
      </c>
      <c r="O317" s="28"/>
      <c r="P317" s="32"/>
      <c r="Q317" s="28"/>
      <c r="R317" s="32"/>
      <c r="S317" s="28"/>
      <c r="T317" s="32"/>
      <c r="U317" s="28"/>
      <c r="V317" s="32"/>
      <c r="W317" s="32"/>
      <c r="X317" s="32"/>
      <c r="Y317" s="32"/>
      <c r="Z317" s="32"/>
      <c r="AA317" s="32"/>
      <c r="AB317" s="32"/>
      <c r="AC317" s="36">
        <f>E317+G317+I317+K317+M317+O317+Q317+S317+U317+W317+Y317+AA317</f>
        <v>63</v>
      </c>
      <c r="AD317" s="33">
        <f>F317+H317+J317+L317+N317+P317+R317+T317+V317+X317+Z317+AB317</f>
        <v>190575</v>
      </c>
    </row>
    <row r="318" spans="1:30" x14ac:dyDescent="0.35">
      <c r="A318" s="5">
        <v>169</v>
      </c>
      <c r="B318" s="10" t="str">
        <f>LEFT(D318,FIND("-",D318)-1)</f>
        <v>JEZU</v>
      </c>
      <c r="C318" s="27" t="s">
        <v>469</v>
      </c>
      <c r="D318" s="6" t="s">
        <v>321</v>
      </c>
      <c r="E318" s="34"/>
      <c r="F318" s="35"/>
      <c r="G318" s="30">
        <v>22</v>
      </c>
      <c r="H318" s="31">
        <v>14520</v>
      </c>
      <c r="I318" s="28">
        <v>20</v>
      </c>
      <c r="J318" s="29">
        <v>13200</v>
      </c>
      <c r="K318" s="28">
        <v>10</v>
      </c>
      <c r="L318" s="29">
        <v>6600</v>
      </c>
      <c r="M318" s="28">
        <v>10</v>
      </c>
      <c r="N318" s="29">
        <v>6600</v>
      </c>
      <c r="O318" s="28"/>
      <c r="P318" s="32"/>
      <c r="Q318" s="28"/>
      <c r="R318" s="32"/>
      <c r="S318" s="28"/>
      <c r="T318" s="32"/>
      <c r="U318" s="28"/>
      <c r="V318" s="32"/>
      <c r="W318" s="32"/>
      <c r="X318" s="32"/>
      <c r="Y318" s="32"/>
      <c r="Z318" s="32"/>
      <c r="AA318" s="32"/>
      <c r="AB318" s="32"/>
      <c r="AC318" s="36">
        <f>E318+G318+I318+K318+M318+O318+Q318+S318+U318+W318+Y318+AA318</f>
        <v>62</v>
      </c>
      <c r="AD318" s="33">
        <f>F318+H318+J318+L318+N318+P318+R318+T318+V318+X318+Z318+AB318</f>
        <v>40920</v>
      </c>
    </row>
    <row r="319" spans="1:30" x14ac:dyDescent="0.35">
      <c r="A319" s="5">
        <v>211</v>
      </c>
      <c r="B319" s="10" t="str">
        <f>LEFT(D319,FIND("-",D319)-1)</f>
        <v>JELT003</v>
      </c>
      <c r="C319" s="27" t="s">
        <v>469</v>
      </c>
      <c r="D319" s="6" t="s">
        <v>19</v>
      </c>
      <c r="E319" s="34">
        <v>15</v>
      </c>
      <c r="F319" s="35">
        <v>41250</v>
      </c>
      <c r="G319" s="30"/>
      <c r="H319" s="31"/>
      <c r="I319" s="28">
        <v>10</v>
      </c>
      <c r="J319" s="29">
        <v>27500</v>
      </c>
      <c r="K319" s="28">
        <v>6</v>
      </c>
      <c r="L319" s="29">
        <v>16500</v>
      </c>
      <c r="M319" s="28">
        <v>10</v>
      </c>
      <c r="N319" s="29">
        <v>27500</v>
      </c>
      <c r="O319" s="28"/>
      <c r="P319" s="32"/>
      <c r="Q319" s="28"/>
      <c r="R319" s="32"/>
      <c r="S319" s="28"/>
      <c r="T319" s="32"/>
      <c r="U319" s="28"/>
      <c r="V319" s="32"/>
      <c r="W319" s="32"/>
      <c r="X319" s="32"/>
      <c r="Y319" s="32"/>
      <c r="Z319" s="32"/>
      <c r="AA319" s="32"/>
      <c r="AB319" s="32"/>
      <c r="AC319" s="36">
        <f>E319+G319+I319+K319+M319+O319+Q319+S319+U319+W319+Y319+AA319</f>
        <v>41</v>
      </c>
      <c r="AD319" s="33">
        <f>F319+H319+J319+L319+N319+P319+R319+T319+V319+X319+Z319+AB319</f>
        <v>112750</v>
      </c>
    </row>
    <row r="320" spans="1:30" x14ac:dyDescent="0.35">
      <c r="A320" s="5">
        <v>318</v>
      </c>
      <c r="B320" s="10" t="str">
        <f>LEFT(D320,FIND("-",D320)-1)</f>
        <v>JQHJ</v>
      </c>
      <c r="C320" s="27" t="s">
        <v>469</v>
      </c>
      <c r="D320" s="6" t="s">
        <v>332</v>
      </c>
      <c r="E320" s="34"/>
      <c r="F320" s="35"/>
      <c r="G320" s="30">
        <v>4</v>
      </c>
      <c r="H320" s="31">
        <v>16060</v>
      </c>
      <c r="I320" s="28">
        <v>4</v>
      </c>
      <c r="J320" s="29">
        <v>16060</v>
      </c>
      <c r="K320" s="28">
        <v>5</v>
      </c>
      <c r="L320" s="29">
        <v>20075</v>
      </c>
      <c r="M320" s="28">
        <v>10</v>
      </c>
      <c r="N320" s="29">
        <v>40150</v>
      </c>
      <c r="O320" s="28"/>
      <c r="P320" s="32"/>
      <c r="Q320" s="28"/>
      <c r="R320" s="32"/>
      <c r="S320" s="28"/>
      <c r="T320" s="32"/>
      <c r="U320" s="28"/>
      <c r="V320" s="32"/>
      <c r="W320" s="32"/>
      <c r="X320" s="32"/>
      <c r="Y320" s="32"/>
      <c r="Z320" s="32"/>
      <c r="AA320" s="32"/>
      <c r="AB320" s="32"/>
      <c r="AC320" s="36">
        <f>E320+G320+I320+K320+M320+O320+Q320+S320+U320+W320+Y320+AA320</f>
        <v>23</v>
      </c>
      <c r="AD320" s="33">
        <f>F320+H320+J320+L320+N320+P320+R320+T320+V320+X320+Z320+AB320</f>
        <v>92345</v>
      </c>
    </row>
    <row r="321" spans="1:30" x14ac:dyDescent="0.35">
      <c r="A321" s="5">
        <v>452</v>
      </c>
      <c r="B321" s="10" t="str">
        <f>LEFT(D321,FIND("-",D321)-1)</f>
        <v>JELT007</v>
      </c>
      <c r="C321" s="27" t="s">
        <v>469</v>
      </c>
      <c r="D321" s="6" t="s">
        <v>491</v>
      </c>
      <c r="E321" s="34"/>
      <c r="F321" s="35"/>
      <c r="G321" s="30"/>
      <c r="H321" s="31"/>
      <c r="I321" s="28"/>
      <c r="J321" s="29"/>
      <c r="K321" s="28">
        <v>3</v>
      </c>
      <c r="L321" s="29">
        <v>8250</v>
      </c>
      <c r="M321" s="28">
        <v>10</v>
      </c>
      <c r="N321" s="29">
        <v>27500</v>
      </c>
      <c r="O321" s="28"/>
      <c r="P321" s="32"/>
      <c r="Q321" s="28"/>
      <c r="R321" s="32"/>
      <c r="S321" s="28"/>
      <c r="T321" s="32"/>
      <c r="U321" s="28"/>
      <c r="V321" s="32"/>
      <c r="W321" s="32"/>
      <c r="X321" s="32"/>
      <c r="Y321" s="32"/>
      <c r="Z321" s="32"/>
      <c r="AA321" s="32"/>
      <c r="AB321" s="32"/>
      <c r="AC321" s="37">
        <f>E321+G321+I321+K321+M321+O321+Q321+S321+U321+W321+Y321+AA321</f>
        <v>13</v>
      </c>
      <c r="AD321" s="33">
        <f>F321+H321+J321+L321+N321+P321+R321+T321+V321+X321+Z321+AB321</f>
        <v>35750</v>
      </c>
    </row>
    <row r="322" spans="1:30" x14ac:dyDescent="0.35">
      <c r="A322" s="5">
        <v>312</v>
      </c>
      <c r="B322" s="10" t="str">
        <f>LEFT(D322,FIND("-",D322)-1)</f>
        <v>JEGH030</v>
      </c>
      <c r="C322" s="27" t="s">
        <v>469</v>
      </c>
      <c r="D322" s="6" t="s">
        <v>15</v>
      </c>
      <c r="E322" s="34">
        <v>1</v>
      </c>
      <c r="F322" s="35">
        <v>1650</v>
      </c>
      <c r="G322" s="30">
        <v>8</v>
      </c>
      <c r="H322" s="31">
        <v>13200</v>
      </c>
      <c r="I322" s="28"/>
      <c r="J322" s="29"/>
      <c r="K322" s="28">
        <v>2</v>
      </c>
      <c r="L322" s="29">
        <v>3300</v>
      </c>
      <c r="M322" s="28">
        <v>10</v>
      </c>
      <c r="N322" s="29">
        <v>16500</v>
      </c>
      <c r="O322" s="28"/>
      <c r="P322" s="32"/>
      <c r="Q322" s="28"/>
      <c r="R322" s="32"/>
      <c r="S322" s="28"/>
      <c r="T322" s="32"/>
      <c r="U322" s="28"/>
      <c r="V322" s="32"/>
      <c r="W322" s="32"/>
      <c r="X322" s="32"/>
      <c r="Y322" s="32"/>
      <c r="Z322" s="32"/>
      <c r="AA322" s="32"/>
      <c r="AB322" s="32"/>
      <c r="AC322" s="36">
        <f>E322+G322+I322+K322+M322+O322+Q322+S322+U322+W322+Y322+AA322</f>
        <v>21</v>
      </c>
      <c r="AD322" s="33">
        <f>F322+H322+J322+L322+N322+P322+R322+T322+V322+X322+Z322+AB322</f>
        <v>34650</v>
      </c>
    </row>
    <row r="323" spans="1:30" x14ac:dyDescent="0.35">
      <c r="A323" s="5">
        <v>456</v>
      </c>
      <c r="B323" s="10" t="str">
        <f>LEFT(D323,FIND("-",D323)-1)</f>
        <v>JQKX</v>
      </c>
      <c r="C323" s="27" t="s">
        <v>469</v>
      </c>
      <c r="D323" s="6" t="s">
        <v>495</v>
      </c>
      <c r="E323" s="34"/>
      <c r="F323" s="35"/>
      <c r="G323" s="30"/>
      <c r="H323" s="31"/>
      <c r="I323" s="28"/>
      <c r="J323" s="29"/>
      <c r="K323" s="28">
        <v>2</v>
      </c>
      <c r="L323" s="29">
        <v>3520</v>
      </c>
      <c r="M323" s="28">
        <v>10</v>
      </c>
      <c r="N323" s="29">
        <v>17600</v>
      </c>
      <c r="O323" s="28"/>
      <c r="P323" s="32"/>
      <c r="Q323" s="28"/>
      <c r="R323" s="32"/>
      <c r="S323" s="28"/>
      <c r="T323" s="32"/>
      <c r="U323" s="28"/>
      <c r="V323" s="32"/>
      <c r="W323" s="32"/>
      <c r="X323" s="32"/>
      <c r="Y323" s="32"/>
      <c r="Z323" s="32"/>
      <c r="AA323" s="32"/>
      <c r="AB323" s="32"/>
      <c r="AC323" s="37">
        <f>E323+G323+I323+K323+M323+O323+Q323+S323+U323+W323+Y323+AA323</f>
        <v>12</v>
      </c>
      <c r="AD323" s="33">
        <f>F323+H323+J323+L323+N323+P323+R323+T323+V323+X323+Z323+AB323</f>
        <v>21120</v>
      </c>
    </row>
    <row r="324" spans="1:30" x14ac:dyDescent="0.35">
      <c r="A324" s="5">
        <v>298</v>
      </c>
      <c r="B324" s="10" t="str">
        <f>LEFT(D324,FIND("-",D324)-1)</f>
        <v>JQIW</v>
      </c>
      <c r="C324" s="27" t="s">
        <v>469</v>
      </c>
      <c r="D324" s="6" t="s">
        <v>35</v>
      </c>
      <c r="E324" s="34">
        <v>10</v>
      </c>
      <c r="F324" s="35">
        <v>46750</v>
      </c>
      <c r="G324" s="30"/>
      <c r="H324" s="31"/>
      <c r="I324" s="28"/>
      <c r="J324" s="29"/>
      <c r="K324" s="28">
        <v>1</v>
      </c>
      <c r="L324" s="29">
        <v>4675</v>
      </c>
      <c r="M324" s="28">
        <v>10</v>
      </c>
      <c r="N324" s="29">
        <v>46750</v>
      </c>
      <c r="O324" s="28"/>
      <c r="P324" s="32"/>
      <c r="Q324" s="28"/>
      <c r="R324" s="32"/>
      <c r="S324" s="28"/>
      <c r="T324" s="32"/>
      <c r="U324" s="28"/>
      <c r="V324" s="32"/>
      <c r="W324" s="32"/>
      <c r="X324" s="32"/>
      <c r="Y324" s="32"/>
      <c r="Z324" s="32"/>
      <c r="AA324" s="32"/>
      <c r="AB324" s="32"/>
      <c r="AC324" s="36">
        <f>E324+G324+I324+K324+M324+O324+Q324+S324+U324+W324+Y324+AA324</f>
        <v>21</v>
      </c>
      <c r="AD324" s="33">
        <f>F324+H324+J324+L324+N324+P324+R324+T324+V324+X324+Z324+AB324</f>
        <v>98175</v>
      </c>
    </row>
    <row r="325" spans="1:30" x14ac:dyDescent="0.35">
      <c r="A325" s="5">
        <v>195</v>
      </c>
      <c r="B325" s="10" t="str">
        <f>LEFT(D325,FIND("-",D325)-1)</f>
        <v>JEIP302</v>
      </c>
      <c r="C325" s="27" t="s">
        <v>469</v>
      </c>
      <c r="D325" s="6" t="s">
        <v>180</v>
      </c>
      <c r="E325" s="34">
        <v>20</v>
      </c>
      <c r="F325" s="35">
        <v>51700</v>
      </c>
      <c r="G325" s="30"/>
      <c r="H325" s="31"/>
      <c r="I325" s="28">
        <v>10</v>
      </c>
      <c r="J325" s="29">
        <v>25850</v>
      </c>
      <c r="K325" s="28"/>
      <c r="L325" s="29"/>
      <c r="M325" s="28">
        <v>10</v>
      </c>
      <c r="N325" s="29">
        <v>25850</v>
      </c>
      <c r="O325" s="28"/>
      <c r="P325" s="32"/>
      <c r="Q325" s="28"/>
      <c r="R325" s="32"/>
      <c r="S325" s="28"/>
      <c r="T325" s="32"/>
      <c r="U325" s="28"/>
      <c r="V325" s="32"/>
      <c r="W325" s="32"/>
      <c r="X325" s="32"/>
      <c r="Y325" s="32"/>
      <c r="Z325" s="32"/>
      <c r="AA325" s="32"/>
      <c r="AB325" s="32"/>
      <c r="AC325" s="36">
        <f>E325+G325+I325+K325+M325+O325+Q325+S325+U325+W325+Y325+AA325</f>
        <v>40</v>
      </c>
      <c r="AD325" s="33">
        <f>F325+H325+J325+L325+N325+P325+R325+T325+V325+X325+Z325+AB325</f>
        <v>103400</v>
      </c>
    </row>
    <row r="326" spans="1:30" x14ac:dyDescent="0.35">
      <c r="A326" s="5">
        <v>367</v>
      </c>
      <c r="B326" s="10" t="str">
        <f>LEFT(D326,FIND("-",D326)-1)</f>
        <v>JENW</v>
      </c>
      <c r="C326" s="27" t="s">
        <v>469</v>
      </c>
      <c r="D326" s="6" t="s">
        <v>422</v>
      </c>
      <c r="E326" s="34"/>
      <c r="F326" s="35"/>
      <c r="G326" s="30"/>
      <c r="H326" s="31"/>
      <c r="I326" s="28">
        <v>5</v>
      </c>
      <c r="J326" s="29">
        <v>11000</v>
      </c>
      <c r="K326" s="28"/>
      <c r="L326" s="29"/>
      <c r="M326" s="28">
        <v>10</v>
      </c>
      <c r="N326" s="29">
        <v>22000</v>
      </c>
      <c r="O326" s="28"/>
      <c r="P326" s="32"/>
      <c r="Q326" s="28"/>
      <c r="R326" s="32"/>
      <c r="S326" s="28"/>
      <c r="T326" s="32"/>
      <c r="U326" s="28"/>
      <c r="V326" s="32"/>
      <c r="W326" s="32"/>
      <c r="X326" s="32"/>
      <c r="Y326" s="32"/>
      <c r="Z326" s="32"/>
      <c r="AA326" s="32"/>
      <c r="AB326" s="32"/>
      <c r="AC326" s="36">
        <f>E326+G326+I326+K326+M326+O326+Q326+S326+U326+W326+Y326+AA326</f>
        <v>15</v>
      </c>
      <c r="AD326" s="33">
        <f>F326+H326+J326+L326+N326+P326+R326+T326+V326+X326+Z326+AB326</f>
        <v>33000</v>
      </c>
    </row>
    <row r="327" spans="1:30" x14ac:dyDescent="0.35">
      <c r="A327" s="5">
        <v>317</v>
      </c>
      <c r="B327" s="10" t="str">
        <f>LEFT(D327,FIND("-",D327)-1)</f>
        <v>JENR</v>
      </c>
      <c r="C327" s="27" t="s">
        <v>469</v>
      </c>
      <c r="D327" s="6" t="s">
        <v>316</v>
      </c>
      <c r="E327" s="34"/>
      <c r="F327" s="35"/>
      <c r="G327" s="30">
        <v>5</v>
      </c>
      <c r="H327" s="31">
        <v>8250</v>
      </c>
      <c r="I327" s="28">
        <v>3</v>
      </c>
      <c r="J327" s="29">
        <v>4950</v>
      </c>
      <c r="K327" s="28"/>
      <c r="L327" s="29"/>
      <c r="M327" s="28">
        <v>10</v>
      </c>
      <c r="N327" s="29">
        <v>16500</v>
      </c>
      <c r="O327" s="28"/>
      <c r="P327" s="32"/>
      <c r="Q327" s="28"/>
      <c r="R327" s="32"/>
      <c r="S327" s="28"/>
      <c r="T327" s="32"/>
      <c r="U327" s="28"/>
      <c r="V327" s="32"/>
      <c r="W327" s="32"/>
      <c r="X327" s="32"/>
      <c r="Y327" s="32"/>
      <c r="Z327" s="32"/>
      <c r="AA327" s="32"/>
      <c r="AB327" s="32"/>
      <c r="AC327" s="36">
        <f>E327+G327+I327+K327+M327+O327+Q327+S327+U327+W327+Y327+AA327</f>
        <v>18</v>
      </c>
      <c r="AD327" s="33">
        <f>F327+H327+J327+L327+N327+P327+R327+T327+V327+X327+Z327+AB327</f>
        <v>29700</v>
      </c>
    </row>
    <row r="328" spans="1:30" x14ac:dyDescent="0.35">
      <c r="A328" s="5">
        <v>233</v>
      </c>
      <c r="B328" s="10" t="str">
        <f>LEFT(D328,FIND("-",D328)-1)</f>
        <v>JEGY</v>
      </c>
      <c r="C328" s="27" t="s">
        <v>469</v>
      </c>
      <c r="D328" s="6" t="s">
        <v>293</v>
      </c>
      <c r="E328" s="34"/>
      <c r="F328" s="35"/>
      <c r="G328" s="30">
        <v>20</v>
      </c>
      <c r="H328" s="31">
        <v>6050</v>
      </c>
      <c r="I328" s="28"/>
      <c r="J328" s="29"/>
      <c r="K328" s="28"/>
      <c r="L328" s="29"/>
      <c r="M328" s="28">
        <v>10</v>
      </c>
      <c r="N328" s="29">
        <v>3025</v>
      </c>
      <c r="O328" s="28"/>
      <c r="P328" s="32"/>
      <c r="Q328" s="28"/>
      <c r="R328" s="32"/>
      <c r="S328" s="28"/>
      <c r="T328" s="32"/>
      <c r="U328" s="28"/>
      <c r="V328" s="32"/>
      <c r="W328" s="32"/>
      <c r="X328" s="32"/>
      <c r="Y328" s="32"/>
      <c r="Z328" s="32"/>
      <c r="AA328" s="32"/>
      <c r="AB328" s="32"/>
      <c r="AC328" s="36">
        <f>E328+G328+I328+K328+M328+O328+Q328+S328+U328+W328+Y328+AA328</f>
        <v>30</v>
      </c>
      <c r="AD328" s="33">
        <f>F328+H328+J328+L328+N328+P328+R328+T328+V328+X328+Z328+AB328</f>
        <v>9075</v>
      </c>
    </row>
    <row r="329" spans="1:30" x14ac:dyDescent="0.35">
      <c r="A329" s="5">
        <v>245</v>
      </c>
      <c r="B329" s="10" t="str">
        <f>LEFT(D329,FIND("-",D329)-1)</f>
        <v>JENQ004</v>
      </c>
      <c r="C329" s="27" t="s">
        <v>469</v>
      </c>
      <c r="D329" s="6" t="s">
        <v>193</v>
      </c>
      <c r="E329" s="34">
        <v>5</v>
      </c>
      <c r="F329" s="35">
        <v>8250</v>
      </c>
      <c r="G329" s="30">
        <v>12</v>
      </c>
      <c r="H329" s="31">
        <v>19800</v>
      </c>
      <c r="I329" s="28"/>
      <c r="J329" s="29"/>
      <c r="K329" s="28"/>
      <c r="L329" s="29"/>
      <c r="M329" s="28">
        <v>10</v>
      </c>
      <c r="N329" s="29">
        <v>16500</v>
      </c>
      <c r="O329" s="28"/>
      <c r="P329" s="32"/>
      <c r="Q329" s="28"/>
      <c r="R329" s="32"/>
      <c r="S329" s="28"/>
      <c r="T329" s="32"/>
      <c r="U329" s="28"/>
      <c r="V329" s="32"/>
      <c r="W329" s="32"/>
      <c r="X329" s="32"/>
      <c r="Y329" s="32"/>
      <c r="Z329" s="32"/>
      <c r="AA329" s="32"/>
      <c r="AB329" s="32"/>
      <c r="AC329" s="36">
        <f>E329+G329+I329+K329+M329+O329+Q329+S329+U329+W329+Y329+AA329</f>
        <v>27</v>
      </c>
      <c r="AD329" s="33">
        <f>F329+H329+J329+L329+N329+P329+R329+T329+V329+X329+Z329+AB329</f>
        <v>44550</v>
      </c>
    </row>
    <row r="330" spans="1:30" x14ac:dyDescent="0.35">
      <c r="A330" s="5">
        <v>376</v>
      </c>
      <c r="B330" s="10" t="str">
        <f>LEFT(D330,FIND("-",D330)-1)</f>
        <v>JEGH029</v>
      </c>
      <c r="C330" s="27" t="s">
        <v>469</v>
      </c>
      <c r="D330" s="6" t="s">
        <v>14</v>
      </c>
      <c r="E330" s="34">
        <v>1</v>
      </c>
      <c r="F330" s="35">
        <v>1650</v>
      </c>
      <c r="G330" s="30">
        <v>3</v>
      </c>
      <c r="H330" s="31">
        <v>4950</v>
      </c>
      <c r="I330" s="28"/>
      <c r="J330" s="29"/>
      <c r="K330" s="28"/>
      <c r="L330" s="29"/>
      <c r="M330" s="28">
        <v>10</v>
      </c>
      <c r="N330" s="29">
        <v>16500</v>
      </c>
      <c r="O330" s="28"/>
      <c r="P330" s="32"/>
      <c r="Q330" s="28"/>
      <c r="R330" s="32"/>
      <c r="S330" s="28"/>
      <c r="T330" s="32"/>
      <c r="U330" s="28"/>
      <c r="V330" s="32"/>
      <c r="W330" s="32"/>
      <c r="X330" s="32"/>
      <c r="Y330" s="32"/>
      <c r="Z330" s="32"/>
      <c r="AA330" s="32"/>
      <c r="AB330" s="32"/>
      <c r="AC330" s="36">
        <f>E330+G330+I330+K330+M330+O330+Q330+S330+U330+W330+Y330+AA330</f>
        <v>14</v>
      </c>
      <c r="AD330" s="33">
        <f>F330+H330+J330+L330+N330+P330+R330+T330+V330+X330+Z330+AB330</f>
        <v>23100</v>
      </c>
    </row>
    <row r="331" spans="1:30" x14ac:dyDescent="0.35">
      <c r="A331" s="5">
        <v>377</v>
      </c>
      <c r="B331" s="10" t="str">
        <f>LEFT(D331,FIND("-",D331)-1)</f>
        <v>JENU</v>
      </c>
      <c r="C331" s="27" t="s">
        <v>469</v>
      </c>
      <c r="D331" s="6" t="s">
        <v>318</v>
      </c>
      <c r="E331" s="34"/>
      <c r="F331" s="35"/>
      <c r="G331" s="30">
        <v>4</v>
      </c>
      <c r="H331" s="31">
        <v>6600</v>
      </c>
      <c r="I331" s="28"/>
      <c r="J331" s="29"/>
      <c r="K331" s="28"/>
      <c r="L331" s="29"/>
      <c r="M331" s="28">
        <v>10</v>
      </c>
      <c r="N331" s="29">
        <v>16500</v>
      </c>
      <c r="O331" s="28"/>
      <c r="P331" s="32"/>
      <c r="Q331" s="28"/>
      <c r="R331" s="32"/>
      <c r="S331" s="28"/>
      <c r="T331" s="32"/>
      <c r="U331" s="28"/>
      <c r="V331" s="32"/>
      <c r="W331" s="32"/>
      <c r="X331" s="32"/>
      <c r="Y331" s="32"/>
      <c r="Z331" s="32"/>
      <c r="AA331" s="32"/>
      <c r="AB331" s="32"/>
      <c r="AC331" s="36">
        <f>E331+G331+I331+K331+M331+O331+Q331+S331+U331+W331+Y331+AA331</f>
        <v>14</v>
      </c>
      <c r="AD331" s="33">
        <f>F331+H331+J331+L331+N331+P331+R331+T331+V331+X331+Z331+AB331</f>
        <v>23100</v>
      </c>
    </row>
    <row r="332" spans="1:30" x14ac:dyDescent="0.35">
      <c r="A332" s="5">
        <v>433</v>
      </c>
      <c r="B332" s="10" t="str">
        <f>LEFT(D332,FIND("-",D332)-1)</f>
        <v>JENQ018</v>
      </c>
      <c r="C332" s="27" t="s">
        <v>469</v>
      </c>
      <c r="D332" s="6" t="s">
        <v>510</v>
      </c>
      <c r="E332" s="34"/>
      <c r="F332" s="35"/>
      <c r="G332" s="30"/>
      <c r="H332" s="31"/>
      <c r="I332" s="28"/>
      <c r="J332" s="29"/>
      <c r="K332" s="28"/>
      <c r="L332" s="29"/>
      <c r="M332" s="28">
        <v>10</v>
      </c>
      <c r="N332" s="29">
        <v>16500</v>
      </c>
      <c r="O332" s="28"/>
      <c r="P332" s="32"/>
      <c r="Q332" s="28"/>
      <c r="R332" s="32"/>
      <c r="S332" s="28"/>
      <c r="T332" s="32"/>
      <c r="U332" s="28"/>
      <c r="V332" s="32"/>
      <c r="W332" s="32"/>
      <c r="X332" s="32"/>
      <c r="Y332" s="32"/>
      <c r="Z332" s="32"/>
      <c r="AA332" s="32"/>
      <c r="AB332" s="32"/>
      <c r="AC332" s="36">
        <f>E332+G332+I332+K332+M332+O332+Q332+S332+U332+W332+Y332+AA332</f>
        <v>10</v>
      </c>
      <c r="AD332" s="33">
        <f>F332+H332+J332+L332+N332+P332+R332+T332+V332+X332+Z332+AB332</f>
        <v>16500</v>
      </c>
    </row>
    <row r="333" spans="1:30" x14ac:dyDescent="0.35">
      <c r="A333" s="5">
        <v>288</v>
      </c>
      <c r="B333" s="10" t="str">
        <f>LEFT(D333,FIND("-",D333)-1)</f>
        <v>JELT018</v>
      </c>
      <c r="C333" s="27" t="s">
        <v>469</v>
      </c>
      <c r="D333" s="6" t="s">
        <v>22</v>
      </c>
      <c r="E333" s="34">
        <v>1</v>
      </c>
      <c r="F333" s="35">
        <v>2750</v>
      </c>
      <c r="G333" s="30">
        <v>2</v>
      </c>
      <c r="H333" s="31">
        <v>5500</v>
      </c>
      <c r="I333" s="28">
        <v>8</v>
      </c>
      <c r="J333" s="29">
        <v>22000</v>
      </c>
      <c r="K333" s="28">
        <v>11</v>
      </c>
      <c r="L333" s="29">
        <v>30250</v>
      </c>
      <c r="M333" s="28">
        <v>9</v>
      </c>
      <c r="N333" s="29">
        <v>24750</v>
      </c>
      <c r="O333" s="28"/>
      <c r="P333" s="32"/>
      <c r="Q333" s="28"/>
      <c r="R333" s="32"/>
      <c r="S333" s="28"/>
      <c r="T333" s="32"/>
      <c r="U333" s="28"/>
      <c r="V333" s="32"/>
      <c r="W333" s="32"/>
      <c r="X333" s="32"/>
      <c r="Y333" s="32"/>
      <c r="Z333" s="32"/>
      <c r="AA333" s="32"/>
      <c r="AB333" s="32"/>
      <c r="AC333" s="36">
        <f>E333+G333+I333+K333+M333+O333+Q333+S333+U333+W333+Y333+AA333</f>
        <v>31</v>
      </c>
      <c r="AD333" s="33">
        <f>F333+H333+J333+L333+N333+P333+R333+T333+V333+X333+Z333+AB333</f>
        <v>85250</v>
      </c>
    </row>
    <row r="334" spans="1:30" x14ac:dyDescent="0.35">
      <c r="A334" s="5">
        <v>173</v>
      </c>
      <c r="B334" s="10" t="str">
        <f>LEFT(D334,FIND("-",D334)-1)</f>
        <v>JELT020</v>
      </c>
      <c r="C334" s="27" t="s">
        <v>469</v>
      </c>
      <c r="D334" s="6" t="s">
        <v>23</v>
      </c>
      <c r="E334" s="34">
        <v>3</v>
      </c>
      <c r="F334" s="35">
        <v>8250</v>
      </c>
      <c r="G334" s="30">
        <v>6</v>
      </c>
      <c r="H334" s="31">
        <v>16500</v>
      </c>
      <c r="I334" s="28">
        <v>29</v>
      </c>
      <c r="J334" s="29">
        <v>79750</v>
      </c>
      <c r="K334" s="28"/>
      <c r="L334" s="29"/>
      <c r="M334" s="28">
        <v>9</v>
      </c>
      <c r="N334" s="29">
        <v>24750</v>
      </c>
      <c r="O334" s="28"/>
      <c r="P334" s="32"/>
      <c r="Q334" s="28"/>
      <c r="R334" s="32"/>
      <c r="S334" s="28"/>
      <c r="T334" s="32"/>
      <c r="U334" s="28"/>
      <c r="V334" s="32"/>
      <c r="W334" s="32"/>
      <c r="X334" s="32"/>
      <c r="Y334" s="32"/>
      <c r="Z334" s="32"/>
      <c r="AA334" s="32"/>
      <c r="AB334" s="32"/>
      <c r="AC334" s="36">
        <f>E334+G334+I334+K334+M334+O334+Q334+S334+U334+W334+Y334+AA334</f>
        <v>47</v>
      </c>
      <c r="AD334" s="33">
        <f>F334+H334+J334+L334+N334+P334+R334+T334+V334+X334+Z334+AB334</f>
        <v>129250</v>
      </c>
    </row>
    <row r="335" spans="1:30" x14ac:dyDescent="0.35">
      <c r="A335" s="5">
        <v>206</v>
      </c>
      <c r="B335" s="10" t="str">
        <f>LEFT(D335,FIND("-",D335)-1)</f>
        <v>JELT004</v>
      </c>
      <c r="C335" s="27" t="s">
        <v>469</v>
      </c>
      <c r="D335" s="6" t="s">
        <v>183</v>
      </c>
      <c r="E335" s="34">
        <v>12</v>
      </c>
      <c r="F335" s="35">
        <v>33000</v>
      </c>
      <c r="G335" s="30">
        <v>7</v>
      </c>
      <c r="H335" s="31">
        <v>19250</v>
      </c>
      <c r="I335" s="28">
        <v>7</v>
      </c>
      <c r="J335" s="29">
        <v>19250</v>
      </c>
      <c r="K335" s="28">
        <v>7</v>
      </c>
      <c r="L335" s="29">
        <v>19250</v>
      </c>
      <c r="M335" s="28">
        <v>8</v>
      </c>
      <c r="N335" s="29">
        <v>22000</v>
      </c>
      <c r="O335" s="28"/>
      <c r="P335" s="32"/>
      <c r="Q335" s="28"/>
      <c r="R335" s="32"/>
      <c r="S335" s="28"/>
      <c r="T335" s="32"/>
      <c r="U335" s="28"/>
      <c r="V335" s="32"/>
      <c r="W335" s="32"/>
      <c r="X335" s="32"/>
      <c r="Y335" s="32"/>
      <c r="Z335" s="32"/>
      <c r="AA335" s="32"/>
      <c r="AB335" s="32"/>
      <c r="AC335" s="36">
        <f>E335+G335+I335+K335+M335+O335+Q335+S335+U335+W335+Y335+AA335</f>
        <v>41</v>
      </c>
      <c r="AD335" s="33">
        <f>F335+H335+J335+L335+N335+P335+R335+T335+V335+X335+Z335+AB335</f>
        <v>112750</v>
      </c>
    </row>
    <row r="336" spans="1:30" x14ac:dyDescent="0.35">
      <c r="A336" s="5">
        <v>276</v>
      </c>
      <c r="B336" s="10" t="str">
        <f>LEFT(D336,FIND("-",D336)-1)</f>
        <v>JEIG301</v>
      </c>
      <c r="C336" s="27" t="s">
        <v>469</v>
      </c>
      <c r="D336" s="6" t="s">
        <v>16</v>
      </c>
      <c r="E336" s="34">
        <v>6</v>
      </c>
      <c r="F336" s="35">
        <v>11550</v>
      </c>
      <c r="G336" s="30">
        <v>1</v>
      </c>
      <c r="H336" s="31">
        <v>1925</v>
      </c>
      <c r="I336" s="28">
        <v>5</v>
      </c>
      <c r="J336" s="29">
        <v>9625</v>
      </c>
      <c r="K336" s="28">
        <v>5</v>
      </c>
      <c r="L336" s="29">
        <v>9625</v>
      </c>
      <c r="M336" s="28">
        <v>8</v>
      </c>
      <c r="N336" s="29">
        <v>15400</v>
      </c>
      <c r="O336" s="28"/>
      <c r="P336" s="32"/>
      <c r="Q336" s="28"/>
      <c r="R336" s="32"/>
      <c r="S336" s="28"/>
      <c r="T336" s="32"/>
      <c r="U336" s="28"/>
      <c r="V336" s="32"/>
      <c r="W336" s="32"/>
      <c r="X336" s="32"/>
      <c r="Y336" s="32"/>
      <c r="Z336" s="32"/>
      <c r="AA336" s="32"/>
      <c r="AB336" s="32"/>
      <c r="AC336" s="36">
        <f>E336+G336+I336+K336+M336+O336+Q336+S336+U336+W336+Y336+AA336</f>
        <v>25</v>
      </c>
      <c r="AD336" s="33">
        <f>F336+H336+J336+L336+N336+P336+R336+T336+V336+X336+Z336+AB336</f>
        <v>48125</v>
      </c>
    </row>
    <row r="337" spans="1:30" x14ac:dyDescent="0.35">
      <c r="A337" s="5">
        <v>406</v>
      </c>
      <c r="B337" s="10" t="str">
        <f>LEFT(D337,FIND("-",D337)-1)</f>
        <v>JQKY</v>
      </c>
      <c r="C337" s="27" t="s">
        <v>469</v>
      </c>
      <c r="D337" s="6" t="s">
        <v>337</v>
      </c>
      <c r="E337" s="34"/>
      <c r="F337" s="35"/>
      <c r="G337" s="30">
        <v>2</v>
      </c>
      <c r="H337" s="31">
        <v>3520</v>
      </c>
      <c r="I337" s="28"/>
      <c r="J337" s="29"/>
      <c r="K337" s="28">
        <v>2</v>
      </c>
      <c r="L337" s="29">
        <v>3520</v>
      </c>
      <c r="M337" s="28">
        <v>8</v>
      </c>
      <c r="N337" s="29">
        <v>14080</v>
      </c>
      <c r="O337" s="28"/>
      <c r="P337" s="32"/>
      <c r="Q337" s="28"/>
      <c r="R337" s="32"/>
      <c r="S337" s="28"/>
      <c r="T337" s="32"/>
      <c r="U337" s="28"/>
      <c r="V337" s="32"/>
      <c r="W337" s="32"/>
      <c r="X337" s="32"/>
      <c r="Y337" s="32"/>
      <c r="Z337" s="32"/>
      <c r="AA337" s="32"/>
      <c r="AB337" s="32"/>
      <c r="AC337" s="36">
        <f>E337+G337+I337+K337+M337+O337+Q337+S337+U337+W337+Y337+AA337</f>
        <v>12</v>
      </c>
      <c r="AD337" s="33">
        <f>F337+H337+J337+L337+N337+P337+R337+T337+V337+X337+Z337+AB337</f>
        <v>21120</v>
      </c>
    </row>
    <row r="338" spans="1:30" x14ac:dyDescent="0.35">
      <c r="A338" s="5">
        <v>387</v>
      </c>
      <c r="B338" s="10" t="str">
        <f>LEFT(D338,FIND("-",D338)-1)</f>
        <v>JELT009</v>
      </c>
      <c r="C338" s="27" t="s">
        <v>469</v>
      </c>
      <c r="D338" s="6" t="s">
        <v>120</v>
      </c>
      <c r="E338" s="34">
        <v>3</v>
      </c>
      <c r="F338" s="35">
        <v>8250</v>
      </c>
      <c r="G338" s="30"/>
      <c r="H338" s="31"/>
      <c r="I338" s="28"/>
      <c r="J338" s="29"/>
      <c r="K338" s="28"/>
      <c r="L338" s="29"/>
      <c r="M338" s="28">
        <v>8</v>
      </c>
      <c r="N338" s="29">
        <v>22000</v>
      </c>
      <c r="O338" s="28"/>
      <c r="P338" s="32"/>
      <c r="Q338" s="28"/>
      <c r="R338" s="32"/>
      <c r="S338" s="28"/>
      <c r="T338" s="32"/>
      <c r="U338" s="28"/>
      <c r="V338" s="32"/>
      <c r="W338" s="32"/>
      <c r="X338" s="32"/>
      <c r="Y338" s="32"/>
      <c r="Z338" s="32"/>
      <c r="AA338" s="32"/>
      <c r="AB338" s="32"/>
      <c r="AC338" s="36">
        <f>E338+G338+I338+K338+M338+O338+Q338+S338+U338+W338+Y338+AA338</f>
        <v>11</v>
      </c>
      <c r="AD338" s="33">
        <f>F338+H338+J338+L338+N338+P338+R338+T338+V338+X338+Z338+AB338</f>
        <v>30250</v>
      </c>
    </row>
    <row r="339" spans="1:30" x14ac:dyDescent="0.35">
      <c r="A339" s="5">
        <v>351</v>
      </c>
      <c r="B339" s="10" t="str">
        <f>LEFT(D339,FIND("-",D339)-1)</f>
        <v>JEBO850</v>
      </c>
      <c r="C339" s="27" t="s">
        <v>469</v>
      </c>
      <c r="D339" s="6" t="s">
        <v>164</v>
      </c>
      <c r="E339" s="34">
        <v>5</v>
      </c>
      <c r="F339" s="35">
        <v>10175</v>
      </c>
      <c r="G339" s="30"/>
      <c r="H339" s="31"/>
      <c r="I339" s="28"/>
      <c r="J339" s="29"/>
      <c r="K339" s="28">
        <v>25</v>
      </c>
      <c r="L339" s="29">
        <v>50875</v>
      </c>
      <c r="M339" s="28">
        <v>7</v>
      </c>
      <c r="N339" s="29">
        <v>14245</v>
      </c>
      <c r="O339" s="28"/>
      <c r="P339" s="32"/>
      <c r="Q339" s="28"/>
      <c r="R339" s="32"/>
      <c r="S339" s="28"/>
      <c r="T339" s="32"/>
      <c r="U339" s="28"/>
      <c r="V339" s="32"/>
      <c r="W339" s="32"/>
      <c r="X339" s="32"/>
      <c r="Y339" s="32"/>
      <c r="Z339" s="32"/>
      <c r="AA339" s="32"/>
      <c r="AB339" s="32"/>
      <c r="AC339" s="36">
        <f>E339+G339+I339+K339+M339+O339+Q339+S339+U339+W339+Y339+AA339</f>
        <v>37</v>
      </c>
      <c r="AD339" s="33">
        <f>F339+H339+J339+L339+N339+P339+R339+T339+V339+X339+Z339+AB339</f>
        <v>75295</v>
      </c>
    </row>
    <row r="340" spans="1:30" x14ac:dyDescent="0.35">
      <c r="A340" s="5">
        <v>311</v>
      </c>
      <c r="B340" s="10" t="str">
        <f>LEFT(D340,FIND("-",D340)-1)</f>
        <v>JEGG006</v>
      </c>
      <c r="C340" s="27" t="s">
        <v>469</v>
      </c>
      <c r="D340" s="6" t="s">
        <v>118</v>
      </c>
      <c r="E340" s="34">
        <v>3</v>
      </c>
      <c r="F340" s="35">
        <v>4950</v>
      </c>
      <c r="G340" s="30">
        <v>6</v>
      </c>
      <c r="H340" s="31">
        <v>9900</v>
      </c>
      <c r="I340" s="28"/>
      <c r="J340" s="29"/>
      <c r="K340" s="28">
        <v>11</v>
      </c>
      <c r="L340" s="29">
        <v>18150</v>
      </c>
      <c r="M340" s="28">
        <v>7</v>
      </c>
      <c r="N340" s="29">
        <v>11550</v>
      </c>
      <c r="O340" s="28"/>
      <c r="P340" s="32"/>
      <c r="Q340" s="28"/>
      <c r="R340" s="32"/>
      <c r="S340" s="28"/>
      <c r="T340" s="32"/>
      <c r="U340" s="28"/>
      <c r="V340" s="32"/>
      <c r="W340" s="32"/>
      <c r="X340" s="32"/>
      <c r="Y340" s="32"/>
      <c r="Z340" s="32"/>
      <c r="AA340" s="32"/>
      <c r="AB340" s="32"/>
      <c r="AC340" s="36">
        <f>E340+G340+I340+K340+M340+O340+Q340+S340+U340+W340+Y340+AA340</f>
        <v>27</v>
      </c>
      <c r="AD340" s="33">
        <f>F340+H340+J340+L340+N340+P340+R340+T340+V340+X340+Z340+AB340</f>
        <v>44550</v>
      </c>
    </row>
    <row r="341" spans="1:30" x14ac:dyDescent="0.35">
      <c r="A341" s="5">
        <v>361</v>
      </c>
      <c r="B341" s="10" t="str">
        <f>LEFT(D341,FIND("-",D341)-1)</f>
        <v>JELT019</v>
      </c>
      <c r="C341" s="27" t="s">
        <v>469</v>
      </c>
      <c r="D341" s="6" t="s">
        <v>186</v>
      </c>
      <c r="E341" s="34">
        <v>1</v>
      </c>
      <c r="F341" s="35">
        <v>2750</v>
      </c>
      <c r="G341" s="30">
        <v>2</v>
      </c>
      <c r="H341" s="31">
        <v>5500</v>
      </c>
      <c r="I341" s="28">
        <v>2</v>
      </c>
      <c r="J341" s="29">
        <v>5500</v>
      </c>
      <c r="K341" s="28"/>
      <c r="L341" s="29"/>
      <c r="M341" s="28">
        <v>7</v>
      </c>
      <c r="N341" s="29">
        <v>19250</v>
      </c>
      <c r="O341" s="28"/>
      <c r="P341" s="32"/>
      <c r="Q341" s="28"/>
      <c r="R341" s="32"/>
      <c r="S341" s="28"/>
      <c r="T341" s="32"/>
      <c r="U341" s="28"/>
      <c r="V341" s="32"/>
      <c r="W341" s="32"/>
      <c r="X341" s="32"/>
      <c r="Y341" s="32"/>
      <c r="Z341" s="32"/>
      <c r="AA341" s="32"/>
      <c r="AB341" s="32"/>
      <c r="AC341" s="36">
        <f>E341+G341+I341+K341+M341+O341+Q341+S341+U341+W341+Y341+AA341</f>
        <v>12</v>
      </c>
      <c r="AD341" s="33">
        <f>F341+H341+J341+L341+N341+P341+R341+T341+V341+X341+Z341+AB341</f>
        <v>33000</v>
      </c>
    </row>
    <row r="342" spans="1:30" x14ac:dyDescent="0.35">
      <c r="A342" s="5">
        <v>433</v>
      </c>
      <c r="B342" s="10" t="str">
        <f>LEFT(D342,FIND("-",D342)-1)</f>
        <v>JELT027</v>
      </c>
      <c r="C342" s="27" t="s">
        <v>469</v>
      </c>
      <c r="D342" s="6" t="s">
        <v>507</v>
      </c>
      <c r="E342" s="34"/>
      <c r="F342" s="35"/>
      <c r="G342" s="30"/>
      <c r="H342" s="31"/>
      <c r="I342" s="28"/>
      <c r="J342" s="29"/>
      <c r="K342" s="28"/>
      <c r="L342" s="29"/>
      <c r="M342" s="28">
        <v>7</v>
      </c>
      <c r="N342" s="29">
        <v>19250</v>
      </c>
      <c r="O342" s="28"/>
      <c r="P342" s="32"/>
      <c r="Q342" s="28"/>
      <c r="R342" s="32"/>
      <c r="S342" s="28"/>
      <c r="T342" s="32"/>
      <c r="U342" s="28"/>
      <c r="V342" s="32"/>
      <c r="W342" s="32"/>
      <c r="X342" s="32"/>
      <c r="Y342" s="32"/>
      <c r="Z342" s="32"/>
      <c r="AA342" s="32"/>
      <c r="AB342" s="32"/>
      <c r="AC342" s="36">
        <f>E342+G342+I342+K342+M342+O342+Q342+S342+U342+W342+Y342+AA342</f>
        <v>7</v>
      </c>
      <c r="AD342" s="33">
        <f>F342+H342+J342+L342+N342+P342+R342+T342+V342+X342+Z342+AB342</f>
        <v>19250</v>
      </c>
    </row>
    <row r="343" spans="1:30" x14ac:dyDescent="0.35">
      <c r="A343" s="5">
        <v>205</v>
      </c>
      <c r="B343" s="10" t="str">
        <f>LEFT(D343,FIND("-",D343)-1)</f>
        <v>JEIC303</v>
      </c>
      <c r="C343" s="27" t="s">
        <v>469</v>
      </c>
      <c r="D343" s="6" t="s">
        <v>178</v>
      </c>
      <c r="E343" s="34">
        <v>10</v>
      </c>
      <c r="F343" s="35">
        <v>11000</v>
      </c>
      <c r="G343" s="30">
        <v>4</v>
      </c>
      <c r="H343" s="31">
        <v>4400</v>
      </c>
      <c r="I343" s="28">
        <v>12</v>
      </c>
      <c r="J343" s="29">
        <v>13200</v>
      </c>
      <c r="K343" s="28">
        <v>16</v>
      </c>
      <c r="L343" s="29">
        <v>17600</v>
      </c>
      <c r="M343" s="28">
        <v>6</v>
      </c>
      <c r="N343" s="29">
        <v>6600</v>
      </c>
      <c r="O343" s="28"/>
      <c r="P343" s="32"/>
      <c r="Q343" s="28"/>
      <c r="R343" s="32"/>
      <c r="S343" s="28"/>
      <c r="T343" s="32"/>
      <c r="U343" s="28"/>
      <c r="V343" s="32"/>
      <c r="W343" s="32"/>
      <c r="X343" s="32"/>
      <c r="Y343" s="32"/>
      <c r="Z343" s="32"/>
      <c r="AA343" s="32"/>
      <c r="AB343" s="32"/>
      <c r="AC343" s="36">
        <f>E343+G343+I343+K343+M343+O343+Q343+S343+U343+W343+Y343+AA343</f>
        <v>48</v>
      </c>
      <c r="AD343" s="33">
        <f>F343+H343+J343+L343+N343+P343+R343+T343+V343+X343+Z343+AB343</f>
        <v>52800</v>
      </c>
    </row>
    <row r="344" spans="1:30" x14ac:dyDescent="0.35">
      <c r="A344" s="5">
        <v>224</v>
      </c>
      <c r="B344" s="10" t="str">
        <f>LEFT(D344,FIND("-",D344)-1)</f>
        <v>JEGG003</v>
      </c>
      <c r="C344" s="27" t="s">
        <v>469</v>
      </c>
      <c r="D344" s="6" t="s">
        <v>279</v>
      </c>
      <c r="E344" s="34"/>
      <c r="F344" s="35"/>
      <c r="G344" s="30">
        <v>13</v>
      </c>
      <c r="H344" s="31">
        <v>21450</v>
      </c>
      <c r="I344" s="28">
        <v>9</v>
      </c>
      <c r="J344" s="29">
        <v>14850</v>
      </c>
      <c r="K344" s="28">
        <v>11</v>
      </c>
      <c r="L344" s="29">
        <v>18150</v>
      </c>
      <c r="M344" s="28">
        <v>6</v>
      </c>
      <c r="N344" s="29">
        <v>9900</v>
      </c>
      <c r="O344" s="28"/>
      <c r="P344" s="32"/>
      <c r="Q344" s="28"/>
      <c r="R344" s="32"/>
      <c r="S344" s="28"/>
      <c r="T344" s="32"/>
      <c r="U344" s="28"/>
      <c r="V344" s="32"/>
      <c r="W344" s="32"/>
      <c r="X344" s="32"/>
      <c r="Y344" s="32"/>
      <c r="Z344" s="32"/>
      <c r="AA344" s="32"/>
      <c r="AB344" s="32"/>
      <c r="AC344" s="37">
        <f>E344+G344+I344+K344+M344+O344+Q344+S344+U344+W344+Y344+AA344</f>
        <v>39</v>
      </c>
      <c r="AD344" s="33">
        <f>F344+H344+J344+L344+N344+P344+R344+T344+V344+X344+Z344+AB344</f>
        <v>64350</v>
      </c>
    </row>
    <row r="345" spans="1:30" x14ac:dyDescent="0.35">
      <c r="A345" s="5">
        <v>221</v>
      </c>
      <c r="B345" s="10" t="str">
        <f>LEFT(D345,FIND("-",D345)-1)</f>
        <v>JELT021</v>
      </c>
      <c r="C345" s="27" t="s">
        <v>469</v>
      </c>
      <c r="D345" s="6" t="s">
        <v>65</v>
      </c>
      <c r="E345" s="34">
        <v>3</v>
      </c>
      <c r="F345" s="35">
        <v>8250</v>
      </c>
      <c r="G345" s="30">
        <v>10</v>
      </c>
      <c r="H345" s="31">
        <v>27500</v>
      </c>
      <c r="I345" s="28">
        <v>10</v>
      </c>
      <c r="J345" s="29">
        <v>27500</v>
      </c>
      <c r="K345" s="28">
        <v>3</v>
      </c>
      <c r="L345" s="29">
        <v>8250</v>
      </c>
      <c r="M345" s="28">
        <v>6</v>
      </c>
      <c r="N345" s="29">
        <v>16500</v>
      </c>
      <c r="O345" s="28"/>
      <c r="P345" s="32"/>
      <c r="Q345" s="28"/>
      <c r="R345" s="32"/>
      <c r="S345" s="28"/>
      <c r="T345" s="32"/>
      <c r="U345" s="28"/>
      <c r="V345" s="32"/>
      <c r="W345" s="32"/>
      <c r="X345" s="32"/>
      <c r="Y345" s="32"/>
      <c r="Z345" s="32"/>
      <c r="AA345" s="32"/>
      <c r="AB345" s="32"/>
      <c r="AC345" s="36">
        <f>E345+G345+I345+K345+M345+O345+Q345+S345+U345+W345+Y345+AA345</f>
        <v>32</v>
      </c>
      <c r="AD345" s="33">
        <f>F345+H345+J345+L345+N345+P345+R345+T345+V345+X345+Z345+AB345</f>
        <v>88000</v>
      </c>
    </row>
    <row r="346" spans="1:30" x14ac:dyDescent="0.35">
      <c r="A346" s="5">
        <v>182</v>
      </c>
      <c r="B346" s="10" t="str">
        <f>LEFT(D346,FIND("-",D346)-1)</f>
        <v>JEAM042</v>
      </c>
      <c r="C346" s="27" t="s">
        <v>469</v>
      </c>
      <c r="D346" s="6" t="s">
        <v>270</v>
      </c>
      <c r="E346" s="34"/>
      <c r="F346" s="35"/>
      <c r="G346" s="30">
        <v>30</v>
      </c>
      <c r="H346" s="31">
        <v>115500</v>
      </c>
      <c r="I346" s="28">
        <v>2</v>
      </c>
      <c r="J346" s="29">
        <v>7700</v>
      </c>
      <c r="K346" s="28">
        <v>3</v>
      </c>
      <c r="L346" s="29">
        <v>11550</v>
      </c>
      <c r="M346" s="28">
        <v>6</v>
      </c>
      <c r="N346" s="29">
        <v>23100</v>
      </c>
      <c r="O346" s="28"/>
      <c r="P346" s="32"/>
      <c r="Q346" s="28"/>
      <c r="R346" s="32"/>
      <c r="S346" s="28"/>
      <c r="T346" s="32"/>
      <c r="U346" s="28"/>
      <c r="V346" s="32"/>
      <c r="W346" s="32"/>
      <c r="X346" s="32"/>
      <c r="Y346" s="32"/>
      <c r="Z346" s="32"/>
      <c r="AA346" s="32"/>
      <c r="AB346" s="32"/>
      <c r="AC346" s="37">
        <f>E346+G346+I346+K346+M346+O346+Q346+S346+U346+W346+Y346+AA346</f>
        <v>41</v>
      </c>
      <c r="AD346" s="33">
        <f>F346+H346+J346+L346+N346+P346+R346+T346+V346+X346+Z346+AB346</f>
        <v>157850</v>
      </c>
    </row>
    <row r="347" spans="1:30" x14ac:dyDescent="0.35">
      <c r="A347" s="5">
        <v>189</v>
      </c>
      <c r="B347" s="10" t="str">
        <f>LEFT(D347,FIND("-",D347)-1)</f>
        <v>JEAM046</v>
      </c>
      <c r="C347" s="27" t="s">
        <v>469</v>
      </c>
      <c r="D347" s="6" t="s">
        <v>271</v>
      </c>
      <c r="E347" s="34"/>
      <c r="F347" s="35"/>
      <c r="G347" s="30">
        <v>30</v>
      </c>
      <c r="H347" s="31">
        <v>115500</v>
      </c>
      <c r="I347" s="28"/>
      <c r="J347" s="29"/>
      <c r="K347" s="28">
        <v>3</v>
      </c>
      <c r="L347" s="29">
        <v>11550</v>
      </c>
      <c r="M347" s="28">
        <v>6</v>
      </c>
      <c r="N347" s="29">
        <v>23100</v>
      </c>
      <c r="O347" s="28"/>
      <c r="P347" s="32"/>
      <c r="Q347" s="28"/>
      <c r="R347" s="32"/>
      <c r="S347" s="28"/>
      <c r="T347" s="32"/>
      <c r="U347" s="28"/>
      <c r="V347" s="32"/>
      <c r="W347" s="32"/>
      <c r="X347" s="32"/>
      <c r="Y347" s="32"/>
      <c r="Z347" s="32"/>
      <c r="AA347" s="32"/>
      <c r="AB347" s="32"/>
      <c r="AC347" s="36">
        <f>E347+G347+I347+K347+M347+O347+Q347+S347+U347+W347+Y347+AA347</f>
        <v>39</v>
      </c>
      <c r="AD347" s="33">
        <f>F347+H347+J347+L347+N347+P347+R347+T347+V347+X347+Z347+AB347</f>
        <v>150150</v>
      </c>
    </row>
    <row r="348" spans="1:30" x14ac:dyDescent="0.35">
      <c r="A348" s="5">
        <v>457</v>
      </c>
      <c r="B348" s="10" t="str">
        <f>LEFT(D348,FIND("-",D348)-1)</f>
        <v>JQKZ</v>
      </c>
      <c r="C348" s="27" t="s">
        <v>469</v>
      </c>
      <c r="D348" s="6" t="s">
        <v>496</v>
      </c>
      <c r="E348" s="34"/>
      <c r="F348" s="35"/>
      <c r="G348" s="30"/>
      <c r="H348" s="31"/>
      <c r="I348" s="28"/>
      <c r="J348" s="29"/>
      <c r="K348" s="28">
        <v>2</v>
      </c>
      <c r="L348" s="29">
        <v>3520</v>
      </c>
      <c r="M348" s="28">
        <v>6</v>
      </c>
      <c r="N348" s="29">
        <v>10560</v>
      </c>
      <c r="O348" s="28"/>
      <c r="P348" s="32"/>
      <c r="Q348" s="28"/>
      <c r="R348" s="32"/>
      <c r="S348" s="28"/>
      <c r="T348" s="32"/>
      <c r="U348" s="28"/>
      <c r="V348" s="32"/>
      <c r="W348" s="32"/>
      <c r="X348" s="32"/>
      <c r="Y348" s="32"/>
      <c r="Z348" s="32"/>
      <c r="AA348" s="32"/>
      <c r="AB348" s="32"/>
      <c r="AC348" s="37">
        <f>E348+G348+I348+K348+M348+O348+Q348+S348+U348+W348+Y348+AA348</f>
        <v>8</v>
      </c>
      <c r="AD348" s="33">
        <f>F348+H348+J348+L348+N348+P348+R348+T348+V348+X348+Z348+AB348</f>
        <v>14080</v>
      </c>
    </row>
    <row r="349" spans="1:30" x14ac:dyDescent="0.35">
      <c r="A349" s="5">
        <v>222</v>
      </c>
      <c r="B349" s="10" t="str">
        <f>LEFT(D349,FIND("-",D349)-1)</f>
        <v>JLRI</v>
      </c>
      <c r="C349" s="27" t="s">
        <v>469</v>
      </c>
      <c r="D349" s="6" t="s">
        <v>331</v>
      </c>
      <c r="E349" s="34"/>
      <c r="F349" s="35"/>
      <c r="G349" s="30">
        <v>23</v>
      </c>
      <c r="H349" s="31">
        <v>246675</v>
      </c>
      <c r="I349" s="28"/>
      <c r="J349" s="29"/>
      <c r="K349" s="28"/>
      <c r="L349" s="29"/>
      <c r="M349" s="28">
        <v>6</v>
      </c>
      <c r="N349" s="29">
        <v>64350</v>
      </c>
      <c r="O349" s="28"/>
      <c r="P349" s="32"/>
      <c r="Q349" s="28"/>
      <c r="R349" s="32"/>
      <c r="S349" s="28"/>
      <c r="T349" s="32"/>
      <c r="U349" s="28"/>
      <c r="V349" s="32"/>
      <c r="W349" s="32"/>
      <c r="X349" s="32"/>
      <c r="Y349" s="32"/>
      <c r="Z349" s="32"/>
      <c r="AA349" s="32"/>
      <c r="AB349" s="32"/>
      <c r="AC349" s="37">
        <f>E349+G349+I349+K349+M349+O349+Q349+S349+U349+W349+Y349+AA349</f>
        <v>29</v>
      </c>
      <c r="AD349" s="33">
        <f>F349+H349+J349+L349+N349+P349+R349+T349+V349+X349+Z349+AB349</f>
        <v>311025</v>
      </c>
    </row>
    <row r="350" spans="1:30" x14ac:dyDescent="0.35">
      <c r="A350" s="5">
        <v>83</v>
      </c>
      <c r="B350" s="10" t="str">
        <f>LEFT(D350,FIND("-",D350)-1)</f>
        <v>JQHI</v>
      </c>
      <c r="C350" s="27" t="s">
        <v>469</v>
      </c>
      <c r="D350" s="6" t="s">
        <v>27</v>
      </c>
      <c r="E350" s="34">
        <v>4</v>
      </c>
      <c r="F350" s="35">
        <v>9240</v>
      </c>
      <c r="G350" s="30">
        <v>12</v>
      </c>
      <c r="H350" s="31">
        <v>27720</v>
      </c>
      <c r="I350" s="28">
        <v>111</v>
      </c>
      <c r="J350" s="29">
        <v>256410</v>
      </c>
      <c r="K350" s="28">
        <v>134</v>
      </c>
      <c r="L350" s="29">
        <v>309540</v>
      </c>
      <c r="M350" s="28">
        <v>5</v>
      </c>
      <c r="N350" s="29">
        <v>11550</v>
      </c>
      <c r="O350" s="28"/>
      <c r="P350" s="32"/>
      <c r="Q350" s="28"/>
      <c r="R350" s="32"/>
      <c r="S350" s="28"/>
      <c r="T350" s="32"/>
      <c r="U350" s="28"/>
      <c r="V350" s="32"/>
      <c r="W350" s="32"/>
      <c r="X350" s="32"/>
      <c r="Y350" s="32"/>
      <c r="Z350" s="32"/>
      <c r="AA350" s="32"/>
      <c r="AB350" s="32"/>
      <c r="AC350" s="36">
        <f>E350+G350+I350+K350+M350+O350+Q350+S350+U350+W350+Y350+AA350</f>
        <v>266</v>
      </c>
      <c r="AD350" s="33">
        <f>F350+H350+J350+L350+N350+P350+R350+T350+V350+X350+Z350+AB350</f>
        <v>614460</v>
      </c>
    </row>
    <row r="351" spans="1:30" x14ac:dyDescent="0.35">
      <c r="A351" s="5">
        <v>152</v>
      </c>
      <c r="B351" s="10" t="str">
        <f>LEFT(D351,FIND("-",D351)-1)</f>
        <v>JEIH001</v>
      </c>
      <c r="C351" s="27" t="s">
        <v>469</v>
      </c>
      <c r="D351" s="6" t="s">
        <v>63</v>
      </c>
      <c r="E351" s="34">
        <v>20</v>
      </c>
      <c r="F351" s="35">
        <v>22000</v>
      </c>
      <c r="G351" s="30">
        <v>25</v>
      </c>
      <c r="H351" s="31">
        <v>27500</v>
      </c>
      <c r="I351" s="28">
        <v>14</v>
      </c>
      <c r="J351" s="29">
        <v>15400</v>
      </c>
      <c r="K351" s="28">
        <v>40</v>
      </c>
      <c r="L351" s="29">
        <v>44000</v>
      </c>
      <c r="M351" s="28">
        <v>5</v>
      </c>
      <c r="N351" s="29">
        <v>5500</v>
      </c>
      <c r="O351" s="28"/>
      <c r="P351" s="32"/>
      <c r="Q351" s="28"/>
      <c r="R351" s="32"/>
      <c r="S351" s="28"/>
      <c r="T351" s="32"/>
      <c r="U351" s="28"/>
      <c r="V351" s="32"/>
      <c r="W351" s="32"/>
      <c r="X351" s="32"/>
      <c r="Y351" s="32"/>
      <c r="Z351" s="32"/>
      <c r="AA351" s="32"/>
      <c r="AB351" s="32"/>
      <c r="AC351" s="36">
        <f>E351+G351+I351+K351+M351+O351+Q351+S351+U351+W351+Y351+AA351</f>
        <v>104</v>
      </c>
      <c r="AD351" s="33">
        <f>F351+H351+J351+L351+N351+P351+R351+T351+V351+X351+Z351+AB351</f>
        <v>114400</v>
      </c>
    </row>
    <row r="352" spans="1:30" x14ac:dyDescent="0.35">
      <c r="A352" s="5">
        <v>243</v>
      </c>
      <c r="B352" s="10" t="str">
        <f>LEFT(D352,FIND("-",D352)-1)</f>
        <v>JVJL</v>
      </c>
      <c r="C352" s="27" t="s">
        <v>469</v>
      </c>
      <c r="D352" s="6" t="s">
        <v>344</v>
      </c>
      <c r="E352" s="34"/>
      <c r="F352" s="35"/>
      <c r="G352" s="30">
        <v>17</v>
      </c>
      <c r="H352" s="31">
        <v>93500</v>
      </c>
      <c r="I352" s="28">
        <v>1</v>
      </c>
      <c r="J352" s="29">
        <v>5500</v>
      </c>
      <c r="K352" s="28">
        <v>28</v>
      </c>
      <c r="L352" s="29">
        <v>154000</v>
      </c>
      <c r="M352" s="28">
        <v>5</v>
      </c>
      <c r="N352" s="29">
        <v>27500</v>
      </c>
      <c r="O352" s="28"/>
      <c r="P352" s="32"/>
      <c r="Q352" s="28"/>
      <c r="R352" s="32"/>
      <c r="S352" s="28"/>
      <c r="T352" s="32"/>
      <c r="U352" s="28"/>
      <c r="V352" s="32"/>
      <c r="W352" s="32"/>
      <c r="X352" s="32"/>
      <c r="Y352" s="32"/>
      <c r="Z352" s="32"/>
      <c r="AA352" s="32"/>
      <c r="AB352" s="32"/>
      <c r="AC352" s="37">
        <f>E352+G352+I352+K352+M352+O352+Q352+S352+U352+W352+Y352+AA352</f>
        <v>51</v>
      </c>
      <c r="AD352" s="33">
        <f>F352+H352+J352+L352+N352+P352+R352+T352+V352+X352+Z352+AB352</f>
        <v>280500</v>
      </c>
    </row>
    <row r="353" spans="1:30" x14ac:dyDescent="0.35">
      <c r="A353" s="5">
        <v>278</v>
      </c>
      <c r="B353" s="10" t="str">
        <f>LEFT(D353,FIND("-",D353)-1)</f>
        <v>JSUL001</v>
      </c>
      <c r="C353" s="27" t="s">
        <v>469</v>
      </c>
      <c r="D353" s="6" t="s">
        <v>338</v>
      </c>
      <c r="E353" s="34"/>
      <c r="F353" s="35"/>
      <c r="G353" s="30">
        <v>10</v>
      </c>
      <c r="H353" s="31">
        <v>17600</v>
      </c>
      <c r="I353" s="28">
        <v>2</v>
      </c>
      <c r="J353" s="29">
        <v>3520</v>
      </c>
      <c r="K353" s="28">
        <v>12</v>
      </c>
      <c r="L353" s="29">
        <v>21120</v>
      </c>
      <c r="M353" s="28">
        <v>5</v>
      </c>
      <c r="N353" s="29">
        <v>8800</v>
      </c>
      <c r="O353" s="28"/>
      <c r="P353" s="32"/>
      <c r="Q353" s="28"/>
      <c r="R353" s="32"/>
      <c r="S353" s="28"/>
      <c r="T353" s="32"/>
      <c r="U353" s="28"/>
      <c r="V353" s="32"/>
      <c r="W353" s="32"/>
      <c r="X353" s="32"/>
      <c r="Y353" s="32"/>
      <c r="Z353" s="32"/>
      <c r="AA353" s="32"/>
      <c r="AB353" s="32"/>
      <c r="AC353" s="37">
        <f>E353+G353+I353+K353+M353+O353+Q353+S353+U353+W353+Y353+AA353</f>
        <v>29</v>
      </c>
      <c r="AD353" s="33">
        <f>F353+H353+J353+L353+N353+P353+R353+T353+V353+X353+Z353+AB353</f>
        <v>51040</v>
      </c>
    </row>
    <row r="354" spans="1:30" x14ac:dyDescent="0.35">
      <c r="A354" s="5">
        <v>175</v>
      </c>
      <c r="B354" s="10" t="str">
        <f>LEFT(D354,FIND("-",D354)-1)</f>
        <v>JELT002</v>
      </c>
      <c r="C354" s="27" t="s">
        <v>469</v>
      </c>
      <c r="D354" s="6" t="s">
        <v>18</v>
      </c>
      <c r="E354" s="34">
        <v>1</v>
      </c>
      <c r="F354" s="35">
        <v>2750</v>
      </c>
      <c r="G354" s="30">
        <v>5</v>
      </c>
      <c r="H354" s="31">
        <v>13750</v>
      </c>
      <c r="I354" s="28">
        <v>30</v>
      </c>
      <c r="J354" s="29">
        <v>82500</v>
      </c>
      <c r="K354" s="28">
        <v>7</v>
      </c>
      <c r="L354" s="29">
        <v>19250</v>
      </c>
      <c r="M354" s="28">
        <v>5</v>
      </c>
      <c r="N354" s="29">
        <v>13750</v>
      </c>
      <c r="O354" s="28"/>
      <c r="P354" s="32"/>
      <c r="Q354" s="28"/>
      <c r="R354" s="32"/>
      <c r="S354" s="28"/>
      <c r="T354" s="32"/>
      <c r="U354" s="28"/>
      <c r="V354" s="32"/>
      <c r="W354" s="32"/>
      <c r="X354" s="32"/>
      <c r="Y354" s="32"/>
      <c r="Z354" s="32"/>
      <c r="AA354" s="32"/>
      <c r="AB354" s="32"/>
      <c r="AC354" s="37">
        <f>E354+G354+I354+K354+M354+O354+Q354+S354+U354+W354+Y354+AA354</f>
        <v>48</v>
      </c>
      <c r="AD354" s="33">
        <f>F354+H354+J354+L354+N354+P354+R354+T354+V354+X354+Z354+AB354</f>
        <v>132000</v>
      </c>
    </row>
    <row r="355" spans="1:30" x14ac:dyDescent="0.35">
      <c r="A355" s="5">
        <v>225</v>
      </c>
      <c r="B355" s="10" t="str">
        <f>LEFT(D355,FIND("-",D355)-1)</f>
        <v>JEGG009</v>
      </c>
      <c r="C355" s="27" t="s">
        <v>469</v>
      </c>
      <c r="D355" s="6" t="s">
        <v>10</v>
      </c>
      <c r="E355" s="34">
        <v>6</v>
      </c>
      <c r="F355" s="35">
        <v>9900</v>
      </c>
      <c r="G355" s="30">
        <v>16</v>
      </c>
      <c r="H355" s="31">
        <v>26400</v>
      </c>
      <c r="I355" s="28"/>
      <c r="J355" s="29"/>
      <c r="K355" s="28">
        <v>7</v>
      </c>
      <c r="L355" s="29">
        <v>11550</v>
      </c>
      <c r="M355" s="28">
        <v>5</v>
      </c>
      <c r="N355" s="29">
        <v>8250</v>
      </c>
      <c r="O355" s="28"/>
      <c r="P355" s="32"/>
      <c r="Q355" s="28"/>
      <c r="R355" s="32"/>
      <c r="S355" s="28"/>
      <c r="T355" s="32"/>
      <c r="U355" s="28"/>
      <c r="V355" s="32"/>
      <c r="W355" s="32"/>
      <c r="X355" s="32"/>
      <c r="Y355" s="32"/>
      <c r="Z355" s="32"/>
      <c r="AA355" s="32"/>
      <c r="AB355" s="32"/>
      <c r="AC355" s="36">
        <f>E355+G355+I355+K355+M355+O355+Q355+S355+U355+W355+Y355+AA355</f>
        <v>34</v>
      </c>
      <c r="AD355" s="33">
        <f>F355+H355+J355+L355+N355+P355+R355+T355+V355+X355+Z355+AB355</f>
        <v>56100</v>
      </c>
    </row>
    <row r="356" spans="1:30" x14ac:dyDescent="0.35">
      <c r="A356" s="5">
        <v>401</v>
      </c>
      <c r="B356" s="10" t="str">
        <f>LEFT(D356,FIND("-",D356)-1)</f>
        <v>JEBP202</v>
      </c>
      <c r="C356" s="27" t="s">
        <v>469</v>
      </c>
      <c r="D356" s="6" t="s">
        <v>165</v>
      </c>
      <c r="E356" s="34">
        <v>2</v>
      </c>
      <c r="F356" s="35">
        <v>5720</v>
      </c>
      <c r="G356" s="30"/>
      <c r="H356" s="31"/>
      <c r="I356" s="28"/>
      <c r="J356" s="29"/>
      <c r="K356" s="28">
        <v>5</v>
      </c>
      <c r="L356" s="29">
        <v>14300</v>
      </c>
      <c r="M356" s="28">
        <v>5</v>
      </c>
      <c r="N356" s="29">
        <v>14300</v>
      </c>
      <c r="O356" s="28"/>
      <c r="P356" s="32"/>
      <c r="Q356" s="28"/>
      <c r="R356" s="32"/>
      <c r="S356" s="28"/>
      <c r="T356" s="32"/>
      <c r="U356" s="28"/>
      <c r="V356" s="32"/>
      <c r="W356" s="32"/>
      <c r="X356" s="32"/>
      <c r="Y356" s="32"/>
      <c r="Z356" s="32"/>
      <c r="AA356" s="32"/>
      <c r="AB356" s="32"/>
      <c r="AC356" s="37">
        <f>E356+G356+I356+K356+M356+O356+Q356+S356+U356+W356+Y356+AA356</f>
        <v>12</v>
      </c>
      <c r="AD356" s="33">
        <f>F356+H356+J356+L356+N356+P356+R356+T356+V356+X356+Z356+AB356</f>
        <v>34320</v>
      </c>
    </row>
    <row r="357" spans="1:30" x14ac:dyDescent="0.35">
      <c r="A357" s="5">
        <v>207</v>
      </c>
      <c r="B357" s="10" t="str">
        <f>LEFT(D357,FIND("-",D357)-1)</f>
        <v>JELT017</v>
      </c>
      <c r="C357" s="27" t="s">
        <v>469</v>
      </c>
      <c r="D357" s="6" t="s">
        <v>185</v>
      </c>
      <c r="E357" s="34">
        <v>3</v>
      </c>
      <c r="F357" s="35">
        <v>8250</v>
      </c>
      <c r="G357" s="30">
        <v>6</v>
      </c>
      <c r="H357" s="31">
        <v>16500</v>
      </c>
      <c r="I357" s="28">
        <v>17</v>
      </c>
      <c r="J357" s="29">
        <v>46750</v>
      </c>
      <c r="K357" s="28">
        <v>3</v>
      </c>
      <c r="L357" s="29">
        <v>8250</v>
      </c>
      <c r="M357" s="28">
        <v>5</v>
      </c>
      <c r="N357" s="29">
        <v>13750</v>
      </c>
      <c r="O357" s="28"/>
      <c r="P357" s="32"/>
      <c r="Q357" s="28"/>
      <c r="R357" s="32"/>
      <c r="S357" s="28"/>
      <c r="T357" s="32"/>
      <c r="U357" s="28"/>
      <c r="V357" s="32"/>
      <c r="W357" s="32"/>
      <c r="X357" s="32"/>
      <c r="Y357" s="32"/>
      <c r="Z357" s="32"/>
      <c r="AA357" s="32"/>
      <c r="AB357" s="32"/>
      <c r="AC357" s="36">
        <f>E357+G357+I357+K357+M357+O357+Q357+S357+U357+W357+Y357+AA357</f>
        <v>34</v>
      </c>
      <c r="AD357" s="33">
        <f>F357+H357+J357+L357+N357+P357+R357+T357+V357+X357+Z357+AB357</f>
        <v>93500</v>
      </c>
    </row>
    <row r="358" spans="1:30" x14ac:dyDescent="0.35">
      <c r="A358" s="5">
        <v>217</v>
      </c>
      <c r="B358" s="10" t="str">
        <f>LEFT(D358,FIND("-",D358)-1)</f>
        <v>JLRC</v>
      </c>
      <c r="C358" s="27" t="s">
        <v>469</v>
      </c>
      <c r="D358" s="6" t="s">
        <v>326</v>
      </c>
      <c r="E358" s="34"/>
      <c r="F358" s="35"/>
      <c r="G358" s="30">
        <v>24</v>
      </c>
      <c r="H358" s="31">
        <v>389400</v>
      </c>
      <c r="I358" s="28"/>
      <c r="J358" s="29"/>
      <c r="K358" s="28"/>
      <c r="L358" s="29"/>
      <c r="M358" s="28">
        <v>5</v>
      </c>
      <c r="N358" s="29">
        <v>81125</v>
      </c>
      <c r="O358" s="28"/>
      <c r="P358" s="32"/>
      <c r="Q358" s="28"/>
      <c r="R358" s="32"/>
      <c r="S358" s="28"/>
      <c r="T358" s="32"/>
      <c r="U358" s="28"/>
      <c r="V358" s="32"/>
      <c r="W358" s="32"/>
      <c r="X358" s="32"/>
      <c r="Y358" s="32"/>
      <c r="Z358" s="32"/>
      <c r="AA358" s="32"/>
      <c r="AB358" s="32"/>
      <c r="AC358" s="36">
        <f>E358+G358+I358+K358+M358+O358+Q358+S358+U358+W358+Y358+AA358</f>
        <v>29</v>
      </c>
      <c r="AD358" s="33">
        <f>F358+H358+J358+L358+N358+P358+R358+T358+V358+X358+Z358+AB358</f>
        <v>470525</v>
      </c>
    </row>
    <row r="359" spans="1:30" x14ac:dyDescent="0.35">
      <c r="A359" s="5">
        <v>293</v>
      </c>
      <c r="B359" s="10" t="str">
        <f>LEFT(D359,FIND("-",D359)-1)</f>
        <v>JEGG007</v>
      </c>
      <c r="C359" s="27" t="s">
        <v>469</v>
      </c>
      <c r="D359" s="6" t="s">
        <v>59</v>
      </c>
      <c r="E359" s="34">
        <v>4</v>
      </c>
      <c r="F359" s="35">
        <v>6600</v>
      </c>
      <c r="G359" s="30">
        <v>6</v>
      </c>
      <c r="H359" s="31">
        <v>9900</v>
      </c>
      <c r="I359" s="28"/>
      <c r="J359" s="29"/>
      <c r="K359" s="28"/>
      <c r="L359" s="29"/>
      <c r="M359" s="28">
        <v>5</v>
      </c>
      <c r="N359" s="29">
        <v>8250</v>
      </c>
      <c r="O359" s="28"/>
      <c r="P359" s="32"/>
      <c r="Q359" s="28"/>
      <c r="R359" s="32"/>
      <c r="S359" s="28"/>
      <c r="T359" s="32"/>
      <c r="U359" s="28"/>
      <c r="V359" s="32"/>
      <c r="W359" s="32"/>
      <c r="X359" s="32"/>
      <c r="Y359" s="32"/>
      <c r="Z359" s="32"/>
      <c r="AA359" s="32"/>
      <c r="AB359" s="32"/>
      <c r="AC359" s="36">
        <f>E359+G359+I359+K359+M359+O359+Q359+S359+U359+W359+Y359+AA359</f>
        <v>15</v>
      </c>
      <c r="AD359" s="33">
        <f>F359+H359+J359+L359+N359+P359+R359+T359+V359+X359+Z359+AB359</f>
        <v>24750</v>
      </c>
    </row>
    <row r="360" spans="1:30" x14ac:dyDescent="0.35">
      <c r="A360" s="5">
        <v>359</v>
      </c>
      <c r="B360" s="10" t="str">
        <f>LEFT(D360,FIND("-",D360)-1)</f>
        <v>JEJB001</v>
      </c>
      <c r="C360" s="27" t="s">
        <v>469</v>
      </c>
      <c r="D360" s="6" t="s">
        <v>181</v>
      </c>
      <c r="E360" s="34">
        <v>5</v>
      </c>
      <c r="F360" s="35">
        <v>11550</v>
      </c>
      <c r="G360" s="30"/>
      <c r="H360" s="31"/>
      <c r="I360" s="28"/>
      <c r="J360" s="29"/>
      <c r="K360" s="28"/>
      <c r="L360" s="29"/>
      <c r="M360" s="28">
        <v>5</v>
      </c>
      <c r="N360" s="29">
        <v>11550</v>
      </c>
      <c r="O360" s="28"/>
      <c r="P360" s="32"/>
      <c r="Q360" s="28"/>
      <c r="R360" s="32"/>
      <c r="S360" s="28"/>
      <c r="T360" s="32"/>
      <c r="U360" s="28"/>
      <c r="V360" s="32"/>
      <c r="W360" s="32"/>
      <c r="X360" s="32"/>
      <c r="Y360" s="32"/>
      <c r="Z360" s="32"/>
      <c r="AA360" s="32"/>
      <c r="AB360" s="32"/>
      <c r="AC360" s="36">
        <f>E360+G360+I360+K360+M360+O360+Q360+S360+U360+W360+Y360+AA360</f>
        <v>10</v>
      </c>
      <c r="AD360" s="33">
        <f>F360+H360+J360+L360+N360+P360+R360+T360+V360+X360+Z360+AB360</f>
        <v>23100</v>
      </c>
    </row>
    <row r="361" spans="1:30" x14ac:dyDescent="0.35">
      <c r="A361" s="5">
        <v>313</v>
      </c>
      <c r="B361" s="10" t="str">
        <f>LEFT(D361,FIND("-",D361)-1)</f>
        <v>JEIB301</v>
      </c>
      <c r="C361" s="27" t="s">
        <v>469</v>
      </c>
      <c r="D361" s="6" t="s">
        <v>296</v>
      </c>
      <c r="E361" s="34"/>
      <c r="F361" s="35"/>
      <c r="G361" s="30">
        <v>5</v>
      </c>
      <c r="H361" s="31">
        <v>9625</v>
      </c>
      <c r="I361" s="28">
        <v>4</v>
      </c>
      <c r="J361" s="29">
        <v>7700</v>
      </c>
      <c r="K361" s="28"/>
      <c r="L361" s="29"/>
      <c r="M361" s="28">
        <v>4</v>
      </c>
      <c r="N361" s="29">
        <v>7700</v>
      </c>
      <c r="O361" s="28"/>
      <c r="P361" s="32"/>
      <c r="Q361" s="28"/>
      <c r="R361" s="32"/>
      <c r="S361" s="28"/>
      <c r="T361" s="32"/>
      <c r="U361" s="28"/>
      <c r="V361" s="32"/>
      <c r="W361" s="32"/>
      <c r="X361" s="32"/>
      <c r="Y361" s="32"/>
      <c r="Z361" s="32"/>
      <c r="AA361" s="32"/>
      <c r="AB361" s="32"/>
      <c r="AC361" s="37">
        <f>E361+G361+I361+K361+M361+O361+Q361+S361+U361+W361+Y361+AA361</f>
        <v>13</v>
      </c>
      <c r="AD361" s="33">
        <f>F361+H361+J361+L361+N361+P361+R361+T361+V361+X361+Z361+AB361</f>
        <v>25025</v>
      </c>
    </row>
    <row r="362" spans="1:30" x14ac:dyDescent="0.35">
      <c r="A362" s="5">
        <v>433</v>
      </c>
      <c r="B362" s="10" t="str">
        <f>LEFT(D362,FIND("-",D362)-1)</f>
        <v>JELT028</v>
      </c>
      <c r="C362" s="27" t="s">
        <v>469</v>
      </c>
      <c r="D362" s="6" t="s">
        <v>508</v>
      </c>
      <c r="E362" s="34"/>
      <c r="F362" s="35"/>
      <c r="G362" s="30"/>
      <c r="H362" s="31"/>
      <c r="I362" s="28"/>
      <c r="J362" s="29"/>
      <c r="K362" s="28"/>
      <c r="L362" s="29"/>
      <c r="M362" s="28">
        <v>4</v>
      </c>
      <c r="N362" s="29">
        <v>11000</v>
      </c>
      <c r="O362" s="28"/>
      <c r="P362" s="32"/>
      <c r="Q362" s="28"/>
      <c r="R362" s="32"/>
      <c r="S362" s="28"/>
      <c r="T362" s="32"/>
      <c r="U362" s="28"/>
      <c r="V362" s="32"/>
      <c r="W362" s="32"/>
      <c r="X362" s="32"/>
      <c r="Y362" s="32"/>
      <c r="Z362" s="32"/>
      <c r="AA362" s="32"/>
      <c r="AB362" s="32"/>
      <c r="AC362" s="36">
        <f>E362+G362+I362+K362+M362+O362+Q362+S362+U362+W362+Y362+AA362</f>
        <v>4</v>
      </c>
      <c r="AD362" s="33">
        <f>F362+H362+J362+L362+N362+P362+R362+T362+V362+X362+Z362+AB362</f>
        <v>11000</v>
      </c>
    </row>
    <row r="363" spans="1:30" x14ac:dyDescent="0.35">
      <c r="A363" s="5">
        <v>263</v>
      </c>
      <c r="B363" s="10" t="str">
        <f>LEFT(D363,FIND("-",D363)-1)</f>
        <v>JVAW</v>
      </c>
      <c r="C363" s="27" t="s">
        <v>469</v>
      </c>
      <c r="D363" s="6" t="s">
        <v>343</v>
      </c>
      <c r="E363" s="34"/>
      <c r="F363" s="35"/>
      <c r="G363" s="30">
        <v>5</v>
      </c>
      <c r="H363" s="31">
        <v>28875</v>
      </c>
      <c r="I363" s="28">
        <v>10</v>
      </c>
      <c r="J363" s="29">
        <v>57750</v>
      </c>
      <c r="K363" s="28">
        <v>20</v>
      </c>
      <c r="L363" s="29">
        <v>115500</v>
      </c>
      <c r="M363" s="28">
        <v>3</v>
      </c>
      <c r="N363" s="29">
        <v>17325</v>
      </c>
      <c r="O363" s="28"/>
      <c r="P363" s="32"/>
      <c r="Q363" s="28"/>
      <c r="R363" s="32"/>
      <c r="S363" s="28"/>
      <c r="T363" s="32"/>
      <c r="U363" s="28"/>
      <c r="V363" s="32"/>
      <c r="W363" s="32"/>
      <c r="X363" s="32"/>
      <c r="Y363" s="32"/>
      <c r="Z363" s="32"/>
      <c r="AA363" s="32"/>
      <c r="AB363" s="32"/>
      <c r="AC363" s="37">
        <f>E363+G363+I363+K363+M363+O363+Q363+S363+U363+W363+Y363+AA363</f>
        <v>38</v>
      </c>
      <c r="AD363" s="33">
        <f>F363+H363+J363+L363+N363+P363+R363+T363+V363+X363+Z363+AB363</f>
        <v>219450</v>
      </c>
    </row>
    <row r="364" spans="1:30" x14ac:dyDescent="0.35">
      <c r="A364" s="5">
        <v>160</v>
      </c>
      <c r="B364" s="10" t="str">
        <f>LEFT(D364,FIND("-",D364)-1)</f>
        <v>JELT024</v>
      </c>
      <c r="C364" s="27" t="s">
        <v>469</v>
      </c>
      <c r="D364" s="6" t="s">
        <v>121</v>
      </c>
      <c r="E364" s="34">
        <v>15</v>
      </c>
      <c r="F364" s="35">
        <v>41250</v>
      </c>
      <c r="G364" s="30">
        <v>22</v>
      </c>
      <c r="H364" s="31">
        <v>60500</v>
      </c>
      <c r="I364" s="28">
        <v>15</v>
      </c>
      <c r="J364" s="29">
        <v>41250</v>
      </c>
      <c r="K364" s="28">
        <v>13</v>
      </c>
      <c r="L364" s="29">
        <v>35750</v>
      </c>
      <c r="M364" s="28">
        <v>3</v>
      </c>
      <c r="N364" s="29">
        <v>8250</v>
      </c>
      <c r="O364" s="28"/>
      <c r="P364" s="32"/>
      <c r="Q364" s="28"/>
      <c r="R364" s="32"/>
      <c r="S364" s="28"/>
      <c r="T364" s="32"/>
      <c r="U364" s="28"/>
      <c r="V364" s="32"/>
      <c r="W364" s="32"/>
      <c r="X364" s="32"/>
      <c r="Y364" s="32"/>
      <c r="Z364" s="32"/>
      <c r="AA364" s="32"/>
      <c r="AB364" s="32"/>
      <c r="AC364" s="36">
        <f>E364+G364+I364+K364+M364+O364+Q364+S364+U364+W364+Y364+AA364</f>
        <v>68</v>
      </c>
      <c r="AD364" s="33">
        <f>F364+H364+J364+L364+N364+P364+R364+T364+V364+X364+Z364+AB364</f>
        <v>187000</v>
      </c>
    </row>
    <row r="365" spans="1:30" x14ac:dyDescent="0.35">
      <c r="A365" s="5">
        <v>440</v>
      </c>
      <c r="B365" s="10" t="str">
        <f>LEFT(D365,FIND("-",D365)-1)</f>
        <v>JVAK</v>
      </c>
      <c r="C365" s="27" t="s">
        <v>469</v>
      </c>
      <c r="D365" s="6" t="s">
        <v>342</v>
      </c>
      <c r="E365" s="34"/>
      <c r="F365" s="35"/>
      <c r="G365" s="30">
        <v>1</v>
      </c>
      <c r="H365" s="31">
        <v>4400</v>
      </c>
      <c r="I365" s="28"/>
      <c r="J365" s="29"/>
      <c r="K365" s="28">
        <v>10</v>
      </c>
      <c r="L365" s="29">
        <v>44000</v>
      </c>
      <c r="M365" s="28">
        <v>3</v>
      </c>
      <c r="N365" s="29">
        <v>13200</v>
      </c>
      <c r="O365" s="28"/>
      <c r="P365" s="32"/>
      <c r="Q365" s="28"/>
      <c r="R365" s="32"/>
      <c r="S365" s="28"/>
      <c r="T365" s="32"/>
      <c r="U365" s="28"/>
      <c r="V365" s="32"/>
      <c r="W365" s="32"/>
      <c r="X365" s="32"/>
      <c r="Y365" s="32"/>
      <c r="Z365" s="32"/>
      <c r="AA365" s="32"/>
      <c r="AB365" s="32"/>
      <c r="AC365" s="37">
        <f>E365+G365+I365+K365+M365+O365+Q365+S365+U365+W365+Y365+AA365</f>
        <v>14</v>
      </c>
      <c r="AD365" s="33">
        <f>F365+H365+J365+L365+N365+P365+R365+T365+V365+X365+Z365+AB365</f>
        <v>61600</v>
      </c>
    </row>
    <row r="366" spans="1:30" x14ac:dyDescent="0.35">
      <c r="A366" s="5">
        <v>315</v>
      </c>
      <c r="B366" s="10" t="str">
        <f>LEFT(D366,FIND("-",D366)-1)</f>
        <v>JEGG008</v>
      </c>
      <c r="C366" s="27" t="s">
        <v>469</v>
      </c>
      <c r="D366" s="6" t="s">
        <v>281</v>
      </c>
      <c r="E366" s="34"/>
      <c r="F366" s="35"/>
      <c r="G366" s="30">
        <v>8</v>
      </c>
      <c r="H366" s="31">
        <v>13200</v>
      </c>
      <c r="I366" s="28"/>
      <c r="J366" s="29"/>
      <c r="K366" s="28"/>
      <c r="L366" s="29"/>
      <c r="M366" s="28">
        <v>3</v>
      </c>
      <c r="N366" s="29">
        <v>4950</v>
      </c>
      <c r="O366" s="28"/>
      <c r="P366" s="32"/>
      <c r="Q366" s="28"/>
      <c r="R366" s="32"/>
      <c r="S366" s="28"/>
      <c r="T366" s="32"/>
      <c r="U366" s="28"/>
      <c r="V366" s="32"/>
      <c r="W366" s="32"/>
      <c r="X366" s="32"/>
      <c r="Y366" s="32"/>
      <c r="Z366" s="32"/>
      <c r="AA366" s="32"/>
      <c r="AB366" s="32"/>
      <c r="AC366" s="36">
        <f>E366+G366+I366+K366+M366+O366+Q366+S366+U366+W366+Y366+AA366</f>
        <v>11</v>
      </c>
      <c r="AD366" s="33">
        <f>F366+H366+J366+L366+N366+P366+R366+T366+V366+X366+Z366+AB366</f>
        <v>18150</v>
      </c>
    </row>
    <row r="367" spans="1:30" x14ac:dyDescent="0.35">
      <c r="A367" s="5">
        <v>355</v>
      </c>
      <c r="B367" s="10" t="str">
        <f>LEFT(D367,FIND("-",D367)-1)</f>
        <v>JEGH021</v>
      </c>
      <c r="C367" s="27" t="s">
        <v>469</v>
      </c>
      <c r="D367" s="6" t="s">
        <v>110</v>
      </c>
      <c r="E367" s="34">
        <v>3</v>
      </c>
      <c r="F367" s="35">
        <v>4950</v>
      </c>
      <c r="G367" s="30">
        <v>2</v>
      </c>
      <c r="H367" s="31">
        <v>3300</v>
      </c>
      <c r="I367" s="28"/>
      <c r="J367" s="29"/>
      <c r="K367" s="28"/>
      <c r="L367" s="29"/>
      <c r="M367" s="28">
        <v>3</v>
      </c>
      <c r="N367" s="29">
        <v>4950</v>
      </c>
      <c r="O367" s="28"/>
      <c r="P367" s="32"/>
      <c r="Q367" s="28"/>
      <c r="R367" s="32"/>
      <c r="S367" s="28"/>
      <c r="T367" s="32"/>
      <c r="U367" s="28"/>
      <c r="V367" s="32"/>
      <c r="W367" s="32"/>
      <c r="X367" s="32"/>
      <c r="Y367" s="32"/>
      <c r="Z367" s="32"/>
      <c r="AA367" s="32"/>
      <c r="AB367" s="32"/>
      <c r="AC367" s="37">
        <f>E367+G367+I367+K367+M367+O367+Q367+S367+U367+W367+Y367+AA367</f>
        <v>8</v>
      </c>
      <c r="AD367" s="33">
        <f>F367+H367+J367+L367+N367+P367+R367+T367+V367+X367+Z367+AB367</f>
        <v>13200</v>
      </c>
    </row>
    <row r="368" spans="1:30" x14ac:dyDescent="0.35">
      <c r="A368" s="5">
        <v>356</v>
      </c>
      <c r="B368" s="10" t="str">
        <f>LEFT(D368,FIND("-",D368)-1)</f>
        <v>JEIB002</v>
      </c>
      <c r="C368" s="27" t="s">
        <v>469</v>
      </c>
      <c r="D368" s="6" t="s">
        <v>295</v>
      </c>
      <c r="E368" s="34"/>
      <c r="F368" s="35"/>
      <c r="G368" s="30">
        <v>5</v>
      </c>
      <c r="H368" s="31">
        <v>9625</v>
      </c>
      <c r="I368" s="28"/>
      <c r="J368" s="29"/>
      <c r="K368" s="28"/>
      <c r="L368" s="29"/>
      <c r="M368" s="28">
        <v>3</v>
      </c>
      <c r="N368" s="29">
        <v>5775</v>
      </c>
      <c r="O368" s="28"/>
      <c r="P368" s="32"/>
      <c r="Q368" s="28"/>
      <c r="R368" s="32"/>
      <c r="S368" s="28"/>
      <c r="T368" s="32"/>
      <c r="U368" s="28"/>
      <c r="V368" s="32"/>
      <c r="W368" s="32"/>
      <c r="X368" s="32"/>
      <c r="Y368" s="32"/>
      <c r="Z368" s="32"/>
      <c r="AA368" s="32"/>
      <c r="AB368" s="32"/>
      <c r="AC368" s="36">
        <f>E368+G368+I368+K368+M368+O368+Q368+S368+U368+W368+Y368+AA368</f>
        <v>8</v>
      </c>
      <c r="AD368" s="33">
        <f>F368+H368+J368+L368+N368+P368+R368+T368+V368+X368+Z368+AB368</f>
        <v>15400</v>
      </c>
    </row>
    <row r="369" spans="1:30" x14ac:dyDescent="0.35">
      <c r="A369" s="5">
        <v>433</v>
      </c>
      <c r="B369" s="10" t="str">
        <f>LEFT(D369,FIND("-",D369)-1)</f>
        <v>JELT023</v>
      </c>
      <c r="C369" s="27" t="s">
        <v>469</v>
      </c>
      <c r="D369" s="6" t="s">
        <v>188</v>
      </c>
      <c r="E369" s="34">
        <v>1</v>
      </c>
      <c r="F369" s="35">
        <v>2750</v>
      </c>
      <c r="G369" s="30"/>
      <c r="H369" s="31"/>
      <c r="I369" s="28"/>
      <c r="J369" s="29"/>
      <c r="K369" s="28"/>
      <c r="L369" s="29"/>
      <c r="M369" s="28">
        <v>3</v>
      </c>
      <c r="N369" s="29">
        <v>8250</v>
      </c>
      <c r="O369" s="28"/>
      <c r="P369" s="32"/>
      <c r="Q369" s="28"/>
      <c r="R369" s="32"/>
      <c r="S369" s="28"/>
      <c r="T369" s="32"/>
      <c r="U369" s="28"/>
      <c r="V369" s="32"/>
      <c r="W369" s="32"/>
      <c r="X369" s="32"/>
      <c r="Y369" s="32"/>
      <c r="Z369" s="32"/>
      <c r="AA369" s="32"/>
      <c r="AB369" s="32"/>
      <c r="AC369" s="36">
        <f>E369+G369+I369+K369+M369+O369+Q369+S369+U369+W369+Y369+AA369</f>
        <v>4</v>
      </c>
      <c r="AD369" s="33">
        <f>F369+H369+J369+L369+N369+P369+R369+T369+V369+X369+Z369+AB369</f>
        <v>11000</v>
      </c>
    </row>
    <row r="370" spans="1:30" x14ac:dyDescent="0.35">
      <c r="A370" s="5">
        <v>113</v>
      </c>
      <c r="B370" s="10" t="str">
        <f>LEFT(D370,FIND("-",D370)-1)</f>
        <v>JEAM024</v>
      </c>
      <c r="C370" s="27" t="s">
        <v>469</v>
      </c>
      <c r="D370" s="6" t="s">
        <v>265</v>
      </c>
      <c r="E370" s="34"/>
      <c r="F370" s="35"/>
      <c r="G370" s="30">
        <v>10</v>
      </c>
      <c r="H370" s="31">
        <v>38500</v>
      </c>
      <c r="I370" s="28">
        <v>82</v>
      </c>
      <c r="J370" s="29">
        <v>315700</v>
      </c>
      <c r="K370" s="28">
        <v>23</v>
      </c>
      <c r="L370" s="29">
        <v>88550</v>
      </c>
      <c r="M370" s="28">
        <v>2</v>
      </c>
      <c r="N370" s="29">
        <v>7700</v>
      </c>
      <c r="O370" s="28"/>
      <c r="P370" s="32"/>
      <c r="Q370" s="28"/>
      <c r="R370" s="32"/>
      <c r="S370" s="28"/>
      <c r="T370" s="32"/>
      <c r="U370" s="28"/>
      <c r="V370" s="32"/>
      <c r="W370" s="32"/>
      <c r="X370" s="32"/>
      <c r="Y370" s="32"/>
      <c r="Z370" s="32"/>
      <c r="AA370" s="32"/>
      <c r="AB370" s="32"/>
      <c r="AC370" s="36">
        <f>E370+G370+I370+K370+M370+O370+Q370+S370+U370+W370+Y370+AA370</f>
        <v>117</v>
      </c>
      <c r="AD370" s="33">
        <f>F370+H370+J370+L370+N370+P370+R370+T370+V370+X370+Z370+AB370</f>
        <v>450450</v>
      </c>
    </row>
    <row r="371" spans="1:30" x14ac:dyDescent="0.35">
      <c r="A371" s="5">
        <v>388</v>
      </c>
      <c r="B371" s="10" t="str">
        <f>LEFT(D371,FIND("-",D371)-1)</f>
        <v>JELT010</v>
      </c>
      <c r="C371" s="27" t="s">
        <v>469</v>
      </c>
      <c r="D371" s="6" t="s">
        <v>419</v>
      </c>
      <c r="E371" s="34"/>
      <c r="F371" s="35"/>
      <c r="G371" s="30"/>
      <c r="H371" s="31"/>
      <c r="I371" s="28">
        <v>3</v>
      </c>
      <c r="J371" s="29">
        <v>8250</v>
      </c>
      <c r="K371" s="28">
        <v>9</v>
      </c>
      <c r="L371" s="29">
        <v>24750</v>
      </c>
      <c r="M371" s="28">
        <v>2</v>
      </c>
      <c r="N371" s="29">
        <v>5500</v>
      </c>
      <c r="O371" s="28"/>
      <c r="P371" s="32"/>
      <c r="Q371" s="28"/>
      <c r="R371" s="32"/>
      <c r="S371" s="28"/>
      <c r="T371" s="32"/>
      <c r="U371" s="28"/>
      <c r="V371" s="32"/>
      <c r="W371" s="32"/>
      <c r="X371" s="32"/>
      <c r="Y371" s="32"/>
      <c r="Z371" s="32"/>
      <c r="AA371" s="32"/>
      <c r="AB371" s="32"/>
      <c r="AC371" s="36">
        <f>E371+G371+I371+K371+M371+O371+Q371+S371+U371+W371+Y371+AA371</f>
        <v>14</v>
      </c>
      <c r="AD371" s="33">
        <f>F371+H371+J371+L371+N371+P371+R371+T371+V371+X371+Z371+AB371</f>
        <v>38500</v>
      </c>
    </row>
    <row r="372" spans="1:30" x14ac:dyDescent="0.35">
      <c r="A372" s="5">
        <v>210</v>
      </c>
      <c r="B372" s="10" t="str">
        <f>LEFT(D372,FIND("-",D372)-1)</f>
        <v>JEGH024</v>
      </c>
      <c r="C372" s="27" t="s">
        <v>469</v>
      </c>
      <c r="D372" s="6" t="s">
        <v>287</v>
      </c>
      <c r="E372" s="34"/>
      <c r="F372" s="35"/>
      <c r="G372" s="30">
        <v>25</v>
      </c>
      <c r="H372" s="31">
        <v>41250</v>
      </c>
      <c r="I372" s="28"/>
      <c r="J372" s="29"/>
      <c r="K372" s="28">
        <v>4</v>
      </c>
      <c r="L372" s="29">
        <v>6600</v>
      </c>
      <c r="M372" s="28">
        <v>2</v>
      </c>
      <c r="N372" s="29">
        <v>3300</v>
      </c>
      <c r="O372" s="28"/>
      <c r="P372" s="32"/>
      <c r="Q372" s="28"/>
      <c r="R372" s="32"/>
      <c r="S372" s="28"/>
      <c r="T372" s="32"/>
      <c r="U372" s="28"/>
      <c r="V372" s="32"/>
      <c r="W372" s="32"/>
      <c r="X372" s="32"/>
      <c r="Y372" s="32"/>
      <c r="Z372" s="32"/>
      <c r="AA372" s="32"/>
      <c r="AB372" s="32"/>
      <c r="AC372" s="37">
        <f>E372+G372+I372+K372+M372+O372+Q372+S372+U372+W372+Y372+AA372</f>
        <v>31</v>
      </c>
      <c r="AD372" s="33">
        <f>F372+H372+J372+L372+N372+P372+R372+T372+V372+X372+Z372+AB372</f>
        <v>51150</v>
      </c>
    </row>
    <row r="373" spans="1:30" x14ac:dyDescent="0.35">
      <c r="A373" s="5">
        <v>438</v>
      </c>
      <c r="B373" s="10" t="str">
        <f>LEFT(D373,FIND("-",D373)-1)</f>
        <v>JQVX</v>
      </c>
      <c r="C373" s="27" t="s">
        <v>469</v>
      </c>
      <c r="D373" s="6" t="s">
        <v>432</v>
      </c>
      <c r="E373" s="34"/>
      <c r="F373" s="35"/>
      <c r="G373" s="30"/>
      <c r="H373" s="31"/>
      <c r="I373" s="28">
        <v>1</v>
      </c>
      <c r="J373" s="29">
        <v>2860</v>
      </c>
      <c r="K373" s="28">
        <v>3</v>
      </c>
      <c r="L373" s="29">
        <v>8580</v>
      </c>
      <c r="M373" s="28">
        <v>2</v>
      </c>
      <c r="N373" s="29">
        <v>5720</v>
      </c>
      <c r="O373" s="28"/>
      <c r="P373" s="32"/>
      <c r="Q373" s="28"/>
      <c r="R373" s="32"/>
      <c r="S373" s="28"/>
      <c r="T373" s="32"/>
      <c r="U373" s="28"/>
      <c r="V373" s="32"/>
      <c r="W373" s="32"/>
      <c r="X373" s="32"/>
      <c r="Y373" s="32"/>
      <c r="Z373" s="32"/>
      <c r="AA373" s="32"/>
      <c r="AB373" s="32"/>
      <c r="AC373" s="37">
        <f>E373+G373+I373+K373+M373+O373+Q373+S373+U373+W373+Y373+AA373</f>
        <v>6</v>
      </c>
      <c r="AD373" s="33">
        <f>F373+H373+J373+L373+N373+P373+R373+T373+V373+X373+Z373+AB373</f>
        <v>17160</v>
      </c>
    </row>
    <row r="374" spans="1:30" x14ac:dyDescent="0.35">
      <c r="A374" s="5">
        <v>167</v>
      </c>
      <c r="B374" s="10" t="str">
        <f>LEFT(D374,FIND("-",D374)-1)</f>
        <v>JEAP031</v>
      </c>
      <c r="C374" s="27" t="s">
        <v>469</v>
      </c>
      <c r="D374" s="6" t="s">
        <v>55</v>
      </c>
      <c r="E374" s="34">
        <v>8</v>
      </c>
      <c r="F374" s="35">
        <v>24200</v>
      </c>
      <c r="G374" s="30">
        <v>5</v>
      </c>
      <c r="H374" s="31">
        <v>15125</v>
      </c>
      <c r="I374" s="28">
        <v>30</v>
      </c>
      <c r="J374" s="29">
        <v>90750</v>
      </c>
      <c r="K374" s="28"/>
      <c r="L374" s="29"/>
      <c r="M374" s="28">
        <v>2</v>
      </c>
      <c r="N374" s="29">
        <v>6050</v>
      </c>
      <c r="O374" s="28"/>
      <c r="P374" s="32"/>
      <c r="Q374" s="28"/>
      <c r="R374" s="32"/>
      <c r="S374" s="28"/>
      <c r="T374" s="32"/>
      <c r="U374" s="28"/>
      <c r="V374" s="32"/>
      <c r="W374" s="32"/>
      <c r="X374" s="32"/>
      <c r="Y374" s="32"/>
      <c r="Z374" s="32"/>
      <c r="AA374" s="32"/>
      <c r="AB374" s="32"/>
      <c r="AC374" s="36">
        <f>E374+G374+I374+K374+M374+O374+Q374+S374+U374+W374+Y374+AA374</f>
        <v>45</v>
      </c>
      <c r="AD374" s="33">
        <f>F374+H374+J374+L374+N374+P374+R374+T374+V374+X374+Z374+AB374</f>
        <v>136125</v>
      </c>
    </row>
    <row r="375" spans="1:30" x14ac:dyDescent="0.35">
      <c r="A375" s="5">
        <v>309</v>
      </c>
      <c r="B375" s="10" t="str">
        <f>LEFT(D375,FIND("-",D375)-1)</f>
        <v>JEEA018</v>
      </c>
      <c r="C375" s="27" t="s">
        <v>469</v>
      </c>
      <c r="D375" s="6" t="s">
        <v>172</v>
      </c>
      <c r="E375" s="34">
        <v>3</v>
      </c>
      <c r="F375" s="35">
        <v>9075</v>
      </c>
      <c r="G375" s="30">
        <v>6</v>
      </c>
      <c r="H375" s="31">
        <v>18150</v>
      </c>
      <c r="I375" s="28"/>
      <c r="J375" s="29"/>
      <c r="K375" s="28"/>
      <c r="L375" s="29"/>
      <c r="M375" s="28">
        <v>2</v>
      </c>
      <c r="N375" s="29">
        <v>6050</v>
      </c>
      <c r="O375" s="28"/>
      <c r="P375" s="32"/>
      <c r="Q375" s="28"/>
      <c r="R375" s="32"/>
      <c r="S375" s="28"/>
      <c r="T375" s="32"/>
      <c r="U375" s="28"/>
      <c r="V375" s="32"/>
      <c r="W375" s="32"/>
      <c r="X375" s="32"/>
      <c r="Y375" s="32"/>
      <c r="Z375" s="32"/>
      <c r="AA375" s="32"/>
      <c r="AB375" s="32"/>
      <c r="AC375" s="36">
        <f>E375+G375+I375+K375+M375+O375+Q375+S375+U375+W375+Y375+AA375</f>
        <v>11</v>
      </c>
      <c r="AD375" s="33">
        <f>F375+H375+J375+L375+N375+P375+R375+T375+V375+X375+Z375+AB375</f>
        <v>33275</v>
      </c>
    </row>
    <row r="376" spans="1:30" x14ac:dyDescent="0.35">
      <c r="A376" s="5">
        <v>433</v>
      </c>
      <c r="B376" s="10" t="str">
        <f>LEFT(D376,FIND("-",D376)-1)</f>
        <v>JEIG101</v>
      </c>
      <c r="C376" s="27" t="s">
        <v>469</v>
      </c>
      <c r="D376" s="6" t="s">
        <v>506</v>
      </c>
      <c r="E376" s="34"/>
      <c r="F376" s="35"/>
      <c r="G376" s="30"/>
      <c r="H376" s="31"/>
      <c r="I376" s="28"/>
      <c r="J376" s="29"/>
      <c r="K376" s="28"/>
      <c r="L376" s="29"/>
      <c r="M376" s="28">
        <v>2</v>
      </c>
      <c r="N376" s="29">
        <v>3850</v>
      </c>
      <c r="O376" s="28"/>
      <c r="P376" s="32"/>
      <c r="Q376" s="28"/>
      <c r="R376" s="32"/>
      <c r="S376" s="28"/>
      <c r="T376" s="32"/>
      <c r="U376" s="28"/>
      <c r="V376" s="32"/>
      <c r="W376" s="32"/>
      <c r="X376" s="32"/>
      <c r="Y376" s="32"/>
      <c r="Z376" s="32"/>
      <c r="AA376" s="32"/>
      <c r="AB376" s="32"/>
      <c r="AC376" s="36">
        <f>E376+G376+I376+K376+M376+O376+Q376+S376+U376+W376+Y376+AA376</f>
        <v>2</v>
      </c>
      <c r="AD376" s="33">
        <f>F376+H376+J376+L376+N376+P376+R376+T376+V376+X376+Z376+AB376</f>
        <v>3850</v>
      </c>
    </row>
    <row r="377" spans="1:30" x14ac:dyDescent="0.35">
      <c r="A377" s="5">
        <v>433</v>
      </c>
      <c r="B377" s="10" t="str">
        <f>LEFT(D377,FIND("-",D377)-1)</f>
        <v>JELT029</v>
      </c>
      <c r="C377" s="27" t="s">
        <v>469</v>
      </c>
      <c r="D377" s="6" t="s">
        <v>509</v>
      </c>
      <c r="E377" s="34"/>
      <c r="F377" s="35"/>
      <c r="G377" s="30"/>
      <c r="H377" s="31"/>
      <c r="I377" s="28"/>
      <c r="J377" s="29"/>
      <c r="K377" s="28"/>
      <c r="L377" s="29"/>
      <c r="M377" s="28">
        <v>2</v>
      </c>
      <c r="N377" s="29">
        <v>5500</v>
      </c>
      <c r="O377" s="28"/>
      <c r="P377" s="32"/>
      <c r="Q377" s="28"/>
      <c r="R377" s="32"/>
      <c r="S377" s="28"/>
      <c r="T377" s="32"/>
      <c r="U377" s="28"/>
      <c r="V377" s="32"/>
      <c r="W377" s="32"/>
      <c r="X377" s="32"/>
      <c r="Y377" s="32"/>
      <c r="Z377" s="32"/>
      <c r="AA377" s="32"/>
      <c r="AB377" s="32"/>
      <c r="AC377" s="36">
        <f>E377+G377+I377+K377+M377+O377+Q377+S377+U377+W377+Y377+AA377</f>
        <v>2</v>
      </c>
      <c r="AD377" s="33">
        <f>F377+H377+J377+L377+N377+P377+R377+T377+V377+X377+Z377+AB377</f>
        <v>5500</v>
      </c>
    </row>
    <row r="378" spans="1:30" x14ac:dyDescent="0.35">
      <c r="A378" s="5">
        <v>433</v>
      </c>
      <c r="B378" s="10" t="str">
        <f>LEFT(D378,FIND("-",D378)-1)</f>
        <v>JEVO</v>
      </c>
      <c r="C378" s="27" t="s">
        <v>469</v>
      </c>
      <c r="D378" s="6" t="s">
        <v>511</v>
      </c>
      <c r="E378" s="34"/>
      <c r="F378" s="35"/>
      <c r="G378" s="30"/>
      <c r="H378" s="31"/>
      <c r="I378" s="28"/>
      <c r="J378" s="29"/>
      <c r="K378" s="28"/>
      <c r="L378" s="29"/>
      <c r="M378" s="28">
        <v>2</v>
      </c>
      <c r="N378" s="29">
        <v>1650</v>
      </c>
      <c r="O378" s="28"/>
      <c r="P378" s="32"/>
      <c r="Q378" s="28"/>
      <c r="R378" s="32"/>
      <c r="S378" s="28"/>
      <c r="T378" s="32"/>
      <c r="U378" s="28"/>
      <c r="V378" s="32"/>
      <c r="W378" s="32"/>
      <c r="X378" s="32"/>
      <c r="Y378" s="32"/>
      <c r="Z378" s="32"/>
      <c r="AA378" s="32"/>
      <c r="AB378" s="32"/>
      <c r="AC378" s="36">
        <f>E378+G378+I378+K378+M378+O378+Q378+S378+U378+W378+Y378+AA378</f>
        <v>2</v>
      </c>
      <c r="AD378" s="33">
        <f>F378+H378+J378+L378+N378+P378+R378+T378+V378+X378+Z378+AB378</f>
        <v>1650</v>
      </c>
    </row>
    <row r="379" spans="1:30" x14ac:dyDescent="0.35">
      <c r="A379" s="5">
        <v>447</v>
      </c>
      <c r="B379" s="10" t="str">
        <f>LEFT(D379,FIND("-",D379)-1)</f>
        <v>JEIL001</v>
      </c>
      <c r="C379" s="27" t="s">
        <v>469</v>
      </c>
      <c r="D379" s="6" t="s">
        <v>486</v>
      </c>
      <c r="E379" s="34"/>
      <c r="F379" s="35"/>
      <c r="G379" s="30"/>
      <c r="H379" s="31"/>
      <c r="I379" s="28"/>
      <c r="J379" s="29"/>
      <c r="K379" s="28">
        <v>7</v>
      </c>
      <c r="L379" s="29">
        <v>11550</v>
      </c>
      <c r="M379" s="28">
        <v>1</v>
      </c>
      <c r="N379" s="29">
        <v>1650</v>
      </c>
      <c r="O379" s="28"/>
      <c r="P379" s="32"/>
      <c r="Q379" s="28"/>
      <c r="R379" s="32"/>
      <c r="S379" s="28"/>
      <c r="T379" s="32"/>
      <c r="U379" s="28"/>
      <c r="V379" s="32"/>
      <c r="W379" s="32"/>
      <c r="X379" s="32"/>
      <c r="Y379" s="32"/>
      <c r="Z379" s="32"/>
      <c r="AA379" s="32"/>
      <c r="AB379" s="32"/>
      <c r="AC379" s="37">
        <f>E379+G379+I379+K379+M379+O379+Q379+S379+U379+W379+Y379+AA379</f>
        <v>8</v>
      </c>
      <c r="AD379" s="33">
        <f>F379+H379+J379+L379+N379+P379+R379+T379+V379+X379+Z379+AB379</f>
        <v>13200</v>
      </c>
    </row>
    <row r="380" spans="1:30" x14ac:dyDescent="0.35">
      <c r="A380" s="5">
        <v>270</v>
      </c>
      <c r="B380" s="10" t="str">
        <f>LEFT(D380,FIND("-",D380)-1)</f>
        <v>JELT022</v>
      </c>
      <c r="C380" s="27" t="s">
        <v>469</v>
      </c>
      <c r="D380" s="6" t="s">
        <v>187</v>
      </c>
      <c r="E380" s="34">
        <v>1</v>
      </c>
      <c r="F380" s="35">
        <v>2750</v>
      </c>
      <c r="G380" s="30">
        <v>7</v>
      </c>
      <c r="H380" s="31">
        <v>19250</v>
      </c>
      <c r="I380" s="28">
        <v>5</v>
      </c>
      <c r="J380" s="29">
        <v>13750</v>
      </c>
      <c r="K380" s="28">
        <v>3</v>
      </c>
      <c r="L380" s="29">
        <v>8250</v>
      </c>
      <c r="M380" s="28">
        <v>1</v>
      </c>
      <c r="N380" s="29">
        <v>2750</v>
      </c>
      <c r="O380" s="28"/>
      <c r="P380" s="32"/>
      <c r="Q380" s="28"/>
      <c r="R380" s="32"/>
      <c r="S380" s="28"/>
      <c r="T380" s="32"/>
      <c r="U380" s="28"/>
      <c r="V380" s="32"/>
      <c r="W380" s="32"/>
      <c r="X380" s="32"/>
      <c r="Y380" s="32"/>
      <c r="Z380" s="32"/>
      <c r="AA380" s="32"/>
      <c r="AB380" s="32"/>
      <c r="AC380" s="36">
        <f>E380+G380+I380+K380+M380+O380+Q380+S380+U380+W380+Y380+AA380</f>
        <v>17</v>
      </c>
      <c r="AD380" s="33">
        <f>F380+H380+J380+L380+N380+P380+R380+T380+V380+X380+Z380+AB380</f>
        <v>46750</v>
      </c>
    </row>
    <row r="381" spans="1:30" x14ac:dyDescent="0.35">
      <c r="A381" s="5">
        <v>407</v>
      </c>
      <c r="B381" s="10" t="str">
        <f>LEFT(D381,FIND("-",D381)-1)</f>
        <v>JQVU</v>
      </c>
      <c r="C381" s="27" t="s">
        <v>469</v>
      </c>
      <c r="D381" s="6" t="s">
        <v>431</v>
      </c>
      <c r="E381" s="34"/>
      <c r="F381" s="35"/>
      <c r="G381" s="30"/>
      <c r="H381" s="31"/>
      <c r="I381" s="28">
        <v>2</v>
      </c>
      <c r="J381" s="29">
        <v>5720</v>
      </c>
      <c r="K381" s="28">
        <v>2</v>
      </c>
      <c r="L381" s="29">
        <v>5720</v>
      </c>
      <c r="M381" s="28">
        <v>1</v>
      </c>
      <c r="N381" s="29">
        <v>2860</v>
      </c>
      <c r="O381" s="28"/>
      <c r="P381" s="32"/>
      <c r="Q381" s="28"/>
      <c r="R381" s="32"/>
      <c r="S381" s="28"/>
      <c r="T381" s="32"/>
      <c r="U381" s="28"/>
      <c r="V381" s="32"/>
      <c r="W381" s="32"/>
      <c r="X381" s="32"/>
      <c r="Y381" s="32"/>
      <c r="Z381" s="32"/>
      <c r="AA381" s="32"/>
      <c r="AB381" s="32"/>
      <c r="AC381" s="36">
        <f>E381+G381+I381+K381+M381+O381+Q381+S381+U381+W381+Y381+AA381</f>
        <v>5</v>
      </c>
      <c r="AD381" s="33">
        <f>F381+H381+J381+L381+N381+P381+R381+T381+V381+X381+Z381+AB381</f>
        <v>14300</v>
      </c>
    </row>
    <row r="382" spans="1:30" x14ac:dyDescent="0.35">
      <c r="A382" s="5">
        <v>186</v>
      </c>
      <c r="B382" s="10" t="str">
        <f>LEFT(D382,FIND("-",D382)-1)</f>
        <v>JEIP301</v>
      </c>
      <c r="C382" s="27" t="s">
        <v>469</v>
      </c>
      <c r="D382" s="6" t="s">
        <v>179</v>
      </c>
      <c r="E382" s="34">
        <v>20</v>
      </c>
      <c r="F382" s="35">
        <v>51700</v>
      </c>
      <c r="G382" s="30"/>
      <c r="H382" s="31"/>
      <c r="I382" s="28">
        <v>11</v>
      </c>
      <c r="J382" s="29">
        <v>28435</v>
      </c>
      <c r="K382" s="28">
        <v>1</v>
      </c>
      <c r="L382" s="29">
        <v>2585</v>
      </c>
      <c r="M382" s="28">
        <v>1</v>
      </c>
      <c r="N382" s="29">
        <v>2585</v>
      </c>
      <c r="O382" s="28"/>
      <c r="P382" s="32"/>
      <c r="Q382" s="28"/>
      <c r="R382" s="32"/>
      <c r="S382" s="28"/>
      <c r="T382" s="32"/>
      <c r="U382" s="28"/>
      <c r="V382" s="32"/>
      <c r="W382" s="32"/>
      <c r="X382" s="32"/>
      <c r="Y382" s="32"/>
      <c r="Z382" s="32"/>
      <c r="AA382" s="32"/>
      <c r="AB382" s="32"/>
      <c r="AC382" s="37">
        <f>E382+G382+I382+K382+M382+O382+Q382+S382+U382+W382+Y382+AA382</f>
        <v>33</v>
      </c>
      <c r="AD382" s="33">
        <f>F382+H382+J382+L382+N382+P382+R382+T382+V382+X382+Z382+AB382</f>
        <v>85305</v>
      </c>
    </row>
    <row r="383" spans="1:30" x14ac:dyDescent="0.35">
      <c r="A383" s="5">
        <v>196</v>
      </c>
      <c r="B383" s="10" t="str">
        <f>LEFT(D383,FIND("-",D383)-1)</f>
        <v>JKFN</v>
      </c>
      <c r="C383" s="27" t="s">
        <v>469</v>
      </c>
      <c r="D383" s="6" t="s">
        <v>68</v>
      </c>
      <c r="E383" s="34">
        <v>20</v>
      </c>
      <c r="F383" s="35">
        <v>52800</v>
      </c>
      <c r="G383" s="30"/>
      <c r="H383" s="31"/>
      <c r="I383" s="28">
        <v>10</v>
      </c>
      <c r="J383" s="29">
        <v>26400</v>
      </c>
      <c r="K383" s="28">
        <v>1</v>
      </c>
      <c r="L383" s="29">
        <v>2640</v>
      </c>
      <c r="M383" s="28">
        <v>1</v>
      </c>
      <c r="N383" s="29">
        <v>2640</v>
      </c>
      <c r="O383" s="28"/>
      <c r="P383" s="32"/>
      <c r="Q383" s="28"/>
      <c r="R383" s="32"/>
      <c r="S383" s="28"/>
      <c r="T383" s="32"/>
      <c r="U383" s="28"/>
      <c r="V383" s="32"/>
      <c r="W383" s="32"/>
      <c r="X383" s="32"/>
      <c r="Y383" s="32"/>
      <c r="Z383" s="32"/>
      <c r="AA383" s="32"/>
      <c r="AB383" s="32"/>
      <c r="AC383" s="37">
        <f>E383+G383+I383+K383+M383+O383+Q383+S383+U383+W383+Y383+AA383</f>
        <v>32</v>
      </c>
      <c r="AD383" s="33">
        <f>F383+H383+J383+L383+N383+P383+R383+T383+V383+X383+Z383+AB383</f>
        <v>84480</v>
      </c>
    </row>
    <row r="384" spans="1:30" x14ac:dyDescent="0.35">
      <c r="A384" s="5">
        <v>161</v>
      </c>
      <c r="B384" s="10" t="str">
        <f>LEFT(D384,FIND("-",D384)-1)</f>
        <v>JELK003</v>
      </c>
      <c r="C384" s="27" t="s">
        <v>469</v>
      </c>
      <c r="D384" s="6" t="s">
        <v>304</v>
      </c>
      <c r="E384" s="34"/>
      <c r="F384" s="35"/>
      <c r="G384" s="30">
        <v>50</v>
      </c>
      <c r="H384" s="31">
        <v>137500</v>
      </c>
      <c r="I384" s="28"/>
      <c r="J384" s="29"/>
      <c r="K384" s="28">
        <v>376</v>
      </c>
      <c r="L384" s="29">
        <v>1034000</v>
      </c>
      <c r="M384" s="28"/>
      <c r="N384" s="29"/>
      <c r="O384" s="28"/>
      <c r="P384" s="32"/>
      <c r="Q384" s="28"/>
      <c r="R384" s="32"/>
      <c r="S384" s="28"/>
      <c r="T384" s="32"/>
      <c r="U384" s="28"/>
      <c r="V384" s="32"/>
      <c r="W384" s="32"/>
      <c r="X384" s="32"/>
      <c r="Y384" s="32"/>
      <c r="Z384" s="32"/>
      <c r="AA384" s="32"/>
      <c r="AB384" s="32"/>
      <c r="AC384" s="37">
        <f>E384+G384+I384+K384+M384+O384+Q384+S384+U384+W384+Y384+AA384</f>
        <v>426</v>
      </c>
      <c r="AD384" s="33">
        <f>F384+H384+J384+L384+N384+P384+R384+T384+V384+X384+Z384+AB384</f>
        <v>1171500</v>
      </c>
    </row>
    <row r="385" spans="1:30" x14ac:dyDescent="0.35">
      <c r="A385" s="5">
        <v>197</v>
      </c>
      <c r="B385" s="10" t="str">
        <f>LEFT(D385,FIND("-",D385)-1)</f>
        <v>JKFW</v>
      </c>
      <c r="C385" s="27" t="s">
        <v>469</v>
      </c>
      <c r="D385" s="6" t="s">
        <v>427</v>
      </c>
      <c r="E385" s="34"/>
      <c r="F385" s="35"/>
      <c r="G385" s="30"/>
      <c r="H385" s="31"/>
      <c r="I385" s="28">
        <v>30</v>
      </c>
      <c r="J385" s="29">
        <v>135300</v>
      </c>
      <c r="K385" s="28">
        <v>261</v>
      </c>
      <c r="L385" s="29">
        <v>1177110</v>
      </c>
      <c r="M385" s="28"/>
      <c r="N385" s="29"/>
      <c r="O385" s="28"/>
      <c r="P385" s="32"/>
      <c r="Q385" s="28"/>
      <c r="R385" s="32"/>
      <c r="S385" s="28"/>
      <c r="T385" s="32"/>
      <c r="U385" s="28"/>
      <c r="V385" s="32"/>
      <c r="W385" s="32"/>
      <c r="X385" s="32"/>
      <c r="Y385" s="32"/>
      <c r="Z385" s="32"/>
      <c r="AA385" s="32"/>
      <c r="AB385" s="32"/>
      <c r="AC385" s="37">
        <f>E385+G385+I385+K385+M385+O385+Q385+S385+U385+W385+Y385+AA385</f>
        <v>291</v>
      </c>
      <c r="AD385" s="33">
        <f>F385+H385+J385+L385+N385+P385+R385+T385+V385+X385+Z385+AB385</f>
        <v>1312410</v>
      </c>
    </row>
    <row r="386" spans="1:30" x14ac:dyDescent="0.35">
      <c r="A386" s="5">
        <v>45</v>
      </c>
      <c r="B386" s="10" t="str">
        <f>LEFT(D386,FIND("-",D386)-1)</f>
        <v>JELK002</v>
      </c>
      <c r="C386" s="27" t="s">
        <v>469</v>
      </c>
      <c r="D386" s="6" t="s">
        <v>303</v>
      </c>
      <c r="E386" s="34"/>
      <c r="F386" s="35"/>
      <c r="G386" s="30">
        <v>200</v>
      </c>
      <c r="H386" s="31">
        <v>550000</v>
      </c>
      <c r="I386" s="28">
        <v>44</v>
      </c>
      <c r="J386" s="29">
        <v>121000</v>
      </c>
      <c r="K386" s="28">
        <v>130</v>
      </c>
      <c r="L386" s="29">
        <v>357500</v>
      </c>
      <c r="M386" s="28"/>
      <c r="N386" s="29"/>
      <c r="O386" s="28"/>
      <c r="P386" s="32"/>
      <c r="Q386" s="28"/>
      <c r="R386" s="32"/>
      <c r="S386" s="28"/>
      <c r="T386" s="32"/>
      <c r="U386" s="28"/>
      <c r="V386" s="32"/>
      <c r="W386" s="32"/>
      <c r="X386" s="32"/>
      <c r="Y386" s="32"/>
      <c r="Z386" s="32"/>
      <c r="AA386" s="32"/>
      <c r="AB386" s="32"/>
      <c r="AC386" s="37">
        <f>E386+G386+I386+K386+M386+O386+Q386+S386+U386+W386+Y386+AA386</f>
        <v>374</v>
      </c>
      <c r="AD386" s="33">
        <f>F386+H386+J386+L386+N386+P386+R386+T386+V386+X386+Z386+AB386</f>
        <v>1028500</v>
      </c>
    </row>
    <row r="387" spans="1:30" x14ac:dyDescent="0.35">
      <c r="A387" s="5">
        <v>36</v>
      </c>
      <c r="B387" s="10" t="str">
        <f>LEFT(D387,FIND("-",D387)-1)</f>
        <v>JQVW</v>
      </c>
      <c r="C387" s="27" t="s">
        <v>469</v>
      </c>
      <c r="D387" s="6" t="s">
        <v>47</v>
      </c>
      <c r="E387" s="34">
        <v>42</v>
      </c>
      <c r="F387" s="35">
        <v>120120</v>
      </c>
      <c r="G387" s="30">
        <v>106</v>
      </c>
      <c r="H387" s="31">
        <v>303160</v>
      </c>
      <c r="I387" s="28">
        <v>164</v>
      </c>
      <c r="J387" s="29">
        <v>469040</v>
      </c>
      <c r="K387" s="28">
        <v>115</v>
      </c>
      <c r="L387" s="29">
        <v>328900</v>
      </c>
      <c r="M387" s="28"/>
      <c r="N387" s="29"/>
      <c r="O387" s="28"/>
      <c r="P387" s="32"/>
      <c r="Q387" s="28"/>
      <c r="R387" s="32"/>
      <c r="S387" s="28"/>
      <c r="T387" s="32"/>
      <c r="U387" s="28"/>
      <c r="V387" s="32"/>
      <c r="W387" s="32"/>
      <c r="X387" s="32"/>
      <c r="Y387" s="32"/>
      <c r="Z387" s="32"/>
      <c r="AA387" s="32"/>
      <c r="AB387" s="32"/>
      <c r="AC387" s="36">
        <f>E387+G387+I387+K387+M387+O387+Q387+S387+U387+W387+Y387+AA387</f>
        <v>427</v>
      </c>
      <c r="AD387" s="33">
        <f>F387+H387+J387+L387+N387+P387+R387+T387+V387+X387+Z387+AB387</f>
        <v>1221220</v>
      </c>
    </row>
    <row r="388" spans="1:30" x14ac:dyDescent="0.35">
      <c r="A388" s="5">
        <v>162</v>
      </c>
      <c r="B388" s="10" t="str">
        <f>LEFT(D388,FIND("-",D388)-1)</f>
        <v>JKFV</v>
      </c>
      <c r="C388" s="27" t="s">
        <v>469</v>
      </c>
      <c r="D388" s="6" t="s">
        <v>426</v>
      </c>
      <c r="E388" s="34"/>
      <c r="F388" s="35"/>
      <c r="G388" s="30"/>
      <c r="H388" s="31"/>
      <c r="I388" s="28">
        <v>50</v>
      </c>
      <c r="J388" s="29">
        <v>156750</v>
      </c>
      <c r="K388" s="28">
        <v>108</v>
      </c>
      <c r="L388" s="29">
        <v>338580</v>
      </c>
      <c r="M388" s="28"/>
      <c r="N388" s="29"/>
      <c r="O388" s="28"/>
      <c r="P388" s="32"/>
      <c r="Q388" s="28"/>
      <c r="R388" s="32"/>
      <c r="S388" s="28"/>
      <c r="T388" s="32"/>
      <c r="U388" s="28"/>
      <c r="V388" s="32"/>
      <c r="W388" s="32"/>
      <c r="X388" s="32"/>
      <c r="Y388" s="32"/>
      <c r="Z388" s="32"/>
      <c r="AA388" s="32"/>
      <c r="AB388" s="32"/>
      <c r="AC388" s="37">
        <f>E388+G388+I388+K388+M388+O388+Q388+S388+U388+W388+Y388+AA388</f>
        <v>158</v>
      </c>
      <c r="AD388" s="33">
        <f>F388+H388+J388+L388+N388+P388+R388+T388+V388+X388+Z388+AB388</f>
        <v>495330</v>
      </c>
    </row>
    <row r="389" spans="1:30" x14ac:dyDescent="0.35">
      <c r="A389" s="5">
        <v>41</v>
      </c>
      <c r="B389" s="10" t="str">
        <f>LEFT(D389,FIND("-",D389)-1)</f>
        <v>JEFC002</v>
      </c>
      <c r="C389" s="27" t="s">
        <v>469</v>
      </c>
      <c r="D389" s="6" t="s">
        <v>42</v>
      </c>
      <c r="E389" s="34">
        <v>64</v>
      </c>
      <c r="F389" s="35">
        <v>165440</v>
      </c>
      <c r="G389" s="30">
        <v>71</v>
      </c>
      <c r="H389" s="31">
        <v>183535</v>
      </c>
      <c r="I389" s="28">
        <v>135</v>
      </c>
      <c r="J389" s="29">
        <v>348975</v>
      </c>
      <c r="K389" s="28">
        <v>103</v>
      </c>
      <c r="L389" s="29">
        <v>266255</v>
      </c>
      <c r="M389" s="28"/>
      <c r="N389" s="29"/>
      <c r="O389" s="28"/>
      <c r="P389" s="32"/>
      <c r="Q389" s="28"/>
      <c r="R389" s="32"/>
      <c r="S389" s="28"/>
      <c r="T389" s="32"/>
      <c r="U389" s="28"/>
      <c r="V389" s="32"/>
      <c r="W389" s="32"/>
      <c r="X389" s="32"/>
      <c r="Y389" s="32"/>
      <c r="Z389" s="32"/>
      <c r="AA389" s="32"/>
      <c r="AB389" s="32"/>
      <c r="AC389" s="36">
        <f>E389+G389+I389+K389+M389+O389+Q389+S389+U389+W389+Y389+AA389</f>
        <v>373</v>
      </c>
      <c r="AD389" s="33">
        <f>F389+H389+J389+L389+N389+P389+R389+T389+V389+X389+Z389+AB389</f>
        <v>964205</v>
      </c>
    </row>
    <row r="390" spans="1:30" x14ac:dyDescent="0.35">
      <c r="A390" s="5">
        <v>7</v>
      </c>
      <c r="B390" s="10" t="str">
        <f>LEFT(D390,FIND("-",D390)-1)</f>
        <v>JVAI</v>
      </c>
      <c r="C390" s="27" t="s">
        <v>469</v>
      </c>
      <c r="D390" s="6" t="s">
        <v>33</v>
      </c>
      <c r="E390" s="34">
        <v>570</v>
      </c>
      <c r="F390" s="35">
        <v>2508000</v>
      </c>
      <c r="G390" s="30">
        <v>426</v>
      </c>
      <c r="H390" s="31">
        <v>1874400</v>
      </c>
      <c r="I390" s="28">
        <v>833</v>
      </c>
      <c r="J390" s="29">
        <v>3665200</v>
      </c>
      <c r="K390" s="28">
        <v>96</v>
      </c>
      <c r="L390" s="29">
        <v>422400</v>
      </c>
      <c r="M390" s="28"/>
      <c r="N390" s="29"/>
      <c r="O390" s="28"/>
      <c r="P390" s="32"/>
      <c r="Q390" s="28"/>
      <c r="R390" s="32"/>
      <c r="S390" s="28"/>
      <c r="T390" s="32"/>
      <c r="U390" s="28"/>
      <c r="V390" s="32"/>
      <c r="W390" s="32"/>
      <c r="X390" s="32"/>
      <c r="Y390" s="32"/>
      <c r="Z390" s="32"/>
      <c r="AA390" s="32"/>
      <c r="AB390" s="32"/>
      <c r="AC390" s="37">
        <f>E390+G390+I390+K390+M390+O390+Q390+S390+U390+W390+Y390+AA390</f>
        <v>1925</v>
      </c>
      <c r="AD390" s="33">
        <f>F390+H390+J390+L390+N390+P390+R390+T390+V390+X390+Z390+AB390</f>
        <v>8470000</v>
      </c>
    </row>
    <row r="391" spans="1:30" x14ac:dyDescent="0.35">
      <c r="A391" s="5">
        <v>55</v>
      </c>
      <c r="B391" s="10" t="str">
        <f>LEFT(D391,FIND("-",D391)-1)</f>
        <v>JQHG</v>
      </c>
      <c r="C391" s="27" t="s">
        <v>469</v>
      </c>
      <c r="D391" s="6" t="s">
        <v>430</v>
      </c>
      <c r="E391" s="34"/>
      <c r="F391" s="35"/>
      <c r="G391" s="30"/>
      <c r="H391" s="31"/>
      <c r="I391" s="28">
        <v>202</v>
      </c>
      <c r="J391" s="29">
        <v>411070</v>
      </c>
      <c r="K391" s="28">
        <v>90</v>
      </c>
      <c r="L391" s="29">
        <v>183150</v>
      </c>
      <c r="M391" s="28"/>
      <c r="N391" s="29"/>
      <c r="O391" s="28"/>
      <c r="P391" s="32"/>
      <c r="Q391" s="28"/>
      <c r="R391" s="32"/>
      <c r="S391" s="28"/>
      <c r="T391" s="32"/>
      <c r="U391" s="28"/>
      <c r="V391" s="32"/>
      <c r="W391" s="32"/>
      <c r="X391" s="32"/>
      <c r="Y391" s="32"/>
      <c r="Z391" s="32"/>
      <c r="AA391" s="32"/>
      <c r="AB391" s="32"/>
      <c r="AC391" s="36">
        <f>E391+G391+I391+K391+M391+O391+Q391+S391+U391+W391+Y391+AA391</f>
        <v>292</v>
      </c>
      <c r="AD391" s="33">
        <f>F391+H391+J391+L391+N391+P391+R391+T391+V391+X391+Z391+AB391</f>
        <v>594220</v>
      </c>
    </row>
    <row r="392" spans="1:30" x14ac:dyDescent="0.35">
      <c r="A392" s="5">
        <v>108</v>
      </c>
      <c r="B392" s="10" t="str">
        <f>LEFT(D392,FIND("-",D392)-1)</f>
        <v>JEAT013</v>
      </c>
      <c r="C392" s="27" t="s">
        <v>469</v>
      </c>
      <c r="D392" s="6" t="s">
        <v>158</v>
      </c>
      <c r="E392" s="34">
        <v>34</v>
      </c>
      <c r="F392" s="35">
        <v>130900</v>
      </c>
      <c r="G392" s="30">
        <v>25</v>
      </c>
      <c r="H392" s="31">
        <v>96250</v>
      </c>
      <c r="I392" s="28">
        <v>40</v>
      </c>
      <c r="J392" s="29">
        <v>154000</v>
      </c>
      <c r="K392" s="28">
        <v>90</v>
      </c>
      <c r="L392" s="29">
        <v>346500</v>
      </c>
      <c r="M392" s="28"/>
      <c r="N392" s="29"/>
      <c r="O392" s="28"/>
      <c r="P392" s="32"/>
      <c r="Q392" s="28"/>
      <c r="R392" s="32"/>
      <c r="S392" s="28"/>
      <c r="T392" s="32"/>
      <c r="U392" s="28"/>
      <c r="V392" s="32"/>
      <c r="W392" s="32"/>
      <c r="X392" s="32"/>
      <c r="Y392" s="32"/>
      <c r="Z392" s="32"/>
      <c r="AA392" s="32"/>
      <c r="AB392" s="32"/>
      <c r="AC392" s="36">
        <f>E392+G392+I392+K392+M392+O392+Q392+S392+U392+W392+Y392+AA392</f>
        <v>189</v>
      </c>
      <c r="AD392" s="33">
        <f>F392+H392+J392+L392+N392+P392+R392+T392+V392+X392+Z392+AB392</f>
        <v>727650</v>
      </c>
    </row>
    <row r="393" spans="1:30" x14ac:dyDescent="0.35">
      <c r="A393" s="5">
        <v>53</v>
      </c>
      <c r="B393" s="10" t="str">
        <f>LEFT(D393,FIND("-",D393)-1)</f>
        <v>JEAT011</v>
      </c>
      <c r="C393" s="27" t="s">
        <v>469</v>
      </c>
      <c r="D393" s="6" t="s">
        <v>36</v>
      </c>
      <c r="E393" s="34">
        <v>90</v>
      </c>
      <c r="F393" s="35">
        <v>346500</v>
      </c>
      <c r="G393" s="30">
        <v>96</v>
      </c>
      <c r="H393" s="31">
        <v>369600</v>
      </c>
      <c r="I393" s="28">
        <v>20</v>
      </c>
      <c r="J393" s="29">
        <v>77000</v>
      </c>
      <c r="K393" s="28">
        <v>83</v>
      </c>
      <c r="L393" s="29">
        <v>319550</v>
      </c>
      <c r="M393" s="28"/>
      <c r="N393" s="29"/>
      <c r="O393" s="28"/>
      <c r="P393" s="32"/>
      <c r="Q393" s="28"/>
      <c r="R393" s="32"/>
      <c r="S393" s="28"/>
      <c r="T393" s="32"/>
      <c r="U393" s="28"/>
      <c r="V393" s="32"/>
      <c r="W393" s="32"/>
      <c r="X393" s="32"/>
      <c r="Y393" s="32"/>
      <c r="Z393" s="32"/>
      <c r="AA393" s="32"/>
      <c r="AB393" s="32"/>
      <c r="AC393" s="36">
        <f>E393+G393+I393+K393+M393+O393+Q393+S393+U393+W393+Y393+AA393</f>
        <v>289</v>
      </c>
      <c r="AD393" s="33">
        <f>F393+H393+J393+L393+N393+P393+R393+T393+V393+X393+Z393+AB393</f>
        <v>1112650</v>
      </c>
    </row>
    <row r="394" spans="1:30" x14ac:dyDescent="0.35">
      <c r="A394" s="5">
        <v>34</v>
      </c>
      <c r="B394" s="10" t="str">
        <f>LEFT(D394,FIND("-",D394)-1)</f>
        <v>JELK001</v>
      </c>
      <c r="C394" s="27" t="s">
        <v>469</v>
      </c>
      <c r="D394" s="6" t="s">
        <v>302</v>
      </c>
      <c r="E394" s="34"/>
      <c r="F394" s="35"/>
      <c r="G394" s="30">
        <v>319</v>
      </c>
      <c r="H394" s="31">
        <v>877250</v>
      </c>
      <c r="I394" s="28"/>
      <c r="J394" s="29"/>
      <c r="K394" s="28">
        <v>83</v>
      </c>
      <c r="L394" s="29">
        <v>228250</v>
      </c>
      <c r="M394" s="28"/>
      <c r="N394" s="29"/>
      <c r="O394" s="28"/>
      <c r="P394" s="32"/>
      <c r="Q394" s="28"/>
      <c r="R394" s="32"/>
      <c r="S394" s="28"/>
      <c r="T394" s="32"/>
      <c r="U394" s="28"/>
      <c r="V394" s="32"/>
      <c r="W394" s="32"/>
      <c r="X394" s="32"/>
      <c r="Y394" s="32"/>
      <c r="Z394" s="32"/>
      <c r="AA394" s="32"/>
      <c r="AB394" s="32"/>
      <c r="AC394" s="37">
        <f>E394+G394+I394+K394+M394+O394+Q394+S394+U394+W394+Y394+AA394</f>
        <v>402</v>
      </c>
      <c r="AD394" s="33">
        <f>F394+H394+J394+L394+N394+P394+R394+T394+V394+X394+Z394+AB394</f>
        <v>1105500</v>
      </c>
    </row>
    <row r="395" spans="1:30" x14ac:dyDescent="0.35">
      <c r="A395" s="5">
        <v>65</v>
      </c>
      <c r="B395" s="10" t="str">
        <f>LEFT(D395,FIND("-",D395)-1)</f>
        <v>JQKW</v>
      </c>
      <c r="C395" s="5" t="s">
        <v>469</v>
      </c>
      <c r="D395" s="6" t="s">
        <v>46</v>
      </c>
      <c r="E395" s="34">
        <v>16</v>
      </c>
      <c r="F395" s="35">
        <v>28160</v>
      </c>
      <c r="G395" s="30">
        <v>91</v>
      </c>
      <c r="H395" s="31">
        <v>160160</v>
      </c>
      <c r="I395" s="28">
        <v>72</v>
      </c>
      <c r="J395" s="29">
        <v>126720</v>
      </c>
      <c r="K395" s="28">
        <v>82</v>
      </c>
      <c r="L395" s="29">
        <v>144320</v>
      </c>
      <c r="M395" s="28"/>
      <c r="N395" s="29"/>
      <c r="O395" s="28"/>
      <c r="P395" s="32"/>
      <c r="Q395" s="28"/>
      <c r="R395" s="32"/>
      <c r="S395" s="28"/>
      <c r="T395" s="32"/>
      <c r="U395" s="28"/>
      <c r="V395" s="32"/>
      <c r="W395" s="32"/>
      <c r="X395" s="32"/>
      <c r="Y395" s="32"/>
      <c r="Z395" s="32"/>
      <c r="AA395" s="32"/>
      <c r="AB395" s="32"/>
      <c r="AC395" s="36">
        <f>E395+G395+I395+K395+M395+O395+Q395+S395+U395+W395+Y395+AA395</f>
        <v>261</v>
      </c>
      <c r="AD395" s="33">
        <f>F395+H395+J395+L395+N395+P395+R395+T395+V395+X395+Z395+AB395</f>
        <v>459360</v>
      </c>
    </row>
    <row r="396" spans="1:30" x14ac:dyDescent="0.35">
      <c r="A396" s="5">
        <v>164</v>
      </c>
      <c r="B396" s="10" t="str">
        <f>LEFT(D396,FIND("-",D396)-1)</f>
        <v>JKFE</v>
      </c>
      <c r="C396" s="27" t="s">
        <v>469</v>
      </c>
      <c r="D396" s="6" t="s">
        <v>423</v>
      </c>
      <c r="E396" s="34"/>
      <c r="F396" s="35"/>
      <c r="G396" s="30"/>
      <c r="H396" s="31"/>
      <c r="I396" s="28">
        <v>48</v>
      </c>
      <c r="J396" s="29">
        <v>100320</v>
      </c>
      <c r="K396" s="28">
        <v>78</v>
      </c>
      <c r="L396" s="29">
        <v>163020</v>
      </c>
      <c r="M396" s="28"/>
      <c r="N396" s="29"/>
      <c r="O396" s="28"/>
      <c r="P396" s="32"/>
      <c r="Q396" s="28"/>
      <c r="R396" s="32"/>
      <c r="S396" s="28"/>
      <c r="T396" s="32"/>
      <c r="U396" s="28"/>
      <c r="V396" s="32"/>
      <c r="W396" s="32"/>
      <c r="X396" s="32"/>
      <c r="Y396" s="32"/>
      <c r="Z396" s="32"/>
      <c r="AA396" s="32"/>
      <c r="AB396" s="32"/>
      <c r="AC396" s="37">
        <f>E396+G396+I396+K396+M396+O396+Q396+S396+U396+W396+Y396+AA396</f>
        <v>126</v>
      </c>
      <c r="AD396" s="33">
        <f>F396+H396+J396+L396+N396+P396+R396+T396+V396+X396+Z396+AB396</f>
        <v>263340</v>
      </c>
    </row>
    <row r="397" spans="1:30" x14ac:dyDescent="0.35">
      <c r="A397" s="5">
        <v>8</v>
      </c>
      <c r="B397" s="10" t="str">
        <f>LEFT(D397,FIND("-",D397)-1)</f>
        <v>JQRO</v>
      </c>
      <c r="C397" s="27" t="s">
        <v>469</v>
      </c>
      <c r="D397" s="6" t="s">
        <v>32</v>
      </c>
      <c r="E397" s="34">
        <v>500</v>
      </c>
      <c r="F397" s="35">
        <v>2750000</v>
      </c>
      <c r="G397" s="30">
        <v>419</v>
      </c>
      <c r="H397" s="31">
        <v>2304500</v>
      </c>
      <c r="I397" s="28">
        <v>521</v>
      </c>
      <c r="J397" s="29">
        <v>2865500</v>
      </c>
      <c r="K397" s="28">
        <v>53</v>
      </c>
      <c r="L397" s="29">
        <v>291500</v>
      </c>
      <c r="M397" s="28"/>
      <c r="N397" s="29"/>
      <c r="O397" s="28"/>
      <c r="P397" s="32"/>
      <c r="Q397" s="28"/>
      <c r="R397" s="32"/>
      <c r="S397" s="28"/>
      <c r="T397" s="32"/>
      <c r="U397" s="28"/>
      <c r="V397" s="32"/>
      <c r="W397" s="32"/>
      <c r="X397" s="32"/>
      <c r="Y397" s="32"/>
      <c r="Z397" s="32"/>
      <c r="AA397" s="32"/>
      <c r="AB397" s="32"/>
      <c r="AC397" s="37">
        <f>E397+G397+I397+K397+M397+O397+Q397+S397+U397+W397+Y397+AA397</f>
        <v>1493</v>
      </c>
      <c r="AD397" s="33">
        <f>F397+H397+J397+L397+N397+P397+R397+T397+V397+X397+Z397+AB397</f>
        <v>8211500</v>
      </c>
    </row>
    <row r="398" spans="1:30" x14ac:dyDescent="0.35">
      <c r="A398" s="5">
        <v>95</v>
      </c>
      <c r="B398" s="10" t="str">
        <f>LEFT(D398,FIND("-",D398)-1)</f>
        <v>JQFH</v>
      </c>
      <c r="C398" s="27" t="s">
        <v>469</v>
      </c>
      <c r="D398" s="6" t="s">
        <v>205</v>
      </c>
      <c r="E398" s="34">
        <v>24</v>
      </c>
      <c r="F398" s="35">
        <v>92400</v>
      </c>
      <c r="G398" s="30">
        <v>80</v>
      </c>
      <c r="H398" s="31">
        <v>308000</v>
      </c>
      <c r="I398" s="28"/>
      <c r="J398" s="29"/>
      <c r="K398" s="28">
        <v>47</v>
      </c>
      <c r="L398" s="29">
        <v>180950</v>
      </c>
      <c r="M398" s="28"/>
      <c r="N398" s="29"/>
      <c r="O398" s="28"/>
      <c r="P398" s="32"/>
      <c r="Q398" s="28"/>
      <c r="R398" s="32"/>
      <c r="S398" s="28"/>
      <c r="T398" s="32"/>
      <c r="U398" s="28"/>
      <c r="V398" s="32"/>
      <c r="W398" s="32"/>
      <c r="X398" s="32"/>
      <c r="Y398" s="32"/>
      <c r="Z398" s="32"/>
      <c r="AA398" s="32"/>
      <c r="AB398" s="32"/>
      <c r="AC398" s="37">
        <f>E398+G398+I398+K398+M398+O398+Q398+S398+U398+W398+Y398+AA398</f>
        <v>151</v>
      </c>
      <c r="AD398" s="33">
        <f>F398+H398+J398+L398+N398+P398+R398+T398+V398+X398+Z398+AB398</f>
        <v>581350</v>
      </c>
    </row>
    <row r="399" spans="1:30" x14ac:dyDescent="0.35">
      <c r="A399" s="5">
        <v>204</v>
      </c>
      <c r="B399" s="10" t="str">
        <f>LEFT(D399,FIND("-",D399)-1)</f>
        <v>JETB001</v>
      </c>
      <c r="C399" s="27" t="s">
        <v>469</v>
      </c>
      <c r="D399" s="6" t="s">
        <v>202</v>
      </c>
      <c r="E399" s="34">
        <v>5</v>
      </c>
      <c r="F399" s="35">
        <v>10175</v>
      </c>
      <c r="G399" s="30">
        <v>22</v>
      </c>
      <c r="H399" s="31">
        <v>44770</v>
      </c>
      <c r="I399" s="28"/>
      <c r="J399" s="29"/>
      <c r="K399" s="28">
        <v>40</v>
      </c>
      <c r="L399" s="29">
        <v>81400</v>
      </c>
      <c r="M399" s="28"/>
      <c r="N399" s="29"/>
      <c r="O399" s="28"/>
      <c r="P399" s="32"/>
      <c r="Q399" s="28"/>
      <c r="R399" s="32"/>
      <c r="S399" s="28"/>
      <c r="T399" s="32"/>
      <c r="U399" s="28"/>
      <c r="V399" s="32"/>
      <c r="W399" s="32"/>
      <c r="X399" s="32"/>
      <c r="Y399" s="32"/>
      <c r="Z399" s="32"/>
      <c r="AA399" s="32"/>
      <c r="AB399" s="32"/>
      <c r="AC399" s="37">
        <f>E399+G399+I399+K399+M399+O399+Q399+S399+U399+W399+Y399+AA399</f>
        <v>67</v>
      </c>
      <c r="AD399" s="33">
        <f>F399+H399+J399+L399+N399+P399+R399+T399+V399+X399+Z399+AB399</f>
        <v>136345</v>
      </c>
    </row>
    <row r="400" spans="1:30" x14ac:dyDescent="0.35">
      <c r="A400" s="5">
        <v>178</v>
      </c>
      <c r="B400" s="10" t="str">
        <f>LEFT(D400,FIND("-",D400)-1)</f>
        <v>JEGG020</v>
      </c>
      <c r="C400" s="27" t="s">
        <v>469</v>
      </c>
      <c r="D400" s="6" t="s">
        <v>174</v>
      </c>
      <c r="E400" s="34">
        <v>15</v>
      </c>
      <c r="F400" s="35">
        <v>24750</v>
      </c>
      <c r="G400" s="30"/>
      <c r="H400" s="31"/>
      <c r="I400" s="28">
        <v>19</v>
      </c>
      <c r="J400" s="29">
        <v>31350</v>
      </c>
      <c r="K400" s="28">
        <v>37</v>
      </c>
      <c r="L400" s="29">
        <v>61050</v>
      </c>
      <c r="M400" s="28"/>
      <c r="N400" s="29"/>
      <c r="O400" s="28"/>
      <c r="P400" s="32"/>
      <c r="Q400" s="28"/>
      <c r="R400" s="32"/>
      <c r="S400" s="28"/>
      <c r="T400" s="32"/>
      <c r="U400" s="28"/>
      <c r="V400" s="32"/>
      <c r="W400" s="32"/>
      <c r="X400" s="32"/>
      <c r="Y400" s="32"/>
      <c r="Z400" s="32"/>
      <c r="AA400" s="32"/>
      <c r="AB400" s="32"/>
      <c r="AC400" s="37">
        <f>E400+G400+I400+K400+M400+O400+Q400+S400+U400+W400+Y400+AA400</f>
        <v>71</v>
      </c>
      <c r="AD400" s="33">
        <f>F400+H400+J400+L400+N400+P400+R400+T400+V400+X400+Z400+AB400</f>
        <v>117150</v>
      </c>
    </row>
    <row r="401" spans="1:30" x14ac:dyDescent="0.35">
      <c r="A401" s="5">
        <v>106</v>
      </c>
      <c r="B401" s="10" t="str">
        <f>LEFT(D401,FIND("-",D401)-1)</f>
        <v>JEAM012</v>
      </c>
      <c r="C401" s="27" t="s">
        <v>469</v>
      </c>
      <c r="D401" s="6" t="s">
        <v>258</v>
      </c>
      <c r="E401" s="34"/>
      <c r="F401" s="35"/>
      <c r="G401" s="30">
        <v>25</v>
      </c>
      <c r="H401" s="31">
        <v>96250</v>
      </c>
      <c r="I401" s="28">
        <v>74</v>
      </c>
      <c r="J401" s="29">
        <v>284900</v>
      </c>
      <c r="K401" s="28">
        <v>30</v>
      </c>
      <c r="L401" s="29">
        <v>115500</v>
      </c>
      <c r="M401" s="28"/>
      <c r="N401" s="29"/>
      <c r="O401" s="28"/>
      <c r="P401" s="32"/>
      <c r="Q401" s="28"/>
      <c r="R401" s="32"/>
      <c r="S401" s="28"/>
      <c r="T401" s="32"/>
      <c r="U401" s="28"/>
      <c r="V401" s="32"/>
      <c r="W401" s="32"/>
      <c r="X401" s="32"/>
      <c r="Y401" s="32"/>
      <c r="Z401" s="32"/>
      <c r="AA401" s="32"/>
      <c r="AB401" s="32"/>
      <c r="AC401" s="36">
        <f>E401+G401+I401+K401+M401+O401+Q401+S401+U401+W401+Y401+AA401</f>
        <v>129</v>
      </c>
      <c r="AD401" s="33">
        <f>F401+H401+J401+L401+N401+P401+R401+T401+V401+X401+Z401+AB401</f>
        <v>496650</v>
      </c>
    </row>
    <row r="402" spans="1:30" x14ac:dyDescent="0.35">
      <c r="A402" s="5">
        <v>237</v>
      </c>
      <c r="B402" s="10" t="str">
        <f>LEFT(D402,FIND("-",D402)-1)</f>
        <v>JKFX</v>
      </c>
      <c r="C402" s="27" t="s">
        <v>469</v>
      </c>
      <c r="D402" s="6" t="s">
        <v>428</v>
      </c>
      <c r="E402" s="34"/>
      <c r="F402" s="35"/>
      <c r="G402" s="30"/>
      <c r="H402" s="31"/>
      <c r="I402" s="28">
        <v>20</v>
      </c>
      <c r="J402" s="29">
        <v>84700</v>
      </c>
      <c r="K402" s="28">
        <v>30</v>
      </c>
      <c r="L402" s="29">
        <v>127050</v>
      </c>
      <c r="M402" s="28"/>
      <c r="N402" s="29"/>
      <c r="O402" s="28"/>
      <c r="P402" s="32"/>
      <c r="Q402" s="28"/>
      <c r="R402" s="32"/>
      <c r="S402" s="28"/>
      <c r="T402" s="32"/>
      <c r="U402" s="28"/>
      <c r="V402" s="32"/>
      <c r="W402" s="32"/>
      <c r="X402" s="32"/>
      <c r="Y402" s="32"/>
      <c r="Z402" s="32"/>
      <c r="AA402" s="32"/>
      <c r="AB402" s="32"/>
      <c r="AC402" s="37">
        <f>E402+G402+I402+K402+M402+O402+Q402+S402+U402+W402+Y402+AA402</f>
        <v>50</v>
      </c>
      <c r="AD402" s="33">
        <f>F402+H402+J402+L402+N402+P402+R402+T402+V402+X402+Z402+AB402</f>
        <v>211750</v>
      </c>
    </row>
    <row r="403" spans="1:30" x14ac:dyDescent="0.35">
      <c r="A403" s="5">
        <v>155</v>
      </c>
      <c r="B403" s="10" t="str">
        <f>LEFT(D403,FIND("-",D403)-1)</f>
        <v>JEAT034</v>
      </c>
      <c r="C403" s="27" t="s">
        <v>469</v>
      </c>
      <c r="D403" s="6" t="s">
        <v>162</v>
      </c>
      <c r="E403" s="38">
        <v>30</v>
      </c>
      <c r="F403" s="39">
        <v>115500</v>
      </c>
      <c r="G403" s="30">
        <v>10</v>
      </c>
      <c r="H403" s="31">
        <v>38500</v>
      </c>
      <c r="I403" s="28">
        <v>15</v>
      </c>
      <c r="J403" s="29">
        <v>57750</v>
      </c>
      <c r="K403" s="28">
        <v>30</v>
      </c>
      <c r="L403" s="29">
        <v>115500</v>
      </c>
      <c r="M403" s="28"/>
      <c r="N403" s="29"/>
      <c r="O403" s="28"/>
      <c r="P403" s="32"/>
      <c r="Q403" s="28"/>
      <c r="R403" s="32"/>
      <c r="S403" s="28"/>
      <c r="T403" s="32"/>
      <c r="U403" s="28"/>
      <c r="V403" s="32"/>
      <c r="W403" s="32"/>
      <c r="X403" s="32"/>
      <c r="Y403" s="32"/>
      <c r="Z403" s="32"/>
      <c r="AA403" s="32"/>
      <c r="AB403" s="32"/>
      <c r="AC403" s="36">
        <f>E403+G403+I403+K403+M403+O403+Q403+S403+U403+W403+Y403+AA403</f>
        <v>85</v>
      </c>
      <c r="AD403" s="33">
        <f>F403+H403+J403+L403+N403+P403+R403+T403+V403+X403+Z403+AB403</f>
        <v>327250</v>
      </c>
    </row>
    <row r="404" spans="1:30" x14ac:dyDescent="0.35">
      <c r="A404" s="5">
        <v>357</v>
      </c>
      <c r="B404" s="10" t="str">
        <f>LEFT(D404,FIND("-",D404)-1)</f>
        <v>JEIB302</v>
      </c>
      <c r="C404" s="27" t="s">
        <v>469</v>
      </c>
      <c r="D404" s="6" t="s">
        <v>176</v>
      </c>
      <c r="E404" s="38">
        <v>5</v>
      </c>
      <c r="F404" s="39">
        <v>9625</v>
      </c>
      <c r="G404" s="30"/>
      <c r="H404" s="31"/>
      <c r="I404" s="28"/>
      <c r="J404" s="29"/>
      <c r="K404" s="28">
        <v>30</v>
      </c>
      <c r="L404" s="29">
        <v>57750</v>
      </c>
      <c r="M404" s="28"/>
      <c r="N404" s="29"/>
      <c r="O404" s="28"/>
      <c r="P404" s="32"/>
      <c r="Q404" s="28"/>
      <c r="R404" s="32"/>
      <c r="S404" s="28"/>
      <c r="T404" s="32"/>
      <c r="U404" s="28"/>
      <c r="V404" s="32"/>
      <c r="W404" s="32"/>
      <c r="X404" s="32"/>
      <c r="Y404" s="32"/>
      <c r="Z404" s="32"/>
      <c r="AA404" s="32"/>
      <c r="AB404" s="32"/>
      <c r="AC404" s="37">
        <f>E404+G404+I404+K404+M404+O404+Q404+S404+U404+W404+Y404+AA404</f>
        <v>35</v>
      </c>
      <c r="AD404" s="33">
        <f>F404+H404+J404+L404+N404+P404+R404+T404+V404+X404+Z404+AB404</f>
        <v>67375</v>
      </c>
    </row>
    <row r="405" spans="1:30" x14ac:dyDescent="0.35">
      <c r="A405" s="5">
        <v>258</v>
      </c>
      <c r="B405" s="10" t="str">
        <f>LEFT(D405,FIND("-",D405)-1)</f>
        <v>JEIH901</v>
      </c>
      <c r="C405" s="27" t="s">
        <v>469</v>
      </c>
      <c r="D405" s="6" t="s">
        <v>300</v>
      </c>
      <c r="E405" s="38"/>
      <c r="F405" s="39"/>
      <c r="G405" s="30">
        <v>10</v>
      </c>
      <c r="H405" s="31">
        <v>11000</v>
      </c>
      <c r="I405" s="28">
        <v>5</v>
      </c>
      <c r="J405" s="29">
        <v>5500</v>
      </c>
      <c r="K405" s="28">
        <v>25</v>
      </c>
      <c r="L405" s="29">
        <v>27500</v>
      </c>
      <c r="M405" s="28"/>
      <c r="N405" s="29"/>
      <c r="O405" s="28"/>
      <c r="P405" s="32"/>
      <c r="Q405" s="28"/>
      <c r="R405" s="32"/>
      <c r="S405" s="28"/>
      <c r="T405" s="32"/>
      <c r="U405" s="28"/>
      <c r="V405" s="32"/>
      <c r="W405" s="32"/>
      <c r="X405" s="32"/>
      <c r="Y405" s="32"/>
      <c r="Z405" s="32"/>
      <c r="AA405" s="32"/>
      <c r="AB405" s="32"/>
      <c r="AC405" s="37">
        <f>E405+G405+I405+K405+M405+O405+Q405+S405+U405+W405+Y405+AA405</f>
        <v>40</v>
      </c>
      <c r="AD405" s="33">
        <f>F405+H405+J405+L405+N405+P405+R405+T405+V405+X405+Z405+AB405</f>
        <v>44000</v>
      </c>
    </row>
    <row r="406" spans="1:30" x14ac:dyDescent="0.35">
      <c r="A406" s="5">
        <v>177</v>
      </c>
      <c r="B406" s="10" t="str">
        <f>LEFT(D406,FIND("-",D406)-1)</f>
        <v>JETB003</v>
      </c>
      <c r="C406" s="27" t="s">
        <v>469</v>
      </c>
      <c r="D406" s="6" t="s">
        <v>203</v>
      </c>
      <c r="E406" s="38">
        <v>9</v>
      </c>
      <c r="F406" s="39">
        <v>18315</v>
      </c>
      <c r="G406" s="30">
        <v>26</v>
      </c>
      <c r="H406" s="31">
        <v>52910</v>
      </c>
      <c r="I406" s="28"/>
      <c r="J406" s="29"/>
      <c r="K406" s="28">
        <v>24</v>
      </c>
      <c r="L406" s="29">
        <v>48840</v>
      </c>
      <c r="M406" s="28"/>
      <c r="N406" s="29"/>
      <c r="O406" s="28"/>
      <c r="P406" s="32"/>
      <c r="Q406" s="28"/>
      <c r="R406" s="32"/>
      <c r="S406" s="28"/>
      <c r="T406" s="32"/>
      <c r="U406" s="28"/>
      <c r="V406" s="32"/>
      <c r="W406" s="32"/>
      <c r="X406" s="32"/>
      <c r="Y406" s="32"/>
      <c r="Z406" s="32"/>
      <c r="AA406" s="32"/>
      <c r="AB406" s="32"/>
      <c r="AC406" s="37">
        <f>E406+G406+I406+K406+M406+O406+Q406+S406+U406+W406+Y406+AA406</f>
        <v>59</v>
      </c>
      <c r="AD406" s="33">
        <f>F406+H406+J406+L406+N406+P406+R406+T406+V406+X406+Z406+AB406</f>
        <v>120065</v>
      </c>
    </row>
    <row r="407" spans="1:30" x14ac:dyDescent="0.35">
      <c r="A407" s="5">
        <v>201</v>
      </c>
      <c r="B407" s="10" t="str">
        <f>LEFT(D407,FIND("-",D407)-1)</f>
        <v>JETB002</v>
      </c>
      <c r="C407" s="27" t="s">
        <v>469</v>
      </c>
      <c r="D407" s="6" t="s">
        <v>66</v>
      </c>
      <c r="E407" s="38">
        <v>5</v>
      </c>
      <c r="F407" s="39">
        <v>10175</v>
      </c>
      <c r="G407" s="30">
        <v>23</v>
      </c>
      <c r="H407" s="31">
        <v>46805</v>
      </c>
      <c r="I407" s="28"/>
      <c r="J407" s="29"/>
      <c r="K407" s="28">
        <v>21</v>
      </c>
      <c r="L407" s="29">
        <v>42735</v>
      </c>
      <c r="M407" s="28"/>
      <c r="N407" s="29"/>
      <c r="O407" s="28"/>
      <c r="P407" s="32"/>
      <c r="Q407" s="28"/>
      <c r="R407" s="32"/>
      <c r="S407" s="28"/>
      <c r="T407" s="32"/>
      <c r="U407" s="28"/>
      <c r="V407" s="32"/>
      <c r="W407" s="32"/>
      <c r="X407" s="32"/>
      <c r="Y407" s="32"/>
      <c r="Z407" s="32"/>
      <c r="AA407" s="32"/>
      <c r="AB407" s="32"/>
      <c r="AC407" s="37">
        <f>E407+G407+I407+K407+M407+O407+Q407+S407+U407+W407+Y407+AA407</f>
        <v>49</v>
      </c>
      <c r="AD407" s="33">
        <f>F407+H407+J407+L407+N407+P407+R407+T407+V407+X407+Z407+AB407</f>
        <v>99715</v>
      </c>
    </row>
    <row r="408" spans="1:30" x14ac:dyDescent="0.35">
      <c r="A408" s="5">
        <v>139</v>
      </c>
      <c r="B408" s="10" t="str">
        <f>LEFT(D408,FIND("-",D408)-1)</f>
        <v>JSUL010</v>
      </c>
      <c r="C408" s="27" t="s">
        <v>469</v>
      </c>
      <c r="D408" s="6" t="s">
        <v>339</v>
      </c>
      <c r="E408" s="38"/>
      <c r="F408" s="39"/>
      <c r="G408" s="30">
        <v>6</v>
      </c>
      <c r="H408" s="31">
        <v>10560</v>
      </c>
      <c r="I408" s="28">
        <v>65</v>
      </c>
      <c r="J408" s="29">
        <v>114400</v>
      </c>
      <c r="K408" s="28">
        <v>20</v>
      </c>
      <c r="L408" s="29">
        <v>35200</v>
      </c>
      <c r="M408" s="28"/>
      <c r="N408" s="29"/>
      <c r="O408" s="28"/>
      <c r="P408" s="32"/>
      <c r="Q408" s="28"/>
      <c r="R408" s="32"/>
      <c r="S408" s="28"/>
      <c r="T408" s="32"/>
      <c r="U408" s="28"/>
      <c r="V408" s="32"/>
      <c r="W408" s="32"/>
      <c r="X408" s="32"/>
      <c r="Y408" s="32"/>
      <c r="Z408" s="32"/>
      <c r="AA408" s="32"/>
      <c r="AB408" s="32"/>
      <c r="AC408" s="37">
        <f>E408+G408+I408+K408+M408+O408+Q408+S408+U408+W408+Y408+AA408</f>
        <v>91</v>
      </c>
      <c r="AD408" s="33">
        <f>F408+H408+J408+L408+N408+P408+R408+T408+V408+X408+Z408+AB408</f>
        <v>160160</v>
      </c>
    </row>
    <row r="409" spans="1:30" x14ac:dyDescent="0.35">
      <c r="A409" s="5">
        <v>116</v>
      </c>
      <c r="B409" s="10" t="str">
        <f>LEFT(D409,FIND("-",D409)-1)</f>
        <v>JEGG014</v>
      </c>
      <c r="C409" s="27" t="s">
        <v>469</v>
      </c>
      <c r="D409" s="6" t="s">
        <v>283</v>
      </c>
      <c r="E409" s="38"/>
      <c r="F409" s="39"/>
      <c r="G409" s="30">
        <v>55</v>
      </c>
      <c r="H409" s="31">
        <v>90750</v>
      </c>
      <c r="I409" s="28">
        <v>35</v>
      </c>
      <c r="J409" s="29">
        <v>57750</v>
      </c>
      <c r="K409" s="28">
        <v>20</v>
      </c>
      <c r="L409" s="29">
        <v>33000</v>
      </c>
      <c r="M409" s="28"/>
      <c r="N409" s="29"/>
      <c r="O409" s="28"/>
      <c r="P409" s="32"/>
      <c r="Q409" s="28"/>
      <c r="R409" s="32"/>
      <c r="S409" s="28"/>
      <c r="T409" s="32"/>
      <c r="U409" s="28"/>
      <c r="V409" s="32"/>
      <c r="W409" s="32"/>
      <c r="X409" s="32"/>
      <c r="Y409" s="32"/>
      <c r="Z409" s="32"/>
      <c r="AA409" s="32"/>
      <c r="AB409" s="32"/>
      <c r="AC409" s="36">
        <f>E409+G409+I409+K409+M409+O409+Q409+S409+U409+W409+Y409+AA409</f>
        <v>110</v>
      </c>
      <c r="AD409" s="33">
        <f>F409+H409+J409+L409+N409+P409+R409+T409+V409+X409+Z409+AB409</f>
        <v>181500</v>
      </c>
    </row>
    <row r="410" spans="1:30" x14ac:dyDescent="0.35">
      <c r="A410" s="5">
        <v>392</v>
      </c>
      <c r="B410" s="10" t="str">
        <f>LEFT(D410,FIND("-",D410)-1)</f>
        <v>JSIB</v>
      </c>
      <c r="C410" s="27" t="s">
        <v>469</v>
      </c>
      <c r="D410" s="6" t="s">
        <v>435</v>
      </c>
      <c r="E410" s="38"/>
      <c r="F410" s="39"/>
      <c r="G410" s="30"/>
      <c r="H410" s="31"/>
      <c r="I410" s="28">
        <v>3</v>
      </c>
      <c r="J410" s="29">
        <v>9900</v>
      </c>
      <c r="K410" s="28">
        <v>20</v>
      </c>
      <c r="L410" s="29">
        <v>66000</v>
      </c>
      <c r="M410" s="28"/>
      <c r="N410" s="29"/>
      <c r="O410" s="28"/>
      <c r="P410" s="32"/>
      <c r="Q410" s="28"/>
      <c r="R410" s="32"/>
      <c r="S410" s="28"/>
      <c r="T410" s="32"/>
      <c r="U410" s="28"/>
      <c r="V410" s="32"/>
      <c r="W410" s="32"/>
      <c r="X410" s="32"/>
      <c r="Y410" s="32"/>
      <c r="Z410" s="32"/>
      <c r="AA410" s="32"/>
      <c r="AB410" s="32"/>
      <c r="AC410" s="37">
        <f>E410+G410+I410+K410+M410+O410+Q410+S410+U410+W410+Y410+AA410</f>
        <v>23</v>
      </c>
      <c r="AD410" s="33">
        <f>F410+H410+J410+L410+N410+P410+R410+T410+V410+X410+Z410+AB410</f>
        <v>75900</v>
      </c>
    </row>
    <row r="411" spans="1:30" x14ac:dyDescent="0.35">
      <c r="A411" s="5">
        <v>449</v>
      </c>
      <c r="B411" s="10" t="str">
        <f>LEFT(D411,FIND("-",D411)-1)</f>
        <v>JEIM001</v>
      </c>
      <c r="C411" s="27" t="s">
        <v>469</v>
      </c>
      <c r="D411" s="6" t="s">
        <v>488</v>
      </c>
      <c r="E411" s="38"/>
      <c r="F411" s="39"/>
      <c r="G411" s="30"/>
      <c r="H411" s="31"/>
      <c r="I411" s="28"/>
      <c r="J411" s="29"/>
      <c r="K411" s="28">
        <v>20</v>
      </c>
      <c r="L411" s="29">
        <v>13200</v>
      </c>
      <c r="M411" s="28"/>
      <c r="N411" s="29"/>
      <c r="O411" s="28"/>
      <c r="P411" s="32"/>
      <c r="Q411" s="28"/>
      <c r="R411" s="32"/>
      <c r="S411" s="28"/>
      <c r="T411" s="32"/>
      <c r="U411" s="28"/>
      <c r="V411" s="32"/>
      <c r="W411" s="32"/>
      <c r="X411" s="32"/>
      <c r="Y411" s="32"/>
      <c r="Z411" s="32"/>
      <c r="AA411" s="32"/>
      <c r="AB411" s="32"/>
      <c r="AC411" s="37">
        <f>E411+G411+I411+K411+M411+O411+Q411+S411+U411+W411+Y411+AA411</f>
        <v>20</v>
      </c>
      <c r="AD411" s="33">
        <f>F411+H411+J411+L411+N411+P411+R411+T411+V411+X411+Z411+AB411</f>
        <v>13200</v>
      </c>
    </row>
    <row r="412" spans="1:30" x14ac:dyDescent="0.35">
      <c r="A412" s="5">
        <v>450</v>
      </c>
      <c r="B412" s="10" t="str">
        <f>LEFT(D412,FIND("-",D412)-1)</f>
        <v>JEIM301</v>
      </c>
      <c r="C412" s="27" t="s">
        <v>469</v>
      </c>
      <c r="D412" s="6" t="s">
        <v>489</v>
      </c>
      <c r="E412" s="38"/>
      <c r="F412" s="39"/>
      <c r="G412" s="30"/>
      <c r="H412" s="31"/>
      <c r="I412" s="28"/>
      <c r="J412" s="29"/>
      <c r="K412" s="28">
        <v>20</v>
      </c>
      <c r="L412" s="29">
        <v>13200</v>
      </c>
      <c r="M412" s="28"/>
      <c r="N412" s="29"/>
      <c r="O412" s="28"/>
      <c r="P412" s="32"/>
      <c r="Q412" s="28"/>
      <c r="R412" s="32"/>
      <c r="S412" s="28"/>
      <c r="T412" s="32"/>
      <c r="U412" s="28"/>
      <c r="V412" s="32"/>
      <c r="W412" s="32"/>
      <c r="X412" s="32"/>
      <c r="Y412" s="32"/>
      <c r="Z412" s="32"/>
      <c r="AA412" s="32"/>
      <c r="AB412" s="32"/>
      <c r="AC412" s="37">
        <f>E412+G412+I412+K412+M412+O412+Q412+S412+U412+W412+Y412+AA412</f>
        <v>20</v>
      </c>
      <c r="AD412" s="33">
        <f>F412+H412+J412+L412+N412+P412+R412+T412+V412+X412+Z412+AB412</f>
        <v>13200</v>
      </c>
    </row>
    <row r="413" spans="1:30" x14ac:dyDescent="0.35">
      <c r="A413" s="5">
        <v>294</v>
      </c>
      <c r="B413" s="10" t="str">
        <f>LEFT(D413,FIND("-",D413)-1)</f>
        <v>JEGG018</v>
      </c>
      <c r="C413" s="27" t="s">
        <v>469</v>
      </c>
      <c r="D413" s="6" t="s">
        <v>285</v>
      </c>
      <c r="E413" s="38"/>
      <c r="F413" s="39"/>
      <c r="G413" s="30">
        <v>7</v>
      </c>
      <c r="H413" s="31">
        <v>11550</v>
      </c>
      <c r="I413" s="28">
        <v>3</v>
      </c>
      <c r="J413" s="29">
        <v>4950</v>
      </c>
      <c r="K413" s="28">
        <v>16</v>
      </c>
      <c r="L413" s="29">
        <v>26400</v>
      </c>
      <c r="M413" s="28"/>
      <c r="N413" s="29"/>
      <c r="O413" s="28"/>
      <c r="P413" s="32"/>
      <c r="Q413" s="28"/>
      <c r="R413" s="32"/>
      <c r="S413" s="28"/>
      <c r="T413" s="32"/>
      <c r="U413" s="28"/>
      <c r="V413" s="32"/>
      <c r="W413" s="32"/>
      <c r="X413" s="32"/>
      <c r="Y413" s="32"/>
      <c r="Z413" s="32"/>
      <c r="AA413" s="32"/>
      <c r="AB413" s="32"/>
      <c r="AC413" s="37">
        <f>E413+G413+I413+K413+M413+O413+Q413+S413+U413+W413+Y413+AA413</f>
        <v>26</v>
      </c>
      <c r="AD413" s="33">
        <f>F413+H413+J413+L413+N413+P413+R413+T413+V413+X413+Z413+AB413</f>
        <v>42900</v>
      </c>
    </row>
    <row r="414" spans="1:30" x14ac:dyDescent="0.35">
      <c r="A414" s="5">
        <v>455</v>
      </c>
      <c r="B414" s="10" t="str">
        <f>LEFT(D414,FIND("-",D414)-1)</f>
        <v>JQII</v>
      </c>
      <c r="C414" s="27" t="s">
        <v>469</v>
      </c>
      <c r="D414" s="6" t="s">
        <v>494</v>
      </c>
      <c r="E414" s="38"/>
      <c r="F414" s="39"/>
      <c r="G414" s="30"/>
      <c r="H414" s="31"/>
      <c r="I414" s="28"/>
      <c r="J414" s="29"/>
      <c r="K414" s="28">
        <v>16</v>
      </c>
      <c r="L414" s="29">
        <v>29920</v>
      </c>
      <c r="M414" s="28"/>
      <c r="N414" s="29"/>
      <c r="O414" s="28"/>
      <c r="P414" s="32"/>
      <c r="Q414" s="28"/>
      <c r="R414" s="32"/>
      <c r="S414" s="28"/>
      <c r="T414" s="32"/>
      <c r="U414" s="28"/>
      <c r="V414" s="32"/>
      <c r="W414" s="32"/>
      <c r="X414" s="32"/>
      <c r="Y414" s="32"/>
      <c r="Z414" s="32"/>
      <c r="AA414" s="32"/>
      <c r="AB414" s="32"/>
      <c r="AC414" s="37">
        <f>E414+G414+I414+K414+M414+O414+Q414+S414+U414+W414+Y414+AA414</f>
        <v>16</v>
      </c>
      <c r="AD414" s="33">
        <f>F414+H414+J414+L414+N414+P414+R414+T414+V414+X414+Z414+AB414</f>
        <v>29920</v>
      </c>
    </row>
    <row r="415" spans="1:30" x14ac:dyDescent="0.35">
      <c r="A415" s="5">
        <v>437</v>
      </c>
      <c r="B415" s="10" t="str">
        <f>LEFT(D415,FIND("-",D415)-1)</f>
        <v>JQIJ</v>
      </c>
      <c r="C415" s="27" t="s">
        <v>469</v>
      </c>
      <c r="D415" s="6" t="s">
        <v>53</v>
      </c>
      <c r="E415" s="38">
        <v>1</v>
      </c>
      <c r="F415" s="39">
        <v>1870</v>
      </c>
      <c r="G415" s="30"/>
      <c r="H415" s="31"/>
      <c r="I415" s="28"/>
      <c r="J415" s="29"/>
      <c r="K415" s="28">
        <v>15</v>
      </c>
      <c r="L415" s="29">
        <v>28050</v>
      </c>
      <c r="M415" s="28"/>
      <c r="N415" s="29"/>
      <c r="O415" s="28"/>
      <c r="P415" s="32"/>
      <c r="Q415" s="28"/>
      <c r="R415" s="32"/>
      <c r="S415" s="28"/>
      <c r="T415" s="32"/>
      <c r="U415" s="28"/>
      <c r="V415" s="32"/>
      <c r="W415" s="32"/>
      <c r="X415" s="32"/>
      <c r="Y415" s="32"/>
      <c r="Z415" s="32"/>
      <c r="AA415" s="32"/>
      <c r="AB415" s="32"/>
      <c r="AC415" s="37">
        <f>E415+G415+I415+K415+M415+O415+Q415+S415+U415+W415+Y415+AA415</f>
        <v>16</v>
      </c>
      <c r="AD415" s="33">
        <f>F415+H415+J415+L415+N415+P415+R415+T415+V415+X415+Z415+AB415</f>
        <v>29920</v>
      </c>
    </row>
    <row r="416" spans="1:30" x14ac:dyDescent="0.35">
      <c r="A416" s="5">
        <v>203</v>
      </c>
      <c r="B416" s="10" t="str">
        <f>LEFT(D416,FIND("-",D416)-1)</f>
        <v>JEGG019</v>
      </c>
      <c r="C416" s="27" t="s">
        <v>469</v>
      </c>
      <c r="D416" s="6" t="s">
        <v>286</v>
      </c>
      <c r="E416" s="38"/>
      <c r="F416" s="39"/>
      <c r="G416" s="30">
        <v>17</v>
      </c>
      <c r="H416" s="31">
        <v>28050</v>
      </c>
      <c r="I416" s="28">
        <v>10</v>
      </c>
      <c r="J416" s="29">
        <v>16500</v>
      </c>
      <c r="K416" s="28">
        <v>14</v>
      </c>
      <c r="L416" s="29">
        <v>23100</v>
      </c>
      <c r="M416" s="28"/>
      <c r="N416" s="29"/>
      <c r="O416" s="28"/>
      <c r="P416" s="32"/>
      <c r="Q416" s="28"/>
      <c r="R416" s="32"/>
      <c r="S416" s="28"/>
      <c r="T416" s="32"/>
      <c r="U416" s="28"/>
      <c r="V416" s="32"/>
      <c r="W416" s="32"/>
      <c r="X416" s="32"/>
      <c r="Y416" s="32"/>
      <c r="Z416" s="32"/>
      <c r="AA416" s="32"/>
      <c r="AB416" s="32"/>
      <c r="AC416" s="37">
        <f>E416+G416+I416+K416+M416+O416+Q416+S416+U416+W416+Y416+AA416</f>
        <v>41</v>
      </c>
      <c r="AD416" s="33">
        <f>F416+H416+J416+L416+N416+P416+R416+T416+V416+X416+Z416+AB416</f>
        <v>67650</v>
      </c>
    </row>
    <row r="417" spans="1:30" x14ac:dyDescent="0.35">
      <c r="A417" s="5">
        <v>251</v>
      </c>
      <c r="B417" s="10" t="str">
        <f>LEFT(D417,FIND("-",D417)-1)</f>
        <v>JEGG016</v>
      </c>
      <c r="C417" s="27" t="s">
        <v>469</v>
      </c>
      <c r="D417" s="6" t="s">
        <v>119</v>
      </c>
      <c r="E417" s="38">
        <v>5</v>
      </c>
      <c r="F417" s="39">
        <v>8250</v>
      </c>
      <c r="G417" s="30">
        <v>11</v>
      </c>
      <c r="H417" s="31">
        <v>18150</v>
      </c>
      <c r="I417" s="28"/>
      <c r="J417" s="29"/>
      <c r="K417" s="28">
        <v>13</v>
      </c>
      <c r="L417" s="29">
        <v>21450</v>
      </c>
      <c r="M417" s="28"/>
      <c r="N417" s="29"/>
      <c r="O417" s="28"/>
      <c r="P417" s="32"/>
      <c r="Q417" s="28"/>
      <c r="R417" s="32"/>
      <c r="S417" s="28"/>
      <c r="T417" s="32"/>
      <c r="U417" s="28"/>
      <c r="V417" s="32"/>
      <c r="W417" s="32"/>
      <c r="X417" s="32"/>
      <c r="Y417" s="32"/>
      <c r="Z417" s="32"/>
      <c r="AA417" s="32"/>
      <c r="AB417" s="32"/>
      <c r="AC417" s="37">
        <f>E417+G417+I417+K417+M417+O417+Q417+S417+U417+W417+Y417+AA417</f>
        <v>29</v>
      </c>
      <c r="AD417" s="33">
        <f>F417+H417+J417+L417+N417+P417+R417+T417+V417+X417+Z417+AB417</f>
        <v>47850</v>
      </c>
    </row>
    <row r="418" spans="1:30" x14ac:dyDescent="0.35">
      <c r="A418" s="5">
        <v>403</v>
      </c>
      <c r="B418" s="10" t="str">
        <f>LEFT(D418,FIND("-",D418)-1)</f>
        <v>JEGG010</v>
      </c>
      <c r="C418" s="27" t="s">
        <v>469</v>
      </c>
      <c r="D418" s="6" t="s">
        <v>411</v>
      </c>
      <c r="E418" s="38"/>
      <c r="F418" s="39"/>
      <c r="G418" s="30"/>
      <c r="H418" s="31"/>
      <c r="I418" s="28">
        <v>2</v>
      </c>
      <c r="J418" s="29">
        <v>3300</v>
      </c>
      <c r="K418" s="28">
        <v>12</v>
      </c>
      <c r="L418" s="29">
        <v>19800</v>
      </c>
      <c r="M418" s="28"/>
      <c r="N418" s="29"/>
      <c r="O418" s="28"/>
      <c r="P418" s="32"/>
      <c r="Q418" s="28"/>
      <c r="R418" s="32"/>
      <c r="S418" s="28"/>
      <c r="T418" s="32"/>
      <c r="U418" s="28"/>
      <c r="V418" s="32"/>
      <c r="W418" s="32"/>
      <c r="X418" s="32"/>
      <c r="Y418" s="32"/>
      <c r="Z418" s="32"/>
      <c r="AA418" s="32"/>
      <c r="AB418" s="32"/>
      <c r="AC418" s="36">
        <f>E418+G418+I418+K418+M418+O418+Q418+S418+U418+W418+Y418+AA418</f>
        <v>14</v>
      </c>
      <c r="AD418" s="33">
        <f>F418+H418+J418+L418+N418+P418+R418+T418+V418+X418+Z418+AB418</f>
        <v>23100</v>
      </c>
    </row>
    <row r="419" spans="1:30" x14ac:dyDescent="0.35">
      <c r="A419" s="5">
        <v>158</v>
      </c>
      <c r="B419" s="10" t="str">
        <f>LEFT(D419,FIND("-",D419)-1)</f>
        <v>JEAP021</v>
      </c>
      <c r="C419" s="27" t="s">
        <v>469</v>
      </c>
      <c r="D419" s="6" t="s">
        <v>7</v>
      </c>
      <c r="E419" s="38">
        <v>18</v>
      </c>
      <c r="F419" s="39">
        <v>54450</v>
      </c>
      <c r="G419" s="30">
        <v>11</v>
      </c>
      <c r="H419" s="31">
        <v>33275</v>
      </c>
      <c r="I419" s="28">
        <v>25</v>
      </c>
      <c r="J419" s="29">
        <v>75625</v>
      </c>
      <c r="K419" s="28">
        <v>10</v>
      </c>
      <c r="L419" s="29">
        <v>30250</v>
      </c>
      <c r="M419" s="28"/>
      <c r="N419" s="29"/>
      <c r="O419" s="28"/>
      <c r="P419" s="32"/>
      <c r="Q419" s="28"/>
      <c r="R419" s="32"/>
      <c r="S419" s="28"/>
      <c r="T419" s="32"/>
      <c r="U419" s="28"/>
      <c r="V419" s="32"/>
      <c r="W419" s="32"/>
      <c r="X419" s="32"/>
      <c r="Y419" s="32"/>
      <c r="Z419" s="32"/>
      <c r="AA419" s="32"/>
      <c r="AB419" s="32"/>
      <c r="AC419" s="37">
        <f>E419+G419+I419+K419+M419+O419+Q419+S419+U419+W419+Y419+AA419</f>
        <v>64</v>
      </c>
      <c r="AD419" s="33">
        <f>F419+H419+J419+L419+N419+P419+R419+T419+V419+X419+Z419+AB419</f>
        <v>193600</v>
      </c>
    </row>
    <row r="420" spans="1:30" x14ac:dyDescent="0.35">
      <c r="A420" s="5">
        <v>273</v>
      </c>
      <c r="B420" s="10" t="str">
        <f>LEFT(D420,FIND("-",D420)-1)</f>
        <v>JEAI033</v>
      </c>
      <c r="C420" s="27" t="s">
        <v>469</v>
      </c>
      <c r="D420" s="6" t="s">
        <v>154</v>
      </c>
      <c r="E420" s="38">
        <v>10</v>
      </c>
      <c r="F420" s="39">
        <v>35750</v>
      </c>
      <c r="G420" s="30">
        <v>2</v>
      </c>
      <c r="H420" s="31">
        <v>7150</v>
      </c>
      <c r="I420" s="28"/>
      <c r="J420" s="29"/>
      <c r="K420" s="28">
        <v>10</v>
      </c>
      <c r="L420" s="29">
        <v>35750</v>
      </c>
      <c r="M420" s="28"/>
      <c r="N420" s="29"/>
      <c r="O420" s="28"/>
      <c r="P420" s="32"/>
      <c r="Q420" s="28"/>
      <c r="R420" s="32"/>
      <c r="S420" s="28"/>
      <c r="T420" s="32"/>
      <c r="U420" s="28"/>
      <c r="V420" s="32"/>
      <c r="W420" s="32"/>
      <c r="X420" s="32"/>
      <c r="Y420" s="32"/>
      <c r="Z420" s="32"/>
      <c r="AA420" s="32"/>
      <c r="AB420" s="32"/>
      <c r="AC420" s="36">
        <f>E420+G420+I420+K420+M420+O420+Q420+S420+U420+W420+Y420+AA420</f>
        <v>22</v>
      </c>
      <c r="AD420" s="33">
        <f>F420+H420+J420+L420+N420+P420+R420+T420+V420+X420+Z420+AB420</f>
        <v>78650</v>
      </c>
    </row>
    <row r="421" spans="1:30" x14ac:dyDescent="0.35">
      <c r="A421" s="5">
        <v>430</v>
      </c>
      <c r="B421" s="10" t="str">
        <f>LEFT(D421,FIND("-",D421)-1)</f>
        <v>JEIB303</v>
      </c>
      <c r="C421" s="27" t="s">
        <v>469</v>
      </c>
      <c r="D421" s="6" t="s">
        <v>297</v>
      </c>
      <c r="E421" s="38"/>
      <c r="F421" s="39"/>
      <c r="G421" s="30">
        <v>1</v>
      </c>
      <c r="H421" s="31">
        <v>1925</v>
      </c>
      <c r="I421" s="28"/>
      <c r="J421" s="29"/>
      <c r="K421" s="28">
        <v>10</v>
      </c>
      <c r="L421" s="29">
        <v>19250</v>
      </c>
      <c r="M421" s="28"/>
      <c r="N421" s="29"/>
      <c r="O421" s="28"/>
      <c r="P421" s="32"/>
      <c r="Q421" s="28"/>
      <c r="R421" s="32"/>
      <c r="S421" s="28"/>
      <c r="T421" s="32"/>
      <c r="U421" s="28"/>
      <c r="V421" s="32"/>
      <c r="W421" s="32"/>
      <c r="X421" s="32"/>
      <c r="Y421" s="32"/>
      <c r="Z421" s="32"/>
      <c r="AA421" s="32"/>
      <c r="AB421" s="32"/>
      <c r="AC421" s="37">
        <f>E421+G421+I421+K421+M421+O421+Q421+S421+U421+W421+Y421+AA421</f>
        <v>11</v>
      </c>
      <c r="AD421" s="33">
        <f>F421+H421+J421+L421+N421+P421+R421+T421+V421+X421+Z421+AB421</f>
        <v>21175</v>
      </c>
    </row>
    <row r="422" spans="1:30" x14ac:dyDescent="0.35">
      <c r="A422" s="5">
        <v>378</v>
      </c>
      <c r="B422" s="10" t="str">
        <f>LEFT(D422,FIND("-",D422)-1)</f>
        <v>JETB005</v>
      </c>
      <c r="C422" s="27" t="s">
        <v>469</v>
      </c>
      <c r="D422" s="6" t="s">
        <v>320</v>
      </c>
      <c r="E422" s="38"/>
      <c r="F422" s="39"/>
      <c r="G422" s="30">
        <v>4</v>
      </c>
      <c r="H422" s="31">
        <v>8140</v>
      </c>
      <c r="I422" s="28"/>
      <c r="J422" s="29"/>
      <c r="K422" s="28">
        <v>9</v>
      </c>
      <c r="L422" s="29">
        <v>18315</v>
      </c>
      <c r="M422" s="28"/>
      <c r="N422" s="29"/>
      <c r="O422" s="28"/>
      <c r="P422" s="32"/>
      <c r="Q422" s="28"/>
      <c r="R422" s="32"/>
      <c r="S422" s="28"/>
      <c r="T422" s="32"/>
      <c r="U422" s="28"/>
      <c r="V422" s="32"/>
      <c r="W422" s="32"/>
      <c r="X422" s="32"/>
      <c r="Y422" s="32"/>
      <c r="Z422" s="32"/>
      <c r="AA422" s="32"/>
      <c r="AB422" s="32"/>
      <c r="AC422" s="36">
        <f>E422+G422+I422+K422+M422+O422+Q422+S422+U422+W422+Y422+AA422</f>
        <v>13</v>
      </c>
      <c r="AD422" s="33">
        <f>F422+H422+J422+L422+N422+P422+R422+T422+V422+X422+Z422+AB422</f>
        <v>26455</v>
      </c>
    </row>
    <row r="423" spans="1:30" x14ac:dyDescent="0.35">
      <c r="A423" s="5">
        <v>310</v>
      </c>
      <c r="B423" s="10" t="str">
        <f>LEFT(D423,FIND("-",D423)-1)</f>
        <v>JEGG004</v>
      </c>
      <c r="C423" s="27" t="s">
        <v>469</v>
      </c>
      <c r="D423" s="6" t="s">
        <v>280</v>
      </c>
      <c r="E423" s="38"/>
      <c r="F423" s="39"/>
      <c r="G423" s="30">
        <v>6</v>
      </c>
      <c r="H423" s="31">
        <v>9900</v>
      </c>
      <c r="I423" s="28">
        <v>3</v>
      </c>
      <c r="J423" s="29">
        <v>4950</v>
      </c>
      <c r="K423" s="28">
        <v>8</v>
      </c>
      <c r="L423" s="29">
        <v>13200</v>
      </c>
      <c r="M423" s="28"/>
      <c r="N423" s="29"/>
      <c r="O423" s="28"/>
      <c r="P423" s="32"/>
      <c r="Q423" s="28"/>
      <c r="R423" s="32"/>
      <c r="S423" s="28"/>
      <c r="T423" s="32"/>
      <c r="U423" s="28"/>
      <c r="V423" s="32"/>
      <c r="W423" s="32"/>
      <c r="X423" s="32"/>
      <c r="Y423" s="32"/>
      <c r="Z423" s="32"/>
      <c r="AA423" s="32"/>
      <c r="AB423" s="32"/>
      <c r="AC423" s="36">
        <f>E423+G423+I423+K423+M423+O423+Q423+S423+U423+W423+Y423+AA423</f>
        <v>17</v>
      </c>
      <c r="AD423" s="33">
        <f>F423+H423+J423+L423+N423+P423+R423+T423+V423+X423+Z423+AB423</f>
        <v>28050</v>
      </c>
    </row>
    <row r="424" spans="1:30" x14ac:dyDescent="0.35">
      <c r="A424" s="5">
        <v>386</v>
      </c>
      <c r="B424" s="10" t="str">
        <f>LEFT(D424,FIND("-",D424)-1)</f>
        <v>JELT006</v>
      </c>
      <c r="C424" s="27" t="s">
        <v>469</v>
      </c>
      <c r="D424" s="6" t="s">
        <v>418</v>
      </c>
      <c r="E424" s="38"/>
      <c r="F424" s="39"/>
      <c r="G424" s="30"/>
      <c r="H424" s="31"/>
      <c r="I424" s="28">
        <v>3</v>
      </c>
      <c r="J424" s="29">
        <v>8250</v>
      </c>
      <c r="K424" s="28">
        <v>7</v>
      </c>
      <c r="L424" s="29">
        <v>19250</v>
      </c>
      <c r="M424" s="28"/>
      <c r="N424" s="29"/>
      <c r="O424" s="28"/>
      <c r="P424" s="32"/>
      <c r="Q424" s="28"/>
      <c r="R424" s="32"/>
      <c r="S424" s="28"/>
      <c r="T424" s="32"/>
      <c r="U424" s="28"/>
      <c r="V424" s="32"/>
      <c r="W424" s="32"/>
      <c r="X424" s="32"/>
      <c r="Y424" s="32"/>
      <c r="Z424" s="32"/>
      <c r="AA424" s="32"/>
      <c r="AB424" s="32"/>
      <c r="AC424" s="36">
        <f>E424+G424+I424+K424+M424+O424+Q424+S424+U424+W424+Y424+AA424</f>
        <v>10</v>
      </c>
      <c r="AD424" s="33">
        <f>F424+H424+J424+L424+N424+P424+R424+T424+V424+X424+Z424+AB424</f>
        <v>27500</v>
      </c>
    </row>
    <row r="425" spans="1:30" x14ac:dyDescent="0.35">
      <c r="A425" s="5">
        <v>448</v>
      </c>
      <c r="B425" s="10" t="str">
        <f>LEFT(D425,FIND("-",D425)-1)</f>
        <v>JEIL301</v>
      </c>
      <c r="C425" s="27" t="s">
        <v>469</v>
      </c>
      <c r="D425" s="6" t="s">
        <v>487</v>
      </c>
      <c r="E425" s="38"/>
      <c r="F425" s="39"/>
      <c r="G425" s="30"/>
      <c r="H425" s="31"/>
      <c r="I425" s="28"/>
      <c r="J425" s="29"/>
      <c r="K425" s="28">
        <v>7</v>
      </c>
      <c r="L425" s="29">
        <v>11550</v>
      </c>
      <c r="M425" s="28"/>
      <c r="N425" s="29"/>
      <c r="O425" s="28"/>
      <c r="P425" s="32"/>
      <c r="Q425" s="28"/>
      <c r="R425" s="32"/>
      <c r="S425" s="28"/>
      <c r="T425" s="32"/>
      <c r="U425" s="28"/>
      <c r="V425" s="32"/>
      <c r="W425" s="32"/>
      <c r="X425" s="32"/>
      <c r="Y425" s="32"/>
      <c r="Z425" s="32"/>
      <c r="AA425" s="32"/>
      <c r="AB425" s="32"/>
      <c r="AC425" s="37">
        <f>E425+G425+I425+K425+M425+O425+Q425+S425+U425+W425+Y425+AA425</f>
        <v>7</v>
      </c>
      <c r="AD425" s="33">
        <f>F425+H425+J425+L425+N425+P425+R425+T425+V425+X425+Z425+AB425</f>
        <v>11550</v>
      </c>
    </row>
    <row r="426" spans="1:30" x14ac:dyDescent="0.35">
      <c r="A426" s="5">
        <v>451</v>
      </c>
      <c r="B426" s="10" t="str">
        <f>LEFT(D426,FIND("-",D426)-1)</f>
        <v>JELT005</v>
      </c>
      <c r="C426" s="27" t="s">
        <v>469</v>
      </c>
      <c r="D426" s="6" t="s">
        <v>490</v>
      </c>
      <c r="E426" s="38"/>
      <c r="F426" s="39"/>
      <c r="G426" s="30"/>
      <c r="H426" s="31"/>
      <c r="I426" s="28"/>
      <c r="J426" s="29"/>
      <c r="K426" s="28">
        <v>7</v>
      </c>
      <c r="L426" s="29">
        <v>19250</v>
      </c>
      <c r="M426" s="28"/>
      <c r="N426" s="29"/>
      <c r="O426" s="28"/>
      <c r="P426" s="32"/>
      <c r="Q426" s="28"/>
      <c r="R426" s="32"/>
      <c r="S426" s="28"/>
      <c r="T426" s="32"/>
      <c r="U426" s="28"/>
      <c r="V426" s="32"/>
      <c r="W426" s="32"/>
      <c r="X426" s="32"/>
      <c r="Y426" s="32"/>
      <c r="Z426" s="32"/>
      <c r="AA426" s="32"/>
      <c r="AB426" s="32"/>
      <c r="AC426" s="37">
        <f>E426+G426+I426+K426+M426+O426+Q426+S426+U426+W426+Y426+AA426</f>
        <v>7</v>
      </c>
      <c r="AD426" s="33">
        <f>F426+H426+J426+L426+N426+P426+R426+T426+V426+X426+Z426+AB426</f>
        <v>19250</v>
      </c>
    </row>
    <row r="427" spans="1:30" x14ac:dyDescent="0.35">
      <c r="A427" s="5">
        <v>254</v>
      </c>
      <c r="B427" s="10" t="str">
        <f>LEFT(D427,FIND("-",D427)-1)</f>
        <v>JVAN</v>
      </c>
      <c r="C427" s="27" t="s">
        <v>469</v>
      </c>
      <c r="D427" s="6" t="s">
        <v>48</v>
      </c>
      <c r="E427" s="38">
        <v>10</v>
      </c>
      <c r="F427" s="39">
        <v>63250</v>
      </c>
      <c r="G427" s="30">
        <v>6</v>
      </c>
      <c r="H427" s="31">
        <v>37950</v>
      </c>
      <c r="I427" s="28"/>
      <c r="J427" s="29"/>
      <c r="K427" s="28">
        <v>6</v>
      </c>
      <c r="L427" s="29">
        <v>37950</v>
      </c>
      <c r="M427" s="28"/>
      <c r="N427" s="29"/>
      <c r="O427" s="28"/>
      <c r="P427" s="32"/>
      <c r="Q427" s="28"/>
      <c r="R427" s="32"/>
      <c r="S427" s="28"/>
      <c r="T427" s="32"/>
      <c r="U427" s="28"/>
      <c r="V427" s="32"/>
      <c r="W427" s="32"/>
      <c r="X427" s="32"/>
      <c r="Y427" s="32"/>
      <c r="Z427" s="32"/>
      <c r="AA427" s="32"/>
      <c r="AB427" s="32"/>
      <c r="AC427" s="37">
        <f>E427+G427+I427+K427+M427+O427+Q427+S427+U427+W427+Y427+AA427</f>
        <v>22</v>
      </c>
      <c r="AD427" s="33">
        <f>F427+H427+J427+L427+N427+P427+R427+T427+V427+X427+Z427+AB427</f>
        <v>139150</v>
      </c>
    </row>
    <row r="428" spans="1:30" x14ac:dyDescent="0.35">
      <c r="A428" s="5">
        <v>174</v>
      </c>
      <c r="B428" s="10" t="str">
        <f>LEFT(D428,FIND("-",D428)-1)</f>
        <v>JEEA014</v>
      </c>
      <c r="C428" s="27" t="s">
        <v>469</v>
      </c>
      <c r="D428" s="6" t="s">
        <v>170</v>
      </c>
      <c r="E428" s="38">
        <v>19</v>
      </c>
      <c r="F428" s="39">
        <v>57475</v>
      </c>
      <c r="G428" s="30">
        <v>10</v>
      </c>
      <c r="H428" s="31">
        <v>30250</v>
      </c>
      <c r="I428" s="28">
        <v>8</v>
      </c>
      <c r="J428" s="29">
        <v>24200</v>
      </c>
      <c r="K428" s="28">
        <v>5</v>
      </c>
      <c r="L428" s="29">
        <v>15125</v>
      </c>
      <c r="M428" s="28"/>
      <c r="N428" s="29"/>
      <c r="O428" s="28"/>
      <c r="P428" s="32"/>
      <c r="Q428" s="28"/>
      <c r="R428" s="32"/>
      <c r="S428" s="28"/>
      <c r="T428" s="32"/>
      <c r="U428" s="28"/>
      <c r="V428" s="32"/>
      <c r="W428" s="32"/>
      <c r="X428" s="32"/>
      <c r="Y428" s="32"/>
      <c r="Z428" s="32"/>
      <c r="AA428" s="32"/>
      <c r="AB428" s="32"/>
      <c r="AC428" s="36">
        <f>E428+G428+I428+K428+M428+O428+Q428+S428+U428+W428+Y428+AA428</f>
        <v>42</v>
      </c>
      <c r="AD428" s="33">
        <f>F428+H428+J428+L428+N428+P428+R428+T428+V428+X428+Z428+AB428</f>
        <v>127050</v>
      </c>
    </row>
    <row r="429" spans="1:30" x14ac:dyDescent="0.35">
      <c r="A429" s="5">
        <v>275</v>
      </c>
      <c r="B429" s="10" t="str">
        <f>LEFT(D429,FIND("-",D429)-1)</f>
        <v>JEEA017</v>
      </c>
      <c r="C429" s="27" t="s">
        <v>469</v>
      </c>
      <c r="D429" s="6" t="s">
        <v>171</v>
      </c>
      <c r="E429" s="38">
        <v>3</v>
      </c>
      <c r="F429" s="39">
        <v>9075</v>
      </c>
      <c r="G429" s="30">
        <v>5</v>
      </c>
      <c r="H429" s="31">
        <v>15125</v>
      </c>
      <c r="I429" s="28">
        <v>4</v>
      </c>
      <c r="J429" s="29">
        <v>12100</v>
      </c>
      <c r="K429" s="28">
        <v>5</v>
      </c>
      <c r="L429" s="29">
        <v>15125</v>
      </c>
      <c r="M429" s="28"/>
      <c r="N429" s="29"/>
      <c r="O429" s="28"/>
      <c r="P429" s="32"/>
      <c r="Q429" s="28"/>
      <c r="R429" s="32"/>
      <c r="S429" s="28"/>
      <c r="T429" s="32"/>
      <c r="U429" s="28"/>
      <c r="V429" s="32"/>
      <c r="W429" s="32"/>
      <c r="X429" s="32"/>
      <c r="Y429" s="32"/>
      <c r="Z429" s="32"/>
      <c r="AA429" s="32"/>
      <c r="AB429" s="32"/>
      <c r="AC429" s="36">
        <f>E429+G429+I429+K429+M429+O429+Q429+S429+U429+W429+Y429+AA429</f>
        <v>17</v>
      </c>
      <c r="AD429" s="33">
        <f>F429+H429+J429+L429+N429+P429+R429+T429+V429+X429+Z429+AB429</f>
        <v>51425</v>
      </c>
    </row>
    <row r="430" spans="1:30" x14ac:dyDescent="0.35">
      <c r="A430" s="5">
        <v>409</v>
      </c>
      <c r="B430" s="10" t="str">
        <f>LEFT(D430,FIND("-",D430)-1)</f>
        <v>JQVZ</v>
      </c>
      <c r="C430" s="27" t="s">
        <v>469</v>
      </c>
      <c r="D430" s="6" t="s">
        <v>434</v>
      </c>
      <c r="E430" s="38"/>
      <c r="F430" s="39"/>
      <c r="G430" s="30"/>
      <c r="H430" s="31"/>
      <c r="I430" s="28">
        <v>2</v>
      </c>
      <c r="J430" s="29">
        <v>5720</v>
      </c>
      <c r="K430" s="28">
        <v>5</v>
      </c>
      <c r="L430" s="29">
        <v>14300</v>
      </c>
      <c r="M430" s="28"/>
      <c r="N430" s="29"/>
      <c r="O430" s="28"/>
      <c r="P430" s="32"/>
      <c r="Q430" s="28"/>
      <c r="R430" s="32"/>
      <c r="S430" s="28"/>
      <c r="T430" s="32"/>
      <c r="U430" s="28"/>
      <c r="V430" s="32"/>
      <c r="W430" s="32"/>
      <c r="X430" s="32"/>
      <c r="Y430" s="32"/>
      <c r="Z430" s="32"/>
      <c r="AA430" s="32"/>
      <c r="AB430" s="32"/>
      <c r="AC430" s="37">
        <f>E430+G430+I430+K430+M430+O430+Q430+S430+U430+W430+Y430+AA430</f>
        <v>7</v>
      </c>
      <c r="AD430" s="33">
        <f>F430+H430+J430+L430+N430+P430+R430+T430+V430+X430+Z430+AB430</f>
        <v>20020</v>
      </c>
    </row>
    <row r="431" spans="1:30" x14ac:dyDescent="0.35">
      <c r="A431" s="5">
        <v>297</v>
      </c>
      <c r="B431" s="10" t="str">
        <f>LEFT(D431,FIND("-",D431)-1)</f>
        <v>JQFA</v>
      </c>
      <c r="C431" s="27" t="s">
        <v>469</v>
      </c>
      <c r="D431" s="6" t="s">
        <v>51</v>
      </c>
      <c r="E431" s="38">
        <v>4</v>
      </c>
      <c r="F431" s="39">
        <v>23100</v>
      </c>
      <c r="G431" s="30">
        <v>5</v>
      </c>
      <c r="H431" s="31">
        <v>28875</v>
      </c>
      <c r="I431" s="28">
        <v>1</v>
      </c>
      <c r="J431" s="29">
        <v>5775</v>
      </c>
      <c r="K431" s="28">
        <v>5</v>
      </c>
      <c r="L431" s="29">
        <v>28875</v>
      </c>
      <c r="M431" s="28"/>
      <c r="N431" s="29"/>
      <c r="O431" s="28"/>
      <c r="P431" s="32"/>
      <c r="Q431" s="28"/>
      <c r="R431" s="32"/>
      <c r="S431" s="28"/>
      <c r="T431" s="32"/>
      <c r="U431" s="28"/>
      <c r="V431" s="32"/>
      <c r="W431" s="32"/>
      <c r="X431" s="32"/>
      <c r="Y431" s="32"/>
      <c r="Z431" s="32"/>
      <c r="AA431" s="32"/>
      <c r="AB431" s="32"/>
      <c r="AC431" s="37">
        <f>E431+G431+I431+K431+M431+O431+Q431+S431+U431+W431+Y431+AA431</f>
        <v>15</v>
      </c>
      <c r="AD431" s="33">
        <f>F431+H431+J431+L431+N431+P431+R431+T431+V431+X431+Z431+AB431</f>
        <v>86625</v>
      </c>
    </row>
    <row r="432" spans="1:30" x14ac:dyDescent="0.35">
      <c r="A432" s="5">
        <v>404</v>
      </c>
      <c r="B432" s="10" t="str">
        <f>LEFT(D432,FIND("-",D432)-1)</f>
        <v>JENQ013</v>
      </c>
      <c r="C432" s="27" t="s">
        <v>469</v>
      </c>
      <c r="D432" s="6" t="s">
        <v>311</v>
      </c>
      <c r="E432" s="38"/>
      <c r="F432" s="39"/>
      <c r="G432" s="30">
        <v>1</v>
      </c>
      <c r="H432" s="31">
        <v>1650</v>
      </c>
      <c r="I432" s="28">
        <v>1</v>
      </c>
      <c r="J432" s="29">
        <v>1650</v>
      </c>
      <c r="K432" s="28">
        <v>5</v>
      </c>
      <c r="L432" s="29">
        <v>8250</v>
      </c>
      <c r="M432" s="28"/>
      <c r="N432" s="29"/>
      <c r="O432" s="28"/>
      <c r="P432" s="32"/>
      <c r="Q432" s="28"/>
      <c r="R432" s="32"/>
      <c r="S432" s="28"/>
      <c r="T432" s="32"/>
      <c r="U432" s="28"/>
      <c r="V432" s="32"/>
      <c r="W432" s="32"/>
      <c r="X432" s="32"/>
      <c r="Y432" s="32"/>
      <c r="Z432" s="32"/>
      <c r="AA432" s="32"/>
      <c r="AB432" s="32"/>
      <c r="AC432" s="36">
        <f>E432+G432+I432+K432+M432+O432+Q432+S432+U432+W432+Y432+AA432</f>
        <v>7</v>
      </c>
      <c r="AD432" s="33">
        <f>F432+H432+J432+L432+N432+P432+R432+T432+V432+X432+Z432+AB432</f>
        <v>11550</v>
      </c>
    </row>
    <row r="433" spans="1:30" x14ac:dyDescent="0.35">
      <c r="A433" s="5">
        <v>362</v>
      </c>
      <c r="B433" s="10" t="str">
        <f>LEFT(D433,FIND("-",D433)-1)</f>
        <v>JENQ001</v>
      </c>
      <c r="C433" s="27" t="s">
        <v>469</v>
      </c>
      <c r="D433" s="6" t="s">
        <v>190</v>
      </c>
      <c r="E433" s="38">
        <v>5</v>
      </c>
      <c r="F433" s="39">
        <v>8250</v>
      </c>
      <c r="G433" s="30"/>
      <c r="H433" s="31"/>
      <c r="I433" s="28"/>
      <c r="J433" s="29"/>
      <c r="K433" s="28">
        <v>5</v>
      </c>
      <c r="L433" s="29">
        <v>8250</v>
      </c>
      <c r="M433" s="28"/>
      <c r="N433" s="29"/>
      <c r="O433" s="28"/>
      <c r="P433" s="32"/>
      <c r="Q433" s="28"/>
      <c r="R433" s="32"/>
      <c r="S433" s="28"/>
      <c r="T433" s="32"/>
      <c r="U433" s="28"/>
      <c r="V433" s="32"/>
      <c r="W433" s="32"/>
      <c r="X433" s="32"/>
      <c r="Y433" s="32"/>
      <c r="Z433" s="32"/>
      <c r="AA433" s="32"/>
      <c r="AB433" s="32"/>
      <c r="AC433" s="37">
        <f>E433+G433+I433+K433+M433+O433+Q433+S433+U433+W433+Y433+AA433</f>
        <v>10</v>
      </c>
      <c r="AD433" s="33">
        <f>F433+H433+J433+L433+N433+P433+R433+T433+V433+X433+Z433+AB433</f>
        <v>16500</v>
      </c>
    </row>
    <row r="434" spans="1:30" x14ac:dyDescent="0.35">
      <c r="A434" s="5">
        <v>364</v>
      </c>
      <c r="B434" s="10" t="str">
        <f>LEFT(D434,FIND("-",D434)-1)</f>
        <v>JENQ003</v>
      </c>
      <c r="C434" s="27" t="s">
        <v>469</v>
      </c>
      <c r="D434" s="6" t="s">
        <v>192</v>
      </c>
      <c r="E434" s="38">
        <v>5</v>
      </c>
      <c r="F434" s="39">
        <v>8250</v>
      </c>
      <c r="G434" s="30"/>
      <c r="H434" s="31"/>
      <c r="I434" s="28"/>
      <c r="J434" s="29"/>
      <c r="K434" s="28">
        <v>5</v>
      </c>
      <c r="L434" s="29">
        <v>8250</v>
      </c>
      <c r="M434" s="28"/>
      <c r="N434" s="29"/>
      <c r="O434" s="28"/>
      <c r="P434" s="32"/>
      <c r="Q434" s="28"/>
      <c r="R434" s="32"/>
      <c r="S434" s="28"/>
      <c r="T434" s="32"/>
      <c r="U434" s="28"/>
      <c r="V434" s="32"/>
      <c r="W434" s="32"/>
      <c r="X434" s="32"/>
      <c r="Y434" s="32"/>
      <c r="Z434" s="32"/>
      <c r="AA434" s="32"/>
      <c r="AB434" s="32"/>
      <c r="AC434" s="36">
        <f>E434+G434+I434+K434+M434+O434+Q434+S434+U434+W434+Y434+AA434</f>
        <v>10</v>
      </c>
      <c r="AD434" s="33">
        <f>F434+H434+J434+L434+N434+P434+R434+T434+V434+X434+Z434+AB434</f>
        <v>16500</v>
      </c>
    </row>
    <row r="435" spans="1:30" x14ac:dyDescent="0.35">
      <c r="A435" s="5">
        <v>375</v>
      </c>
      <c r="B435" s="10" t="str">
        <f>LEFT(D435,FIND("-",D435)-1)</f>
        <v>JEDZ003</v>
      </c>
      <c r="C435" s="27" t="s">
        <v>469</v>
      </c>
      <c r="D435" s="6" t="s">
        <v>276</v>
      </c>
      <c r="E435" s="38"/>
      <c r="F435" s="39"/>
      <c r="G435" s="30">
        <v>4</v>
      </c>
      <c r="H435" s="31">
        <v>7040</v>
      </c>
      <c r="I435" s="28"/>
      <c r="J435" s="29"/>
      <c r="K435" s="28">
        <v>5</v>
      </c>
      <c r="L435" s="29">
        <v>8800</v>
      </c>
      <c r="M435" s="28"/>
      <c r="N435" s="29"/>
      <c r="O435" s="28"/>
      <c r="P435" s="32"/>
      <c r="Q435" s="28"/>
      <c r="R435" s="32"/>
      <c r="S435" s="28"/>
      <c r="T435" s="32"/>
      <c r="U435" s="28"/>
      <c r="V435" s="32"/>
      <c r="W435" s="32"/>
      <c r="X435" s="32"/>
      <c r="Y435" s="32"/>
      <c r="Z435" s="32"/>
      <c r="AA435" s="32"/>
      <c r="AB435" s="32"/>
      <c r="AC435" s="37">
        <f>E435+G435+I435+K435+M435+O435+Q435+S435+U435+W435+Y435+AA435</f>
        <v>9</v>
      </c>
      <c r="AD435" s="33">
        <f>F435+H435+J435+L435+N435+P435+R435+T435+V435+X435+Z435+AB435</f>
        <v>15840</v>
      </c>
    </row>
    <row r="436" spans="1:30" x14ac:dyDescent="0.35">
      <c r="A436" s="5">
        <v>389</v>
      </c>
      <c r="B436" s="10" t="str">
        <f>LEFT(D436,FIND("-",D436)-1)</f>
        <v>JETB004</v>
      </c>
      <c r="C436" s="27" t="s">
        <v>469</v>
      </c>
      <c r="D436" s="6" t="s">
        <v>319</v>
      </c>
      <c r="E436" s="38"/>
      <c r="F436" s="39"/>
      <c r="G436" s="30">
        <v>3</v>
      </c>
      <c r="H436" s="31">
        <v>6105</v>
      </c>
      <c r="I436" s="28"/>
      <c r="J436" s="29"/>
      <c r="K436" s="28">
        <v>5</v>
      </c>
      <c r="L436" s="29">
        <v>10175</v>
      </c>
      <c r="M436" s="28"/>
      <c r="N436" s="29"/>
      <c r="O436" s="28"/>
      <c r="P436" s="32"/>
      <c r="Q436" s="28"/>
      <c r="R436" s="32"/>
      <c r="S436" s="28"/>
      <c r="T436" s="32"/>
      <c r="U436" s="28"/>
      <c r="V436" s="32"/>
      <c r="W436" s="32"/>
      <c r="X436" s="32"/>
      <c r="Y436" s="32"/>
      <c r="Z436" s="32"/>
      <c r="AA436" s="32"/>
      <c r="AB436" s="32"/>
      <c r="AC436" s="37">
        <f>E436+G436+I436+K436+M436+O436+Q436+S436+U436+W436+Y436+AA436</f>
        <v>8</v>
      </c>
      <c r="AD436" s="33">
        <f>F436+H436+J436+L436+N436+P436+R436+T436+V436+X436+Z436+AB436</f>
        <v>16280</v>
      </c>
    </row>
    <row r="437" spans="1:30" x14ac:dyDescent="0.35">
      <c r="A437" s="5">
        <v>358</v>
      </c>
      <c r="B437" s="10" t="str">
        <f>LEFT(D437,FIND("-",D437)-1)</f>
        <v>JEIG001</v>
      </c>
      <c r="C437" s="27" t="s">
        <v>469</v>
      </c>
      <c r="D437" s="6" t="s">
        <v>417</v>
      </c>
      <c r="E437" s="38"/>
      <c r="F437" s="39"/>
      <c r="G437" s="30"/>
      <c r="H437" s="31"/>
      <c r="I437" s="28">
        <v>5</v>
      </c>
      <c r="J437" s="29">
        <v>9625</v>
      </c>
      <c r="K437" s="28">
        <v>4</v>
      </c>
      <c r="L437" s="29">
        <v>7700</v>
      </c>
      <c r="M437" s="28"/>
      <c r="N437" s="29"/>
      <c r="O437" s="28"/>
      <c r="P437" s="32"/>
      <c r="Q437" s="28"/>
      <c r="R437" s="32"/>
      <c r="S437" s="28"/>
      <c r="T437" s="32"/>
      <c r="U437" s="28"/>
      <c r="V437" s="32"/>
      <c r="W437" s="32"/>
      <c r="X437" s="32"/>
      <c r="Y437" s="32"/>
      <c r="Z437" s="32"/>
      <c r="AA437" s="32"/>
      <c r="AB437" s="32"/>
      <c r="AC437" s="36">
        <f>E437+G437+I437+K437+M437+O437+Q437+S437+U437+W437+Y437+AA437</f>
        <v>9</v>
      </c>
      <c r="AD437" s="33">
        <f>F437+H437+J437+L437+N437+P437+R437+T437+V437+X437+Z437+AB437</f>
        <v>17325</v>
      </c>
    </row>
    <row r="438" spans="1:30" x14ac:dyDescent="0.35">
      <c r="A438" s="5">
        <v>269</v>
      </c>
      <c r="B438" s="10" t="str">
        <f>LEFT(D438,FIND("-",D438)-1)</f>
        <v>JELT011</v>
      </c>
      <c r="C438" s="27" t="s">
        <v>469</v>
      </c>
      <c r="D438" s="6" t="s">
        <v>305</v>
      </c>
      <c r="E438" s="38"/>
      <c r="F438" s="39"/>
      <c r="G438" s="30">
        <v>10</v>
      </c>
      <c r="H438" s="31">
        <v>27500</v>
      </c>
      <c r="I438" s="28">
        <v>3</v>
      </c>
      <c r="J438" s="29">
        <v>8250</v>
      </c>
      <c r="K438" s="28">
        <v>4</v>
      </c>
      <c r="L438" s="29">
        <v>11000</v>
      </c>
      <c r="M438" s="28"/>
      <c r="N438" s="29"/>
      <c r="O438" s="28"/>
      <c r="P438" s="32"/>
      <c r="Q438" s="28"/>
      <c r="R438" s="32"/>
      <c r="S438" s="28"/>
      <c r="T438" s="32"/>
      <c r="U438" s="28"/>
      <c r="V438" s="32"/>
      <c r="W438" s="32"/>
      <c r="X438" s="32"/>
      <c r="Y438" s="32"/>
      <c r="Z438" s="32"/>
      <c r="AA438" s="32"/>
      <c r="AB438" s="32"/>
      <c r="AC438" s="36">
        <f>E438+G438+I438+K438+M438+O438+Q438+S438+U438+W438+Y438+AA438</f>
        <v>17</v>
      </c>
      <c r="AD438" s="33">
        <f>F438+H438+J438+L438+N438+P438+R438+T438+V438+X438+Z438+AB438</f>
        <v>46750</v>
      </c>
    </row>
    <row r="439" spans="1:30" x14ac:dyDescent="0.35">
      <c r="A439" s="5">
        <v>431</v>
      </c>
      <c r="B439" s="10" t="str">
        <f>LEFT(D439,FIND("-",D439)-1)</f>
        <v>JELT015</v>
      </c>
      <c r="C439" s="27" t="s">
        <v>469</v>
      </c>
      <c r="D439" s="6" t="s">
        <v>420</v>
      </c>
      <c r="E439" s="38"/>
      <c r="F439" s="39"/>
      <c r="G439" s="30"/>
      <c r="H439" s="31"/>
      <c r="I439" s="28">
        <v>1</v>
      </c>
      <c r="J439" s="29">
        <v>2750</v>
      </c>
      <c r="K439" s="28">
        <v>4</v>
      </c>
      <c r="L439" s="29">
        <v>11000</v>
      </c>
      <c r="M439" s="28"/>
      <c r="N439" s="29"/>
      <c r="O439" s="28"/>
      <c r="P439" s="32"/>
      <c r="Q439" s="28"/>
      <c r="R439" s="32"/>
      <c r="S439" s="28"/>
      <c r="T439" s="32"/>
      <c r="U439" s="28"/>
      <c r="V439" s="32"/>
      <c r="W439" s="32"/>
      <c r="X439" s="32"/>
      <c r="Y439" s="32"/>
      <c r="Z439" s="32"/>
      <c r="AA439" s="32"/>
      <c r="AB439" s="32"/>
      <c r="AC439" s="36">
        <f>E439+G439+I439+K439+M439+O439+Q439+S439+U439+W439+Y439+AA439</f>
        <v>5</v>
      </c>
      <c r="AD439" s="33">
        <f>F439+H439+J439+L439+N439+P439+R439+T439+V439+X439+Z439+AB439</f>
        <v>13750</v>
      </c>
    </row>
    <row r="440" spans="1:30" x14ac:dyDescent="0.35">
      <c r="A440" s="5">
        <v>390</v>
      </c>
      <c r="B440" s="10" t="str">
        <f>LEFT(D440,FIND("-",D440)-1)</f>
        <v>JKFD</v>
      </c>
      <c r="C440" s="27" t="s">
        <v>469</v>
      </c>
      <c r="D440" s="6" t="s">
        <v>323</v>
      </c>
      <c r="E440" s="38"/>
      <c r="F440" s="39"/>
      <c r="G440" s="30">
        <v>3</v>
      </c>
      <c r="H440" s="31">
        <v>12375</v>
      </c>
      <c r="I440" s="28"/>
      <c r="J440" s="29"/>
      <c r="K440" s="28">
        <v>4</v>
      </c>
      <c r="L440" s="29">
        <v>16500</v>
      </c>
      <c r="M440" s="28"/>
      <c r="N440" s="29"/>
      <c r="O440" s="28"/>
      <c r="P440" s="32"/>
      <c r="Q440" s="28"/>
      <c r="R440" s="32"/>
      <c r="S440" s="28"/>
      <c r="T440" s="32"/>
      <c r="U440" s="28"/>
      <c r="V440" s="32"/>
      <c r="W440" s="32"/>
      <c r="X440" s="32"/>
      <c r="Y440" s="32"/>
      <c r="Z440" s="32"/>
      <c r="AA440" s="32"/>
      <c r="AB440" s="32"/>
      <c r="AC440" s="37">
        <f>E440+G440+I440+K440+M440+O440+Q440+S440+U440+W440+Y440+AA440</f>
        <v>7</v>
      </c>
      <c r="AD440" s="33">
        <f>F440+H440+J440+L440+N440+P440+R440+T440+V440+X440+Z440+AB440</f>
        <v>28875</v>
      </c>
    </row>
    <row r="441" spans="1:30" x14ac:dyDescent="0.35">
      <c r="A441" s="5">
        <v>391</v>
      </c>
      <c r="B441" s="10" t="str">
        <f>LEFT(D441,FIND("-",D441)-1)</f>
        <v>JKFF</v>
      </c>
      <c r="C441" s="27" t="s">
        <v>469</v>
      </c>
      <c r="D441" s="6" t="s">
        <v>324</v>
      </c>
      <c r="E441" s="38"/>
      <c r="F441" s="39"/>
      <c r="G441" s="30">
        <v>3</v>
      </c>
      <c r="H441" s="31">
        <v>5775</v>
      </c>
      <c r="I441" s="28"/>
      <c r="J441" s="29"/>
      <c r="K441" s="28">
        <v>4</v>
      </c>
      <c r="L441" s="29">
        <v>7700</v>
      </c>
      <c r="M441" s="28"/>
      <c r="N441" s="29"/>
      <c r="O441" s="28"/>
      <c r="P441" s="32"/>
      <c r="Q441" s="28"/>
      <c r="R441" s="32"/>
      <c r="S441" s="28"/>
      <c r="T441" s="32"/>
      <c r="U441" s="28"/>
      <c r="V441" s="32"/>
      <c r="W441" s="32"/>
      <c r="X441" s="32"/>
      <c r="Y441" s="32"/>
      <c r="Z441" s="32"/>
      <c r="AA441" s="32"/>
      <c r="AB441" s="32"/>
      <c r="AC441" s="36">
        <f>E441+G441+I441+K441+M441+O441+Q441+S441+U441+W441+Y441+AA441</f>
        <v>7</v>
      </c>
      <c r="AD441" s="33">
        <f>F441+H441+J441+L441+N441+P441+R441+T441+V441+X441+Z441+AB441</f>
        <v>13475</v>
      </c>
    </row>
    <row r="442" spans="1:30" x14ac:dyDescent="0.35">
      <c r="A442" s="5">
        <v>190</v>
      </c>
      <c r="B442" s="10" t="str">
        <f>LEFT(D442,FIND("-",D442)-1)</f>
        <v>JEAM052</v>
      </c>
      <c r="C442" s="27" t="s">
        <v>469</v>
      </c>
      <c r="D442" s="6" t="s">
        <v>406</v>
      </c>
      <c r="E442" s="38"/>
      <c r="F442" s="39"/>
      <c r="G442" s="30"/>
      <c r="H442" s="31"/>
      <c r="I442" s="28">
        <v>30</v>
      </c>
      <c r="J442" s="29">
        <v>115500</v>
      </c>
      <c r="K442" s="28">
        <v>3</v>
      </c>
      <c r="L442" s="29">
        <v>11550</v>
      </c>
      <c r="M442" s="28"/>
      <c r="N442" s="29"/>
      <c r="O442" s="28"/>
      <c r="P442" s="32"/>
      <c r="Q442" s="28"/>
      <c r="R442" s="32"/>
      <c r="S442" s="28"/>
      <c r="T442" s="32"/>
      <c r="U442" s="28"/>
      <c r="V442" s="32"/>
      <c r="W442" s="32"/>
      <c r="X442" s="32"/>
      <c r="Y442" s="32"/>
      <c r="Z442" s="32"/>
      <c r="AA442" s="32"/>
      <c r="AB442" s="32"/>
      <c r="AC442" s="37">
        <f>E442+G442+I442+K442+M442+O442+Q442+S442+U442+W442+Y442+AA442</f>
        <v>33</v>
      </c>
      <c r="AD442" s="33">
        <f>F442+H442+J442+L442+N442+P442+R442+T442+V442+X442+Z442+AB442</f>
        <v>127050</v>
      </c>
    </row>
    <row r="443" spans="1:30" x14ac:dyDescent="0.35">
      <c r="A443" s="5">
        <v>191</v>
      </c>
      <c r="B443" s="10" t="str">
        <f>LEFT(D443,FIND("-",D443)-1)</f>
        <v>JEAM055</v>
      </c>
      <c r="C443" s="27" t="s">
        <v>469</v>
      </c>
      <c r="D443" s="6" t="s">
        <v>407</v>
      </c>
      <c r="E443" s="38"/>
      <c r="F443" s="39"/>
      <c r="G443" s="30"/>
      <c r="H443" s="31"/>
      <c r="I443" s="28">
        <v>30</v>
      </c>
      <c r="J443" s="29">
        <v>115500</v>
      </c>
      <c r="K443" s="28">
        <v>3</v>
      </c>
      <c r="L443" s="29">
        <v>11550</v>
      </c>
      <c r="M443" s="28"/>
      <c r="N443" s="29"/>
      <c r="O443" s="28"/>
      <c r="P443" s="32"/>
      <c r="Q443" s="28"/>
      <c r="R443" s="32"/>
      <c r="S443" s="28"/>
      <c r="T443" s="32"/>
      <c r="U443" s="28"/>
      <c r="V443" s="32"/>
      <c r="W443" s="32"/>
      <c r="X443" s="32"/>
      <c r="Y443" s="32"/>
      <c r="Z443" s="32"/>
      <c r="AA443" s="32"/>
      <c r="AB443" s="32"/>
      <c r="AC443" s="37">
        <f>E443+G443+I443+K443+M443+O443+Q443+S443+U443+W443+Y443+AA443</f>
        <v>33</v>
      </c>
      <c r="AD443" s="33">
        <f>F443+H443+J443+L443+N443+P443+R443+T443+V443+X443+Z443+AB443</f>
        <v>127050</v>
      </c>
    </row>
    <row r="444" spans="1:30" x14ac:dyDescent="0.35">
      <c r="A444" s="5">
        <v>134</v>
      </c>
      <c r="B444" s="10" t="str">
        <f>LEFT(D444,FIND("-",D444)-1)</f>
        <v>JEBP801</v>
      </c>
      <c r="C444" s="27" t="s">
        <v>469</v>
      </c>
      <c r="D444" s="6" t="s">
        <v>167</v>
      </c>
      <c r="E444" s="38">
        <v>35</v>
      </c>
      <c r="F444" s="39">
        <v>100100</v>
      </c>
      <c r="G444" s="30">
        <v>28</v>
      </c>
      <c r="H444" s="31">
        <v>80080</v>
      </c>
      <c r="I444" s="28">
        <v>12</v>
      </c>
      <c r="J444" s="29">
        <v>34320</v>
      </c>
      <c r="K444" s="28">
        <v>3</v>
      </c>
      <c r="L444" s="29">
        <v>8580</v>
      </c>
      <c r="M444" s="28"/>
      <c r="N444" s="29"/>
      <c r="O444" s="28"/>
      <c r="P444" s="32"/>
      <c r="Q444" s="28"/>
      <c r="R444" s="32"/>
      <c r="S444" s="28"/>
      <c r="T444" s="32"/>
      <c r="U444" s="28"/>
      <c r="V444" s="32"/>
      <c r="W444" s="32"/>
      <c r="X444" s="32"/>
      <c r="Y444" s="32"/>
      <c r="Z444" s="32"/>
      <c r="AA444" s="32"/>
      <c r="AB444" s="32"/>
      <c r="AC444" s="36">
        <f>E444+G444+I444+K444+M444+O444+Q444+S444+U444+W444+Y444+AA444</f>
        <v>78</v>
      </c>
      <c r="AD444" s="33">
        <f>F444+H444+J444+L444+N444+P444+R444+T444+V444+X444+Z444+AB444</f>
        <v>223080</v>
      </c>
    </row>
    <row r="445" spans="1:30" x14ac:dyDescent="0.35">
      <c r="A445" s="5">
        <v>408</v>
      </c>
      <c r="B445" s="10" t="str">
        <f>LEFT(D445,FIND("-",D445)-1)</f>
        <v>JQVY</v>
      </c>
      <c r="C445" s="27" t="s">
        <v>469</v>
      </c>
      <c r="D445" s="6" t="s">
        <v>433</v>
      </c>
      <c r="E445" s="38"/>
      <c r="F445" s="39"/>
      <c r="G445" s="30"/>
      <c r="H445" s="31"/>
      <c r="I445" s="28">
        <v>2</v>
      </c>
      <c r="J445" s="29">
        <v>5720</v>
      </c>
      <c r="K445" s="28">
        <v>3</v>
      </c>
      <c r="L445" s="29">
        <v>8580</v>
      </c>
      <c r="M445" s="28"/>
      <c r="N445" s="29"/>
      <c r="O445" s="28"/>
      <c r="P445" s="32"/>
      <c r="Q445" s="28"/>
      <c r="R445" s="32"/>
      <c r="S445" s="28"/>
      <c r="T445" s="32"/>
      <c r="U445" s="28"/>
      <c r="V445" s="32"/>
      <c r="W445" s="32"/>
      <c r="X445" s="32"/>
      <c r="Y445" s="32"/>
      <c r="Z445" s="32"/>
      <c r="AA445" s="32"/>
      <c r="AB445" s="32"/>
      <c r="AC445" s="37">
        <f>E445+G445+I445+K445+M445+O445+Q445+S445+U445+W445+Y445+AA445</f>
        <v>5</v>
      </c>
      <c r="AD445" s="33">
        <f>F445+H445+J445+L445+N445+P445+R445+T445+V445+X445+Z445+AB445</f>
        <v>14300</v>
      </c>
    </row>
    <row r="446" spans="1:30" x14ac:dyDescent="0.35">
      <c r="A446" s="5">
        <v>429</v>
      </c>
      <c r="B446" s="10" t="str">
        <f>LEFT(D446,FIND("-",D446)-1)</f>
        <v>JEBO350</v>
      </c>
      <c r="C446" s="27" t="s">
        <v>469</v>
      </c>
      <c r="D446" s="6" t="s">
        <v>409</v>
      </c>
      <c r="E446" s="38"/>
      <c r="F446" s="39"/>
      <c r="G446" s="30"/>
      <c r="H446" s="31"/>
      <c r="I446" s="28">
        <v>1</v>
      </c>
      <c r="J446" s="29">
        <v>2035</v>
      </c>
      <c r="K446" s="28">
        <v>3</v>
      </c>
      <c r="L446" s="29">
        <v>6105</v>
      </c>
      <c r="M446" s="28"/>
      <c r="N446" s="29"/>
      <c r="O446" s="28"/>
      <c r="P446" s="32"/>
      <c r="Q446" s="28"/>
      <c r="R446" s="32"/>
      <c r="S446" s="28"/>
      <c r="T446" s="32"/>
      <c r="U446" s="28"/>
      <c r="V446" s="32"/>
      <c r="W446" s="32"/>
      <c r="X446" s="32"/>
      <c r="Y446" s="32"/>
      <c r="Z446" s="32"/>
      <c r="AA446" s="32"/>
      <c r="AB446" s="32"/>
      <c r="AC446" s="36">
        <f>E446+G446+I446+K446+M446+O446+Q446+S446+U446+W446+Y446+AA446</f>
        <v>4</v>
      </c>
      <c r="AD446" s="33">
        <f>F446+H446+J446+L446+N446+P446+R446+T446+V446+X446+Z446+AB446</f>
        <v>8140</v>
      </c>
    </row>
    <row r="447" spans="1:30" x14ac:dyDescent="0.35">
      <c r="A447" s="5">
        <v>432</v>
      </c>
      <c r="B447" s="10" t="str">
        <f>LEFT(D447,FIND("-",D447)-1)</f>
        <v>JELT016</v>
      </c>
      <c r="C447" s="27" t="s">
        <v>469</v>
      </c>
      <c r="D447" s="6" t="s">
        <v>421</v>
      </c>
      <c r="E447" s="38"/>
      <c r="F447" s="39"/>
      <c r="G447" s="30"/>
      <c r="H447" s="31"/>
      <c r="I447" s="28">
        <v>1</v>
      </c>
      <c r="J447" s="29">
        <v>2750</v>
      </c>
      <c r="K447" s="28">
        <v>3</v>
      </c>
      <c r="L447" s="29">
        <v>8250</v>
      </c>
      <c r="M447" s="28"/>
      <c r="N447" s="29"/>
      <c r="O447" s="28"/>
      <c r="P447" s="32"/>
      <c r="Q447" s="28"/>
      <c r="R447" s="32"/>
      <c r="S447" s="28"/>
      <c r="T447" s="32"/>
      <c r="U447" s="28"/>
      <c r="V447" s="32"/>
      <c r="W447" s="32"/>
      <c r="X447" s="32"/>
      <c r="Y447" s="32"/>
      <c r="Z447" s="32"/>
      <c r="AA447" s="32"/>
      <c r="AB447" s="32"/>
      <c r="AC447" s="36">
        <f>E447+G447+I447+K447+M447+O447+Q447+S447+U447+W447+Y447+AA447</f>
        <v>4</v>
      </c>
      <c r="AD447" s="33">
        <f>F447+H447+J447+L447+N447+P447+R447+T447+V447+X447+Z447+AB447</f>
        <v>11000</v>
      </c>
    </row>
    <row r="448" spans="1:30" x14ac:dyDescent="0.35">
      <c r="A448" s="5">
        <v>341</v>
      </c>
      <c r="B448" s="10" t="str">
        <f>LEFT(D448,FIND("-",D448)-1)</f>
        <v>JELT001</v>
      </c>
      <c r="C448" s="27" t="s">
        <v>469</v>
      </c>
      <c r="D448" s="6" t="s">
        <v>17</v>
      </c>
      <c r="E448" s="38">
        <v>6</v>
      </c>
      <c r="F448" s="39">
        <v>16500</v>
      </c>
      <c r="G448" s="30"/>
      <c r="H448" s="31"/>
      <c r="I448" s="28"/>
      <c r="J448" s="29"/>
      <c r="K448" s="28">
        <v>3</v>
      </c>
      <c r="L448" s="29">
        <v>8250</v>
      </c>
      <c r="M448" s="28"/>
      <c r="N448" s="29"/>
      <c r="O448" s="28"/>
      <c r="P448" s="32"/>
      <c r="Q448" s="28"/>
      <c r="R448" s="32"/>
      <c r="S448" s="28"/>
      <c r="T448" s="32"/>
      <c r="U448" s="28"/>
      <c r="V448" s="32"/>
      <c r="W448" s="32"/>
      <c r="X448" s="32"/>
      <c r="Y448" s="32"/>
      <c r="Z448" s="32"/>
      <c r="AA448" s="32"/>
      <c r="AB448" s="32"/>
      <c r="AC448" s="37">
        <f>E448+G448+I448+K448+M448+O448+Q448+S448+U448+W448+Y448+AA448</f>
        <v>9</v>
      </c>
      <c r="AD448" s="33">
        <f>F448+H448+J448+L448+N448+P448+R448+T448+V448+X448+Z448+AB448</f>
        <v>24750</v>
      </c>
    </row>
    <row r="449" spans="1:30" x14ac:dyDescent="0.35">
      <c r="A449" s="5">
        <v>410</v>
      </c>
      <c r="B449" s="10" t="str">
        <f>LEFT(D449,FIND("-",D449)-1)</f>
        <v>JVSF</v>
      </c>
      <c r="C449" s="27" t="s">
        <v>469</v>
      </c>
      <c r="D449" s="6" t="s">
        <v>345</v>
      </c>
      <c r="E449" s="38"/>
      <c r="F449" s="39"/>
      <c r="G449" s="30">
        <v>2</v>
      </c>
      <c r="H449" s="31">
        <v>11550</v>
      </c>
      <c r="I449" s="28"/>
      <c r="J449" s="29"/>
      <c r="K449" s="28">
        <v>3</v>
      </c>
      <c r="L449" s="29">
        <v>17325</v>
      </c>
      <c r="M449" s="28"/>
      <c r="N449" s="29"/>
      <c r="O449" s="28"/>
      <c r="P449" s="32"/>
      <c r="Q449" s="28"/>
      <c r="R449" s="32"/>
      <c r="S449" s="28"/>
      <c r="T449" s="32"/>
      <c r="U449" s="28"/>
      <c r="V449" s="32"/>
      <c r="W449" s="32"/>
      <c r="X449" s="32"/>
      <c r="Y449" s="32"/>
      <c r="Z449" s="32"/>
      <c r="AA449" s="32"/>
      <c r="AB449" s="32"/>
      <c r="AC449" s="37">
        <f>E449+G449+I449+K449+M449+O449+Q449+S449+U449+W449+Y449+AA449</f>
        <v>5</v>
      </c>
      <c r="AD449" s="33">
        <f>F449+H449+J449+L449+N449+P449+R449+T449+V449+X449+Z449+AB449</f>
        <v>28875</v>
      </c>
    </row>
    <row r="450" spans="1:30" x14ac:dyDescent="0.35">
      <c r="A450" s="5">
        <v>443</v>
      </c>
      <c r="B450" s="10" t="str">
        <f>LEFT(D450,FIND("-",D450)-1)</f>
        <v>JEBO250</v>
      </c>
      <c r="C450" s="27" t="s">
        <v>469</v>
      </c>
      <c r="D450" s="6" t="s">
        <v>482</v>
      </c>
      <c r="E450" s="38"/>
      <c r="F450" s="39"/>
      <c r="G450" s="30"/>
      <c r="H450" s="31"/>
      <c r="I450" s="28"/>
      <c r="J450" s="29"/>
      <c r="K450" s="28">
        <v>3</v>
      </c>
      <c r="L450" s="29">
        <v>6105</v>
      </c>
      <c r="M450" s="28"/>
      <c r="N450" s="29"/>
      <c r="O450" s="28"/>
      <c r="P450" s="32"/>
      <c r="Q450" s="28"/>
      <c r="R450" s="32"/>
      <c r="S450" s="28"/>
      <c r="T450" s="32"/>
      <c r="U450" s="28"/>
      <c r="V450" s="32"/>
      <c r="W450" s="32"/>
      <c r="X450" s="32"/>
      <c r="Y450" s="32"/>
      <c r="Z450" s="32"/>
      <c r="AA450" s="32"/>
      <c r="AB450" s="32"/>
      <c r="AC450" s="37">
        <f>E450+G450+I450+K450+M450+O450+Q450+S450+U450+W450+Y450+AA450</f>
        <v>3</v>
      </c>
      <c r="AD450" s="33">
        <f>F450+H450+J450+L450+N450+P450+R450+T450+V450+X450+Z450+AB450</f>
        <v>6105</v>
      </c>
    </row>
    <row r="451" spans="1:30" x14ac:dyDescent="0.35">
      <c r="A451" s="5">
        <v>244</v>
      </c>
      <c r="B451" s="10" t="str">
        <f>LEFT(D451,FIND("-",D451)-1)</f>
        <v>JEGH028</v>
      </c>
      <c r="C451" s="27" t="s">
        <v>469</v>
      </c>
      <c r="D451" s="6" t="s">
        <v>290</v>
      </c>
      <c r="E451" s="38"/>
      <c r="F451" s="39"/>
      <c r="G451" s="30">
        <v>17</v>
      </c>
      <c r="H451" s="31">
        <v>28050</v>
      </c>
      <c r="I451" s="28"/>
      <c r="J451" s="29"/>
      <c r="K451" s="28">
        <v>2</v>
      </c>
      <c r="L451" s="29">
        <v>3300</v>
      </c>
      <c r="M451" s="28"/>
      <c r="N451" s="29"/>
      <c r="O451" s="28"/>
      <c r="P451" s="32"/>
      <c r="Q451" s="28"/>
      <c r="R451" s="32"/>
      <c r="S451" s="28"/>
      <c r="T451" s="32"/>
      <c r="U451" s="28"/>
      <c r="V451" s="32"/>
      <c r="W451" s="32"/>
      <c r="X451" s="32"/>
      <c r="Y451" s="32"/>
      <c r="Z451" s="32"/>
      <c r="AA451" s="32"/>
      <c r="AB451" s="32"/>
      <c r="AC451" s="36">
        <f>E451+G451+I451+K451+M451+O451+Q451+S451+U451+W451+Y451+AA451</f>
        <v>19</v>
      </c>
      <c r="AD451" s="33">
        <f>F451+H451+J451+L451+N451+P451+R451+T451+V451+X451+Z451+AB451</f>
        <v>31350</v>
      </c>
    </row>
    <row r="452" spans="1:30" x14ac:dyDescent="0.35">
      <c r="A452" s="5">
        <v>250</v>
      </c>
      <c r="B452" s="10" t="str">
        <f>LEFT(D452,FIND("-",D452)-1)</f>
        <v>JEAI023</v>
      </c>
      <c r="C452" s="27" t="s">
        <v>469</v>
      </c>
      <c r="D452" s="6" t="s">
        <v>54</v>
      </c>
      <c r="E452" s="38">
        <v>16</v>
      </c>
      <c r="F452" s="39">
        <v>57200</v>
      </c>
      <c r="G452" s="30"/>
      <c r="H452" s="31"/>
      <c r="I452" s="28"/>
      <c r="J452" s="29"/>
      <c r="K452" s="28">
        <v>2</v>
      </c>
      <c r="L452" s="29">
        <v>7150</v>
      </c>
      <c r="M452" s="28"/>
      <c r="N452" s="29"/>
      <c r="O452" s="61"/>
      <c r="P452" s="62"/>
      <c r="Q452" s="61"/>
      <c r="R452" s="62"/>
      <c r="S452" s="61"/>
      <c r="T452" s="62"/>
      <c r="U452" s="61"/>
      <c r="V452" s="62"/>
      <c r="W452" s="62"/>
      <c r="X452" s="62"/>
      <c r="Y452" s="62"/>
      <c r="Z452" s="62"/>
      <c r="AA452" s="62"/>
      <c r="AB452" s="62"/>
      <c r="AC452" s="37">
        <f>E452+G452+I452+K452+M452+O452+Q452+S452+U452+W452+Y452+AA452</f>
        <v>18</v>
      </c>
      <c r="AD452" s="33">
        <f>F452+H452+J452+L452+N452+P452+R452+T452+V452+X452+Z452+AB452</f>
        <v>64350</v>
      </c>
    </row>
    <row r="453" spans="1:30" x14ac:dyDescent="0.35">
      <c r="A453" s="5">
        <v>446</v>
      </c>
      <c r="B453" s="10" t="str">
        <f>LEFT(D453,FIND("-",D453)-1)</f>
        <v>JEEA015</v>
      </c>
      <c r="C453" s="27" t="s">
        <v>469</v>
      </c>
      <c r="D453" s="6" t="s">
        <v>485</v>
      </c>
      <c r="E453" s="38"/>
      <c r="F453" s="39"/>
      <c r="G453" s="30"/>
      <c r="H453" s="31"/>
      <c r="I453" s="28"/>
      <c r="J453" s="29"/>
      <c r="K453" s="28">
        <v>2</v>
      </c>
      <c r="L453" s="29">
        <v>6050</v>
      </c>
      <c r="M453" s="28"/>
      <c r="N453" s="29"/>
      <c r="O453" s="61"/>
      <c r="P453" s="62"/>
      <c r="Q453" s="61"/>
      <c r="R453" s="62"/>
      <c r="S453" s="61"/>
      <c r="T453" s="62"/>
      <c r="U453" s="61"/>
      <c r="V453" s="62"/>
      <c r="W453" s="62"/>
      <c r="X453" s="62"/>
      <c r="Y453" s="62"/>
      <c r="Z453" s="62"/>
      <c r="AA453" s="62"/>
      <c r="AB453" s="62"/>
      <c r="AC453" s="37">
        <f>E453+G453+I453+K453+M453+O453+Q453+S453+U453+W453+Y453+AA453</f>
        <v>2</v>
      </c>
      <c r="AD453" s="33">
        <f>F453+H453+J453+L453+N453+P453+R453+T453+V453+X453+Z453+AB453</f>
        <v>6050</v>
      </c>
    </row>
    <row r="454" spans="1:30" x14ac:dyDescent="0.35">
      <c r="A454" s="5">
        <v>453</v>
      </c>
      <c r="B454" s="10" t="str">
        <f>LEFT(D454,FIND("-",D454)-1)</f>
        <v>JLAB</v>
      </c>
      <c r="C454" s="27" t="s">
        <v>469</v>
      </c>
      <c r="D454" s="6" t="s">
        <v>492</v>
      </c>
      <c r="E454" s="38"/>
      <c r="F454" s="39"/>
      <c r="G454" s="30"/>
      <c r="H454" s="31"/>
      <c r="I454" s="28"/>
      <c r="J454" s="29"/>
      <c r="K454" s="28">
        <v>2</v>
      </c>
      <c r="L454" s="29">
        <v>17050</v>
      </c>
      <c r="M454" s="28"/>
      <c r="N454" s="29"/>
      <c r="O454" s="61"/>
      <c r="P454" s="62"/>
      <c r="Q454" s="61"/>
      <c r="R454" s="62"/>
      <c r="S454" s="61"/>
      <c r="T454" s="62"/>
      <c r="U454" s="61"/>
      <c r="V454" s="62"/>
      <c r="W454" s="62"/>
      <c r="X454" s="62"/>
      <c r="Y454" s="62"/>
      <c r="Z454" s="62"/>
      <c r="AA454" s="62"/>
      <c r="AB454" s="62"/>
      <c r="AC454" s="37">
        <f>E454+G454+I454+K454+M454+O454+Q454+S454+U454+W454+Y454+AA454</f>
        <v>2</v>
      </c>
      <c r="AD454" s="33">
        <f>F454+H454+J454+L454+N454+P454+R454+T454+V454+X454+Z454+AB454</f>
        <v>17050</v>
      </c>
    </row>
    <row r="455" spans="1:30" x14ac:dyDescent="0.35">
      <c r="A455" s="5">
        <v>188</v>
      </c>
      <c r="B455" s="10" t="str">
        <f>LEFT(D455,FIND("-",D455)-1)</f>
        <v>JEAI013</v>
      </c>
      <c r="C455" s="27" t="s">
        <v>469</v>
      </c>
      <c r="D455" s="6" t="s">
        <v>1</v>
      </c>
      <c r="E455" s="38">
        <v>30</v>
      </c>
      <c r="F455" s="39">
        <v>107250</v>
      </c>
      <c r="G455" s="30"/>
      <c r="H455" s="31"/>
      <c r="I455" s="28"/>
      <c r="J455" s="29"/>
      <c r="K455" s="28">
        <v>1</v>
      </c>
      <c r="L455" s="29">
        <v>3575</v>
      </c>
      <c r="M455" s="28"/>
      <c r="N455" s="29"/>
      <c r="O455" s="61"/>
      <c r="P455" s="62"/>
      <c r="Q455" s="61"/>
      <c r="R455" s="62"/>
      <c r="S455" s="61"/>
      <c r="T455" s="62"/>
      <c r="U455" s="61"/>
      <c r="V455" s="62"/>
      <c r="W455" s="62"/>
      <c r="X455" s="62"/>
      <c r="Y455" s="62"/>
      <c r="Z455" s="62"/>
      <c r="AA455" s="62"/>
      <c r="AB455" s="62"/>
      <c r="AC455" s="36">
        <f>E455+G455+I455+K455+M455+O455+Q455+S455+U455+W455+Y455+AA455</f>
        <v>31</v>
      </c>
      <c r="AD455" s="33">
        <f>F455+H455+J455+L455+N455+P455+R455+T455+V455+X455+Z455+AB455</f>
        <v>110825</v>
      </c>
    </row>
    <row r="456" spans="1:30" x14ac:dyDescent="0.35">
      <c r="A456" s="5">
        <v>340</v>
      </c>
      <c r="B456" s="10" t="str">
        <f>LEFT(D456,FIND("-",D456)-1)</f>
        <v>JEGH027</v>
      </c>
      <c r="C456" s="27" t="s">
        <v>469</v>
      </c>
      <c r="D456" s="6" t="s">
        <v>289</v>
      </c>
      <c r="E456" s="38"/>
      <c r="F456" s="39"/>
      <c r="G456" s="30">
        <v>6</v>
      </c>
      <c r="H456" s="31">
        <v>9900</v>
      </c>
      <c r="I456" s="28"/>
      <c r="J456" s="29"/>
      <c r="K456" s="28">
        <v>1</v>
      </c>
      <c r="L456" s="29">
        <v>1650</v>
      </c>
      <c r="M456" s="28"/>
      <c r="N456" s="29"/>
      <c r="O456" s="61"/>
      <c r="P456" s="62"/>
      <c r="Q456" s="61"/>
      <c r="R456" s="62"/>
      <c r="S456" s="61"/>
      <c r="T456" s="62"/>
      <c r="U456" s="61"/>
      <c r="V456" s="62"/>
      <c r="W456" s="62"/>
      <c r="X456" s="62"/>
      <c r="Y456" s="62"/>
      <c r="Z456" s="62"/>
      <c r="AA456" s="62"/>
      <c r="AB456" s="62"/>
      <c r="AC456" s="36">
        <f>E456+G456+I456+K456+M456+O456+Q456+S456+U456+W456+Y456+AA456</f>
        <v>7</v>
      </c>
      <c r="AD456" s="33">
        <f>F456+H456+J456+L456+N456+P456+R456+T456+V456+X456+Z456+AB456</f>
        <v>11550</v>
      </c>
    </row>
    <row r="457" spans="1:30" x14ac:dyDescent="0.35">
      <c r="A457" s="5">
        <v>6</v>
      </c>
      <c r="B457" s="10" t="str">
        <f>LEFT(D457,FIND("-",D457)-1)</f>
        <v>JETR</v>
      </c>
      <c r="C457" s="27" t="s">
        <v>469</v>
      </c>
      <c r="D457" s="6" t="s">
        <v>43</v>
      </c>
      <c r="E457" s="38">
        <v>855</v>
      </c>
      <c r="F457" s="39">
        <v>2116125</v>
      </c>
      <c r="G457" s="30">
        <v>830</v>
      </c>
      <c r="H457" s="31">
        <v>2054250</v>
      </c>
      <c r="I457" s="28">
        <v>372</v>
      </c>
      <c r="J457" s="29">
        <v>920700</v>
      </c>
      <c r="K457" s="28"/>
      <c r="L457" s="29"/>
      <c r="M457" s="28"/>
      <c r="N457" s="29"/>
      <c r="O457" s="61"/>
      <c r="P457" s="62"/>
      <c r="Q457" s="61"/>
      <c r="R457" s="62"/>
      <c r="S457" s="61"/>
      <c r="T457" s="62"/>
      <c r="U457" s="61"/>
      <c r="V457" s="62"/>
      <c r="W457" s="62"/>
      <c r="X457" s="62"/>
      <c r="Y457" s="62"/>
      <c r="Z457" s="62"/>
      <c r="AA457" s="62"/>
      <c r="AB457" s="62"/>
      <c r="AC457" s="37">
        <f>E457+G457+I457+K457+M457+O457+Q457+S457+U457+W457+Y457+AA457</f>
        <v>2057</v>
      </c>
      <c r="AD457" s="33">
        <f>F457+H457+J457+L457+N457+P457+R457+T457+V457+X457+Z457+AB457</f>
        <v>5091075</v>
      </c>
    </row>
    <row r="458" spans="1:30" x14ac:dyDescent="0.35">
      <c r="A458" s="5">
        <v>187</v>
      </c>
      <c r="B458" s="10" t="str">
        <f>LEFT(D458,FIND("-",D458)-1)</f>
        <v>JQIF</v>
      </c>
      <c r="C458" s="27" t="s">
        <v>469</v>
      </c>
      <c r="D458" s="6" t="s">
        <v>31</v>
      </c>
      <c r="E458" s="38">
        <v>21</v>
      </c>
      <c r="F458" s="39">
        <v>39270</v>
      </c>
      <c r="G458" s="30"/>
      <c r="H458" s="31"/>
      <c r="I458" s="28">
        <v>10</v>
      </c>
      <c r="J458" s="29">
        <v>18700</v>
      </c>
      <c r="K458" s="28"/>
      <c r="L458" s="29"/>
      <c r="M458" s="28"/>
      <c r="N458" s="29"/>
      <c r="O458" s="61"/>
      <c r="P458" s="62"/>
      <c r="Q458" s="61"/>
      <c r="R458" s="62"/>
      <c r="S458" s="61"/>
      <c r="T458" s="62"/>
      <c r="U458" s="61"/>
      <c r="V458" s="62"/>
      <c r="W458" s="62"/>
      <c r="X458" s="62"/>
      <c r="Y458" s="62"/>
      <c r="Z458" s="62"/>
      <c r="AA458" s="62"/>
      <c r="AB458" s="62"/>
      <c r="AC458" s="37">
        <f>E458+G458+I458+K458+M458+O458+Q458+S458+U458+W458+Y458+AA458</f>
        <v>31</v>
      </c>
      <c r="AD458" s="33">
        <f>F458+H458+J458+L458+N458+P458+R458+T458+V458+X458+Z458+AB458</f>
        <v>57970</v>
      </c>
    </row>
    <row r="459" spans="1:30" x14ac:dyDescent="0.35">
      <c r="A459" s="5">
        <v>236</v>
      </c>
      <c r="B459" s="10" t="str">
        <f>LEFT(D459,FIND("-",D459)-1)</f>
        <v>JENT</v>
      </c>
      <c r="C459" s="27" t="s">
        <v>469</v>
      </c>
      <c r="D459" s="6" t="s">
        <v>317</v>
      </c>
      <c r="E459" s="38"/>
      <c r="F459" s="39"/>
      <c r="G459" s="30">
        <v>10</v>
      </c>
      <c r="H459" s="31">
        <v>16500</v>
      </c>
      <c r="I459" s="28">
        <v>10</v>
      </c>
      <c r="J459" s="29">
        <v>16500</v>
      </c>
      <c r="K459" s="28"/>
      <c r="L459" s="29"/>
      <c r="M459" s="28"/>
      <c r="N459" s="29"/>
      <c r="O459" s="61"/>
      <c r="P459" s="62"/>
      <c r="Q459" s="61"/>
      <c r="R459" s="62"/>
      <c r="S459" s="61"/>
      <c r="T459" s="62"/>
      <c r="U459" s="61"/>
      <c r="V459" s="62"/>
      <c r="W459" s="62"/>
      <c r="X459" s="62"/>
      <c r="Y459" s="62"/>
      <c r="Z459" s="62"/>
      <c r="AA459" s="62"/>
      <c r="AB459" s="62"/>
      <c r="AC459" s="36">
        <f>E459+G459+I459+K459+M459+O459+Q459+S459+U459+W459+Y459+AA459</f>
        <v>20</v>
      </c>
      <c r="AD459" s="33">
        <f>F459+H459+J459+L459+N459+P459+R459+T459+V459+X459+Z459+AB459</f>
        <v>33000</v>
      </c>
    </row>
    <row r="460" spans="1:30" x14ac:dyDescent="0.35">
      <c r="A460" s="5">
        <v>246</v>
      </c>
      <c r="B460" s="10" t="str">
        <f>LEFT(D460,FIND("-",D460)-1)</f>
        <v>JENQ012</v>
      </c>
      <c r="C460" s="27" t="s">
        <v>469</v>
      </c>
      <c r="D460" s="6" t="s">
        <v>310</v>
      </c>
      <c r="E460" s="38"/>
      <c r="F460" s="39"/>
      <c r="G460" s="30">
        <v>7</v>
      </c>
      <c r="H460" s="31">
        <v>11550</v>
      </c>
      <c r="I460" s="28">
        <v>10</v>
      </c>
      <c r="J460" s="29">
        <v>16500</v>
      </c>
      <c r="K460" s="28"/>
      <c r="L460" s="29"/>
      <c r="M460" s="28"/>
      <c r="N460" s="29"/>
      <c r="O460" s="61"/>
      <c r="P460" s="62"/>
      <c r="Q460" s="61"/>
      <c r="R460" s="62"/>
      <c r="S460" s="61"/>
      <c r="T460" s="62"/>
      <c r="U460" s="61"/>
      <c r="V460" s="62"/>
      <c r="W460" s="62"/>
      <c r="X460" s="62"/>
      <c r="Y460" s="62"/>
      <c r="Z460" s="62"/>
      <c r="AA460" s="62"/>
      <c r="AB460" s="62"/>
      <c r="AC460" s="37">
        <f>E460+G460+I460+K460+M460+O460+Q460+S460+U460+W460+Y460+AA460</f>
        <v>17</v>
      </c>
      <c r="AD460" s="33">
        <f>F460+H460+J460+L460+N460+P460+R460+T460+V460+X460+Z460+AB460</f>
        <v>28050</v>
      </c>
    </row>
    <row r="461" spans="1:30" x14ac:dyDescent="0.35">
      <c r="A461" s="5">
        <v>253</v>
      </c>
      <c r="B461" s="10" t="str">
        <f>LEFT(D461,FIND("-",D461)-1)</f>
        <v>JENQ010</v>
      </c>
      <c r="C461" s="27" t="s">
        <v>469</v>
      </c>
      <c r="D461" s="6" t="s">
        <v>309</v>
      </c>
      <c r="E461" s="38"/>
      <c r="F461" s="39"/>
      <c r="G461" s="30">
        <v>6</v>
      </c>
      <c r="H461" s="31">
        <v>9900</v>
      </c>
      <c r="I461" s="28">
        <v>10</v>
      </c>
      <c r="J461" s="29">
        <v>16500</v>
      </c>
      <c r="K461" s="28"/>
      <c r="L461" s="29"/>
      <c r="M461" s="28"/>
      <c r="N461" s="29"/>
      <c r="O461" s="61"/>
      <c r="P461" s="62"/>
      <c r="Q461" s="61"/>
      <c r="R461" s="62"/>
      <c r="S461" s="61"/>
      <c r="T461" s="62"/>
      <c r="U461" s="61"/>
      <c r="V461" s="62"/>
      <c r="W461" s="62"/>
      <c r="X461" s="62"/>
      <c r="Y461" s="62"/>
      <c r="Z461" s="62"/>
      <c r="AA461" s="62"/>
      <c r="AB461" s="62"/>
      <c r="AC461" s="36">
        <f>E461+G461+I461+K461+M461+O461+Q461+S461+U461+W461+Y461+AA461</f>
        <v>16</v>
      </c>
      <c r="AD461" s="33">
        <f>F461+H461+J461+L461+N461+P461+R461+T461+V461+X461+Z461+AB461</f>
        <v>26400</v>
      </c>
    </row>
    <row r="462" spans="1:30" x14ac:dyDescent="0.35">
      <c r="A462" s="5">
        <v>259</v>
      </c>
      <c r="B462" s="10" t="str">
        <f>LEFT(D462,FIND("-",D462)-1)</f>
        <v>JENQ022</v>
      </c>
      <c r="C462" s="27" t="s">
        <v>469</v>
      </c>
      <c r="D462" s="6" t="s">
        <v>315</v>
      </c>
      <c r="E462" s="38"/>
      <c r="F462" s="39"/>
      <c r="G462" s="30">
        <v>5</v>
      </c>
      <c r="H462" s="31">
        <v>8250</v>
      </c>
      <c r="I462" s="28">
        <v>10</v>
      </c>
      <c r="J462" s="29">
        <v>16500</v>
      </c>
      <c r="K462" s="28"/>
      <c r="L462" s="29"/>
      <c r="M462" s="28"/>
      <c r="N462" s="29"/>
      <c r="O462" s="61"/>
      <c r="P462" s="62"/>
      <c r="Q462" s="61"/>
      <c r="R462" s="62"/>
      <c r="S462" s="61"/>
      <c r="T462" s="62"/>
      <c r="U462" s="61"/>
      <c r="V462" s="62"/>
      <c r="W462" s="62"/>
      <c r="X462" s="62"/>
      <c r="Y462" s="62"/>
      <c r="Z462" s="62"/>
      <c r="AA462" s="62"/>
      <c r="AB462" s="62"/>
      <c r="AC462" s="37">
        <f>E462+G462+I462+K462+M462+O462+Q462+S462+U462+W462+Y462+AA462</f>
        <v>15</v>
      </c>
      <c r="AD462" s="33">
        <f>F462+H462+J462+L462+N462+P462+R462+T462+V462+X462+Z462+AB462</f>
        <v>24750</v>
      </c>
    </row>
    <row r="463" spans="1:30" x14ac:dyDescent="0.35">
      <c r="A463" s="5">
        <v>374</v>
      </c>
      <c r="B463" s="10" t="str">
        <f>LEFT(D463,FIND("-",D463)-1)</f>
        <v>JEBP803</v>
      </c>
      <c r="C463" s="27" t="s">
        <v>469</v>
      </c>
      <c r="D463" s="6" t="s">
        <v>274</v>
      </c>
      <c r="E463" s="38"/>
      <c r="F463" s="39"/>
      <c r="G463" s="30">
        <v>2</v>
      </c>
      <c r="H463" s="31">
        <v>5720</v>
      </c>
      <c r="I463" s="28">
        <v>2</v>
      </c>
      <c r="J463" s="29">
        <v>5720</v>
      </c>
      <c r="K463" s="28"/>
      <c r="L463" s="29"/>
      <c r="M463" s="28"/>
      <c r="N463" s="29"/>
      <c r="O463" s="61"/>
      <c r="P463" s="62"/>
      <c r="Q463" s="61"/>
      <c r="R463" s="62"/>
      <c r="S463" s="61"/>
      <c r="T463" s="62"/>
      <c r="U463" s="61"/>
      <c r="V463" s="62"/>
      <c r="W463" s="62"/>
      <c r="X463" s="62"/>
      <c r="Y463" s="62"/>
      <c r="Z463" s="62"/>
      <c r="AA463" s="62"/>
      <c r="AB463" s="62"/>
      <c r="AC463" s="36">
        <f>E463+G463+I463+K463+M463+O463+Q463+S463+U463+W463+Y463+AA463</f>
        <v>4</v>
      </c>
      <c r="AD463" s="33">
        <f>F463+H463+J463+L463+N463+P463+R463+T463+V463+X463+Z463+AB463</f>
        <v>11440</v>
      </c>
    </row>
    <row r="464" spans="1:30" x14ac:dyDescent="0.35">
      <c r="A464" s="5">
        <v>405</v>
      </c>
      <c r="B464" s="10" t="str">
        <f>LEFT(D464,FIND("-",D464)-1)</f>
        <v>JQFB</v>
      </c>
      <c r="C464" s="27" t="s">
        <v>469</v>
      </c>
      <c r="D464" s="6" t="s">
        <v>52</v>
      </c>
      <c r="E464" s="38">
        <v>1</v>
      </c>
      <c r="F464" s="39">
        <v>11275</v>
      </c>
      <c r="G464" s="30"/>
      <c r="H464" s="31"/>
      <c r="I464" s="28">
        <v>1</v>
      </c>
      <c r="J464" s="29">
        <v>11275</v>
      </c>
      <c r="K464" s="28"/>
      <c r="L464" s="29"/>
      <c r="M464" s="28"/>
      <c r="N464" s="29"/>
      <c r="O464" s="61"/>
      <c r="P464" s="62"/>
      <c r="Q464" s="61"/>
      <c r="R464" s="62"/>
      <c r="S464" s="61"/>
      <c r="T464" s="62"/>
      <c r="U464" s="61"/>
      <c r="V464" s="62"/>
      <c r="W464" s="62"/>
      <c r="X464" s="62"/>
      <c r="Y464" s="62"/>
      <c r="Z464" s="62"/>
      <c r="AA464" s="62"/>
      <c r="AB464" s="62"/>
      <c r="AC464" s="37">
        <f>E464+G464+I464+K464+M464+O464+Q464+S464+U464+W464+Y464+AA464</f>
        <v>2</v>
      </c>
      <c r="AD464" s="33">
        <f>F464+H464+J464+L464+N464+P464+R464+T464+V464+X464+Z464+AB464</f>
        <v>22550</v>
      </c>
    </row>
    <row r="465" spans="1:30" x14ac:dyDescent="0.35">
      <c r="A465" s="5">
        <v>125</v>
      </c>
      <c r="B465" s="10" t="str">
        <f>LEFT(D465,FIND("-",D465)-1)</f>
        <v>JEAM014</v>
      </c>
      <c r="C465" s="27" t="s">
        <v>469</v>
      </c>
      <c r="D465" s="6" t="s">
        <v>260</v>
      </c>
      <c r="E465" s="38"/>
      <c r="F465" s="39"/>
      <c r="G465" s="30">
        <v>81</v>
      </c>
      <c r="H465" s="31">
        <v>311850</v>
      </c>
      <c r="I465" s="28"/>
      <c r="J465" s="29"/>
      <c r="K465" s="28"/>
      <c r="L465" s="29"/>
      <c r="M465" s="28"/>
      <c r="N465" s="29"/>
      <c r="O465" s="61"/>
      <c r="P465" s="62"/>
      <c r="Q465" s="61"/>
      <c r="R465" s="62"/>
      <c r="S465" s="61"/>
      <c r="T465" s="62"/>
      <c r="U465" s="61"/>
      <c r="V465" s="62"/>
      <c r="W465" s="62"/>
      <c r="X465" s="62"/>
      <c r="Y465" s="62"/>
      <c r="Z465" s="62"/>
      <c r="AA465" s="62"/>
      <c r="AB465" s="62"/>
      <c r="AC465" s="37">
        <f>E465+G465+I465+K465+M465+O465+Q465+S465+U465+W465+Y465+AA465</f>
        <v>81</v>
      </c>
      <c r="AD465" s="33">
        <f>F465+H465+J465+L465+N465+P465+R465+T465+V465+X465+Z465+AB465</f>
        <v>311850</v>
      </c>
    </row>
    <row r="466" spans="1:30" x14ac:dyDescent="0.35">
      <c r="A466" s="5">
        <v>126</v>
      </c>
      <c r="B466" s="10" t="str">
        <f>LEFT(D466,FIND("-",D466)-1)</f>
        <v>JEAM015</v>
      </c>
      <c r="C466" s="27" t="s">
        <v>469</v>
      </c>
      <c r="D466" s="6" t="s">
        <v>261</v>
      </c>
      <c r="E466" s="38"/>
      <c r="F466" s="39"/>
      <c r="G466" s="30">
        <v>81</v>
      </c>
      <c r="H466" s="31">
        <v>311850</v>
      </c>
      <c r="I466" s="28"/>
      <c r="J466" s="29"/>
      <c r="K466" s="28"/>
      <c r="L466" s="29"/>
      <c r="M466" s="28"/>
      <c r="N466" s="29"/>
      <c r="O466" s="61"/>
      <c r="P466" s="62"/>
      <c r="Q466" s="61"/>
      <c r="R466" s="62"/>
      <c r="S466" s="61"/>
      <c r="T466" s="62"/>
      <c r="U466" s="61"/>
      <c r="V466" s="62"/>
      <c r="W466" s="62"/>
      <c r="X466" s="62"/>
      <c r="Y466" s="62"/>
      <c r="Z466" s="62"/>
      <c r="AA466" s="62"/>
      <c r="AB466" s="62"/>
      <c r="AC466" s="36">
        <f>E466+G466+I466+K466+M466+O466+Q466+S466+U466+W466+Y466+AA466</f>
        <v>81</v>
      </c>
      <c r="AD466" s="33">
        <f>F466+H466+J466+L466+N466+P466+R466+T466+V466+X466+Z466+AB466</f>
        <v>311850</v>
      </c>
    </row>
    <row r="467" spans="1:30" x14ac:dyDescent="0.35">
      <c r="A467" s="5">
        <v>127</v>
      </c>
      <c r="B467" s="10" t="str">
        <f>LEFT(D467,FIND("-",D467)-1)</f>
        <v>JEAM023</v>
      </c>
      <c r="C467" s="27" t="s">
        <v>469</v>
      </c>
      <c r="D467" s="6" t="s">
        <v>264</v>
      </c>
      <c r="E467" s="38"/>
      <c r="F467" s="39"/>
      <c r="G467" s="30">
        <v>81</v>
      </c>
      <c r="H467" s="31">
        <v>311850</v>
      </c>
      <c r="I467" s="28"/>
      <c r="J467" s="29"/>
      <c r="K467" s="28"/>
      <c r="L467" s="29"/>
      <c r="M467" s="28"/>
      <c r="N467" s="29"/>
      <c r="O467" s="61"/>
      <c r="P467" s="62"/>
      <c r="Q467" s="61"/>
      <c r="R467" s="62"/>
      <c r="S467" s="61"/>
      <c r="T467" s="62"/>
      <c r="U467" s="61"/>
      <c r="V467" s="62"/>
      <c r="W467" s="62"/>
      <c r="X467" s="62"/>
      <c r="Y467" s="62"/>
      <c r="Z467" s="62"/>
      <c r="AA467" s="62"/>
      <c r="AB467" s="62"/>
      <c r="AC467" s="37">
        <f>E467+G467+I467+K467+M467+O467+Q467+S467+U467+W467+Y467+AA467</f>
        <v>81</v>
      </c>
      <c r="AD467" s="33">
        <f>F467+H467+J467+L467+N467+P467+R467+T467+V467+X467+Z467+AB467</f>
        <v>311850</v>
      </c>
    </row>
    <row r="468" spans="1:30" x14ac:dyDescent="0.35">
      <c r="A468" s="5">
        <v>128</v>
      </c>
      <c r="B468" s="10" t="str">
        <f>LEFT(D468,FIND("-",D468)-1)</f>
        <v>JEAM025</v>
      </c>
      <c r="C468" s="27" t="s">
        <v>469</v>
      </c>
      <c r="D468" s="6" t="s">
        <v>266</v>
      </c>
      <c r="E468" s="38"/>
      <c r="F468" s="39"/>
      <c r="G468" s="30">
        <v>81</v>
      </c>
      <c r="H468" s="31">
        <v>311850</v>
      </c>
      <c r="I468" s="28"/>
      <c r="J468" s="29"/>
      <c r="K468" s="28"/>
      <c r="L468" s="29"/>
      <c r="M468" s="28"/>
      <c r="N468" s="29"/>
      <c r="O468" s="61"/>
      <c r="P468" s="62"/>
      <c r="Q468" s="61"/>
      <c r="R468" s="62"/>
      <c r="S468" s="61"/>
      <c r="T468" s="62"/>
      <c r="U468" s="61"/>
      <c r="V468" s="62"/>
      <c r="W468" s="62"/>
      <c r="X468" s="62"/>
      <c r="Y468" s="62"/>
      <c r="Z468" s="62"/>
      <c r="AA468" s="62"/>
      <c r="AB468" s="62"/>
      <c r="AC468" s="36">
        <f>E468+G468+I468+K468+M468+O468+Q468+S468+U468+W468+Y468+AA468</f>
        <v>81</v>
      </c>
      <c r="AD468" s="33">
        <f>F468+H468+J468+L468+N468+P468+R468+T468+V468+X468+Z468+AB468</f>
        <v>311850</v>
      </c>
    </row>
    <row r="469" spans="1:30" x14ac:dyDescent="0.35">
      <c r="A469" s="5">
        <v>192</v>
      </c>
      <c r="B469" s="10" t="str">
        <f>LEFT(D469,FIND("-",D469)-1)</f>
        <v>JEEA013</v>
      </c>
      <c r="C469" s="5" t="s">
        <v>469</v>
      </c>
      <c r="D469" s="6" t="s">
        <v>169</v>
      </c>
      <c r="E469" s="38">
        <v>25</v>
      </c>
      <c r="F469" s="39">
        <v>75625</v>
      </c>
      <c r="G469" s="30">
        <v>5</v>
      </c>
      <c r="H469" s="31">
        <v>15125</v>
      </c>
      <c r="I469" s="28"/>
      <c r="J469" s="29"/>
      <c r="K469" s="28"/>
      <c r="L469" s="29"/>
      <c r="M469" s="28"/>
      <c r="N469" s="29"/>
      <c r="O469" s="61"/>
      <c r="P469" s="62"/>
      <c r="Q469" s="61"/>
      <c r="R469" s="62"/>
      <c r="S469" s="61"/>
      <c r="T469" s="62"/>
      <c r="U469" s="61"/>
      <c r="V469" s="62"/>
      <c r="W469" s="62"/>
      <c r="X469" s="62"/>
      <c r="Y469" s="62"/>
      <c r="Z469" s="62"/>
      <c r="AA469" s="62"/>
      <c r="AB469" s="62"/>
      <c r="AC469" s="37">
        <f>E469+G469+I469+K469+M469+O469+Q469+S469+U469+W469+Y469+AA469</f>
        <v>30</v>
      </c>
      <c r="AD469" s="33">
        <f>F469+H469+J469+L469+N469+P469+R469+T469+V469+X469+Z469+AB469</f>
        <v>90750</v>
      </c>
    </row>
    <row r="470" spans="1:30" x14ac:dyDescent="0.35">
      <c r="A470" s="5">
        <v>230</v>
      </c>
      <c r="B470" s="10" t="str">
        <f>LEFT(D470,FIND("-",D470)-1)</f>
        <v>JEAI032</v>
      </c>
      <c r="C470" s="5" t="s">
        <v>469</v>
      </c>
      <c r="D470" s="6" t="s">
        <v>153</v>
      </c>
      <c r="E470" s="38">
        <v>21</v>
      </c>
      <c r="F470" s="39">
        <v>75075</v>
      </c>
      <c r="G470" s="30"/>
      <c r="H470" s="31"/>
      <c r="I470" s="28"/>
      <c r="J470" s="29"/>
      <c r="K470" s="28"/>
      <c r="L470" s="29"/>
      <c r="M470" s="28"/>
      <c r="N470" s="29"/>
      <c r="O470" s="61"/>
      <c r="P470" s="62"/>
      <c r="Q470" s="61"/>
      <c r="R470" s="62"/>
      <c r="S470" s="61"/>
      <c r="T470" s="62"/>
      <c r="U470" s="61"/>
      <c r="V470" s="62"/>
      <c r="W470" s="62"/>
      <c r="X470" s="62"/>
      <c r="Y470" s="62"/>
      <c r="Z470" s="62"/>
      <c r="AA470" s="62"/>
      <c r="AB470" s="62"/>
      <c r="AC470" s="36">
        <f>E470+G470+I470+K470+M470+O470+Q470+S470+U470+W470+Y470+AA470</f>
        <v>21</v>
      </c>
      <c r="AD470" s="33">
        <f>F470+H470+J470+L470+N470+P470+R470+T470+V470+X470+Z470+AB470</f>
        <v>75075</v>
      </c>
    </row>
    <row r="471" spans="1:30" x14ac:dyDescent="0.35">
      <c r="A471" s="5">
        <v>234</v>
      </c>
      <c r="B471" s="10" t="str">
        <f>LEFT(D471,FIND("-",D471)-1)</f>
        <v>JEGZ</v>
      </c>
      <c r="C471" s="27" t="s">
        <v>469</v>
      </c>
      <c r="D471" s="6" t="s">
        <v>294</v>
      </c>
      <c r="E471" s="38"/>
      <c r="F471" s="39"/>
      <c r="G471" s="30">
        <v>20</v>
      </c>
      <c r="H471" s="31">
        <v>7150</v>
      </c>
      <c r="I471" s="28"/>
      <c r="J471" s="29"/>
      <c r="K471" s="28"/>
      <c r="L471" s="29"/>
      <c r="M471" s="28"/>
      <c r="N471" s="29"/>
      <c r="O471" s="61"/>
      <c r="P471" s="62"/>
      <c r="Q471" s="61"/>
      <c r="R471" s="62"/>
      <c r="S471" s="61"/>
      <c r="T471" s="62"/>
      <c r="U471" s="61"/>
      <c r="V471" s="62"/>
      <c r="W471" s="62"/>
      <c r="X471" s="62"/>
      <c r="Y471" s="62"/>
      <c r="Z471" s="62"/>
      <c r="AA471" s="62"/>
      <c r="AB471" s="62"/>
      <c r="AC471" s="36">
        <f>E471+G471+I471+K471+M471+O471+Q471+S471+U471+W471+Y471+AA471</f>
        <v>20</v>
      </c>
      <c r="AD471" s="33">
        <f>F471+H471+J471+L471+N471+P471+R471+T471+V471+X471+Z471+AB471</f>
        <v>7150</v>
      </c>
    </row>
    <row r="472" spans="1:30" x14ac:dyDescent="0.35">
      <c r="A472" s="5">
        <v>261</v>
      </c>
      <c r="B472" s="10" t="str">
        <f>LEFT(D472,FIND("-",D472)-1)</f>
        <v>JEPA303</v>
      </c>
      <c r="C472" s="27" t="s">
        <v>469</v>
      </c>
      <c r="D472" s="6" t="s">
        <v>201</v>
      </c>
      <c r="E472" s="38">
        <v>15</v>
      </c>
      <c r="F472" s="39">
        <v>33000</v>
      </c>
      <c r="G472" s="30"/>
      <c r="H472" s="31"/>
      <c r="I472" s="28"/>
      <c r="J472" s="29"/>
      <c r="K472" s="28"/>
      <c r="L472" s="29"/>
      <c r="M472" s="28"/>
      <c r="N472" s="29"/>
      <c r="O472" s="61"/>
      <c r="P472" s="62"/>
      <c r="Q472" s="61"/>
      <c r="R472" s="62"/>
      <c r="S472" s="61"/>
      <c r="T472" s="62"/>
      <c r="U472" s="61"/>
      <c r="V472" s="62"/>
      <c r="W472" s="62"/>
      <c r="X472" s="62"/>
      <c r="Y472" s="62"/>
      <c r="Z472" s="62"/>
      <c r="AA472" s="62"/>
      <c r="AB472" s="62"/>
      <c r="AC472" s="36">
        <f>E472+G472+I472+K472+M472+O472+Q472+S472+U472+W472+Y472+AA472</f>
        <v>15</v>
      </c>
      <c r="AD472" s="33">
        <f>F472+H472+J472+L472+N472+P472+R472+T472+V472+X472+Z472+AB472</f>
        <v>33000</v>
      </c>
    </row>
    <row r="473" spans="1:30" x14ac:dyDescent="0.35">
      <c r="A473" s="5">
        <v>267</v>
      </c>
      <c r="B473" s="10" t="str">
        <f>LEFT(D473,FIND("-",D473)-1)</f>
        <v>JEAI011</v>
      </c>
      <c r="C473" s="27" t="s">
        <v>469</v>
      </c>
      <c r="D473" s="6" t="s">
        <v>150</v>
      </c>
      <c r="E473" s="38">
        <v>7</v>
      </c>
      <c r="F473" s="39">
        <v>25025</v>
      </c>
      <c r="G473" s="30">
        <v>6</v>
      </c>
      <c r="H473" s="31">
        <v>21450</v>
      </c>
      <c r="I473" s="28"/>
      <c r="J473" s="29"/>
      <c r="K473" s="28"/>
      <c r="L473" s="29"/>
      <c r="M473" s="28"/>
      <c r="N473" s="29"/>
      <c r="O473" s="61"/>
      <c r="P473" s="62"/>
      <c r="Q473" s="61"/>
      <c r="R473" s="62"/>
      <c r="S473" s="61"/>
      <c r="T473" s="62"/>
      <c r="U473" s="61"/>
      <c r="V473" s="62"/>
      <c r="W473" s="62"/>
      <c r="X473" s="62"/>
      <c r="Y473" s="62"/>
      <c r="Z473" s="62"/>
      <c r="AA473" s="62"/>
      <c r="AB473" s="62"/>
      <c r="AC473" s="36">
        <f>E473+G473+I473+K473+M473+O473+Q473+S473+U473+W473+Y473+AA473</f>
        <v>13</v>
      </c>
      <c r="AD473" s="33">
        <f>F473+H473+J473+L473+N473+P473+R473+T473+V473+X473+Z473+AB473</f>
        <v>46475</v>
      </c>
    </row>
    <row r="474" spans="1:30" x14ac:dyDescent="0.35">
      <c r="A474" s="5">
        <v>277</v>
      </c>
      <c r="B474" s="10" t="str">
        <f>LEFT(D474,FIND("-",D474)-1)</f>
        <v>JLRD</v>
      </c>
      <c r="C474" s="27" t="s">
        <v>469</v>
      </c>
      <c r="D474" s="6" t="s">
        <v>327</v>
      </c>
      <c r="E474" s="38"/>
      <c r="F474" s="39"/>
      <c r="G474" s="30">
        <v>12</v>
      </c>
      <c r="H474" s="31">
        <v>14520</v>
      </c>
      <c r="I474" s="28"/>
      <c r="J474" s="29"/>
      <c r="K474" s="28"/>
      <c r="L474" s="29"/>
      <c r="M474" s="28"/>
      <c r="N474" s="29"/>
      <c r="O474" s="61"/>
      <c r="P474" s="62"/>
      <c r="Q474" s="61"/>
      <c r="R474" s="62"/>
      <c r="S474" s="61"/>
      <c r="T474" s="62"/>
      <c r="U474" s="61"/>
      <c r="V474" s="62"/>
      <c r="W474" s="62"/>
      <c r="X474" s="62"/>
      <c r="Y474" s="62"/>
      <c r="Z474" s="62"/>
      <c r="AA474" s="62"/>
      <c r="AB474" s="62"/>
      <c r="AC474" s="36">
        <f>E474+G474+I474+K474+M474+O474+Q474+S474+U474+W474+Y474+AA474</f>
        <v>12</v>
      </c>
      <c r="AD474" s="33">
        <f>F474+H474+J474+L474+N474+P474+R474+T474+V474+X474+Z474+AB474</f>
        <v>14520</v>
      </c>
    </row>
    <row r="475" spans="1:30" x14ac:dyDescent="0.35">
      <c r="A475" s="5">
        <v>291</v>
      </c>
      <c r="B475" s="10" t="str">
        <f>LEFT(D475,FIND("-",D475)-1)</f>
        <v>JEAI016</v>
      </c>
      <c r="C475" s="27" t="s">
        <v>469</v>
      </c>
      <c r="D475" s="6" t="s">
        <v>2</v>
      </c>
      <c r="E475" s="38">
        <v>10</v>
      </c>
      <c r="F475" s="39">
        <v>35750</v>
      </c>
      <c r="G475" s="30"/>
      <c r="H475" s="31"/>
      <c r="I475" s="28"/>
      <c r="J475" s="29"/>
      <c r="K475" s="28"/>
      <c r="L475" s="29"/>
      <c r="M475" s="28"/>
      <c r="N475" s="29"/>
      <c r="O475" s="61"/>
      <c r="P475" s="62"/>
      <c r="Q475" s="61"/>
      <c r="R475" s="62"/>
      <c r="S475" s="61"/>
      <c r="T475" s="62"/>
      <c r="U475" s="61"/>
      <c r="V475" s="62"/>
      <c r="W475" s="62"/>
      <c r="X475" s="62"/>
      <c r="Y475" s="62"/>
      <c r="Z475" s="62"/>
      <c r="AA475" s="62"/>
      <c r="AB475" s="62"/>
      <c r="AC475" s="36">
        <f>E475+G475+I475+K475+M475+O475+Q475+S475+U475+W475+Y475+AA475</f>
        <v>10</v>
      </c>
      <c r="AD475" s="33">
        <f>F475+H475+J475+L475+N475+P475+R475+T475+V475+X475+Z475+AB475</f>
        <v>35750</v>
      </c>
    </row>
    <row r="476" spans="1:30" x14ac:dyDescent="0.35">
      <c r="A476" s="5">
        <v>292</v>
      </c>
      <c r="B476" s="10" t="str">
        <f>LEFT(D476,FIND("-",D476)-1)</f>
        <v>JEAI021</v>
      </c>
      <c r="C476" s="27" t="s">
        <v>469</v>
      </c>
      <c r="D476" s="6" t="s">
        <v>151</v>
      </c>
      <c r="E476" s="38">
        <v>10</v>
      </c>
      <c r="F476" s="39">
        <v>35750</v>
      </c>
      <c r="G476" s="30"/>
      <c r="H476" s="31"/>
      <c r="I476" s="28"/>
      <c r="J476" s="29"/>
      <c r="K476" s="28"/>
      <c r="L476" s="29"/>
      <c r="M476" s="28"/>
      <c r="N476" s="29"/>
      <c r="O476" s="61"/>
      <c r="P476" s="62"/>
      <c r="Q476" s="61"/>
      <c r="R476" s="62"/>
      <c r="S476" s="61"/>
      <c r="T476" s="62"/>
      <c r="U476" s="61"/>
      <c r="V476" s="62"/>
      <c r="W476" s="62"/>
      <c r="X476" s="62"/>
      <c r="Y476" s="62"/>
      <c r="Z476" s="62"/>
      <c r="AA476" s="62"/>
      <c r="AB476" s="62"/>
      <c r="AC476" s="36">
        <f>E476+G476+I476+K476+M476+O476+Q476+S476+U476+W476+Y476+AA476</f>
        <v>10</v>
      </c>
      <c r="AD476" s="33">
        <f>F476+H476+J476+L476+N476+P476+R476+T476+V476+X476+Z476+AB476</f>
        <v>35750</v>
      </c>
    </row>
    <row r="477" spans="1:30" x14ac:dyDescent="0.35">
      <c r="A477" s="5">
        <v>296</v>
      </c>
      <c r="B477" s="10" t="str">
        <f>LEFT(D477,FIND("-",D477)-1)</f>
        <v>JENQ005</v>
      </c>
      <c r="C477" s="27" t="s">
        <v>469</v>
      </c>
      <c r="D477" s="6" t="s">
        <v>307</v>
      </c>
      <c r="E477" s="38"/>
      <c r="F477" s="39"/>
      <c r="G477" s="30">
        <v>10</v>
      </c>
      <c r="H477" s="31">
        <v>16500</v>
      </c>
      <c r="I477" s="28"/>
      <c r="J477" s="29"/>
      <c r="K477" s="28"/>
      <c r="L477" s="29"/>
      <c r="M477" s="28"/>
      <c r="N477" s="29"/>
      <c r="O477" s="61"/>
      <c r="P477" s="62"/>
      <c r="Q477" s="61"/>
      <c r="R477" s="62"/>
      <c r="S477" s="61"/>
      <c r="T477" s="62"/>
      <c r="U477" s="61"/>
      <c r="V477" s="62"/>
      <c r="W477" s="62"/>
      <c r="X477" s="62"/>
      <c r="Y477" s="62"/>
      <c r="Z477" s="62"/>
      <c r="AA477" s="62"/>
      <c r="AB477" s="62"/>
      <c r="AC477" s="36">
        <f>E477+G477+I477+K477+M477+O477+Q477+S477+U477+W477+Y477+AA477</f>
        <v>10</v>
      </c>
      <c r="AD477" s="33">
        <f>F477+H477+J477+L477+N477+P477+R477+T477+V477+X477+Z477+AB477</f>
        <v>16500</v>
      </c>
    </row>
    <row r="478" spans="1:30" x14ac:dyDescent="0.35">
      <c r="A478" s="5">
        <v>316</v>
      </c>
      <c r="B478" s="10" t="str">
        <f>LEFT(D478,FIND("-",D478)-1)</f>
        <v>JENQ011</v>
      </c>
      <c r="C478" s="27" t="s">
        <v>469</v>
      </c>
      <c r="D478" s="6" t="s">
        <v>195</v>
      </c>
      <c r="E478" s="38">
        <v>6</v>
      </c>
      <c r="F478" s="39">
        <v>9900</v>
      </c>
      <c r="G478" s="30">
        <v>2</v>
      </c>
      <c r="H478" s="31">
        <v>3300</v>
      </c>
      <c r="I478" s="28"/>
      <c r="J478" s="29"/>
      <c r="K478" s="28"/>
      <c r="L478" s="29"/>
      <c r="M478" s="28"/>
      <c r="N478" s="29"/>
      <c r="O478" s="61"/>
      <c r="P478" s="62"/>
      <c r="Q478" s="61"/>
      <c r="R478" s="62"/>
      <c r="S478" s="61"/>
      <c r="T478" s="62"/>
      <c r="U478" s="61"/>
      <c r="V478" s="62"/>
      <c r="W478" s="62"/>
      <c r="X478" s="62"/>
      <c r="Y478" s="62"/>
      <c r="Z478" s="62"/>
      <c r="AA478" s="62"/>
      <c r="AB478" s="62"/>
      <c r="AC478" s="36">
        <f>E478+G478+I478+K478+M478+O478+Q478+S478+U478+W478+Y478+AA478</f>
        <v>8</v>
      </c>
      <c r="AD478" s="33">
        <f>F478+H478+J478+L478+N478+P478+R478+T478+V478+X478+Z478+AB478</f>
        <v>13200</v>
      </c>
    </row>
    <row r="479" spans="1:30" x14ac:dyDescent="0.35">
      <c r="A479" s="5">
        <v>332</v>
      </c>
      <c r="B479" s="10" t="str">
        <f>LEFT(D479,FIND("-",D479)-1)</f>
        <v>JEGH026</v>
      </c>
      <c r="C479" s="27" t="s">
        <v>469</v>
      </c>
      <c r="D479" s="6" t="s">
        <v>288</v>
      </c>
      <c r="E479" s="38"/>
      <c r="F479" s="39"/>
      <c r="G479" s="30">
        <v>7</v>
      </c>
      <c r="H479" s="31">
        <v>11550</v>
      </c>
      <c r="I479" s="28"/>
      <c r="J479" s="29"/>
      <c r="K479" s="28"/>
      <c r="L479" s="29"/>
      <c r="M479" s="28"/>
      <c r="N479" s="29"/>
      <c r="O479" s="61"/>
      <c r="P479" s="62"/>
      <c r="Q479" s="61"/>
      <c r="R479" s="62"/>
      <c r="S479" s="61"/>
      <c r="T479" s="62"/>
      <c r="U479" s="61"/>
      <c r="V479" s="62"/>
      <c r="W479" s="62"/>
      <c r="X479" s="62"/>
      <c r="Y479" s="62"/>
      <c r="Z479" s="62"/>
      <c r="AA479" s="62"/>
      <c r="AB479" s="62"/>
      <c r="AC479" s="36">
        <f>E479+G479+I479+K479+M479+O479+Q479+S479+U479+W479+Y479+AA479</f>
        <v>7</v>
      </c>
      <c r="AD479" s="33">
        <f>F479+H479+J479+L479+N479+P479+R479+T479+V479+X479+Z479+AB479</f>
        <v>11550</v>
      </c>
    </row>
    <row r="480" spans="1:30" x14ac:dyDescent="0.35">
      <c r="A480" s="5">
        <v>338</v>
      </c>
      <c r="B480" s="10" t="str">
        <f>LEFT(D480,FIND("-",D480)-1)</f>
        <v>JEAI012</v>
      </c>
      <c r="C480" s="27" t="s">
        <v>469</v>
      </c>
      <c r="D480" s="6" t="s">
        <v>0</v>
      </c>
      <c r="E480" s="38">
        <v>3</v>
      </c>
      <c r="F480" s="39">
        <v>10725</v>
      </c>
      <c r="G480" s="30">
        <v>3</v>
      </c>
      <c r="H480" s="31">
        <v>10725</v>
      </c>
      <c r="I480" s="28"/>
      <c r="J480" s="29"/>
      <c r="K480" s="28"/>
      <c r="L480" s="29"/>
      <c r="M480" s="28"/>
      <c r="N480" s="29"/>
      <c r="O480" s="61"/>
      <c r="P480" s="62"/>
      <c r="Q480" s="61"/>
      <c r="R480" s="62"/>
      <c r="S480" s="61"/>
      <c r="T480" s="62"/>
      <c r="U480" s="61"/>
      <c r="V480" s="62"/>
      <c r="W480" s="62"/>
      <c r="X480" s="62"/>
      <c r="Y480" s="62"/>
      <c r="Z480" s="62"/>
      <c r="AA480" s="62"/>
      <c r="AB480" s="62"/>
      <c r="AC480" s="36">
        <f>E480+G480+I480+K480+M480+O480+Q480+S480+U480+W480+Y480+AA480</f>
        <v>6</v>
      </c>
      <c r="AD480" s="33">
        <f>F480+H480+J480+L480+N480+P480+R480+T480+V480+X480+Z480+AB480</f>
        <v>21450</v>
      </c>
    </row>
    <row r="481" spans="1:34" x14ac:dyDescent="0.35">
      <c r="A481" s="5">
        <v>339</v>
      </c>
      <c r="B481" s="10" t="str">
        <f>LEFT(D481,FIND("-",D481)-1)</f>
        <v>JEAI043</v>
      </c>
      <c r="C481" s="27" t="s">
        <v>469</v>
      </c>
      <c r="D481" s="6" t="s">
        <v>156</v>
      </c>
      <c r="E481" s="38">
        <v>6</v>
      </c>
      <c r="F481" s="39">
        <v>21450</v>
      </c>
      <c r="G481" s="30"/>
      <c r="H481" s="31"/>
      <c r="I481" s="28"/>
      <c r="J481" s="29"/>
      <c r="K481" s="28"/>
      <c r="L481" s="29"/>
      <c r="M481" s="28"/>
      <c r="N481" s="29"/>
      <c r="O481" s="61"/>
      <c r="P481" s="62"/>
      <c r="Q481" s="61"/>
      <c r="R481" s="62"/>
      <c r="S481" s="61"/>
      <c r="T481" s="62"/>
      <c r="U481" s="61"/>
      <c r="V481" s="62"/>
      <c r="W481" s="62"/>
      <c r="X481" s="62"/>
      <c r="Y481" s="62"/>
      <c r="Z481" s="62"/>
      <c r="AA481" s="62"/>
      <c r="AB481" s="62"/>
      <c r="AC481" s="36">
        <f>E481+G481+I481+K481+M481+O481+Q481+S481+U481+W481+Y481+AA481</f>
        <v>6</v>
      </c>
      <c r="AD481" s="33">
        <f>F481+H481+J481+L481+N481+P481+R481+T481+V481+X481+Z481+AB481</f>
        <v>21450</v>
      </c>
    </row>
    <row r="482" spans="1:34" x14ac:dyDescent="0.35">
      <c r="A482" s="5">
        <v>352</v>
      </c>
      <c r="B482" s="10" t="str">
        <f>LEFT(D482,FIND("-",D482)-1)</f>
        <v>JEEA011</v>
      </c>
      <c r="C482" s="27" t="s">
        <v>469</v>
      </c>
      <c r="D482" s="6" t="s">
        <v>277</v>
      </c>
      <c r="E482" s="38"/>
      <c r="F482" s="39"/>
      <c r="G482" s="30">
        <v>5</v>
      </c>
      <c r="H482" s="31">
        <v>15125</v>
      </c>
      <c r="I482" s="28"/>
      <c r="J482" s="29"/>
      <c r="K482" s="28"/>
      <c r="L482" s="29"/>
      <c r="M482" s="28"/>
      <c r="N482" s="29"/>
      <c r="O482" s="61"/>
      <c r="P482" s="62"/>
      <c r="Q482" s="61"/>
      <c r="R482" s="62"/>
      <c r="S482" s="61"/>
      <c r="T482" s="62"/>
      <c r="U482" s="61"/>
      <c r="V482" s="62"/>
      <c r="W482" s="62"/>
      <c r="X482" s="62"/>
      <c r="Y482" s="62"/>
      <c r="Z482" s="62"/>
      <c r="AA482" s="62"/>
      <c r="AB482" s="62"/>
      <c r="AC482" s="36">
        <f>E482+G482+I482+K482+M482+O482+Q482+S482+U482+W482+Y482+AA482</f>
        <v>5</v>
      </c>
      <c r="AD482" s="33">
        <f>F482+H482+J482+L482+N482+P482+R482+T482+V482+X482+Z482+AB482</f>
        <v>15125</v>
      </c>
    </row>
    <row r="483" spans="1:34" x14ac:dyDescent="0.35">
      <c r="A483" s="5">
        <v>353</v>
      </c>
      <c r="B483" s="10" t="str">
        <f>LEFT(D483,FIND("-",D483)-1)</f>
        <v>JEEA012</v>
      </c>
      <c r="C483" s="27" t="s">
        <v>469</v>
      </c>
      <c r="D483" s="6" t="s">
        <v>168</v>
      </c>
      <c r="E483" s="38">
        <v>2</v>
      </c>
      <c r="F483" s="39">
        <v>6050</v>
      </c>
      <c r="G483" s="30">
        <v>3</v>
      </c>
      <c r="H483" s="31">
        <v>9075</v>
      </c>
      <c r="I483" s="28"/>
      <c r="J483" s="29"/>
      <c r="K483" s="28"/>
      <c r="L483" s="29"/>
      <c r="M483" s="28"/>
      <c r="N483" s="29"/>
      <c r="O483" s="61"/>
      <c r="P483" s="62"/>
      <c r="Q483" s="61"/>
      <c r="R483" s="62"/>
      <c r="S483" s="61"/>
      <c r="T483" s="62"/>
      <c r="U483" s="61"/>
      <c r="V483" s="62"/>
      <c r="W483" s="62"/>
      <c r="X483" s="62"/>
      <c r="Y483" s="62"/>
      <c r="Z483" s="62"/>
      <c r="AA483" s="62"/>
      <c r="AB483" s="62"/>
      <c r="AC483" s="36">
        <f>E483+G483+I483+K483+M483+O483+Q483+S483+U483+W483+Y483+AA483</f>
        <v>5</v>
      </c>
      <c r="AD483" s="33">
        <f>F483+H483+J483+L483+N483+P483+R483+T483+V483+X483+Z483+AB483</f>
        <v>15125</v>
      </c>
    </row>
    <row r="484" spans="1:34" x14ac:dyDescent="0.35">
      <c r="A484" s="5">
        <v>354</v>
      </c>
      <c r="B484" s="10" t="str">
        <f>LEFT(D484,FIND("-",D484)-1)</f>
        <v>JEGG032</v>
      </c>
      <c r="C484" s="27" t="s">
        <v>469</v>
      </c>
      <c r="D484" s="6" t="s">
        <v>175</v>
      </c>
      <c r="E484" s="38">
        <v>5</v>
      </c>
      <c r="F484" s="39">
        <v>7425</v>
      </c>
      <c r="G484" s="30"/>
      <c r="H484" s="31"/>
      <c r="I484" s="28"/>
      <c r="J484" s="29"/>
      <c r="K484" s="28"/>
      <c r="L484" s="29"/>
      <c r="M484" s="28"/>
      <c r="N484" s="29"/>
      <c r="O484" s="61"/>
      <c r="P484" s="62"/>
      <c r="Q484" s="61"/>
      <c r="R484" s="62"/>
      <c r="S484" s="61"/>
      <c r="T484" s="62"/>
      <c r="U484" s="61"/>
      <c r="V484" s="62"/>
      <c r="W484" s="62"/>
      <c r="X484" s="62"/>
      <c r="Y484" s="62"/>
      <c r="Z484" s="62"/>
      <c r="AA484" s="62"/>
      <c r="AB484" s="62"/>
      <c r="AC484" s="37">
        <f>E484+G484+I484+K484+M484+O484+Q484+S484+U484+W484+Y484+AA484</f>
        <v>5</v>
      </c>
      <c r="AD484" s="33">
        <f>F484+H484+J484+L484+N484+P484+R484+T484+V484+X484+Z484+AB484</f>
        <v>7425</v>
      </c>
    </row>
    <row r="485" spans="1:34" x14ac:dyDescent="0.35">
      <c r="A485" s="5">
        <v>360</v>
      </c>
      <c r="B485" s="10" t="str">
        <f>LEFT(D485,FIND("-",D485)-1)</f>
        <v>JEJG012</v>
      </c>
      <c r="C485" s="27" t="s">
        <v>469</v>
      </c>
      <c r="D485" s="6" t="s">
        <v>301</v>
      </c>
      <c r="E485" s="38"/>
      <c r="F485" s="39"/>
      <c r="G485" s="30">
        <v>5</v>
      </c>
      <c r="H485" s="31">
        <v>10175</v>
      </c>
      <c r="I485" s="28"/>
      <c r="J485" s="29"/>
      <c r="K485" s="28"/>
      <c r="L485" s="29"/>
      <c r="M485" s="28"/>
      <c r="N485" s="29"/>
      <c r="O485" s="61"/>
      <c r="P485" s="62"/>
      <c r="Q485" s="61"/>
      <c r="R485" s="62"/>
      <c r="S485" s="61"/>
      <c r="T485" s="62"/>
      <c r="U485" s="61"/>
      <c r="V485" s="62"/>
      <c r="W485" s="62"/>
      <c r="X485" s="62"/>
      <c r="Y485" s="62"/>
      <c r="Z485" s="62"/>
      <c r="AA485" s="62"/>
      <c r="AB485" s="62"/>
      <c r="AC485" s="37">
        <f>E485+G485+I485+K485+M485+O485+Q485+S485+U485+W485+Y485+AA485</f>
        <v>5</v>
      </c>
      <c r="AD485" s="33">
        <f>F485+H485+J485+L485+N485+P485+R485+T485+V485+X485+Z485+AB485</f>
        <v>10175</v>
      </c>
    </row>
    <row r="486" spans="1:34" x14ac:dyDescent="0.35">
      <c r="A486" s="5">
        <v>363</v>
      </c>
      <c r="B486" s="10" t="str">
        <f>LEFT(D486,FIND("-",D486)-1)</f>
        <v>JENQ002</v>
      </c>
      <c r="C486" s="27" t="s">
        <v>469</v>
      </c>
      <c r="D486" s="6" t="s">
        <v>191</v>
      </c>
      <c r="E486" s="38">
        <v>5</v>
      </c>
      <c r="F486" s="39">
        <v>8250</v>
      </c>
      <c r="G486" s="30"/>
      <c r="H486" s="31"/>
      <c r="I486" s="28"/>
      <c r="J486" s="29"/>
      <c r="K486" s="28"/>
      <c r="L486" s="29"/>
      <c r="M486" s="28"/>
      <c r="N486" s="29"/>
      <c r="O486" s="61"/>
      <c r="P486" s="62"/>
      <c r="Q486" s="61"/>
      <c r="R486" s="62"/>
      <c r="S486" s="61"/>
      <c r="T486" s="62"/>
      <c r="U486" s="61"/>
      <c r="V486" s="62"/>
      <c r="W486" s="62"/>
      <c r="X486" s="62"/>
      <c r="Y486" s="62"/>
      <c r="Z486" s="62"/>
      <c r="AA486" s="62"/>
      <c r="AB486" s="62"/>
      <c r="AC486" s="36">
        <f>E486+G486+I486+K486+M486+O486+Q486+S486+U486+W486+Y486+AA486</f>
        <v>5</v>
      </c>
      <c r="AD486" s="33">
        <f>F486+H486+J486+L486+N486+P486+R486+T486+V486+X486+Z486+AB486</f>
        <v>8250</v>
      </c>
    </row>
    <row r="487" spans="1:34" x14ac:dyDescent="0.35">
      <c r="A487" s="5">
        <v>365</v>
      </c>
      <c r="B487" s="10" t="str">
        <f>LEFT(D487,FIND("-",D487)-1)</f>
        <v>JENQ006</v>
      </c>
      <c r="C487" s="27" t="s">
        <v>469</v>
      </c>
      <c r="D487" s="6" t="s">
        <v>308</v>
      </c>
      <c r="E487" s="38"/>
      <c r="F487" s="39"/>
      <c r="G487" s="30">
        <v>5</v>
      </c>
      <c r="H487" s="31">
        <v>8250</v>
      </c>
      <c r="I487" s="28"/>
      <c r="J487" s="29"/>
      <c r="K487" s="28"/>
      <c r="L487" s="29"/>
      <c r="M487" s="28"/>
      <c r="N487" s="29"/>
      <c r="O487" s="61"/>
      <c r="P487" s="62"/>
      <c r="Q487" s="61"/>
      <c r="R487" s="62"/>
      <c r="S487" s="61"/>
      <c r="T487" s="62"/>
      <c r="U487" s="61"/>
      <c r="V487" s="62"/>
      <c r="W487" s="62"/>
      <c r="X487" s="62"/>
      <c r="Y487" s="62"/>
      <c r="Z487" s="62"/>
      <c r="AA487" s="62"/>
      <c r="AB487" s="62"/>
      <c r="AC487" s="36">
        <f>E487+G487+I487+K487+M487+O487+Q487+S487+U487+W487+Y487+AA487</f>
        <v>5</v>
      </c>
      <c r="AD487" s="33">
        <f>F487+H487+J487+L487+N487+P487+R487+T487+V487+X487+Z487+AB487</f>
        <v>8250</v>
      </c>
    </row>
    <row r="488" spans="1:34" x14ac:dyDescent="0.35">
      <c r="A488" s="5">
        <v>366</v>
      </c>
      <c r="B488" s="10" t="str">
        <f>LEFT(D488,FIND("-",D488)-1)</f>
        <v>JENQ007</v>
      </c>
      <c r="C488" s="27" t="s">
        <v>469</v>
      </c>
      <c r="D488" s="6" t="s">
        <v>194</v>
      </c>
      <c r="E488" s="38">
        <v>5</v>
      </c>
      <c r="F488" s="39">
        <v>8250</v>
      </c>
      <c r="G488" s="30"/>
      <c r="H488" s="31"/>
      <c r="I488" s="28"/>
      <c r="J488" s="29"/>
      <c r="K488" s="28"/>
      <c r="L488" s="29"/>
      <c r="M488" s="28"/>
      <c r="N488" s="29"/>
      <c r="O488" s="61"/>
      <c r="P488" s="62"/>
      <c r="Q488" s="61"/>
      <c r="R488" s="62"/>
      <c r="S488" s="61"/>
      <c r="T488" s="62"/>
      <c r="U488" s="61"/>
      <c r="V488" s="62"/>
      <c r="W488" s="62"/>
      <c r="X488" s="62"/>
      <c r="Y488" s="62"/>
      <c r="Z488" s="62"/>
      <c r="AA488" s="62"/>
      <c r="AB488" s="62"/>
      <c r="AC488" s="36">
        <f>E488+G488+I488+K488+M488+O488+Q488+S488+U488+W488+Y488+AA488</f>
        <v>5</v>
      </c>
      <c r="AD488" s="33">
        <f>F488+H488+J488+L488+N488+P488+R488+T488+V488+X488+Z488+AB488</f>
        <v>8250</v>
      </c>
    </row>
    <row r="489" spans="1:34" x14ac:dyDescent="0.35">
      <c r="A489" s="5">
        <v>402</v>
      </c>
      <c r="B489" s="10" t="str">
        <f>LEFT(D489,FIND("-",D489)-1)</f>
        <v>JEBP402</v>
      </c>
      <c r="C489" s="27" t="s">
        <v>469</v>
      </c>
      <c r="D489" s="6" t="s">
        <v>273</v>
      </c>
      <c r="E489" s="38"/>
      <c r="F489" s="39"/>
      <c r="G489" s="30">
        <v>2</v>
      </c>
      <c r="H489" s="31">
        <v>5720</v>
      </c>
      <c r="I489" s="28"/>
      <c r="J489" s="29"/>
      <c r="K489" s="28"/>
      <c r="L489" s="29"/>
      <c r="M489" s="28"/>
      <c r="N489" s="29"/>
      <c r="O489" s="61"/>
      <c r="P489" s="62"/>
      <c r="Q489" s="61"/>
      <c r="R489" s="62"/>
      <c r="S489" s="61"/>
      <c r="T489" s="62"/>
      <c r="U489" s="61"/>
      <c r="V489" s="62"/>
      <c r="W489" s="62"/>
      <c r="X489" s="62"/>
      <c r="Y489" s="62"/>
      <c r="Z489" s="62"/>
      <c r="AA489" s="62"/>
      <c r="AB489" s="62"/>
      <c r="AC489" s="36">
        <f>E489+G489+I489+K489+M489+O489+Q489+S489+U489+W489+Y489+AA489</f>
        <v>2</v>
      </c>
      <c r="AD489" s="33">
        <f>F489+H489+J489+L489+N489+P489+R489+T489+V489+X489+Z489+AB489</f>
        <v>5720</v>
      </c>
    </row>
    <row r="490" spans="1:34" x14ac:dyDescent="0.35">
      <c r="A490" s="5">
        <v>433</v>
      </c>
      <c r="B490" s="10" t="str">
        <f>LEFT(D490,FIND("-",D490)-1)</f>
        <v>JENQ014</v>
      </c>
      <c r="C490" s="27" t="s">
        <v>469</v>
      </c>
      <c r="D490" s="6" t="s">
        <v>312</v>
      </c>
      <c r="E490" s="38"/>
      <c r="F490" s="39"/>
      <c r="G490" s="30">
        <v>1</v>
      </c>
      <c r="H490" s="31">
        <v>1650</v>
      </c>
      <c r="I490" s="28"/>
      <c r="J490" s="29"/>
      <c r="K490" s="28"/>
      <c r="L490" s="29"/>
      <c r="M490" s="28"/>
      <c r="N490" s="29"/>
      <c r="O490" s="61"/>
      <c r="P490" s="62"/>
      <c r="Q490" s="61"/>
      <c r="R490" s="62"/>
      <c r="S490" s="61"/>
      <c r="T490" s="62"/>
      <c r="U490" s="61"/>
      <c r="V490" s="62"/>
      <c r="W490" s="62"/>
      <c r="X490" s="62"/>
      <c r="Y490" s="62"/>
      <c r="Z490" s="62"/>
      <c r="AA490" s="62"/>
      <c r="AB490" s="62"/>
      <c r="AC490" s="37">
        <f>E490+G490+I490+K490+M490+O490+Q490+S490+U490+W490+Y490+AA490</f>
        <v>1</v>
      </c>
      <c r="AD490" s="33">
        <f>F490+H490+J490+L490+N490+P490+R490+T490+V490+X490+Z490+AB490</f>
        <v>1650</v>
      </c>
    </row>
    <row r="491" spans="1:34" x14ac:dyDescent="0.35">
      <c r="A491" s="5">
        <v>433</v>
      </c>
      <c r="B491" s="10" t="str">
        <f>LEFT(D491,FIND("-",D491)-1)</f>
        <v>JENQ020</v>
      </c>
      <c r="C491" s="27" t="s">
        <v>469</v>
      </c>
      <c r="D491" s="6" t="s">
        <v>313</v>
      </c>
      <c r="E491" s="38"/>
      <c r="F491" s="39"/>
      <c r="G491" s="30">
        <v>1</v>
      </c>
      <c r="H491" s="31">
        <v>1650</v>
      </c>
      <c r="I491" s="28"/>
      <c r="J491" s="29"/>
      <c r="K491" s="28"/>
      <c r="L491" s="29"/>
      <c r="M491" s="28"/>
      <c r="N491" s="29"/>
      <c r="O491" s="61"/>
      <c r="P491" s="62"/>
      <c r="Q491" s="61"/>
      <c r="R491" s="62"/>
      <c r="S491" s="61"/>
      <c r="T491" s="62"/>
      <c r="U491" s="61"/>
      <c r="V491" s="62"/>
      <c r="W491" s="62"/>
      <c r="X491" s="62"/>
      <c r="Y491" s="62"/>
      <c r="Z491" s="62"/>
      <c r="AA491" s="62"/>
      <c r="AB491" s="62"/>
      <c r="AC491" s="37">
        <f>E491+G491+I491+K491+M491+O491+Q491+S491+U491+W491+Y491+AA491</f>
        <v>1</v>
      </c>
      <c r="AD491" s="33">
        <f>F491+H491+J491+L491+N491+P491+R491+T491+V491+X491+Z491+AB491</f>
        <v>1650</v>
      </c>
    </row>
    <row r="492" spans="1:34" x14ac:dyDescent="0.35">
      <c r="A492" s="5">
        <v>433</v>
      </c>
      <c r="B492" s="10" t="str">
        <f>LEFT(D492,FIND("-",D492)-1)</f>
        <v>JENQ021</v>
      </c>
      <c r="C492" s="27" t="s">
        <v>469</v>
      </c>
      <c r="D492" s="6" t="s">
        <v>314</v>
      </c>
      <c r="E492" s="38"/>
      <c r="F492" s="39"/>
      <c r="G492" s="30">
        <v>1</v>
      </c>
      <c r="H492" s="31">
        <v>1650</v>
      </c>
      <c r="I492" s="28"/>
      <c r="J492" s="29"/>
      <c r="K492" s="28"/>
      <c r="L492" s="29"/>
      <c r="M492" s="28"/>
      <c r="N492" s="29"/>
      <c r="O492" s="61"/>
      <c r="P492" s="62"/>
      <c r="Q492" s="61"/>
      <c r="R492" s="62"/>
      <c r="S492" s="61"/>
      <c r="T492" s="62"/>
      <c r="U492" s="61"/>
      <c r="V492" s="62"/>
      <c r="W492" s="62"/>
      <c r="X492" s="62"/>
      <c r="Y492" s="62"/>
      <c r="Z492" s="62"/>
      <c r="AA492" s="62"/>
      <c r="AB492" s="62"/>
      <c r="AC492" s="36">
        <f>E492+G492+I492+K492+M492+O492+Q492+S492+U492+W492+Y492+AA492</f>
        <v>1</v>
      </c>
      <c r="AD492" s="33">
        <f>F492+H492+J492+L492+N492+P492+R492+T492+V492+X492+Z492+AB492</f>
        <v>1650</v>
      </c>
    </row>
    <row r="493" spans="1:34" x14ac:dyDescent="0.35">
      <c r="A493" s="5"/>
      <c r="B493" s="10"/>
      <c r="C493" s="27"/>
      <c r="D493" s="6"/>
      <c r="E493" s="38"/>
      <c r="F493" s="39"/>
      <c r="G493" s="30"/>
      <c r="H493" s="31"/>
      <c r="I493" s="28"/>
      <c r="J493" s="29"/>
      <c r="K493" s="28"/>
      <c r="L493" s="29"/>
      <c r="M493" s="28"/>
      <c r="N493" s="29"/>
      <c r="O493" s="61"/>
      <c r="P493" s="62"/>
      <c r="Q493" s="61"/>
      <c r="R493" s="62"/>
      <c r="S493" s="61"/>
      <c r="T493" s="62"/>
      <c r="U493" s="61"/>
      <c r="V493" s="62"/>
      <c r="W493" s="62"/>
      <c r="X493" s="62"/>
      <c r="Y493" s="62"/>
      <c r="Z493" s="62"/>
      <c r="AA493" s="62"/>
      <c r="AB493" s="62"/>
      <c r="AC493" s="37">
        <f>E493+G493+I493+K493+M493+O493+Q493+S493+U493+W493+Y493+AA493</f>
        <v>0</v>
      </c>
      <c r="AD493" s="33">
        <f>F493+H493+J493+L493+N493+P493+R493+T493+V493+X493+Z493+AB493</f>
        <v>0</v>
      </c>
    </row>
    <row r="494" spans="1:34" x14ac:dyDescent="0.35">
      <c r="A494" s="5"/>
      <c r="B494" s="10"/>
      <c r="C494" s="27"/>
      <c r="D494" s="6"/>
      <c r="E494" s="38"/>
      <c r="F494" s="39"/>
      <c r="G494" s="30"/>
      <c r="H494" s="31"/>
      <c r="I494" s="28"/>
      <c r="J494" s="29"/>
      <c r="K494" s="28"/>
      <c r="L494" s="29"/>
      <c r="M494" s="28"/>
      <c r="N494" s="29"/>
      <c r="O494" s="61"/>
      <c r="P494" s="62"/>
      <c r="Q494" s="61"/>
      <c r="R494" s="62"/>
      <c r="S494" s="61"/>
      <c r="T494" s="62"/>
      <c r="U494" s="61"/>
      <c r="V494" s="62"/>
      <c r="W494" s="62"/>
      <c r="X494" s="62"/>
      <c r="Y494" s="62"/>
      <c r="Z494" s="62"/>
      <c r="AA494" s="62"/>
      <c r="AB494" s="62"/>
      <c r="AC494" s="37">
        <f>E494+G494+I494+K494+M494+O494+Q494+S494+U494+W494+Y494+AA494</f>
        <v>0</v>
      </c>
      <c r="AD494" s="33">
        <f>F494+H494+J494+L494+N494+P494+R494+T494+V494+X494+Z494+AB494</f>
        <v>0</v>
      </c>
    </row>
    <row r="495" spans="1:34" s="44" customFormat="1" x14ac:dyDescent="0.35">
      <c r="A495" s="40" t="s">
        <v>245</v>
      </c>
      <c r="B495" s="41"/>
      <c r="C495" s="41"/>
      <c r="D495" s="42"/>
      <c r="E495" s="43">
        <f>SUBTOTAL(9,E3:E494)</f>
        <v>16890</v>
      </c>
      <c r="F495" s="43">
        <f t="shared" ref="F495:AD495" si="0">SUBTOTAL(9,F3:F494)</f>
        <v>42482304</v>
      </c>
      <c r="G495" s="43">
        <f t="shared" si="0"/>
        <v>21808</v>
      </c>
      <c r="H495" s="43">
        <f t="shared" si="0"/>
        <v>55509098</v>
      </c>
      <c r="I495" s="43">
        <f t="shared" si="0"/>
        <v>23085</v>
      </c>
      <c r="J495" s="43">
        <f t="shared" si="0"/>
        <v>56327886</v>
      </c>
      <c r="K495" s="43">
        <f t="shared" si="0"/>
        <v>50492</v>
      </c>
      <c r="L495" s="43">
        <f t="shared" si="0"/>
        <v>79322780</v>
      </c>
      <c r="M495" s="43">
        <f t="shared" si="0"/>
        <v>34443</v>
      </c>
      <c r="N495" s="43">
        <f t="shared" si="0"/>
        <v>89886965</v>
      </c>
      <c r="O495" s="43">
        <f t="shared" si="0"/>
        <v>0</v>
      </c>
      <c r="P495" s="43">
        <f t="shared" si="0"/>
        <v>0</v>
      </c>
      <c r="Q495" s="43">
        <f t="shared" si="0"/>
        <v>0</v>
      </c>
      <c r="R495" s="43">
        <f t="shared" si="0"/>
        <v>0</v>
      </c>
      <c r="S495" s="43">
        <f t="shared" si="0"/>
        <v>0</v>
      </c>
      <c r="T495" s="43">
        <f t="shared" si="0"/>
        <v>0</v>
      </c>
      <c r="U495" s="43">
        <f t="shared" si="0"/>
        <v>0</v>
      </c>
      <c r="V495" s="43">
        <f t="shared" si="0"/>
        <v>0</v>
      </c>
      <c r="W495" s="43">
        <f t="shared" si="0"/>
        <v>0</v>
      </c>
      <c r="X495" s="43">
        <f t="shared" si="0"/>
        <v>0</v>
      </c>
      <c r="Y495" s="43">
        <f t="shared" si="0"/>
        <v>0</v>
      </c>
      <c r="Z495" s="43">
        <f t="shared" si="0"/>
        <v>0</v>
      </c>
      <c r="AA495" s="43">
        <f t="shared" si="0"/>
        <v>0</v>
      </c>
      <c r="AB495" s="43">
        <f t="shared" si="0"/>
        <v>0</v>
      </c>
      <c r="AC495" s="43">
        <f t="shared" si="0"/>
        <v>146718</v>
      </c>
      <c r="AD495" s="63">
        <f t="shared" si="0"/>
        <v>323529033</v>
      </c>
      <c r="AF495" s="44">
        <f>AVERAGE(E495,G495,I495,K495)</f>
        <v>28068.75</v>
      </c>
      <c r="AG495" s="44">
        <f>AVERAGE(F495,H495,J495,L495)</f>
        <v>58410517</v>
      </c>
      <c r="AH495" s="44">
        <f>AG495*12</f>
        <v>700926204</v>
      </c>
    </row>
  </sheetData>
  <autoFilter ref="A1:AD494" xr:uid="{06CB6B8C-D3BC-4255-86E9-6968E31275DE}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</autoFilter>
  <sortState ref="A3:AD494">
    <sortCondition descending="1" ref="C3:C494"/>
    <sortCondition descending="1" ref="M3:M494"/>
  </sortState>
  <mergeCells count="17">
    <mergeCell ref="AC1:AD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1:A2"/>
    <mergeCell ref="B1:B2"/>
    <mergeCell ref="C1:C2"/>
    <mergeCell ref="D1:D2"/>
    <mergeCell ref="E1:F1"/>
  </mergeCells>
  <phoneticPr fontId="2"/>
  <conditionalFormatting sqref="E404:E420">
    <cfRule type="top10" dxfId="126" priority="176" rank="10"/>
  </conditionalFormatting>
  <conditionalFormatting sqref="E3:E403">
    <cfRule type="top10" dxfId="125" priority="175" rank="10"/>
  </conditionalFormatting>
  <conditionalFormatting sqref="K3:K491">
    <cfRule type="top10" dxfId="124" priority="172" rank="10"/>
  </conditionalFormatting>
  <conditionalFormatting sqref="E421">
    <cfRule type="top10" dxfId="123" priority="171" rank="10"/>
  </conditionalFormatting>
  <conditionalFormatting sqref="E422">
    <cfRule type="top10" dxfId="122" priority="169" rank="10"/>
  </conditionalFormatting>
  <conditionalFormatting sqref="E423">
    <cfRule type="top10" dxfId="121" priority="167" rank="10"/>
  </conditionalFormatting>
  <conditionalFormatting sqref="E424">
    <cfRule type="top10" dxfId="120" priority="165" rank="10"/>
  </conditionalFormatting>
  <conditionalFormatting sqref="G447:G448">
    <cfRule type="top10" dxfId="119" priority="155" rank="10"/>
  </conditionalFormatting>
  <conditionalFormatting sqref="E447:E448">
    <cfRule type="top10" dxfId="118" priority="154" rank="10"/>
  </conditionalFormatting>
  <conditionalFormatting sqref="O447:O448">
    <cfRule type="top10" dxfId="117" priority="157" rank="10"/>
  </conditionalFormatting>
  <conditionalFormatting sqref="Q447:Q448">
    <cfRule type="top10" dxfId="116" priority="158" rank="10"/>
  </conditionalFormatting>
  <conditionalFormatting sqref="S447:S448">
    <cfRule type="top10" dxfId="115" priority="159" rank="10"/>
  </conditionalFormatting>
  <conditionalFormatting sqref="U447:U448">
    <cfRule type="top10" dxfId="114" priority="160" rank="10"/>
  </conditionalFormatting>
  <conditionalFormatting sqref="AA447:AA448">
    <cfRule type="top10" dxfId="113" priority="152" rank="10"/>
  </conditionalFormatting>
  <conditionalFormatting sqref="G445:G446">
    <cfRule type="top10" dxfId="112" priority="145" rank="10"/>
  </conditionalFormatting>
  <conditionalFormatting sqref="E445:E446">
    <cfRule type="top10" dxfId="111" priority="144" rank="10"/>
  </conditionalFormatting>
  <conditionalFormatting sqref="AC443:AC446">
    <cfRule type="top10" dxfId="110" priority="147" rank="10"/>
  </conditionalFormatting>
  <conditionalFormatting sqref="O445:O446">
    <cfRule type="top10" dxfId="109" priority="148" rank="10"/>
  </conditionalFormatting>
  <conditionalFormatting sqref="Q445:Q446">
    <cfRule type="top10" dxfId="108" priority="149" rank="10"/>
  </conditionalFormatting>
  <conditionalFormatting sqref="S445:S446">
    <cfRule type="top10" dxfId="107" priority="150" rank="10"/>
  </conditionalFormatting>
  <conditionalFormatting sqref="U445:U446">
    <cfRule type="top10" dxfId="106" priority="151" rank="10"/>
  </conditionalFormatting>
  <conditionalFormatting sqref="AA445:AA446">
    <cfRule type="top10" dxfId="105" priority="142" rank="10"/>
  </conditionalFormatting>
  <conditionalFormatting sqref="G443:G444">
    <cfRule type="top10" dxfId="104" priority="136" rank="10"/>
  </conditionalFormatting>
  <conditionalFormatting sqref="E443:E444">
    <cfRule type="top10" dxfId="103" priority="135" rank="10"/>
  </conditionalFormatting>
  <conditionalFormatting sqref="O443:O444">
    <cfRule type="top10" dxfId="102" priority="138" rank="10"/>
  </conditionalFormatting>
  <conditionalFormatting sqref="Q443:Q444">
    <cfRule type="top10" dxfId="101" priority="139" rank="10"/>
  </conditionalFormatting>
  <conditionalFormatting sqref="S443:S444">
    <cfRule type="top10" dxfId="100" priority="140" rank="10"/>
  </conditionalFormatting>
  <conditionalFormatting sqref="U443:U444">
    <cfRule type="top10" dxfId="99" priority="141" rank="10"/>
  </conditionalFormatting>
  <conditionalFormatting sqref="AA443:AA444">
    <cfRule type="top10" dxfId="98" priority="133" rank="10"/>
  </conditionalFormatting>
  <conditionalFormatting sqref="G441:G442">
    <cfRule type="top10" dxfId="97" priority="126" rank="10"/>
  </conditionalFormatting>
  <conditionalFormatting sqref="E441:E442">
    <cfRule type="top10" dxfId="96" priority="125" rank="10"/>
  </conditionalFormatting>
  <conditionalFormatting sqref="AC439:AC442">
    <cfRule type="top10" dxfId="95" priority="128" rank="10"/>
  </conditionalFormatting>
  <conditionalFormatting sqref="O441:O442">
    <cfRule type="top10" dxfId="94" priority="129" rank="10"/>
  </conditionalFormatting>
  <conditionalFormatting sqref="Q441:Q442">
    <cfRule type="top10" dxfId="93" priority="130" rank="10"/>
  </conditionalFormatting>
  <conditionalFormatting sqref="S441:S442">
    <cfRule type="top10" dxfId="92" priority="131" rank="10"/>
  </conditionalFormatting>
  <conditionalFormatting sqref="U441:U442">
    <cfRule type="top10" dxfId="91" priority="132" rank="10"/>
  </conditionalFormatting>
  <conditionalFormatting sqref="AA441:AA442">
    <cfRule type="top10" dxfId="90" priority="123" rank="10"/>
  </conditionalFormatting>
  <conditionalFormatting sqref="G439:G440">
    <cfRule type="top10" dxfId="89" priority="117" rank="10"/>
  </conditionalFormatting>
  <conditionalFormatting sqref="E439:E440">
    <cfRule type="top10" dxfId="88" priority="116" rank="10"/>
  </conditionalFormatting>
  <conditionalFormatting sqref="O439:O440">
    <cfRule type="top10" dxfId="87" priority="119" rank="10"/>
  </conditionalFormatting>
  <conditionalFormatting sqref="Q439:Q440">
    <cfRule type="top10" dxfId="86" priority="120" rank="10"/>
  </conditionalFormatting>
  <conditionalFormatting sqref="S439:S440">
    <cfRule type="top10" dxfId="85" priority="121" rank="10"/>
  </conditionalFormatting>
  <conditionalFormatting sqref="U439:U440">
    <cfRule type="top10" dxfId="84" priority="122" rank="10"/>
  </conditionalFormatting>
  <conditionalFormatting sqref="AA439:AA440">
    <cfRule type="top10" dxfId="83" priority="114" rank="10"/>
  </conditionalFormatting>
  <conditionalFormatting sqref="G437:G438">
    <cfRule type="top10" dxfId="82" priority="107" rank="10"/>
  </conditionalFormatting>
  <conditionalFormatting sqref="E437:E438">
    <cfRule type="top10" dxfId="81" priority="106" rank="10"/>
  </conditionalFormatting>
  <conditionalFormatting sqref="AC432 AC436:AC438">
    <cfRule type="top10" dxfId="80" priority="109" rank="10"/>
  </conditionalFormatting>
  <conditionalFormatting sqref="O437:O438">
    <cfRule type="top10" dxfId="79" priority="110" rank="10"/>
  </conditionalFormatting>
  <conditionalFormatting sqref="Q437:Q438">
    <cfRule type="top10" dxfId="78" priority="111" rank="10"/>
  </conditionalFormatting>
  <conditionalFormatting sqref="S437:S438">
    <cfRule type="top10" dxfId="77" priority="112" rank="10"/>
  </conditionalFormatting>
  <conditionalFormatting sqref="U437:U438">
    <cfRule type="top10" dxfId="76" priority="113" rank="10"/>
  </conditionalFormatting>
  <conditionalFormatting sqref="AA437:AA438">
    <cfRule type="top10" dxfId="75" priority="104" rank="10"/>
  </conditionalFormatting>
  <conditionalFormatting sqref="G432 G436">
    <cfRule type="top10" dxfId="74" priority="98" rank="10"/>
  </conditionalFormatting>
  <conditionalFormatting sqref="E432 E436">
    <cfRule type="top10" dxfId="73" priority="97" rank="10"/>
  </conditionalFormatting>
  <conditionalFormatting sqref="O432 O436">
    <cfRule type="top10" dxfId="72" priority="100" rank="10"/>
  </conditionalFormatting>
  <conditionalFormatting sqref="Q432 Q436">
    <cfRule type="top10" dxfId="71" priority="101" rank="10"/>
  </conditionalFormatting>
  <conditionalFormatting sqref="S432 S436">
    <cfRule type="top10" dxfId="70" priority="102" rank="10"/>
  </conditionalFormatting>
  <conditionalFormatting sqref="U432 U436">
    <cfRule type="top10" dxfId="69" priority="103" rank="10"/>
  </conditionalFormatting>
  <conditionalFormatting sqref="AA432 AA436">
    <cfRule type="top10" dxfId="68" priority="95" rank="10"/>
  </conditionalFormatting>
  <conditionalFormatting sqref="G434:G435">
    <cfRule type="top10" dxfId="67" priority="87" rank="10"/>
  </conditionalFormatting>
  <conditionalFormatting sqref="E434:E435">
    <cfRule type="top10" dxfId="66" priority="86" rank="10"/>
  </conditionalFormatting>
  <conditionalFormatting sqref="AC433:AC435">
    <cfRule type="top10" dxfId="65" priority="89" rank="10"/>
  </conditionalFormatting>
  <conditionalFormatting sqref="O434:O435">
    <cfRule type="top10" dxfId="64" priority="90" rank="10"/>
  </conditionalFormatting>
  <conditionalFormatting sqref="Q434:Q435">
    <cfRule type="top10" dxfId="63" priority="91" rank="10"/>
  </conditionalFormatting>
  <conditionalFormatting sqref="S434:S435">
    <cfRule type="top10" dxfId="62" priority="92" rank="10"/>
  </conditionalFormatting>
  <conditionalFormatting sqref="U434:U435">
    <cfRule type="top10" dxfId="61" priority="93" rank="10"/>
  </conditionalFormatting>
  <conditionalFormatting sqref="AA434:AA435">
    <cfRule type="top10" dxfId="60" priority="84" rank="10"/>
  </conditionalFormatting>
  <conditionalFormatting sqref="G433">
    <cfRule type="top10" dxfId="59" priority="78" rank="10"/>
  </conditionalFormatting>
  <conditionalFormatting sqref="E433">
    <cfRule type="top10" dxfId="58" priority="77" rank="10"/>
  </conditionalFormatting>
  <conditionalFormatting sqref="O433">
    <cfRule type="top10" dxfId="57" priority="80" rank="10"/>
  </conditionalFormatting>
  <conditionalFormatting sqref="Q433">
    <cfRule type="top10" dxfId="56" priority="81" rank="10"/>
  </conditionalFormatting>
  <conditionalFormatting sqref="S433">
    <cfRule type="top10" dxfId="55" priority="82" rank="10"/>
  </conditionalFormatting>
  <conditionalFormatting sqref="U433">
    <cfRule type="top10" dxfId="54" priority="83" rank="10"/>
  </conditionalFormatting>
  <conditionalFormatting sqref="AA433">
    <cfRule type="top10" dxfId="53" priority="75" rank="10"/>
  </conditionalFormatting>
  <conditionalFormatting sqref="G3:G431 G449:G451 G468:G494">
    <cfRule type="top10" dxfId="52" priority="187" rank="10"/>
  </conditionalFormatting>
  <conditionalFormatting sqref="I3:I451 I468:I494">
    <cfRule type="top10" dxfId="51" priority="189" rank="10"/>
  </conditionalFormatting>
  <conditionalFormatting sqref="E425:E431 E449:E451 E468:E494">
    <cfRule type="top10" dxfId="50" priority="190" rank="10"/>
  </conditionalFormatting>
  <conditionalFormatting sqref="K492:K494">
    <cfRule type="top10" dxfId="49" priority="192" rank="10"/>
  </conditionalFormatting>
  <conditionalFormatting sqref="M3:M494">
    <cfRule type="top10" dxfId="48" priority="197" rank="10"/>
  </conditionalFormatting>
  <conditionalFormatting sqref="AC3:AC431 AC447:AC451 AC468:AC494">
    <cfRule type="top10" dxfId="47" priority="199" rank="10"/>
  </conditionalFormatting>
  <conditionalFormatting sqref="O3:O431 O449:O451 O490:O494">
    <cfRule type="top10" dxfId="46" priority="201" rank="10"/>
  </conditionalFormatting>
  <conditionalFormatting sqref="Q3:Q431 Q449:Q451 Q490:Q494">
    <cfRule type="top10" dxfId="45" priority="203" rank="10"/>
  </conditionalFormatting>
  <conditionalFormatting sqref="S3:S431 S449:S451 S490:S494">
    <cfRule type="top10" dxfId="44" priority="205" rank="10"/>
  </conditionalFormatting>
  <conditionalFormatting sqref="U3:U431 U449:U451 U490:U494">
    <cfRule type="top10" dxfId="43" priority="207" rank="10"/>
  </conditionalFormatting>
  <conditionalFormatting sqref="AA3:AA431 AA449:AA451 AA490:AA494">
    <cfRule type="top10" dxfId="42" priority="209" rank="10"/>
  </conditionalFormatting>
  <conditionalFormatting sqref="O486:O489">
    <cfRule type="top10" dxfId="41" priority="61" rank="10"/>
  </conditionalFormatting>
  <conditionalFormatting sqref="Q486:Q489">
    <cfRule type="top10" dxfId="40" priority="62" rank="10"/>
  </conditionalFormatting>
  <conditionalFormatting sqref="S486:S489">
    <cfRule type="top10" dxfId="39" priority="63" rank="10"/>
  </conditionalFormatting>
  <conditionalFormatting sqref="U486:U489">
    <cfRule type="top10" dxfId="38" priority="64" rank="10"/>
  </conditionalFormatting>
  <conditionalFormatting sqref="AA486:AA489">
    <cfRule type="top10" dxfId="37" priority="65" rank="10"/>
  </conditionalFormatting>
  <conditionalFormatting sqref="O472:O485">
    <cfRule type="top10" dxfId="36" priority="50" rank="10"/>
  </conditionalFormatting>
  <conditionalFormatting sqref="Q472:Q485">
    <cfRule type="top10" dxfId="35" priority="51" rank="10"/>
  </conditionalFormatting>
  <conditionalFormatting sqref="S472:S485">
    <cfRule type="top10" dxfId="34" priority="52" rank="10"/>
  </conditionalFormatting>
  <conditionalFormatting sqref="U472:U485">
    <cfRule type="top10" dxfId="33" priority="53" rank="10"/>
  </conditionalFormatting>
  <conditionalFormatting sqref="AA472:AA485">
    <cfRule type="top10" dxfId="32" priority="54" rank="10"/>
  </conditionalFormatting>
  <conditionalFormatting sqref="O468:O471">
    <cfRule type="top10" dxfId="31" priority="39" rank="10"/>
  </conditionalFormatting>
  <conditionalFormatting sqref="Q468:Q471">
    <cfRule type="top10" dxfId="30" priority="40" rank="10"/>
  </conditionalFormatting>
  <conditionalFormatting sqref="S468:S471">
    <cfRule type="top10" dxfId="29" priority="41" rank="10"/>
  </conditionalFormatting>
  <conditionalFormatting sqref="U468:U471">
    <cfRule type="top10" dxfId="28" priority="42" rank="10"/>
  </conditionalFormatting>
  <conditionalFormatting sqref="AA468:AA471">
    <cfRule type="top10" dxfId="27" priority="43" rank="10"/>
  </conditionalFormatting>
  <conditionalFormatting sqref="G452:G467">
    <cfRule type="top10" dxfId="26" priority="22" rank="10"/>
  </conditionalFormatting>
  <conditionalFormatting sqref="I452:I467">
    <cfRule type="top10" dxfId="25" priority="23" rank="10"/>
  </conditionalFormatting>
  <conditionalFormatting sqref="E452:E467">
    <cfRule type="top10" dxfId="24" priority="24" rank="10"/>
  </conditionalFormatting>
  <conditionalFormatting sqref="AC452:AC467">
    <cfRule type="top10" dxfId="23" priority="27" rank="10"/>
  </conditionalFormatting>
  <conditionalFormatting sqref="O464:O467">
    <cfRule type="top10" dxfId="22" priority="28" rank="10"/>
  </conditionalFormatting>
  <conditionalFormatting sqref="Q464:Q467">
    <cfRule type="top10" dxfId="21" priority="29" rank="10"/>
  </conditionalFormatting>
  <conditionalFormatting sqref="S464:S467">
    <cfRule type="top10" dxfId="20" priority="30" rank="10"/>
  </conditionalFormatting>
  <conditionalFormatting sqref="U464:U467">
    <cfRule type="top10" dxfId="19" priority="31" rank="10"/>
  </conditionalFormatting>
  <conditionalFormatting sqref="AA464:AA467">
    <cfRule type="top10" dxfId="18" priority="32" rank="10"/>
  </conditionalFormatting>
  <conditionalFormatting sqref="O460:O463">
    <cfRule type="top10" dxfId="17" priority="17" rank="10"/>
  </conditionalFormatting>
  <conditionalFormatting sqref="Q460:Q463">
    <cfRule type="top10" dxfId="16" priority="18" rank="10"/>
  </conditionalFormatting>
  <conditionalFormatting sqref="S460:S463">
    <cfRule type="top10" dxfId="15" priority="19" rank="10"/>
  </conditionalFormatting>
  <conditionalFormatting sqref="U460:U463">
    <cfRule type="top10" dxfId="14" priority="20" rank="10"/>
  </conditionalFormatting>
  <conditionalFormatting sqref="AA460:AA463">
    <cfRule type="top10" dxfId="13" priority="21" rank="10"/>
  </conditionalFormatting>
  <conditionalFormatting sqref="O456:O459">
    <cfRule type="top10" dxfId="12" priority="11" rank="10"/>
  </conditionalFormatting>
  <conditionalFormatting sqref="Q456:Q459">
    <cfRule type="top10" dxfId="11" priority="12" rank="10"/>
  </conditionalFormatting>
  <conditionalFormatting sqref="S456:S459">
    <cfRule type="top10" dxfId="10" priority="13" rank="10"/>
  </conditionalFormatting>
  <conditionalFormatting sqref="U456:U459">
    <cfRule type="top10" dxfId="9" priority="14" rank="10"/>
  </conditionalFormatting>
  <conditionalFormatting sqref="AA456:AA459">
    <cfRule type="top10" dxfId="8" priority="15" rank="10"/>
  </conditionalFormatting>
  <conditionalFormatting sqref="O452:O455">
    <cfRule type="top10" dxfId="7" priority="5" rank="10"/>
  </conditionalFormatting>
  <conditionalFormatting sqref="Q452:Q455">
    <cfRule type="top10" dxfId="6" priority="6" rank="10"/>
  </conditionalFormatting>
  <conditionalFormatting sqref="S452:S455">
    <cfRule type="top10" dxfId="5" priority="7" rank="10"/>
  </conditionalFormatting>
  <conditionalFormatting sqref="U452:U455">
    <cfRule type="top10" dxfId="4" priority="8" rank="10"/>
  </conditionalFormatting>
  <conditionalFormatting sqref="AA452:AA455">
    <cfRule type="top10" dxfId="3" priority="9" rank="10"/>
  </conditionalFormatting>
  <conditionalFormatting sqref="B1:B1048576">
    <cfRule type="duplicateValues" dxfId="2" priority="3"/>
  </conditionalFormatting>
  <conditionalFormatting sqref="B3:B492">
    <cfRule type="duplicateValues" dxfId="1" priority="2"/>
  </conditionalFormatting>
  <conditionalFormatting sqref="AF1:AF1048576 D1:D1048576 AG49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0A68-B659-4994-AA3B-80AB809A361F}">
  <dimension ref="A1:Q203"/>
  <sheetViews>
    <sheetView workbookViewId="0">
      <selection activeCell="J14" sqref="J14"/>
    </sheetView>
  </sheetViews>
  <sheetFormatPr defaultRowHeight="14.5" x14ac:dyDescent="0.35"/>
  <cols>
    <col min="1" max="1" width="20.6328125" style="1" customWidth="1"/>
    <col min="2" max="2" width="15.7265625" style="1" customWidth="1"/>
    <col min="3" max="3" width="11.1796875" style="1" customWidth="1"/>
    <col min="4" max="4" width="14.81640625" style="1" customWidth="1"/>
    <col min="5" max="5" width="10.90625" style="1" customWidth="1"/>
    <col min="6" max="6" width="8.7265625" style="1"/>
    <col min="7" max="7" width="20.6328125" style="1" customWidth="1"/>
    <col min="8" max="8" width="15.7265625" style="1" customWidth="1"/>
    <col min="9" max="9" width="11.1796875" style="1" customWidth="1"/>
    <col min="10" max="10" width="17.81640625" style="1" customWidth="1"/>
    <col min="11" max="11" width="10.90625" style="1" customWidth="1"/>
    <col min="12" max="16384" width="8.7265625" style="1"/>
  </cols>
  <sheetData>
    <row r="1" spans="1:11" x14ac:dyDescent="0.35">
      <c r="A1" s="1" t="s">
        <v>472</v>
      </c>
      <c r="G1" s="1" t="s">
        <v>473</v>
      </c>
    </row>
    <row r="2" spans="1:11" x14ac:dyDescent="0.35">
      <c r="A2" s="47" t="s">
        <v>465</v>
      </c>
      <c r="B2" s="48" t="s">
        <v>246</v>
      </c>
      <c r="C2" s="49" t="s">
        <v>474</v>
      </c>
      <c r="D2" s="50" t="s">
        <v>247</v>
      </c>
      <c r="E2" s="50" t="s">
        <v>474</v>
      </c>
      <c r="G2" s="47" t="s">
        <v>465</v>
      </c>
      <c r="H2" s="48" t="s">
        <v>246</v>
      </c>
      <c r="I2" s="49" t="s">
        <v>474</v>
      </c>
      <c r="J2" s="50" t="s">
        <v>247</v>
      </c>
      <c r="K2" s="50" t="s">
        <v>474</v>
      </c>
    </row>
    <row r="3" spans="1:11" x14ac:dyDescent="0.35">
      <c r="A3" s="5" t="s">
        <v>469</v>
      </c>
      <c r="B3" s="51">
        <f>SUMIF(月別詳細!C:C,ブランド別!A3:A3,月別詳細!E:E)</f>
        <v>10331</v>
      </c>
      <c r="C3" s="52">
        <f>B3/$B$8</f>
        <v>0.61166370633510958</v>
      </c>
      <c r="D3" s="51">
        <f>SUMIF(月別詳細!C:C,A3,月別詳細!F:F)</f>
        <v>28853275</v>
      </c>
      <c r="E3" s="53">
        <f t="shared" ref="E3:E8" si="0">D3/$D$8</f>
        <v>0.67918338421569602</v>
      </c>
      <c r="G3" s="5" t="s">
        <v>469</v>
      </c>
      <c r="H3" s="51">
        <f>SUMIF(月別詳細!C:C,G3,月別詳細!AC:AC)</f>
        <v>67857</v>
      </c>
      <c r="I3" s="52">
        <f>H3/$H$8</f>
        <v>0.4624994888152783</v>
      </c>
      <c r="J3" s="51">
        <f>SUMIF(月別詳細!C:C,G3,月別詳細!AD:AD)</f>
        <v>203774505</v>
      </c>
      <c r="K3" s="53">
        <f>J3/$J$8</f>
        <v>0.62984920738164474</v>
      </c>
    </row>
    <row r="4" spans="1:11" x14ac:dyDescent="0.35">
      <c r="A4" s="5" t="s">
        <v>476</v>
      </c>
      <c r="B4" s="51">
        <f>SUMIF(月別詳細!C:C,ブランド別!A4:A4,月別詳細!E:E)</f>
        <v>2093</v>
      </c>
      <c r="C4" s="54">
        <f>B4/$B$8</f>
        <v>0.12391947898164594</v>
      </c>
      <c r="D4" s="51">
        <f>SUMIF(月別詳細!C:C,A4,月別詳細!F:F)</f>
        <v>2707040</v>
      </c>
      <c r="E4" s="53">
        <f t="shared" si="0"/>
        <v>6.3721590994688049E-2</v>
      </c>
      <c r="G4" s="5" t="s">
        <v>476</v>
      </c>
      <c r="H4" s="51">
        <f>SUMIF(月別詳細!C:C,G4,月別詳細!AC:AC)</f>
        <v>17078</v>
      </c>
      <c r="I4" s="54">
        <f t="shared" ref="I4:I8" si="1">H4/$H$8</f>
        <v>0.11640016903174798</v>
      </c>
      <c r="J4" s="51">
        <f>SUMIF(月別詳細!C:C,G4,月別詳細!AD:AD)</f>
        <v>23043435</v>
      </c>
      <c r="K4" s="53">
        <f t="shared" ref="K4:K8" si="2">J4/$J$8</f>
        <v>7.1225246112610857E-2</v>
      </c>
    </row>
    <row r="5" spans="1:11" x14ac:dyDescent="0.35">
      <c r="A5" s="5" t="s">
        <v>479</v>
      </c>
      <c r="B5" s="51">
        <f>SUMIF(月別詳細!C:C,ブランド別!A5:A5,月別詳細!E:E)</f>
        <v>1663</v>
      </c>
      <c r="C5" s="54">
        <f t="shared" ref="C5:C6" si="3">B5/$B$8</f>
        <v>9.8460627590290117E-2</v>
      </c>
      <c r="D5" s="51">
        <f>SUMIF(月別詳細!C:C,A5,月別詳細!F:F)</f>
        <v>2603019</v>
      </c>
      <c r="E5" s="53">
        <f t="shared" si="0"/>
        <v>6.1273018525548895E-2</v>
      </c>
      <c r="G5" s="5" t="s">
        <v>479</v>
      </c>
      <c r="H5" s="51">
        <f>SUMIF(月別詳細!C:C,G5,月別詳細!AC:AC)</f>
        <v>16162</v>
      </c>
      <c r="I5" s="54">
        <f t="shared" si="1"/>
        <v>0.11015689963058384</v>
      </c>
      <c r="J5" s="51">
        <f>SUMIF(月別詳細!C:C,G5,月別詳細!AD:AD)</f>
        <v>30664233</v>
      </c>
      <c r="K5" s="53">
        <f t="shared" si="2"/>
        <v>9.4780467507532773E-2</v>
      </c>
    </row>
    <row r="6" spans="1:11" x14ac:dyDescent="0.35">
      <c r="A6" s="5" t="s">
        <v>467</v>
      </c>
      <c r="B6" s="51">
        <f>SUMIF(月別詳細!C:C,ブランド別!A6:A6,月別詳細!E:E)</f>
        <v>2803</v>
      </c>
      <c r="C6" s="54">
        <f t="shared" si="3"/>
        <v>0.1659561870929544</v>
      </c>
      <c r="D6" s="51">
        <f>SUMIF(月別詳細!C:C,A6,月別詳細!F:F)</f>
        <v>8318970</v>
      </c>
      <c r="E6" s="53">
        <f t="shared" si="0"/>
        <v>0.19582200626406704</v>
      </c>
      <c r="G6" s="5" t="s">
        <v>467</v>
      </c>
      <c r="H6" s="51">
        <f>SUMIF(月別詳細!C:C,G6,月別詳細!AC:AC)</f>
        <v>25096</v>
      </c>
      <c r="I6" s="54">
        <f t="shared" si="1"/>
        <v>0.17104922368080264</v>
      </c>
      <c r="J6" s="51">
        <f>SUMIF(月別詳細!C:C,G6,月別詳細!AD:AD)</f>
        <v>51372695</v>
      </c>
      <c r="K6" s="53">
        <f t="shared" si="2"/>
        <v>0.15878851589804616</v>
      </c>
    </row>
    <row r="7" spans="1:11" x14ac:dyDescent="0.35">
      <c r="A7" s="5" t="s">
        <v>466</v>
      </c>
      <c r="B7" s="51">
        <f>SUMIF(月別詳細!C:C,ブランド別!A7:A7,月別詳細!E:E)</f>
        <v>0</v>
      </c>
      <c r="C7" s="54">
        <f>B7/$B$8</f>
        <v>0</v>
      </c>
      <c r="D7" s="51">
        <f>SUMIF(月別詳細!C:C,A7,月別詳細!F:F)</f>
        <v>0</v>
      </c>
      <c r="E7" s="53">
        <f t="shared" si="0"/>
        <v>0</v>
      </c>
      <c r="G7" s="5" t="s">
        <v>466</v>
      </c>
      <c r="H7" s="51">
        <f>SUMIF(月別詳細!C:C,G7,月別詳細!AC:AC)</f>
        <v>20525</v>
      </c>
      <c r="I7" s="54">
        <f t="shared" si="1"/>
        <v>0.13989421884158726</v>
      </c>
      <c r="J7" s="51">
        <f>SUMIF(月別詳細!C:C,G7,月別詳細!AD:AD)</f>
        <v>14674165</v>
      </c>
      <c r="K7" s="53">
        <f t="shared" si="2"/>
        <v>4.535656310016542E-2</v>
      </c>
    </row>
    <row r="8" spans="1:11" x14ac:dyDescent="0.35">
      <c r="A8" s="55" t="s">
        <v>245</v>
      </c>
      <c r="B8" s="56">
        <f>SUM(B3:B7)</f>
        <v>16890</v>
      </c>
      <c r="C8" s="57">
        <f>B8/$B$8</f>
        <v>1</v>
      </c>
      <c r="D8" s="56">
        <f>SUM(D3:D7)</f>
        <v>42482304</v>
      </c>
      <c r="E8" s="58">
        <f t="shared" si="0"/>
        <v>1</v>
      </c>
      <c r="G8" s="55" t="s">
        <v>245</v>
      </c>
      <c r="H8" s="56">
        <f>SUM(H3:H7)</f>
        <v>146718</v>
      </c>
      <c r="I8" s="57">
        <f t="shared" si="1"/>
        <v>1</v>
      </c>
      <c r="J8" s="56">
        <f>SUM(J3:J7)</f>
        <v>323529033</v>
      </c>
      <c r="K8" s="58">
        <f t="shared" si="2"/>
        <v>1</v>
      </c>
    </row>
    <row r="10" spans="1:11" x14ac:dyDescent="0.35">
      <c r="A10" s="1" t="s">
        <v>475</v>
      </c>
    </row>
    <row r="11" spans="1:11" x14ac:dyDescent="0.35">
      <c r="A11" s="47" t="s">
        <v>465</v>
      </c>
      <c r="B11" s="48" t="s">
        <v>246</v>
      </c>
      <c r="C11" s="49" t="s">
        <v>474</v>
      </c>
      <c r="D11" s="50" t="s">
        <v>247</v>
      </c>
      <c r="E11" s="50" t="s">
        <v>474</v>
      </c>
    </row>
    <row r="12" spans="1:11" x14ac:dyDescent="0.35">
      <c r="A12" s="5" t="s">
        <v>469</v>
      </c>
      <c r="B12" s="51">
        <f>SUMIF(月別詳細!C:C,ブランド別!A12:A12,月別詳細!G:G)</f>
        <v>13412</v>
      </c>
      <c r="C12" s="54">
        <f>B12/B$17</f>
        <v>0.61500366837857667</v>
      </c>
      <c r="D12" s="51">
        <f>SUMIF(月別詳細!C:C,A12,月別詳細!H:H)</f>
        <v>38406610</v>
      </c>
      <c r="E12" s="53">
        <f>D12/D$17</f>
        <v>0.69189756965605886</v>
      </c>
    </row>
    <row r="13" spans="1:11" x14ac:dyDescent="0.35">
      <c r="A13" s="5" t="s">
        <v>476</v>
      </c>
      <c r="B13" s="51">
        <f>SUMIF(月別詳細!C:C,ブランド別!A13:A13,月別詳細!G:G)</f>
        <v>2953</v>
      </c>
      <c r="C13" s="54">
        <f>B13/B$17</f>
        <v>0.13540902421129861</v>
      </c>
      <c r="D13" s="51">
        <f>SUMIF(月別詳細!C:C,A13,月別詳細!H:H)</f>
        <v>4040330</v>
      </c>
      <c r="E13" s="53">
        <f t="shared" ref="E13:E17" si="4">D13/D$17</f>
        <v>7.2786806948295216E-2</v>
      </c>
    </row>
    <row r="14" spans="1:11" x14ac:dyDescent="0.35">
      <c r="A14" s="5" t="s">
        <v>479</v>
      </c>
      <c r="B14" s="51">
        <f>SUMIF(月別詳細!C:C,ブランド別!A14:A14,月別詳細!G:G)</f>
        <v>2631</v>
      </c>
      <c r="C14" s="54">
        <f t="shared" ref="C14:C17" si="5">B14/B$17</f>
        <v>0.12064380044020542</v>
      </c>
      <c r="D14" s="51">
        <f>SUMIF(月別詳細!C:C,A14,月別詳細!H:H)</f>
        <v>4720968</v>
      </c>
      <c r="E14" s="53">
        <f t="shared" si="4"/>
        <v>8.5048544654787936E-2</v>
      </c>
    </row>
    <row r="15" spans="1:11" x14ac:dyDescent="0.35">
      <c r="A15" s="5" t="s">
        <v>467</v>
      </c>
      <c r="B15" s="51">
        <f>SUMIF(月別詳細!C:C,ブランド別!A15:A15,月別詳細!G:G)</f>
        <v>2812</v>
      </c>
      <c r="C15" s="54">
        <f>B15/B$17</f>
        <v>0.1289435069699193</v>
      </c>
      <c r="D15" s="51">
        <f>SUMIF(月別詳細!C:C,A15,月別詳細!H:H)</f>
        <v>8341190</v>
      </c>
      <c r="E15" s="53">
        <f>D15/D$17</f>
        <v>0.15026707874085793</v>
      </c>
    </row>
    <row r="16" spans="1:11" x14ac:dyDescent="0.35">
      <c r="A16" s="5" t="s">
        <v>466</v>
      </c>
      <c r="B16" s="51">
        <f>SUMIF(月別詳細!C:C,ブランド別!A16:A16,月別詳細!G:G)</f>
        <v>0</v>
      </c>
      <c r="C16" s="54">
        <f t="shared" si="5"/>
        <v>0</v>
      </c>
      <c r="D16" s="51">
        <f>SUMIF(月別詳細!C:C,A16,月別詳細!H:H)</f>
        <v>0</v>
      </c>
      <c r="E16" s="53">
        <f t="shared" si="4"/>
        <v>0</v>
      </c>
    </row>
    <row r="17" spans="1:5" x14ac:dyDescent="0.35">
      <c r="A17" s="55" t="s">
        <v>245</v>
      </c>
      <c r="B17" s="56">
        <f>SUM(B12:B16)</f>
        <v>21808</v>
      </c>
      <c r="C17" s="59">
        <f t="shared" si="5"/>
        <v>1</v>
      </c>
      <c r="D17" s="56">
        <f>SUM(D12:D16)</f>
        <v>55509098</v>
      </c>
      <c r="E17" s="58">
        <f t="shared" si="4"/>
        <v>1</v>
      </c>
    </row>
    <row r="19" spans="1:5" x14ac:dyDescent="0.35">
      <c r="A19" s="1" t="s">
        <v>478</v>
      </c>
    </row>
    <row r="20" spans="1:5" x14ac:dyDescent="0.35">
      <c r="A20" s="47" t="s">
        <v>465</v>
      </c>
      <c r="B20" s="48" t="s">
        <v>246</v>
      </c>
      <c r="C20" s="49" t="s">
        <v>474</v>
      </c>
      <c r="D20" s="50" t="s">
        <v>247</v>
      </c>
      <c r="E20" s="50" t="s">
        <v>474</v>
      </c>
    </row>
    <row r="21" spans="1:5" x14ac:dyDescent="0.35">
      <c r="A21" s="5" t="s">
        <v>469</v>
      </c>
      <c r="B21" s="51">
        <f>SUMIF(月別詳細!C:C,ブランド別!A21:A21,月別詳細!I:I)</f>
        <v>12880</v>
      </c>
      <c r="C21" s="54">
        <f>B21/B$26</f>
        <v>0.55793805501407845</v>
      </c>
      <c r="D21" s="51">
        <f>SUMIF(月別詳細!C:C,A21,月別詳細!J:J)</f>
        <v>37704645</v>
      </c>
      <c r="E21" s="53">
        <f>D21/D$26</f>
        <v>0.66937795251183396</v>
      </c>
    </row>
    <row r="22" spans="1:5" x14ac:dyDescent="0.35">
      <c r="A22" s="5" t="s">
        <v>476</v>
      </c>
      <c r="B22" s="51">
        <f>SUMIF(月別詳細!C:C,ブランド別!A22:A22,月別詳細!I:I)</f>
        <v>2176</v>
      </c>
      <c r="C22" s="54">
        <f t="shared" ref="C22:C26" si="6">B22/B$26</f>
        <v>9.4260342213558584E-2</v>
      </c>
      <c r="D22" s="51">
        <f>SUMIF(月別詳細!C:C,A22,月別詳細!J:J)</f>
        <v>3478890</v>
      </c>
      <c r="E22" s="53">
        <f t="shared" ref="E22:E26" si="7">D22/D$26</f>
        <v>6.1761416006274404E-2</v>
      </c>
    </row>
    <row r="23" spans="1:5" x14ac:dyDescent="0.35">
      <c r="A23" s="5" t="s">
        <v>479</v>
      </c>
      <c r="B23" s="51">
        <f>SUMIF(月別詳細!C:C,ブランド別!A23:A23,月別詳細!I:I)</f>
        <v>2830</v>
      </c>
      <c r="C23" s="54">
        <f t="shared" si="6"/>
        <v>0.12259042668399393</v>
      </c>
      <c r="D23" s="51">
        <f>SUMIF(月別詳細!C:C,A23,月別詳細!J:J)</f>
        <v>5666256</v>
      </c>
      <c r="E23" s="53">
        <f t="shared" si="7"/>
        <v>0.10059415331155869</v>
      </c>
    </row>
    <row r="24" spans="1:5" x14ac:dyDescent="0.35">
      <c r="A24" s="5" t="s">
        <v>467</v>
      </c>
      <c r="B24" s="51">
        <f>SUMIF(月別詳細!C:C,ブランド別!A24:A24,月別詳細!I:I)</f>
        <v>5194</v>
      </c>
      <c r="C24" s="54">
        <f t="shared" si="6"/>
        <v>0.22499458522850335</v>
      </c>
      <c r="D24" s="51">
        <f>SUMIF(月別詳細!C:C,A24,月別詳細!J:J)</f>
        <v>9475730</v>
      </c>
      <c r="E24" s="53">
        <f t="shared" si="7"/>
        <v>0.16822449186181068</v>
      </c>
    </row>
    <row r="25" spans="1:5" x14ac:dyDescent="0.35">
      <c r="A25" s="5" t="s">
        <v>466</v>
      </c>
      <c r="B25" s="51">
        <f>SUMIF(月別詳細!C:C,ブランド別!A25:A25,月別詳細!I:I)</f>
        <v>5</v>
      </c>
      <c r="C25" s="54">
        <f t="shared" si="6"/>
        <v>2.1659085986571366E-4</v>
      </c>
      <c r="D25" s="51">
        <f>SUMIF(月別詳細!C:C,A25,月別詳細!J:J)</f>
        <v>2365</v>
      </c>
      <c r="E25" s="53">
        <f t="shared" si="7"/>
        <v>4.1986308522212248E-5</v>
      </c>
    </row>
    <row r="26" spans="1:5" x14ac:dyDescent="0.35">
      <c r="A26" s="55" t="s">
        <v>245</v>
      </c>
      <c r="B26" s="56">
        <f>SUM(B21:B25)</f>
        <v>23085</v>
      </c>
      <c r="C26" s="59">
        <f t="shared" si="6"/>
        <v>1</v>
      </c>
      <c r="D26" s="56">
        <f>SUM(D21:D25)</f>
        <v>56327886</v>
      </c>
      <c r="E26" s="58">
        <f t="shared" si="7"/>
        <v>1</v>
      </c>
    </row>
    <row r="28" spans="1:5" x14ac:dyDescent="0.35">
      <c r="A28" s="1" t="s">
        <v>504</v>
      </c>
    </row>
    <row r="29" spans="1:5" x14ac:dyDescent="0.35">
      <c r="A29" s="47" t="s">
        <v>465</v>
      </c>
      <c r="B29" s="48" t="s">
        <v>246</v>
      </c>
      <c r="C29" s="49" t="s">
        <v>474</v>
      </c>
      <c r="D29" s="50" t="s">
        <v>247</v>
      </c>
      <c r="E29" s="50" t="s">
        <v>474</v>
      </c>
    </row>
    <row r="30" spans="1:5" x14ac:dyDescent="0.35">
      <c r="A30" s="5" t="s">
        <v>469</v>
      </c>
      <c r="B30" s="51">
        <f>SUMIF(月別詳細!C:C,ブランド別!A30:A30,月別詳細!K:K)</f>
        <v>11619</v>
      </c>
      <c r="C30" s="54">
        <f>B30/B$26</f>
        <v>0.50331384015594538</v>
      </c>
      <c r="D30" s="51">
        <f>SUMIF(月別詳細!C:C,A30,月別詳細!L:L)</f>
        <v>34526085</v>
      </c>
      <c r="E30" s="53">
        <f>D30/D$26</f>
        <v>0.61294835385798074</v>
      </c>
    </row>
    <row r="31" spans="1:5" x14ac:dyDescent="0.35">
      <c r="A31" s="5" t="s">
        <v>476</v>
      </c>
      <c r="B31" s="51">
        <f>SUMIF(月別詳細!C:C,ブランド別!A31:A31,月別詳細!K:K)</f>
        <v>8635</v>
      </c>
      <c r="C31" s="54">
        <f t="shared" ref="C31:C35" si="8">B31/B$26</f>
        <v>0.3740524149880875</v>
      </c>
      <c r="D31" s="51">
        <f>SUMIF(月別詳細!C:C,A31,月別詳細!L:L)</f>
        <v>11188975</v>
      </c>
      <c r="E31" s="53">
        <f t="shared" ref="E31:E35" si="9">D31/D$26</f>
        <v>0.19864006612994495</v>
      </c>
    </row>
    <row r="32" spans="1:5" x14ac:dyDescent="0.35">
      <c r="A32" s="5" t="s">
        <v>471</v>
      </c>
      <c r="B32" s="51">
        <f>SUMIF(月別詳細!C:C,ブランド別!A32:A32,月別詳細!K:K)</f>
        <v>4391</v>
      </c>
      <c r="C32" s="54">
        <f t="shared" si="8"/>
        <v>0.19021009313406975</v>
      </c>
      <c r="D32" s="51">
        <f>SUMIF(月別詳細!C:C,A32,月別詳細!L:L)</f>
        <v>9222315</v>
      </c>
      <c r="E32" s="53">
        <f t="shared" si="9"/>
        <v>0.16372556569937669</v>
      </c>
    </row>
    <row r="33" spans="1:5" x14ac:dyDescent="0.35">
      <c r="A33" s="5" t="s">
        <v>467</v>
      </c>
      <c r="B33" s="51">
        <f>SUMIF(月別詳細!C:C,ブランド別!A33:A33,月別詳細!K:K)</f>
        <v>5327</v>
      </c>
      <c r="C33" s="54">
        <f t="shared" si="8"/>
        <v>0.23075590210093133</v>
      </c>
      <c r="D33" s="51">
        <f>SUMIF(月別詳細!C:C,A33,月別詳細!L:L)</f>
        <v>9713605</v>
      </c>
      <c r="E33" s="53">
        <f t="shared" si="9"/>
        <v>0.17244753335852156</v>
      </c>
    </row>
    <row r="34" spans="1:5" x14ac:dyDescent="0.35">
      <c r="A34" s="5" t="s">
        <v>466</v>
      </c>
      <c r="B34" s="51">
        <f>SUMIF(月別詳細!C:C,ブランド別!A34:A34,月別詳細!K:K)</f>
        <v>20520</v>
      </c>
      <c r="C34" s="54">
        <f t="shared" si="8"/>
        <v>0.88888888888888884</v>
      </c>
      <c r="D34" s="51">
        <f>SUMIF(月別詳細!C:C,A34,月別詳細!L:L)</f>
        <v>14671800</v>
      </c>
      <c r="E34" s="53">
        <f t="shared" si="9"/>
        <v>0.26047134096244973</v>
      </c>
    </row>
    <row r="35" spans="1:5" x14ac:dyDescent="0.35">
      <c r="A35" s="55" t="s">
        <v>245</v>
      </c>
      <c r="B35" s="56">
        <f>SUM(B30:B34)</f>
        <v>50492</v>
      </c>
      <c r="C35" s="59">
        <f t="shared" si="8"/>
        <v>2.1872211392679231</v>
      </c>
      <c r="D35" s="56">
        <f>SUM(D30:D34)</f>
        <v>79322780</v>
      </c>
      <c r="E35" s="58">
        <f t="shared" si="9"/>
        <v>1.4082328600082736</v>
      </c>
    </row>
    <row r="37" spans="1:5" x14ac:dyDescent="0.35">
      <c r="A37" s="1" t="s">
        <v>525</v>
      </c>
    </row>
    <row r="38" spans="1:5" x14ac:dyDescent="0.35">
      <c r="A38" s="47" t="s">
        <v>465</v>
      </c>
      <c r="B38" s="48" t="s">
        <v>246</v>
      </c>
      <c r="C38" s="49" t="s">
        <v>474</v>
      </c>
      <c r="D38" s="50" t="s">
        <v>247</v>
      </c>
      <c r="E38" s="50" t="s">
        <v>474</v>
      </c>
    </row>
    <row r="39" spans="1:5" x14ac:dyDescent="0.35">
      <c r="A39" s="5" t="s">
        <v>469</v>
      </c>
      <c r="B39" s="51">
        <f>SUMIF(月別詳細!C:C,ブランド別!A39:A39,月別詳細!M:M)</f>
        <v>19615</v>
      </c>
      <c r="C39" s="54">
        <f>B39/B$26</f>
        <v>0.84968594325319469</v>
      </c>
      <c r="D39" s="51">
        <f>SUMIF(月別詳細!C:C,A39,月別詳細!N:N)</f>
        <v>64283890</v>
      </c>
      <c r="E39" s="53">
        <f>D39/D$26</f>
        <v>1.1412444983289449</v>
      </c>
    </row>
    <row r="40" spans="1:5" x14ac:dyDescent="0.35">
      <c r="A40" s="5" t="s">
        <v>476</v>
      </c>
      <c r="B40" s="51">
        <f>SUMIF(月別詳細!C:C,ブランド別!A40:A40,月別詳細!M:M)</f>
        <v>1221</v>
      </c>
      <c r="C40" s="54">
        <f t="shared" ref="C40:C44" si="10">B40/B$26</f>
        <v>5.2891487979207279E-2</v>
      </c>
      <c r="D40" s="51">
        <f>SUMIF(月別詳細!C:C,A40,月別詳細!N:N)</f>
        <v>1628200</v>
      </c>
      <c r="E40" s="53">
        <f t="shared" ref="E40:E44" si="11">D40/D$26</f>
        <v>2.8905753714953904E-2</v>
      </c>
    </row>
    <row r="41" spans="1:5" x14ac:dyDescent="0.35">
      <c r="A41" s="5" t="s">
        <v>471</v>
      </c>
      <c r="B41" s="51">
        <f>SUMIF(月別詳細!C:C,ブランド別!A41:A41,月別詳細!M:M)</f>
        <v>4647</v>
      </c>
      <c r="C41" s="54">
        <f t="shared" si="10"/>
        <v>0.20129954515919429</v>
      </c>
      <c r="D41" s="51">
        <f>SUMIF(月別詳細!C:C,A41,月別詳細!N:N)</f>
        <v>8451675</v>
      </c>
      <c r="E41" s="53">
        <f t="shared" si="11"/>
        <v>0.15004424273973285</v>
      </c>
    </row>
    <row r="42" spans="1:5" x14ac:dyDescent="0.35">
      <c r="A42" s="5" t="s">
        <v>467</v>
      </c>
      <c r="B42" s="51">
        <f>SUMIF(月別詳細!C:C,ブランド別!A42:A42,月別詳細!M:M)</f>
        <v>8960</v>
      </c>
      <c r="C42" s="54">
        <f t="shared" si="10"/>
        <v>0.38813082087935891</v>
      </c>
      <c r="D42" s="51">
        <f>SUMIF(月別詳細!C:C,A42,月別詳細!N:N)</f>
        <v>15523200</v>
      </c>
      <c r="E42" s="53">
        <f t="shared" si="11"/>
        <v>0.27558641203044615</v>
      </c>
    </row>
    <row r="43" spans="1:5" x14ac:dyDescent="0.35">
      <c r="A43" s="5" t="s">
        <v>466</v>
      </c>
      <c r="B43" s="51">
        <f>SUMIF(月別詳細!C:C,ブランド別!A43:A43,月別詳細!M:M)</f>
        <v>0</v>
      </c>
      <c r="C43" s="54">
        <f t="shared" si="10"/>
        <v>0</v>
      </c>
      <c r="D43" s="51">
        <f>SUMIF(月別詳細!C:C,A43,月別詳細!N:N)</f>
        <v>0</v>
      </c>
      <c r="E43" s="53">
        <f t="shared" si="11"/>
        <v>0</v>
      </c>
    </row>
    <row r="44" spans="1:5" x14ac:dyDescent="0.35">
      <c r="A44" s="55" t="s">
        <v>245</v>
      </c>
      <c r="B44" s="56">
        <f>SUM(B39:B43)</f>
        <v>34443</v>
      </c>
      <c r="C44" s="59">
        <f t="shared" si="10"/>
        <v>1.4920077972709551</v>
      </c>
      <c r="D44" s="56">
        <f>SUM(D39:D43)</f>
        <v>89886965</v>
      </c>
      <c r="E44" s="58">
        <f t="shared" si="11"/>
        <v>1.5957809068140778</v>
      </c>
    </row>
    <row r="203" spans="17:17" x14ac:dyDescent="0.35">
      <c r="Q203" s="1">
        <f>SUM(Q204:Q210)</f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F2DF-DC63-46F7-9FDD-3B9E3D087815}">
  <dimension ref="A1:AC56"/>
  <sheetViews>
    <sheetView topLeftCell="T1" workbookViewId="0">
      <selection activeCell="AB5" sqref="AB5:AC14"/>
    </sheetView>
  </sheetViews>
  <sheetFormatPr defaultRowHeight="14.5" x14ac:dyDescent="0.35"/>
  <cols>
    <col min="1" max="1" width="5.08984375" style="1" customWidth="1"/>
    <col min="2" max="2" width="10.08984375" style="1" customWidth="1"/>
    <col min="3" max="3" width="43.453125" style="1" customWidth="1"/>
    <col min="4" max="4" width="9.81640625" style="1" bestFit="1" customWidth="1"/>
    <col min="5" max="5" width="13.81640625" style="1" customWidth="1"/>
    <col min="6" max="6" width="6" style="1" customWidth="1"/>
    <col min="7" max="7" width="5.08984375" style="1" customWidth="1"/>
    <col min="8" max="8" width="10.08984375" style="1" customWidth="1"/>
    <col min="9" max="9" width="43.453125" style="1" customWidth="1"/>
    <col min="10" max="10" width="9.81640625" style="1" bestFit="1" customWidth="1"/>
    <col min="11" max="11" width="13.81640625" style="1" customWidth="1"/>
    <col min="12" max="12" width="8.7265625" style="1"/>
    <col min="13" max="13" width="5.08984375" style="1" customWidth="1"/>
    <col min="14" max="14" width="10.08984375" style="1" customWidth="1"/>
    <col min="15" max="15" width="43.453125" style="1" customWidth="1"/>
    <col min="16" max="16" width="9.81640625" style="1" bestFit="1" customWidth="1"/>
    <col min="17" max="17" width="13.81640625" style="1" customWidth="1"/>
    <col min="18" max="18" width="8.7265625" style="1"/>
    <col min="19" max="19" width="5.08984375" style="1" customWidth="1"/>
    <col min="20" max="20" width="10.08984375" style="1" customWidth="1"/>
    <col min="21" max="21" width="43.453125" style="1" customWidth="1"/>
    <col min="22" max="22" width="9.81640625" style="1" bestFit="1" customWidth="1"/>
    <col min="23" max="23" width="13.81640625" style="1" customWidth="1"/>
    <col min="24" max="24" width="8.7265625" style="1"/>
    <col min="25" max="25" width="5.08984375" style="1" customWidth="1"/>
    <col min="26" max="26" width="10.08984375" style="1" customWidth="1"/>
    <col min="27" max="27" width="43.453125" style="1" customWidth="1"/>
    <col min="28" max="28" width="9.81640625" style="1" bestFit="1" customWidth="1"/>
    <col min="29" max="29" width="13.81640625" style="1" customWidth="1"/>
    <col min="30" max="16384" width="8.7265625" style="1"/>
  </cols>
  <sheetData>
    <row r="1" spans="1:29" s="18" customFormat="1" x14ac:dyDescent="0.35">
      <c r="A1" s="18" t="s">
        <v>403</v>
      </c>
      <c r="G1" s="18" t="s">
        <v>404</v>
      </c>
      <c r="M1" s="18" t="s">
        <v>477</v>
      </c>
      <c r="S1" s="18" t="s">
        <v>505</v>
      </c>
      <c r="Y1" s="18" t="s">
        <v>524</v>
      </c>
    </row>
    <row r="2" spans="1:29" ht="15" thickBot="1" x14ac:dyDescent="0.4">
      <c r="A2" s="1" t="s">
        <v>248</v>
      </c>
      <c r="G2" s="1" t="s">
        <v>248</v>
      </c>
      <c r="M2" s="1" t="s">
        <v>248</v>
      </c>
      <c r="S2" s="1" t="s">
        <v>248</v>
      </c>
      <c r="Y2" s="1" t="s">
        <v>248</v>
      </c>
    </row>
    <row r="3" spans="1:29" x14ac:dyDescent="0.35">
      <c r="A3" s="70" t="s">
        <v>242</v>
      </c>
      <c r="B3" s="72" t="s">
        <v>243</v>
      </c>
      <c r="C3" s="72" t="s">
        <v>244</v>
      </c>
      <c r="D3" s="73" t="s">
        <v>245</v>
      </c>
      <c r="E3" s="74"/>
      <c r="G3" s="70" t="s">
        <v>242</v>
      </c>
      <c r="H3" s="72" t="s">
        <v>243</v>
      </c>
      <c r="I3" s="72" t="s">
        <v>244</v>
      </c>
      <c r="J3" s="73" t="s">
        <v>245</v>
      </c>
      <c r="K3" s="74"/>
      <c r="M3" s="70" t="s">
        <v>242</v>
      </c>
      <c r="N3" s="72" t="s">
        <v>243</v>
      </c>
      <c r="O3" s="72" t="s">
        <v>244</v>
      </c>
      <c r="P3" s="73" t="s">
        <v>245</v>
      </c>
      <c r="Q3" s="74"/>
      <c r="S3" s="70" t="s">
        <v>242</v>
      </c>
      <c r="T3" s="72" t="s">
        <v>243</v>
      </c>
      <c r="U3" s="72" t="s">
        <v>244</v>
      </c>
      <c r="V3" s="73" t="s">
        <v>245</v>
      </c>
      <c r="W3" s="74"/>
      <c r="Y3" s="70" t="s">
        <v>242</v>
      </c>
      <c r="Z3" s="72" t="s">
        <v>243</v>
      </c>
      <c r="AA3" s="72" t="s">
        <v>244</v>
      </c>
      <c r="AB3" s="73" t="s">
        <v>245</v>
      </c>
      <c r="AC3" s="74"/>
    </row>
    <row r="4" spans="1:29" x14ac:dyDescent="0.35">
      <c r="A4" s="71"/>
      <c r="B4" s="65"/>
      <c r="C4" s="65"/>
      <c r="D4" s="2" t="s">
        <v>246</v>
      </c>
      <c r="E4" s="3" t="s">
        <v>247</v>
      </c>
      <c r="G4" s="71"/>
      <c r="H4" s="65"/>
      <c r="I4" s="65"/>
      <c r="J4" s="2" t="s">
        <v>246</v>
      </c>
      <c r="K4" s="3" t="s">
        <v>247</v>
      </c>
      <c r="M4" s="71"/>
      <c r="N4" s="65"/>
      <c r="O4" s="65"/>
      <c r="P4" s="2" t="s">
        <v>246</v>
      </c>
      <c r="Q4" s="3" t="s">
        <v>247</v>
      </c>
      <c r="S4" s="71"/>
      <c r="T4" s="65"/>
      <c r="U4" s="65"/>
      <c r="V4" s="2" t="s">
        <v>246</v>
      </c>
      <c r="W4" s="3" t="s">
        <v>247</v>
      </c>
      <c r="Y4" s="71"/>
      <c r="Z4" s="65"/>
      <c r="AA4" s="65"/>
      <c r="AB4" s="2" t="s">
        <v>246</v>
      </c>
      <c r="AC4" s="3" t="s">
        <v>247</v>
      </c>
    </row>
    <row r="5" spans="1:29" x14ac:dyDescent="0.35">
      <c r="A5" s="4">
        <v>1</v>
      </c>
      <c r="B5" s="5" t="str">
        <f>LEFT(C5,FIND("-",C5)-1)</f>
        <v>JQHQ</v>
      </c>
      <c r="C5" s="6" t="s">
        <v>252</v>
      </c>
      <c r="D5" s="7">
        <v>999</v>
      </c>
      <c r="E5" s="8">
        <v>2912085</v>
      </c>
      <c r="G5" s="4">
        <v>1</v>
      </c>
      <c r="H5" s="5" t="str">
        <f>LEFT(I5,FIND("-",I5)-1)</f>
        <v>JQHQ</v>
      </c>
      <c r="I5" s="6" t="s">
        <v>29</v>
      </c>
      <c r="J5" s="7">
        <v>1703</v>
      </c>
      <c r="K5" s="8">
        <v>4964245</v>
      </c>
      <c r="M5" s="4">
        <v>1</v>
      </c>
      <c r="N5" s="5" t="str">
        <f>LEFT(O5,FIND("-",O5)-1)</f>
        <v>JENE</v>
      </c>
      <c r="O5" s="6" t="s">
        <v>189</v>
      </c>
      <c r="P5" s="7">
        <v>2782</v>
      </c>
      <c r="Q5" s="8">
        <v>4896320</v>
      </c>
      <c r="S5" s="4">
        <v>1</v>
      </c>
      <c r="T5" s="5" t="str">
        <f>LEFT(U5,FIND("-",U5)-1)</f>
        <v>JQHQ</v>
      </c>
      <c r="U5" s="6" t="s">
        <v>29</v>
      </c>
      <c r="V5" s="7">
        <v>999</v>
      </c>
      <c r="W5" s="8">
        <v>2912085</v>
      </c>
      <c r="Y5" s="4">
        <v>1</v>
      </c>
      <c r="Z5" s="5" t="s">
        <v>548</v>
      </c>
      <c r="AA5" s="6" t="s">
        <v>414</v>
      </c>
      <c r="AB5" s="7">
        <v>2650</v>
      </c>
      <c r="AC5" s="8">
        <v>10202500</v>
      </c>
    </row>
    <row r="6" spans="1:29" x14ac:dyDescent="0.35">
      <c r="A6" s="9">
        <v>2</v>
      </c>
      <c r="B6" s="10" t="str">
        <f t="shared" ref="B6:B14" si="0">LEFT(C6,FIND("-",C6)-1)</f>
        <v>JQHR</v>
      </c>
      <c r="C6" s="11" t="s">
        <v>253</v>
      </c>
      <c r="D6" s="12">
        <v>988</v>
      </c>
      <c r="E6" s="8">
        <v>2608320</v>
      </c>
      <c r="G6" s="9">
        <v>2</v>
      </c>
      <c r="H6" s="10" t="str">
        <f t="shared" ref="H6:H14" si="1">LEFT(I6,FIND("-",I6)-1)</f>
        <v>JETR</v>
      </c>
      <c r="I6" s="11" t="s">
        <v>43</v>
      </c>
      <c r="J6" s="12">
        <v>830</v>
      </c>
      <c r="K6" s="8">
        <v>2054250</v>
      </c>
      <c r="M6" s="9">
        <v>2</v>
      </c>
      <c r="N6" s="10" t="str">
        <f t="shared" ref="N6:N14" si="2">LEFT(O6,FIND("-",O6)-1)</f>
        <v>JQHQ</v>
      </c>
      <c r="O6" s="11" t="s">
        <v>29</v>
      </c>
      <c r="P6" s="12">
        <v>999</v>
      </c>
      <c r="Q6" s="8">
        <v>2912085</v>
      </c>
      <c r="S6" s="9">
        <v>2</v>
      </c>
      <c r="T6" s="10" t="str">
        <f t="shared" ref="T6:T14" si="3">LEFT(U6,FIND("-",U6)-1)</f>
        <v>JEGP001</v>
      </c>
      <c r="U6" s="11" t="s">
        <v>412</v>
      </c>
      <c r="V6" s="12">
        <v>739</v>
      </c>
      <c r="W6" s="8">
        <v>2845150</v>
      </c>
      <c r="Y6" s="9">
        <v>2</v>
      </c>
      <c r="Z6" s="10" t="s">
        <v>549</v>
      </c>
      <c r="AA6" s="11" t="s">
        <v>29</v>
      </c>
      <c r="AB6" s="12">
        <v>1998</v>
      </c>
      <c r="AC6" s="8">
        <v>5824170</v>
      </c>
    </row>
    <row r="7" spans="1:29" x14ac:dyDescent="0.35">
      <c r="A7" s="9">
        <v>3</v>
      </c>
      <c r="B7" s="10" t="str">
        <f t="shared" si="0"/>
        <v>JETR</v>
      </c>
      <c r="C7" s="11" t="s">
        <v>254</v>
      </c>
      <c r="D7" s="12">
        <v>855</v>
      </c>
      <c r="E7" s="8">
        <v>2116125</v>
      </c>
      <c r="G7" s="9">
        <v>3</v>
      </c>
      <c r="H7" s="10" t="str">
        <f t="shared" si="1"/>
        <v>JQHR</v>
      </c>
      <c r="I7" s="11" t="s">
        <v>147</v>
      </c>
      <c r="J7" s="12">
        <v>750</v>
      </c>
      <c r="K7" s="8">
        <v>1980000</v>
      </c>
      <c r="M7" s="9">
        <v>3</v>
      </c>
      <c r="N7" s="10" t="str">
        <f t="shared" si="2"/>
        <v>JVAI</v>
      </c>
      <c r="O7" s="11" t="s">
        <v>33</v>
      </c>
      <c r="P7" s="12">
        <v>833</v>
      </c>
      <c r="Q7" s="8">
        <v>3665200</v>
      </c>
      <c r="S7" s="9">
        <v>3</v>
      </c>
      <c r="T7" s="10" t="str">
        <f t="shared" si="3"/>
        <v>JEFC000</v>
      </c>
      <c r="U7" s="11" t="s">
        <v>40</v>
      </c>
      <c r="V7" s="12">
        <v>662</v>
      </c>
      <c r="W7" s="8">
        <v>1711270</v>
      </c>
      <c r="Y7" s="9">
        <v>3</v>
      </c>
      <c r="Z7" s="10" t="s">
        <v>550</v>
      </c>
      <c r="AA7" s="11" t="s">
        <v>189</v>
      </c>
      <c r="AB7" s="12">
        <v>880</v>
      </c>
      <c r="AC7" s="8">
        <v>1548800</v>
      </c>
    </row>
    <row r="8" spans="1:29" x14ac:dyDescent="0.35">
      <c r="A8" s="9">
        <v>4</v>
      </c>
      <c r="B8" s="10" t="str">
        <f t="shared" si="0"/>
        <v>JENE</v>
      </c>
      <c r="C8" s="11" t="s">
        <v>255</v>
      </c>
      <c r="D8" s="12">
        <v>700</v>
      </c>
      <c r="E8" s="8">
        <v>1232000</v>
      </c>
      <c r="G8" s="9">
        <v>4</v>
      </c>
      <c r="H8" s="10" t="str">
        <f t="shared" si="1"/>
        <v>JENE</v>
      </c>
      <c r="I8" s="11" t="s">
        <v>189</v>
      </c>
      <c r="J8" s="12">
        <v>740</v>
      </c>
      <c r="K8" s="8">
        <v>1302400</v>
      </c>
      <c r="M8" s="9">
        <v>4</v>
      </c>
      <c r="N8" s="10" t="str">
        <f t="shared" si="2"/>
        <v>JEFC001</v>
      </c>
      <c r="O8" s="11" t="s">
        <v>41</v>
      </c>
      <c r="P8" s="12">
        <v>580</v>
      </c>
      <c r="Q8" s="8">
        <v>1499300</v>
      </c>
      <c r="S8" s="9">
        <v>4</v>
      </c>
      <c r="T8" s="10" t="str">
        <f t="shared" si="3"/>
        <v>JQHR</v>
      </c>
      <c r="U8" s="11" t="s">
        <v>147</v>
      </c>
      <c r="V8" s="12">
        <v>521</v>
      </c>
      <c r="W8" s="8">
        <v>1375440</v>
      </c>
      <c r="Y8" s="9">
        <v>4</v>
      </c>
      <c r="Z8" s="10" t="s">
        <v>551</v>
      </c>
      <c r="AA8" s="11" t="s">
        <v>278</v>
      </c>
      <c r="AB8" s="12">
        <v>856</v>
      </c>
      <c r="AC8" s="8">
        <v>1506560</v>
      </c>
    </row>
    <row r="9" spans="1:29" x14ac:dyDescent="0.35">
      <c r="A9" s="9">
        <v>5</v>
      </c>
      <c r="B9" s="10" t="str">
        <f>LEFT(C9,FIND("-",C9)-1)</f>
        <v>JCFC301</v>
      </c>
      <c r="C9" s="11" t="s">
        <v>141</v>
      </c>
      <c r="D9" s="12">
        <v>666</v>
      </c>
      <c r="E9" s="8">
        <v>1831500</v>
      </c>
      <c r="G9" s="9">
        <v>5</v>
      </c>
      <c r="H9" s="10" t="str">
        <f t="shared" si="1"/>
        <v>JVAI</v>
      </c>
      <c r="I9" s="11" t="s">
        <v>33</v>
      </c>
      <c r="J9" s="12">
        <v>426</v>
      </c>
      <c r="K9" s="8">
        <v>1874400</v>
      </c>
      <c r="M9" s="9">
        <v>5</v>
      </c>
      <c r="N9" s="10" t="str">
        <f t="shared" si="2"/>
        <v>JQRO</v>
      </c>
      <c r="O9" s="11" t="s">
        <v>32</v>
      </c>
      <c r="P9" s="12">
        <v>521</v>
      </c>
      <c r="Q9" s="8">
        <v>2865500</v>
      </c>
      <c r="S9" s="9">
        <v>5</v>
      </c>
      <c r="T9" s="10" t="str">
        <f t="shared" si="3"/>
        <v>JKFC</v>
      </c>
      <c r="U9" s="11" t="s">
        <v>322</v>
      </c>
      <c r="V9" s="12">
        <v>491</v>
      </c>
      <c r="W9" s="8">
        <v>1485275</v>
      </c>
      <c r="Y9" s="9">
        <v>5</v>
      </c>
      <c r="Z9" s="10" t="s">
        <v>552</v>
      </c>
      <c r="AA9" s="11" t="s">
        <v>28</v>
      </c>
      <c r="AB9" s="12">
        <v>755</v>
      </c>
      <c r="AC9" s="8">
        <v>2574550</v>
      </c>
    </row>
    <row r="10" spans="1:29" x14ac:dyDescent="0.35">
      <c r="A10" s="9">
        <v>6</v>
      </c>
      <c r="B10" s="10" t="str">
        <f t="shared" si="0"/>
        <v>JVAI</v>
      </c>
      <c r="C10" s="11" t="s">
        <v>33</v>
      </c>
      <c r="D10" s="12">
        <v>570</v>
      </c>
      <c r="E10" s="8">
        <v>2508000</v>
      </c>
      <c r="G10" s="9">
        <v>6</v>
      </c>
      <c r="H10" s="10" t="str">
        <f t="shared" si="1"/>
        <v>JQRO</v>
      </c>
      <c r="I10" s="11" t="s">
        <v>32</v>
      </c>
      <c r="J10" s="12">
        <v>419</v>
      </c>
      <c r="K10" s="8">
        <v>2304500</v>
      </c>
      <c r="M10" s="9">
        <v>6</v>
      </c>
      <c r="N10" s="10" t="str">
        <f t="shared" si="2"/>
        <v>JVXC</v>
      </c>
      <c r="O10" s="11" t="s">
        <v>34</v>
      </c>
      <c r="P10" s="12">
        <v>426</v>
      </c>
      <c r="Q10" s="8">
        <v>3514500</v>
      </c>
      <c r="S10" s="9">
        <v>6</v>
      </c>
      <c r="T10" s="10" t="str">
        <f t="shared" si="3"/>
        <v>JKFT</v>
      </c>
      <c r="U10" s="11" t="s">
        <v>424</v>
      </c>
      <c r="V10" s="12">
        <v>464</v>
      </c>
      <c r="W10" s="8">
        <v>1582240</v>
      </c>
      <c r="Y10" s="9">
        <v>6</v>
      </c>
      <c r="Z10" s="10" t="s">
        <v>553</v>
      </c>
      <c r="AA10" s="11" t="s">
        <v>30</v>
      </c>
      <c r="AB10" s="12">
        <v>700</v>
      </c>
      <c r="AC10" s="8">
        <v>2579500</v>
      </c>
    </row>
    <row r="11" spans="1:29" x14ac:dyDescent="0.35">
      <c r="A11" s="9">
        <v>7</v>
      </c>
      <c r="B11" s="10" t="str">
        <f t="shared" si="0"/>
        <v>JQRO</v>
      </c>
      <c r="C11" s="11" t="s">
        <v>32</v>
      </c>
      <c r="D11" s="12">
        <v>500</v>
      </c>
      <c r="E11" s="8">
        <v>2750000</v>
      </c>
      <c r="G11" s="9">
        <v>7</v>
      </c>
      <c r="H11" s="10" t="str">
        <f t="shared" si="1"/>
        <v>JEFC000</v>
      </c>
      <c r="I11" s="11" t="s">
        <v>40</v>
      </c>
      <c r="J11" s="12">
        <v>387</v>
      </c>
      <c r="K11" s="8">
        <v>1000395</v>
      </c>
      <c r="M11" s="9">
        <v>7</v>
      </c>
      <c r="N11" s="10" t="str">
        <f t="shared" si="2"/>
        <v>JQHR</v>
      </c>
      <c r="O11" s="11" t="s">
        <v>147</v>
      </c>
      <c r="P11" s="12">
        <v>403</v>
      </c>
      <c r="Q11" s="8">
        <v>1063920</v>
      </c>
      <c r="S11" s="9">
        <v>7</v>
      </c>
      <c r="T11" s="10" t="str">
        <f t="shared" si="3"/>
        <v>JCFC301</v>
      </c>
      <c r="U11" s="11" t="s">
        <v>141</v>
      </c>
      <c r="V11" s="12">
        <v>445</v>
      </c>
      <c r="W11" s="8">
        <v>1223750</v>
      </c>
      <c r="Y11" s="9">
        <v>7</v>
      </c>
      <c r="Z11" s="10" t="s">
        <v>554</v>
      </c>
      <c r="AA11" s="11" t="s">
        <v>34</v>
      </c>
      <c r="AB11" s="12">
        <v>616</v>
      </c>
      <c r="AC11" s="8">
        <v>5082000</v>
      </c>
    </row>
    <row r="12" spans="1:29" x14ac:dyDescent="0.35">
      <c r="A12" s="9">
        <v>8</v>
      </c>
      <c r="B12" s="10" t="str">
        <f t="shared" si="0"/>
        <v>JEFC000</v>
      </c>
      <c r="C12" s="11" t="s">
        <v>40</v>
      </c>
      <c r="D12" s="12">
        <v>467</v>
      </c>
      <c r="E12" s="8">
        <v>1207195</v>
      </c>
      <c r="G12" s="9">
        <v>8</v>
      </c>
      <c r="H12" s="10" t="str">
        <f t="shared" si="1"/>
        <v>JEGG013</v>
      </c>
      <c r="I12" s="11" t="s">
        <v>282</v>
      </c>
      <c r="J12" s="12">
        <v>387</v>
      </c>
      <c r="K12" s="8">
        <v>638550</v>
      </c>
      <c r="M12" s="9">
        <v>8</v>
      </c>
      <c r="N12" s="10" t="str">
        <f t="shared" si="2"/>
        <v>JETR</v>
      </c>
      <c r="O12" s="11" t="s">
        <v>43</v>
      </c>
      <c r="P12" s="12">
        <v>372</v>
      </c>
      <c r="Q12" s="8">
        <v>920700</v>
      </c>
      <c r="S12" s="9">
        <v>8</v>
      </c>
      <c r="T12" s="10" t="str">
        <f t="shared" si="3"/>
        <v>JKFU</v>
      </c>
      <c r="U12" s="11" t="s">
        <v>425</v>
      </c>
      <c r="V12" s="12">
        <v>387</v>
      </c>
      <c r="W12" s="8">
        <v>1319670</v>
      </c>
      <c r="Y12" s="9">
        <v>8</v>
      </c>
      <c r="Z12" s="10" t="s">
        <v>555</v>
      </c>
      <c r="AA12" s="11" t="s">
        <v>416</v>
      </c>
      <c r="AB12" s="12">
        <v>590</v>
      </c>
      <c r="AC12" s="8">
        <v>2271500</v>
      </c>
    </row>
    <row r="13" spans="1:29" x14ac:dyDescent="0.35">
      <c r="A13" s="9">
        <v>9</v>
      </c>
      <c r="B13" s="10" t="str">
        <f t="shared" si="0"/>
        <v>JEYP</v>
      </c>
      <c r="C13" s="11" t="s">
        <v>25</v>
      </c>
      <c r="D13" s="12">
        <v>354</v>
      </c>
      <c r="E13" s="8">
        <v>292050</v>
      </c>
      <c r="G13" s="9">
        <v>9</v>
      </c>
      <c r="H13" s="10" t="str">
        <f t="shared" si="1"/>
        <v>JELK001</v>
      </c>
      <c r="I13" s="11" t="s">
        <v>302</v>
      </c>
      <c r="J13" s="12">
        <v>319</v>
      </c>
      <c r="K13" s="8">
        <v>877250</v>
      </c>
      <c r="M13" s="9">
        <v>9</v>
      </c>
      <c r="N13" s="10" t="str">
        <f t="shared" si="2"/>
        <v>JCFC301</v>
      </c>
      <c r="O13" s="11" t="s">
        <v>141</v>
      </c>
      <c r="P13" s="12">
        <v>228</v>
      </c>
      <c r="Q13" s="8">
        <v>627000</v>
      </c>
      <c r="S13" s="9">
        <v>9</v>
      </c>
      <c r="T13" s="10" t="str">
        <f t="shared" si="3"/>
        <v>JELK003</v>
      </c>
      <c r="U13" s="11" t="s">
        <v>304</v>
      </c>
      <c r="V13" s="12">
        <v>376</v>
      </c>
      <c r="W13" s="8">
        <v>1034000</v>
      </c>
      <c r="Y13" s="9">
        <v>9</v>
      </c>
      <c r="Z13" s="10" t="s">
        <v>556</v>
      </c>
      <c r="AA13" s="11" t="s">
        <v>141</v>
      </c>
      <c r="AB13" s="12">
        <v>550</v>
      </c>
      <c r="AC13" s="8">
        <v>1512500</v>
      </c>
    </row>
    <row r="14" spans="1:29" ht="15" thickBot="1" x14ac:dyDescent="0.4">
      <c r="A14" s="13">
        <v>10</v>
      </c>
      <c r="B14" s="14" t="str">
        <f t="shared" si="0"/>
        <v>JEFC001</v>
      </c>
      <c r="C14" s="15" t="s">
        <v>41</v>
      </c>
      <c r="D14" s="16">
        <v>333</v>
      </c>
      <c r="E14" s="17">
        <v>860805</v>
      </c>
      <c r="G14" s="13">
        <v>10</v>
      </c>
      <c r="H14" s="14" t="str">
        <f t="shared" si="1"/>
        <v>JEGH022</v>
      </c>
      <c r="I14" s="15" t="s">
        <v>111</v>
      </c>
      <c r="J14" s="16">
        <v>315</v>
      </c>
      <c r="K14" s="17">
        <v>519750</v>
      </c>
      <c r="M14" s="13">
        <v>10</v>
      </c>
      <c r="N14" s="14" t="str">
        <f t="shared" si="2"/>
        <v>JEGG013</v>
      </c>
      <c r="O14" s="15" t="s">
        <v>282</v>
      </c>
      <c r="P14" s="16">
        <v>217</v>
      </c>
      <c r="Q14" s="17">
        <v>358050</v>
      </c>
      <c r="S14" s="13">
        <v>10</v>
      </c>
      <c r="T14" s="14" t="str">
        <f t="shared" si="3"/>
        <v>JEGP003</v>
      </c>
      <c r="U14" s="15" t="s">
        <v>414</v>
      </c>
      <c r="V14" s="16">
        <v>300</v>
      </c>
      <c r="W14" s="17">
        <v>1155000</v>
      </c>
      <c r="Y14" s="13">
        <v>10</v>
      </c>
      <c r="Z14" s="14" t="s">
        <v>557</v>
      </c>
      <c r="AA14" s="15" t="s">
        <v>513</v>
      </c>
      <c r="AB14" s="16">
        <v>536</v>
      </c>
      <c r="AC14" s="17">
        <v>4422000</v>
      </c>
    </row>
    <row r="16" spans="1:29" ht="15" thickBot="1" x14ac:dyDescent="0.4">
      <c r="A16" s="1" t="s">
        <v>249</v>
      </c>
      <c r="G16" s="1" t="s">
        <v>249</v>
      </c>
      <c r="M16" s="1" t="s">
        <v>249</v>
      </c>
      <c r="S16" s="1" t="s">
        <v>249</v>
      </c>
      <c r="Y16" s="1" t="s">
        <v>249</v>
      </c>
    </row>
    <row r="17" spans="1:29" x14ac:dyDescent="0.35">
      <c r="A17" s="70" t="s">
        <v>242</v>
      </c>
      <c r="B17" s="72" t="s">
        <v>243</v>
      </c>
      <c r="C17" s="72" t="s">
        <v>244</v>
      </c>
      <c r="D17" s="73" t="s">
        <v>245</v>
      </c>
      <c r="E17" s="74"/>
      <c r="G17" s="70" t="s">
        <v>242</v>
      </c>
      <c r="H17" s="72" t="s">
        <v>243</v>
      </c>
      <c r="I17" s="72" t="s">
        <v>244</v>
      </c>
      <c r="J17" s="73" t="s">
        <v>245</v>
      </c>
      <c r="K17" s="74"/>
      <c r="M17" s="70" t="s">
        <v>242</v>
      </c>
      <c r="N17" s="72" t="s">
        <v>243</v>
      </c>
      <c r="O17" s="72" t="s">
        <v>244</v>
      </c>
      <c r="P17" s="73" t="s">
        <v>245</v>
      </c>
      <c r="Q17" s="74"/>
      <c r="S17" s="70" t="s">
        <v>242</v>
      </c>
      <c r="T17" s="72" t="s">
        <v>243</v>
      </c>
      <c r="U17" s="72" t="s">
        <v>244</v>
      </c>
      <c r="V17" s="73" t="s">
        <v>245</v>
      </c>
      <c r="W17" s="74"/>
      <c r="Y17" s="70" t="s">
        <v>242</v>
      </c>
      <c r="Z17" s="72" t="s">
        <v>243</v>
      </c>
      <c r="AA17" s="72" t="s">
        <v>244</v>
      </c>
      <c r="AB17" s="73" t="s">
        <v>245</v>
      </c>
      <c r="AC17" s="74"/>
    </row>
    <row r="18" spans="1:29" x14ac:dyDescent="0.35">
      <c r="A18" s="71"/>
      <c r="B18" s="65"/>
      <c r="C18" s="65"/>
      <c r="D18" s="2" t="s">
        <v>246</v>
      </c>
      <c r="E18" s="3" t="s">
        <v>247</v>
      </c>
      <c r="G18" s="71"/>
      <c r="H18" s="65"/>
      <c r="I18" s="65"/>
      <c r="J18" s="2" t="s">
        <v>246</v>
      </c>
      <c r="K18" s="3" t="s">
        <v>247</v>
      </c>
      <c r="M18" s="71"/>
      <c r="N18" s="65"/>
      <c r="O18" s="65"/>
      <c r="P18" s="2" t="s">
        <v>246</v>
      </c>
      <c r="Q18" s="3" t="s">
        <v>247</v>
      </c>
      <c r="S18" s="71"/>
      <c r="T18" s="65"/>
      <c r="U18" s="65"/>
      <c r="V18" s="2" t="s">
        <v>246</v>
      </c>
      <c r="W18" s="3" t="s">
        <v>247</v>
      </c>
      <c r="Y18" s="71"/>
      <c r="Z18" s="65"/>
      <c r="AA18" s="65"/>
      <c r="AB18" s="2" t="s">
        <v>246</v>
      </c>
      <c r="AC18" s="3" t="s">
        <v>247</v>
      </c>
    </row>
    <row r="19" spans="1:29" x14ac:dyDescent="0.35">
      <c r="A19" s="4">
        <v>1</v>
      </c>
      <c r="B19" s="5" t="str">
        <f>LEFT(C19,FIND("-",C19)-1)</f>
        <v>MECB001</v>
      </c>
      <c r="C19" s="6" t="s">
        <v>206</v>
      </c>
      <c r="D19" s="7">
        <v>386</v>
      </c>
      <c r="E19" s="8">
        <v>501800</v>
      </c>
      <c r="G19" s="4">
        <v>1</v>
      </c>
      <c r="H19" s="5" t="str">
        <f>LEFT(I19,FIND("-",I19)-1)</f>
        <v>MTOE001</v>
      </c>
      <c r="I19" s="6" t="s">
        <v>352</v>
      </c>
      <c r="J19" s="7">
        <v>461</v>
      </c>
      <c r="K19" s="8">
        <v>599300</v>
      </c>
      <c r="M19" s="4">
        <v>1</v>
      </c>
      <c r="N19" s="5" t="str">
        <f>LEFT(O19,FIND("-",O19)-1)</f>
        <v>MTLJ</v>
      </c>
      <c r="O19" s="6" t="s">
        <v>437</v>
      </c>
      <c r="P19" s="7">
        <v>645</v>
      </c>
      <c r="Q19" s="8">
        <v>806250</v>
      </c>
      <c r="S19" s="4">
        <v>1</v>
      </c>
      <c r="T19" s="5" t="str">
        <f>LEFT(U19,FIND("-",U19)-1)</f>
        <v>MTOE001</v>
      </c>
      <c r="U19" s="6" t="s">
        <v>352</v>
      </c>
      <c r="V19" s="7">
        <v>1331</v>
      </c>
      <c r="W19" s="8">
        <v>1730300</v>
      </c>
      <c r="Y19" s="4">
        <v>1</v>
      </c>
      <c r="Z19" s="5" t="s">
        <v>526</v>
      </c>
      <c r="AA19" s="6" t="s">
        <v>438</v>
      </c>
      <c r="AB19" s="7">
        <v>336</v>
      </c>
      <c r="AC19" s="8">
        <v>537600</v>
      </c>
    </row>
    <row r="20" spans="1:29" ht="14" customHeight="1" x14ac:dyDescent="0.35">
      <c r="A20" s="9">
        <v>2</v>
      </c>
      <c r="B20" s="10" t="str">
        <f t="shared" ref="B20:B28" si="4">LEFT(C20,FIND("-",C20)-1)</f>
        <v>MECB002</v>
      </c>
      <c r="C20" s="11" t="s">
        <v>207</v>
      </c>
      <c r="D20" s="12">
        <v>270</v>
      </c>
      <c r="E20" s="8">
        <v>351000</v>
      </c>
      <c r="G20" s="9">
        <v>2</v>
      </c>
      <c r="H20" s="10" t="str">
        <f t="shared" ref="H20:H28" si="5">LEFT(I20,FIND("-",I20)-1)</f>
        <v>MTLE</v>
      </c>
      <c r="I20" s="11" t="s">
        <v>215</v>
      </c>
      <c r="J20" s="12">
        <v>445</v>
      </c>
      <c r="K20" s="8">
        <v>534000</v>
      </c>
      <c r="M20" s="9">
        <v>2</v>
      </c>
      <c r="N20" s="10" t="str">
        <f t="shared" ref="N20:N28" si="6">LEFT(O20,FIND("-",O20)-1)</f>
        <v>MTSW</v>
      </c>
      <c r="O20" s="11" t="s">
        <v>218</v>
      </c>
      <c r="P20" s="12">
        <v>432</v>
      </c>
      <c r="Q20" s="8">
        <v>1058400</v>
      </c>
      <c r="S20" s="9">
        <v>2</v>
      </c>
      <c r="T20" s="10" t="str">
        <f t="shared" ref="T20:T28" si="7">LEFT(U20,FIND("-",U20)-1)</f>
        <v>MTLD</v>
      </c>
      <c r="U20" s="11" t="s">
        <v>214</v>
      </c>
      <c r="V20" s="12">
        <v>1199</v>
      </c>
      <c r="W20" s="8">
        <v>1258950</v>
      </c>
      <c r="Y20" s="9">
        <v>2</v>
      </c>
      <c r="Z20" s="10" t="s">
        <v>527</v>
      </c>
      <c r="AA20" s="11" t="s">
        <v>352</v>
      </c>
      <c r="AB20" s="12">
        <v>300</v>
      </c>
      <c r="AC20" s="8">
        <v>390000</v>
      </c>
    </row>
    <row r="21" spans="1:29" x14ac:dyDescent="0.35">
      <c r="A21" s="9">
        <v>3</v>
      </c>
      <c r="B21" s="10" t="str">
        <f t="shared" si="4"/>
        <v>MTNC</v>
      </c>
      <c r="C21" s="11" t="s">
        <v>71</v>
      </c>
      <c r="D21" s="12">
        <v>261</v>
      </c>
      <c r="E21" s="8">
        <v>261000</v>
      </c>
      <c r="G21" s="9">
        <v>3</v>
      </c>
      <c r="H21" s="10" t="str">
        <f t="shared" si="5"/>
        <v>MTLD</v>
      </c>
      <c r="I21" s="11" t="s">
        <v>214</v>
      </c>
      <c r="J21" s="12">
        <v>384</v>
      </c>
      <c r="K21" s="8">
        <v>403200</v>
      </c>
      <c r="M21" s="9">
        <v>3</v>
      </c>
      <c r="N21" s="10" t="str">
        <f t="shared" si="6"/>
        <v>MTLI</v>
      </c>
      <c r="O21" s="11" t="s">
        <v>436</v>
      </c>
      <c r="P21" s="12">
        <v>300</v>
      </c>
      <c r="Q21" s="8">
        <v>330000</v>
      </c>
      <c r="S21" s="9">
        <v>3</v>
      </c>
      <c r="T21" s="10" t="str">
        <f t="shared" si="7"/>
        <v>MTLE</v>
      </c>
      <c r="U21" s="11" t="s">
        <v>215</v>
      </c>
      <c r="V21" s="12">
        <v>1096</v>
      </c>
      <c r="W21" s="8">
        <v>1315200</v>
      </c>
      <c r="Y21" s="9">
        <v>3</v>
      </c>
      <c r="Z21" s="10" t="s">
        <v>528</v>
      </c>
      <c r="AA21" s="11" t="s">
        <v>214</v>
      </c>
      <c r="AB21" s="12">
        <v>200</v>
      </c>
      <c r="AC21" s="8">
        <v>210000</v>
      </c>
    </row>
    <row r="22" spans="1:29" x14ac:dyDescent="0.35">
      <c r="A22" s="9">
        <v>4</v>
      </c>
      <c r="B22" s="10" t="str">
        <f t="shared" si="4"/>
        <v>MTLE</v>
      </c>
      <c r="C22" s="11" t="s">
        <v>215</v>
      </c>
      <c r="D22" s="12">
        <v>230</v>
      </c>
      <c r="E22" s="8">
        <v>276000</v>
      </c>
      <c r="G22" s="9">
        <v>4</v>
      </c>
      <c r="H22" s="10" t="str">
        <f t="shared" si="5"/>
        <v>MTCP</v>
      </c>
      <c r="I22" s="11" t="s">
        <v>211</v>
      </c>
      <c r="J22" s="12">
        <v>310</v>
      </c>
      <c r="K22" s="8">
        <v>240250</v>
      </c>
      <c r="M22" s="9">
        <v>4</v>
      </c>
      <c r="N22" s="10" t="str">
        <f t="shared" si="6"/>
        <v>MTNN</v>
      </c>
      <c r="O22" s="11" t="s">
        <v>438</v>
      </c>
      <c r="P22" s="12">
        <v>270</v>
      </c>
      <c r="Q22" s="8">
        <v>432000</v>
      </c>
      <c r="S22" s="9">
        <v>4</v>
      </c>
      <c r="T22" s="10" t="str">
        <f t="shared" si="7"/>
        <v>MTLJ</v>
      </c>
      <c r="U22" s="11" t="s">
        <v>437</v>
      </c>
      <c r="V22" s="12">
        <v>1050</v>
      </c>
      <c r="W22" s="8">
        <v>1312500</v>
      </c>
      <c r="Y22" s="9">
        <v>4</v>
      </c>
      <c r="Z22" s="10" t="s">
        <v>529</v>
      </c>
      <c r="AA22" s="11" t="s">
        <v>436</v>
      </c>
      <c r="AB22" s="12">
        <v>200</v>
      </c>
      <c r="AC22" s="8">
        <v>220000</v>
      </c>
    </row>
    <row r="23" spans="1:29" x14ac:dyDescent="0.35">
      <c r="A23" s="9">
        <v>5</v>
      </c>
      <c r="B23" s="10" t="str">
        <f t="shared" si="4"/>
        <v>MTCP</v>
      </c>
      <c r="C23" s="11" t="s">
        <v>211</v>
      </c>
      <c r="D23" s="12">
        <v>150</v>
      </c>
      <c r="E23" s="8">
        <v>116250</v>
      </c>
      <c r="G23" s="9">
        <v>5</v>
      </c>
      <c r="H23" s="10" t="str">
        <f t="shared" si="5"/>
        <v>MTEI</v>
      </c>
      <c r="I23" s="11" t="s">
        <v>212</v>
      </c>
      <c r="J23" s="12">
        <v>186</v>
      </c>
      <c r="K23" s="8">
        <v>260400</v>
      </c>
      <c r="M23" s="9">
        <v>5</v>
      </c>
      <c r="N23" s="10" t="str">
        <f t="shared" si="6"/>
        <v>MTSE</v>
      </c>
      <c r="O23" s="11" t="s">
        <v>439</v>
      </c>
      <c r="P23" s="12">
        <v>82</v>
      </c>
      <c r="Q23" s="8">
        <v>237800</v>
      </c>
      <c r="S23" s="9">
        <v>5</v>
      </c>
      <c r="T23" s="10" t="str">
        <f t="shared" si="7"/>
        <v>MTOE002</v>
      </c>
      <c r="U23" s="11" t="s">
        <v>353</v>
      </c>
      <c r="V23" s="12">
        <v>910</v>
      </c>
      <c r="W23" s="8">
        <v>1183000</v>
      </c>
      <c r="Y23" s="9">
        <v>5</v>
      </c>
      <c r="Z23" s="10" t="s">
        <v>530</v>
      </c>
      <c r="AA23" s="11" t="s">
        <v>437</v>
      </c>
      <c r="AB23" s="12">
        <v>100</v>
      </c>
      <c r="AC23" s="8">
        <v>125000</v>
      </c>
    </row>
    <row r="24" spans="1:29" x14ac:dyDescent="0.35">
      <c r="A24" s="9">
        <v>6</v>
      </c>
      <c r="B24" s="10" t="str">
        <f t="shared" si="4"/>
        <v>MTYP</v>
      </c>
      <c r="C24" s="11" t="s">
        <v>225</v>
      </c>
      <c r="D24" s="12">
        <v>110</v>
      </c>
      <c r="E24" s="8">
        <v>159500</v>
      </c>
      <c r="G24" s="9">
        <v>6</v>
      </c>
      <c r="H24" s="10" t="str">
        <f t="shared" si="5"/>
        <v>MTEL</v>
      </c>
      <c r="I24" s="11" t="s">
        <v>213</v>
      </c>
      <c r="J24" s="12">
        <v>155</v>
      </c>
      <c r="K24" s="8">
        <v>232500</v>
      </c>
      <c r="M24" s="9">
        <v>6</v>
      </c>
      <c r="N24" s="10" t="str">
        <f t="shared" si="6"/>
        <v>MTBD</v>
      </c>
      <c r="O24" s="11" t="s">
        <v>210</v>
      </c>
      <c r="P24" s="12">
        <v>67</v>
      </c>
      <c r="Q24" s="8">
        <v>46900</v>
      </c>
      <c r="S24" s="9">
        <v>6</v>
      </c>
      <c r="T24" s="10" t="str">
        <f t="shared" si="7"/>
        <v>MTLI</v>
      </c>
      <c r="U24" s="11" t="s">
        <v>436</v>
      </c>
      <c r="V24" s="12">
        <v>530</v>
      </c>
      <c r="W24" s="8">
        <v>583000</v>
      </c>
      <c r="Y24" s="9">
        <v>6</v>
      </c>
      <c r="Z24" s="10" t="s">
        <v>531</v>
      </c>
      <c r="AA24" s="11" t="s">
        <v>50</v>
      </c>
      <c r="AB24" s="12">
        <v>70</v>
      </c>
      <c r="AC24" s="8">
        <v>133000</v>
      </c>
    </row>
    <row r="25" spans="1:29" x14ac:dyDescent="0.35">
      <c r="A25" s="9">
        <v>7</v>
      </c>
      <c r="B25" s="10" t="str">
        <f t="shared" si="4"/>
        <v>MTSW</v>
      </c>
      <c r="C25" s="11" t="s">
        <v>218</v>
      </c>
      <c r="D25" s="12">
        <v>104</v>
      </c>
      <c r="E25" s="8">
        <v>254800</v>
      </c>
      <c r="G25" s="9">
        <v>7</v>
      </c>
      <c r="H25" s="10" t="str">
        <f t="shared" si="5"/>
        <v>MTNC</v>
      </c>
      <c r="I25" s="11" t="s">
        <v>71</v>
      </c>
      <c r="J25" s="12">
        <v>140</v>
      </c>
      <c r="K25" s="8">
        <v>140000</v>
      </c>
      <c r="M25" s="9">
        <v>7</v>
      </c>
      <c r="N25" s="10" t="str">
        <f t="shared" si="6"/>
        <v>MTOE002</v>
      </c>
      <c r="O25" s="11" t="s">
        <v>353</v>
      </c>
      <c r="P25" s="12">
        <v>55</v>
      </c>
      <c r="Q25" s="8">
        <v>71500</v>
      </c>
      <c r="S25" s="9">
        <v>7</v>
      </c>
      <c r="T25" s="10" t="str">
        <f t="shared" si="7"/>
        <v>MTNN</v>
      </c>
      <c r="U25" s="11" t="s">
        <v>438</v>
      </c>
      <c r="V25" s="12">
        <v>434</v>
      </c>
      <c r="W25" s="8">
        <v>694400</v>
      </c>
      <c r="Y25" s="9">
        <v>7</v>
      </c>
      <c r="Z25" s="10" t="s">
        <v>532</v>
      </c>
      <c r="AA25" s="11" t="s">
        <v>439</v>
      </c>
      <c r="AB25" s="12">
        <v>30</v>
      </c>
      <c r="AC25" s="8">
        <v>87000</v>
      </c>
    </row>
    <row r="26" spans="1:29" x14ac:dyDescent="0.35">
      <c r="A26" s="9">
        <v>8</v>
      </c>
      <c r="B26" s="10" t="str">
        <f t="shared" si="4"/>
        <v>MTLD</v>
      </c>
      <c r="C26" s="11" t="s">
        <v>214</v>
      </c>
      <c r="D26" s="12">
        <v>100</v>
      </c>
      <c r="E26" s="8">
        <v>105000</v>
      </c>
      <c r="G26" s="9">
        <v>8</v>
      </c>
      <c r="H26" s="10" t="str">
        <f t="shared" si="5"/>
        <v>MTSX</v>
      </c>
      <c r="I26" s="11" t="s">
        <v>219</v>
      </c>
      <c r="J26" s="12">
        <v>120</v>
      </c>
      <c r="K26" s="8">
        <v>204000</v>
      </c>
      <c r="M26" s="9">
        <v>8</v>
      </c>
      <c r="N26" s="10" t="str">
        <f t="shared" si="6"/>
        <v>MECB002</v>
      </c>
      <c r="O26" s="11" t="s">
        <v>207</v>
      </c>
      <c r="P26" s="12">
        <v>40</v>
      </c>
      <c r="Q26" s="8">
        <v>52000</v>
      </c>
      <c r="S26" s="9">
        <v>8</v>
      </c>
      <c r="T26" s="10" t="str">
        <f t="shared" si="7"/>
        <v>MTCP</v>
      </c>
      <c r="U26" s="11" t="s">
        <v>211</v>
      </c>
      <c r="V26" s="12">
        <v>291</v>
      </c>
      <c r="W26" s="8">
        <v>225525</v>
      </c>
      <c r="Y26" s="9">
        <v>8</v>
      </c>
      <c r="Z26" s="10" t="s">
        <v>533</v>
      </c>
      <c r="AA26" s="11" t="s">
        <v>440</v>
      </c>
      <c r="AB26" s="12">
        <v>9</v>
      </c>
      <c r="AC26" s="8">
        <v>19350</v>
      </c>
    </row>
    <row r="27" spans="1:29" x14ac:dyDescent="0.35">
      <c r="A27" s="9">
        <v>9</v>
      </c>
      <c r="B27" s="10" t="str">
        <f t="shared" si="4"/>
        <v>MELW</v>
      </c>
      <c r="C27" s="11" t="s">
        <v>208</v>
      </c>
      <c r="D27" s="12">
        <v>80</v>
      </c>
      <c r="E27" s="8">
        <v>120000</v>
      </c>
      <c r="G27" s="9">
        <v>9</v>
      </c>
      <c r="H27" s="10" t="str">
        <f t="shared" si="5"/>
        <v>MTSW</v>
      </c>
      <c r="I27" s="11" t="s">
        <v>218</v>
      </c>
      <c r="J27" s="12">
        <v>112</v>
      </c>
      <c r="K27" s="8">
        <v>274400</v>
      </c>
      <c r="M27" s="9">
        <v>9</v>
      </c>
      <c r="N27" s="10" t="str">
        <f t="shared" si="6"/>
        <v>MTSX</v>
      </c>
      <c r="O27" s="11" t="s">
        <v>219</v>
      </c>
      <c r="P27" s="12">
        <v>33</v>
      </c>
      <c r="Q27" s="8">
        <v>56100</v>
      </c>
      <c r="S27" s="9">
        <v>9</v>
      </c>
      <c r="T27" s="10" t="str">
        <f t="shared" si="7"/>
        <v>MECB002</v>
      </c>
      <c r="U27" s="11" t="s">
        <v>207</v>
      </c>
      <c r="V27" s="12">
        <v>268</v>
      </c>
      <c r="W27" s="8">
        <v>348400</v>
      </c>
      <c r="Y27" s="9">
        <v>9</v>
      </c>
      <c r="Z27" s="10" t="s">
        <v>534</v>
      </c>
      <c r="AA27" s="11" t="s">
        <v>209</v>
      </c>
      <c r="AB27" s="12">
        <v>4</v>
      </c>
      <c r="AC27" s="8">
        <v>4000</v>
      </c>
    </row>
    <row r="28" spans="1:29" ht="15" thickBot="1" x14ac:dyDescent="0.4">
      <c r="A28" s="13">
        <v>10</v>
      </c>
      <c r="B28" s="14" t="str">
        <f t="shared" si="4"/>
        <v>MTYO</v>
      </c>
      <c r="C28" s="15" t="s">
        <v>224</v>
      </c>
      <c r="D28" s="16">
        <v>70</v>
      </c>
      <c r="E28" s="17">
        <v>94500</v>
      </c>
      <c r="G28" s="13">
        <v>10</v>
      </c>
      <c r="H28" s="14" t="str">
        <f t="shared" si="5"/>
        <v>MTOE002</v>
      </c>
      <c r="I28" s="15" t="s">
        <v>353</v>
      </c>
      <c r="J28" s="16">
        <v>110</v>
      </c>
      <c r="K28" s="17">
        <v>143000</v>
      </c>
      <c r="M28" s="13">
        <v>10</v>
      </c>
      <c r="N28" s="14" t="str">
        <f t="shared" si="6"/>
        <v>MTSF</v>
      </c>
      <c r="O28" s="15" t="s">
        <v>217</v>
      </c>
      <c r="P28" s="16">
        <v>31</v>
      </c>
      <c r="Q28" s="17">
        <v>8990</v>
      </c>
      <c r="S28" s="13">
        <v>10</v>
      </c>
      <c r="T28" s="14" t="str">
        <f t="shared" si="7"/>
        <v>MTYO</v>
      </c>
      <c r="U28" s="15" t="s">
        <v>224</v>
      </c>
      <c r="V28" s="16">
        <v>220</v>
      </c>
      <c r="W28" s="17">
        <v>297000</v>
      </c>
      <c r="Y28" s="13">
        <v>10</v>
      </c>
      <c r="Z28" s="14" t="s">
        <v>535</v>
      </c>
      <c r="AA28" s="15" t="s">
        <v>349</v>
      </c>
      <c r="AB28" s="16">
        <v>3</v>
      </c>
      <c r="AC28" s="17">
        <v>5700</v>
      </c>
    </row>
    <row r="30" spans="1:29" ht="15" thickBot="1" x14ac:dyDescent="0.4">
      <c r="A30" s="1" t="s">
        <v>250</v>
      </c>
      <c r="G30" s="1" t="s">
        <v>250</v>
      </c>
      <c r="M30" s="1" t="s">
        <v>250</v>
      </c>
      <c r="S30" s="1" t="s">
        <v>250</v>
      </c>
      <c r="Y30" s="1" t="s">
        <v>250</v>
      </c>
    </row>
    <row r="31" spans="1:29" x14ac:dyDescent="0.35">
      <c r="A31" s="70" t="s">
        <v>242</v>
      </c>
      <c r="B31" s="72" t="s">
        <v>243</v>
      </c>
      <c r="C31" s="72" t="s">
        <v>244</v>
      </c>
      <c r="D31" s="73" t="s">
        <v>245</v>
      </c>
      <c r="E31" s="74"/>
      <c r="G31" s="70" t="s">
        <v>242</v>
      </c>
      <c r="H31" s="72" t="s">
        <v>243</v>
      </c>
      <c r="I31" s="72" t="s">
        <v>244</v>
      </c>
      <c r="J31" s="73" t="s">
        <v>245</v>
      </c>
      <c r="K31" s="74"/>
      <c r="M31" s="70" t="s">
        <v>242</v>
      </c>
      <c r="N31" s="72" t="s">
        <v>243</v>
      </c>
      <c r="O31" s="72" t="s">
        <v>244</v>
      </c>
      <c r="P31" s="73" t="s">
        <v>245</v>
      </c>
      <c r="Q31" s="74"/>
      <c r="S31" s="70" t="s">
        <v>242</v>
      </c>
      <c r="T31" s="72" t="s">
        <v>243</v>
      </c>
      <c r="U31" s="72" t="s">
        <v>244</v>
      </c>
      <c r="V31" s="73" t="s">
        <v>245</v>
      </c>
      <c r="W31" s="74"/>
      <c r="Y31" s="70" t="s">
        <v>242</v>
      </c>
      <c r="Z31" s="72" t="s">
        <v>243</v>
      </c>
      <c r="AA31" s="72" t="s">
        <v>244</v>
      </c>
      <c r="AB31" s="73" t="s">
        <v>245</v>
      </c>
      <c r="AC31" s="74"/>
    </row>
    <row r="32" spans="1:29" x14ac:dyDescent="0.35">
      <c r="A32" s="71"/>
      <c r="B32" s="65"/>
      <c r="C32" s="65"/>
      <c r="D32" s="2" t="s">
        <v>246</v>
      </c>
      <c r="E32" s="3" t="s">
        <v>247</v>
      </c>
      <c r="G32" s="71"/>
      <c r="H32" s="65"/>
      <c r="I32" s="65"/>
      <c r="J32" s="2" t="s">
        <v>246</v>
      </c>
      <c r="K32" s="3" t="s">
        <v>247</v>
      </c>
      <c r="M32" s="71"/>
      <c r="N32" s="65"/>
      <c r="O32" s="65"/>
      <c r="P32" s="2" t="s">
        <v>246</v>
      </c>
      <c r="Q32" s="3" t="s">
        <v>247</v>
      </c>
      <c r="S32" s="71"/>
      <c r="T32" s="65"/>
      <c r="U32" s="65"/>
      <c r="V32" s="2" t="s">
        <v>246</v>
      </c>
      <c r="W32" s="3" t="s">
        <v>247</v>
      </c>
      <c r="Y32" s="71"/>
      <c r="Z32" s="65"/>
      <c r="AA32" s="65"/>
      <c r="AB32" s="2" t="s">
        <v>246</v>
      </c>
      <c r="AC32" s="3" t="s">
        <v>247</v>
      </c>
    </row>
    <row r="33" spans="1:29" x14ac:dyDescent="0.35">
      <c r="A33" s="4">
        <v>1</v>
      </c>
      <c r="B33" s="5" t="str">
        <f>LEFT(C33,FIND("-",C33)-1)</f>
        <v>SINO002</v>
      </c>
      <c r="C33" s="6" t="s">
        <v>237</v>
      </c>
      <c r="D33" s="7">
        <v>485</v>
      </c>
      <c r="E33" s="8">
        <v>552900</v>
      </c>
      <c r="G33" s="4">
        <v>1</v>
      </c>
      <c r="H33" s="5" t="str">
        <f>LEFT(I33,FIND("-",I33)-1)</f>
        <v>SINO001</v>
      </c>
      <c r="I33" s="6" t="s">
        <v>236</v>
      </c>
      <c r="J33" s="7">
        <v>351</v>
      </c>
      <c r="K33" s="8">
        <v>400140</v>
      </c>
      <c r="M33" s="4">
        <v>1</v>
      </c>
      <c r="N33" s="5" t="str">
        <f>LEFT(O33,FIND("-",O33)-1)</f>
        <v>SINO001</v>
      </c>
      <c r="O33" s="6" t="s">
        <v>236</v>
      </c>
      <c r="P33" s="7">
        <v>232</v>
      </c>
      <c r="Q33" s="8">
        <v>264480</v>
      </c>
      <c r="S33" s="4">
        <v>1</v>
      </c>
      <c r="T33" s="5" t="str">
        <f>LEFT(U33,FIND("-",U33)-1)</f>
        <v>SHLP001</v>
      </c>
      <c r="U33" s="6" t="s">
        <v>499</v>
      </c>
      <c r="V33" s="7">
        <v>1150</v>
      </c>
      <c r="W33" s="8">
        <v>3146400</v>
      </c>
      <c r="Y33" s="4">
        <v>1</v>
      </c>
      <c r="Z33" s="5" t="s">
        <v>538</v>
      </c>
      <c r="AA33" s="6" t="s">
        <v>103</v>
      </c>
      <c r="AB33" s="7">
        <v>320</v>
      </c>
      <c r="AC33" s="8">
        <v>638400</v>
      </c>
    </row>
    <row r="34" spans="1:29" x14ac:dyDescent="0.35">
      <c r="A34" s="9">
        <v>2</v>
      </c>
      <c r="B34" s="10" t="str">
        <f t="shared" ref="B34:B42" si="8">LEFT(C34,FIND("-",C34)-1)</f>
        <v>SINO001</v>
      </c>
      <c r="C34" s="11" t="s">
        <v>236</v>
      </c>
      <c r="D34" s="12">
        <v>331</v>
      </c>
      <c r="E34" s="8">
        <v>377340</v>
      </c>
      <c r="G34" s="9">
        <v>2</v>
      </c>
      <c r="H34" s="10" t="str">
        <f t="shared" ref="H34:H42" si="9">LEFT(I34,FIND("-",I34)-1)</f>
        <v>SITA</v>
      </c>
      <c r="I34" s="11" t="s">
        <v>396</v>
      </c>
      <c r="J34" s="12">
        <v>210</v>
      </c>
      <c r="K34" s="8">
        <v>478800</v>
      </c>
      <c r="M34" s="9">
        <v>2</v>
      </c>
      <c r="N34" s="10" t="str">
        <f t="shared" ref="N34:N42" si="10">LEFT(O34,FIND("-",O34)-1)</f>
        <v>SITA</v>
      </c>
      <c r="O34" s="11" t="s">
        <v>396</v>
      </c>
      <c r="P34" s="12">
        <v>210</v>
      </c>
      <c r="Q34" s="8">
        <v>478800</v>
      </c>
      <c r="S34" s="9">
        <v>2</v>
      </c>
      <c r="T34" s="10" t="str">
        <f t="shared" ref="T34:T42" si="11">LEFT(U34,FIND("-",U34)-1)</f>
        <v>SIUR</v>
      </c>
      <c r="U34" s="11" t="s">
        <v>103</v>
      </c>
      <c r="V34" s="12">
        <v>636</v>
      </c>
      <c r="W34" s="8">
        <v>1268820</v>
      </c>
      <c r="Y34" s="9">
        <v>2</v>
      </c>
      <c r="Z34" s="10" t="s">
        <v>539</v>
      </c>
      <c r="AA34" s="11" t="s">
        <v>515</v>
      </c>
      <c r="AB34" s="12">
        <v>300</v>
      </c>
      <c r="AC34" s="8">
        <v>547200</v>
      </c>
    </row>
    <row r="35" spans="1:29" x14ac:dyDescent="0.35">
      <c r="A35" s="9">
        <v>3</v>
      </c>
      <c r="B35" s="10" t="str">
        <f t="shared" si="8"/>
        <v>SIOA001</v>
      </c>
      <c r="C35" s="11" t="s">
        <v>96</v>
      </c>
      <c r="D35" s="12">
        <v>130</v>
      </c>
      <c r="E35" s="8">
        <v>259350</v>
      </c>
      <c r="G35" s="9">
        <v>3</v>
      </c>
      <c r="H35" s="10" t="str">
        <f t="shared" si="9"/>
        <v>SHSG</v>
      </c>
      <c r="I35" s="11" t="s">
        <v>370</v>
      </c>
      <c r="J35" s="12">
        <v>201</v>
      </c>
      <c r="K35" s="8">
        <v>389538</v>
      </c>
      <c r="M35" s="9">
        <v>3</v>
      </c>
      <c r="N35" s="10" t="str">
        <f t="shared" si="10"/>
        <v>SHBA003</v>
      </c>
      <c r="O35" s="11" t="s">
        <v>444</v>
      </c>
      <c r="P35" s="12">
        <v>204</v>
      </c>
      <c r="Q35" s="8">
        <v>523260</v>
      </c>
      <c r="S35" s="9">
        <v>3</v>
      </c>
      <c r="T35" s="10" t="str">
        <f t="shared" si="11"/>
        <v>STMY</v>
      </c>
      <c r="U35" s="11" t="s">
        <v>129</v>
      </c>
      <c r="V35" s="12">
        <v>330</v>
      </c>
      <c r="W35" s="8">
        <v>470250</v>
      </c>
      <c r="Y35" s="9">
        <v>3</v>
      </c>
      <c r="Z35" s="10" t="s">
        <v>540</v>
      </c>
      <c r="AA35" s="11" t="s">
        <v>517</v>
      </c>
      <c r="AB35" s="12">
        <v>300</v>
      </c>
      <c r="AC35" s="8">
        <v>940500</v>
      </c>
    </row>
    <row r="36" spans="1:29" x14ac:dyDescent="0.35">
      <c r="A36" s="9">
        <v>4</v>
      </c>
      <c r="B36" s="10" t="str">
        <f t="shared" si="8"/>
        <v>SJPK001</v>
      </c>
      <c r="C36" s="11" t="s">
        <v>106</v>
      </c>
      <c r="D36" s="12">
        <v>100</v>
      </c>
      <c r="E36" s="8">
        <v>239400</v>
      </c>
      <c r="G36" s="9">
        <v>4</v>
      </c>
      <c r="H36" s="10" t="str">
        <f t="shared" si="9"/>
        <v>SHSC</v>
      </c>
      <c r="I36" s="11" t="s">
        <v>368</v>
      </c>
      <c r="J36" s="12">
        <v>200</v>
      </c>
      <c r="K36" s="8">
        <v>387600</v>
      </c>
      <c r="M36" s="9">
        <v>4</v>
      </c>
      <c r="N36" s="10" t="str">
        <f t="shared" si="10"/>
        <v>SHLP003</v>
      </c>
      <c r="O36" s="11" t="s">
        <v>449</v>
      </c>
      <c r="P36" s="12">
        <v>171</v>
      </c>
      <c r="Q36" s="8">
        <v>467856</v>
      </c>
      <c r="S36" s="9">
        <v>4</v>
      </c>
      <c r="T36" s="10" t="str">
        <f t="shared" si="11"/>
        <v>SHLP003</v>
      </c>
      <c r="U36" s="11" t="s">
        <v>449</v>
      </c>
      <c r="V36" s="12">
        <v>279</v>
      </c>
      <c r="W36" s="8">
        <v>763344</v>
      </c>
      <c r="Y36" s="9">
        <v>4</v>
      </c>
      <c r="Z36" s="10" t="s">
        <v>541</v>
      </c>
      <c r="AA36" s="11" t="s">
        <v>372</v>
      </c>
      <c r="AB36" s="12">
        <v>278</v>
      </c>
      <c r="AC36" s="8">
        <v>950760</v>
      </c>
    </row>
    <row r="37" spans="1:29" x14ac:dyDescent="0.35">
      <c r="A37" s="9">
        <v>5</v>
      </c>
      <c r="B37" s="10" t="str">
        <f t="shared" si="8"/>
        <v>SJFG</v>
      </c>
      <c r="C37" s="11" t="s">
        <v>105</v>
      </c>
      <c r="D37" s="12">
        <v>92</v>
      </c>
      <c r="E37" s="8">
        <v>125856</v>
      </c>
      <c r="G37" s="9">
        <v>5</v>
      </c>
      <c r="H37" s="10" t="str">
        <f t="shared" si="9"/>
        <v>SHSF103</v>
      </c>
      <c r="I37" s="11" t="s">
        <v>369</v>
      </c>
      <c r="J37" s="12">
        <v>200</v>
      </c>
      <c r="K37" s="8">
        <v>478800</v>
      </c>
      <c r="M37" s="9">
        <v>5</v>
      </c>
      <c r="N37" s="10" t="str">
        <f t="shared" si="10"/>
        <v>SJPN</v>
      </c>
      <c r="O37" s="11" t="s">
        <v>107</v>
      </c>
      <c r="P37" s="12">
        <v>167</v>
      </c>
      <c r="Q37" s="8">
        <v>190380</v>
      </c>
      <c r="S37" s="9">
        <v>5</v>
      </c>
      <c r="T37" s="10" t="str">
        <f t="shared" si="11"/>
        <v>SINO002</v>
      </c>
      <c r="U37" s="11" t="s">
        <v>237</v>
      </c>
      <c r="V37" s="12">
        <v>251</v>
      </c>
      <c r="W37" s="8">
        <v>286140</v>
      </c>
      <c r="Y37" s="9">
        <v>5</v>
      </c>
      <c r="Z37" s="10" t="s">
        <v>542</v>
      </c>
      <c r="AA37" s="11" t="s">
        <v>99</v>
      </c>
      <c r="AB37" s="12">
        <v>237</v>
      </c>
      <c r="AC37" s="8">
        <v>189126</v>
      </c>
    </row>
    <row r="38" spans="1:29" x14ac:dyDescent="0.35">
      <c r="A38" s="9">
        <v>6</v>
      </c>
      <c r="B38" s="10" t="str">
        <f t="shared" si="8"/>
        <v>SJPN</v>
      </c>
      <c r="C38" s="11" t="s">
        <v>107</v>
      </c>
      <c r="D38" s="12">
        <v>73</v>
      </c>
      <c r="E38" s="8">
        <v>83220</v>
      </c>
      <c r="G38" s="9">
        <v>6</v>
      </c>
      <c r="H38" s="10" t="str">
        <f t="shared" si="9"/>
        <v>SINO002</v>
      </c>
      <c r="I38" s="11" t="s">
        <v>237</v>
      </c>
      <c r="J38" s="12">
        <v>175</v>
      </c>
      <c r="K38" s="8">
        <v>199500</v>
      </c>
      <c r="M38" s="9">
        <v>6</v>
      </c>
      <c r="N38" s="10" t="str">
        <f t="shared" si="10"/>
        <v>SHLP002</v>
      </c>
      <c r="O38" s="11" t="s">
        <v>448</v>
      </c>
      <c r="P38" s="12">
        <v>150</v>
      </c>
      <c r="Q38" s="8">
        <v>410400</v>
      </c>
      <c r="S38" s="9">
        <v>6</v>
      </c>
      <c r="T38" s="10" t="str">
        <f t="shared" si="11"/>
        <v>SIHF</v>
      </c>
      <c r="U38" s="11" t="s">
        <v>124</v>
      </c>
      <c r="V38" s="12">
        <v>202</v>
      </c>
      <c r="W38" s="8">
        <v>414504</v>
      </c>
      <c r="Y38" s="9">
        <v>6</v>
      </c>
      <c r="Z38" s="10" t="s">
        <v>543</v>
      </c>
      <c r="AA38" s="11" t="s">
        <v>129</v>
      </c>
      <c r="AB38" s="12">
        <v>235</v>
      </c>
      <c r="AC38" s="8">
        <v>334875</v>
      </c>
    </row>
    <row r="39" spans="1:29" x14ac:dyDescent="0.35">
      <c r="A39" s="9">
        <v>7</v>
      </c>
      <c r="B39" s="10" t="str">
        <f t="shared" si="8"/>
        <v>SJFW</v>
      </c>
      <c r="C39" s="11" t="s">
        <v>240</v>
      </c>
      <c r="D39" s="12">
        <v>61</v>
      </c>
      <c r="E39" s="8">
        <v>125172</v>
      </c>
      <c r="G39" s="9">
        <v>7</v>
      </c>
      <c r="H39" s="10" t="str">
        <f t="shared" si="9"/>
        <v>SHSB</v>
      </c>
      <c r="I39" s="11" t="s">
        <v>367</v>
      </c>
      <c r="J39" s="12">
        <v>150</v>
      </c>
      <c r="K39" s="8">
        <v>205200</v>
      </c>
      <c r="M39" s="9">
        <v>7</v>
      </c>
      <c r="N39" s="10" t="str">
        <f t="shared" si="10"/>
        <v>SHLP004</v>
      </c>
      <c r="O39" s="11" t="s">
        <v>450</v>
      </c>
      <c r="P39" s="12">
        <v>127</v>
      </c>
      <c r="Q39" s="8">
        <v>347472</v>
      </c>
      <c r="S39" s="9">
        <v>7</v>
      </c>
      <c r="T39" s="10" t="str">
        <f t="shared" si="11"/>
        <v>SINO001</v>
      </c>
      <c r="U39" s="11" t="s">
        <v>236</v>
      </c>
      <c r="V39" s="12">
        <v>200</v>
      </c>
      <c r="W39" s="8">
        <v>228000</v>
      </c>
      <c r="Y39" s="9">
        <v>7</v>
      </c>
      <c r="Z39" s="10" t="s">
        <v>544</v>
      </c>
      <c r="AA39" s="11" t="s">
        <v>236</v>
      </c>
      <c r="AB39" s="12">
        <v>210</v>
      </c>
      <c r="AC39" s="8">
        <v>239400</v>
      </c>
    </row>
    <row r="40" spans="1:29" x14ac:dyDescent="0.35">
      <c r="A40" s="9">
        <v>8</v>
      </c>
      <c r="B40" s="10" t="str">
        <f t="shared" si="8"/>
        <v>STFR</v>
      </c>
      <c r="C40" s="11" t="s">
        <v>108</v>
      </c>
      <c r="D40" s="12">
        <v>60</v>
      </c>
      <c r="E40" s="8">
        <v>194940</v>
      </c>
      <c r="G40" s="9">
        <v>8</v>
      </c>
      <c r="H40" s="10" t="str">
        <f t="shared" si="9"/>
        <v>SIDT</v>
      </c>
      <c r="I40" s="11" t="s">
        <v>76</v>
      </c>
      <c r="J40" s="12">
        <v>116</v>
      </c>
      <c r="K40" s="8">
        <v>211584</v>
      </c>
      <c r="M40" s="9">
        <v>8</v>
      </c>
      <c r="N40" s="10" t="str">
        <f t="shared" si="10"/>
        <v>SIDU</v>
      </c>
      <c r="O40" s="11" t="s">
        <v>77</v>
      </c>
      <c r="P40" s="12">
        <v>113</v>
      </c>
      <c r="Q40" s="8">
        <v>206112</v>
      </c>
      <c r="S40" s="9">
        <v>8</v>
      </c>
      <c r="T40" s="10" t="str">
        <f t="shared" si="11"/>
        <v>SIOA001</v>
      </c>
      <c r="U40" s="11" t="s">
        <v>96</v>
      </c>
      <c r="V40" s="12">
        <v>150</v>
      </c>
      <c r="W40" s="8">
        <v>299250</v>
      </c>
      <c r="Y40" s="9">
        <v>8</v>
      </c>
      <c r="Z40" s="10" t="s">
        <v>545</v>
      </c>
      <c r="AA40" s="11" t="s">
        <v>514</v>
      </c>
      <c r="AB40" s="12">
        <v>200</v>
      </c>
      <c r="AC40" s="8">
        <v>273600</v>
      </c>
    </row>
    <row r="41" spans="1:29" x14ac:dyDescent="0.35">
      <c r="A41" s="9">
        <v>9</v>
      </c>
      <c r="B41" s="10" t="str">
        <f t="shared" si="8"/>
        <v>SIHF</v>
      </c>
      <c r="C41" s="11" t="s">
        <v>124</v>
      </c>
      <c r="D41" s="12">
        <v>50</v>
      </c>
      <c r="E41" s="8">
        <v>102600</v>
      </c>
      <c r="G41" s="9">
        <v>9</v>
      </c>
      <c r="H41" s="10" t="str">
        <f t="shared" si="9"/>
        <v>SIUR</v>
      </c>
      <c r="I41" s="11" t="s">
        <v>103</v>
      </c>
      <c r="J41" s="12">
        <v>111</v>
      </c>
      <c r="K41" s="8">
        <v>221445</v>
      </c>
      <c r="M41" s="9">
        <v>9</v>
      </c>
      <c r="N41" s="10" t="str">
        <f t="shared" si="10"/>
        <v>SHBA002</v>
      </c>
      <c r="O41" s="11" t="s">
        <v>443</v>
      </c>
      <c r="P41" s="12">
        <v>106</v>
      </c>
      <c r="Q41" s="8">
        <v>271890</v>
      </c>
      <c r="S41" s="9">
        <v>9</v>
      </c>
      <c r="T41" s="10" t="str">
        <f t="shared" si="11"/>
        <v>SIOA002</v>
      </c>
      <c r="U41" s="11" t="s">
        <v>387</v>
      </c>
      <c r="V41" s="12">
        <v>133</v>
      </c>
      <c r="W41" s="8">
        <v>265335</v>
      </c>
      <c r="Y41" s="9">
        <v>9</v>
      </c>
      <c r="Z41" s="10" t="s">
        <v>546</v>
      </c>
      <c r="AA41" s="11" t="s">
        <v>516</v>
      </c>
      <c r="AB41" s="12">
        <v>200</v>
      </c>
      <c r="AC41" s="8">
        <v>444600</v>
      </c>
    </row>
    <row r="42" spans="1:29" ht="15" thickBot="1" x14ac:dyDescent="0.4">
      <c r="A42" s="13">
        <v>10</v>
      </c>
      <c r="B42" s="14" t="str">
        <f t="shared" si="8"/>
        <v>SJPK027</v>
      </c>
      <c r="C42" s="15" t="s">
        <v>128</v>
      </c>
      <c r="D42" s="16">
        <v>34</v>
      </c>
      <c r="E42" s="17">
        <v>81396</v>
      </c>
      <c r="G42" s="13">
        <v>10</v>
      </c>
      <c r="H42" s="14" t="str">
        <f t="shared" si="9"/>
        <v>SHSH</v>
      </c>
      <c r="I42" s="15" t="s">
        <v>371</v>
      </c>
      <c r="J42" s="16">
        <v>100</v>
      </c>
      <c r="K42" s="17">
        <v>307800</v>
      </c>
      <c r="M42" s="13">
        <v>10</v>
      </c>
      <c r="N42" s="14" t="str">
        <f t="shared" si="10"/>
        <v>SIDT</v>
      </c>
      <c r="O42" s="15" t="s">
        <v>76</v>
      </c>
      <c r="P42" s="16">
        <v>104</v>
      </c>
      <c r="Q42" s="17">
        <v>189696</v>
      </c>
      <c r="S42" s="13">
        <v>10</v>
      </c>
      <c r="T42" s="14" t="str">
        <f t="shared" si="11"/>
        <v>SIOT</v>
      </c>
      <c r="U42" s="15" t="s">
        <v>99</v>
      </c>
      <c r="V42" s="16">
        <v>115</v>
      </c>
      <c r="W42" s="17">
        <v>91770</v>
      </c>
      <c r="Y42" s="13">
        <v>10</v>
      </c>
      <c r="Z42" s="14" t="s">
        <v>547</v>
      </c>
      <c r="AA42" s="15" t="s">
        <v>518</v>
      </c>
      <c r="AB42" s="16">
        <v>200</v>
      </c>
      <c r="AC42" s="17">
        <v>399000</v>
      </c>
    </row>
    <row r="44" spans="1:29" ht="15" thickBot="1" x14ac:dyDescent="0.4">
      <c r="A44" s="1" t="s">
        <v>251</v>
      </c>
      <c r="G44" s="1" t="s">
        <v>251</v>
      </c>
      <c r="M44" s="1" t="s">
        <v>251</v>
      </c>
      <c r="S44" s="1" t="s">
        <v>251</v>
      </c>
      <c r="Y44" s="1" t="s">
        <v>251</v>
      </c>
    </row>
    <row r="45" spans="1:29" x14ac:dyDescent="0.35">
      <c r="A45" s="70" t="s">
        <v>242</v>
      </c>
      <c r="B45" s="72" t="s">
        <v>243</v>
      </c>
      <c r="C45" s="72" t="s">
        <v>244</v>
      </c>
      <c r="D45" s="73" t="s">
        <v>245</v>
      </c>
      <c r="E45" s="74"/>
      <c r="G45" s="70" t="s">
        <v>242</v>
      </c>
      <c r="H45" s="72" t="s">
        <v>243</v>
      </c>
      <c r="I45" s="72" t="s">
        <v>244</v>
      </c>
      <c r="J45" s="73" t="s">
        <v>245</v>
      </c>
      <c r="K45" s="74"/>
      <c r="M45" s="70" t="s">
        <v>242</v>
      </c>
      <c r="N45" s="72" t="s">
        <v>243</v>
      </c>
      <c r="O45" s="72" t="s">
        <v>244</v>
      </c>
      <c r="P45" s="73" t="s">
        <v>245</v>
      </c>
      <c r="Q45" s="74"/>
      <c r="S45" s="70" t="s">
        <v>242</v>
      </c>
      <c r="T45" s="72" t="s">
        <v>243</v>
      </c>
      <c r="U45" s="72" t="s">
        <v>244</v>
      </c>
      <c r="V45" s="73" t="s">
        <v>245</v>
      </c>
      <c r="W45" s="74"/>
      <c r="Y45" s="70" t="s">
        <v>242</v>
      </c>
      <c r="Z45" s="72" t="s">
        <v>243</v>
      </c>
      <c r="AA45" s="72" t="s">
        <v>244</v>
      </c>
      <c r="AB45" s="73" t="s">
        <v>245</v>
      </c>
      <c r="AC45" s="74"/>
    </row>
    <row r="46" spans="1:29" x14ac:dyDescent="0.35">
      <c r="A46" s="71"/>
      <c r="B46" s="65"/>
      <c r="C46" s="65"/>
      <c r="D46" s="2" t="s">
        <v>246</v>
      </c>
      <c r="E46" s="3" t="s">
        <v>247</v>
      </c>
      <c r="G46" s="71"/>
      <c r="H46" s="65"/>
      <c r="I46" s="65"/>
      <c r="J46" s="2" t="s">
        <v>246</v>
      </c>
      <c r="K46" s="3" t="s">
        <v>247</v>
      </c>
      <c r="M46" s="71"/>
      <c r="N46" s="65"/>
      <c r="O46" s="65"/>
      <c r="P46" s="2" t="s">
        <v>246</v>
      </c>
      <c r="Q46" s="3" t="s">
        <v>247</v>
      </c>
      <c r="S46" s="71"/>
      <c r="T46" s="65"/>
      <c r="U46" s="65"/>
      <c r="V46" s="2" t="s">
        <v>246</v>
      </c>
      <c r="W46" s="3" t="s">
        <v>247</v>
      </c>
      <c r="Y46" s="71"/>
      <c r="Z46" s="65"/>
      <c r="AA46" s="65"/>
      <c r="AB46" s="2" t="s">
        <v>246</v>
      </c>
      <c r="AC46" s="3" t="s">
        <v>247</v>
      </c>
    </row>
    <row r="47" spans="1:29" x14ac:dyDescent="0.35">
      <c r="A47" s="4">
        <v>1</v>
      </c>
      <c r="B47" s="5" t="str">
        <f>LEFT(C47,FIND("-",C47)-1)</f>
        <v>MUSC</v>
      </c>
      <c r="C47" s="6" t="s">
        <v>115</v>
      </c>
      <c r="D47" s="7">
        <v>2800</v>
      </c>
      <c r="E47" s="8">
        <v>8316000</v>
      </c>
      <c r="G47" s="4">
        <v>1</v>
      </c>
      <c r="H47" s="5" t="str">
        <f>LEFT(I47,FIND("-",I47)-1)</f>
        <v>MUSC</v>
      </c>
      <c r="I47" s="6" t="s">
        <v>115</v>
      </c>
      <c r="J47" s="7">
        <v>2802</v>
      </c>
      <c r="K47" s="8">
        <v>8321940</v>
      </c>
      <c r="M47" s="4">
        <v>1</v>
      </c>
      <c r="N47" s="5" t="str">
        <f>LEFT(O47,FIND("-",O47)-1)</f>
        <v>MUCF</v>
      </c>
      <c r="O47" s="6" t="s">
        <v>441</v>
      </c>
      <c r="P47" s="7">
        <v>3000</v>
      </c>
      <c r="Q47" s="8">
        <v>2970000</v>
      </c>
      <c r="S47" s="4">
        <v>1</v>
      </c>
      <c r="T47" s="5" t="str">
        <f>LEFT(U47,FIND("-",U47)-1)</f>
        <v>DLEA</v>
      </c>
      <c r="U47" s="6" t="s">
        <v>480</v>
      </c>
      <c r="V47" s="7">
        <v>20520</v>
      </c>
      <c r="W47" s="8">
        <v>14671800</v>
      </c>
      <c r="Y47" s="4">
        <v>1</v>
      </c>
      <c r="Z47" s="5" t="s">
        <v>536</v>
      </c>
      <c r="AA47" s="6" t="s">
        <v>441</v>
      </c>
      <c r="AB47" s="7">
        <v>5600</v>
      </c>
      <c r="AC47" s="8">
        <v>5544000</v>
      </c>
    </row>
    <row r="48" spans="1:29" x14ac:dyDescent="0.35">
      <c r="A48" s="9">
        <v>2</v>
      </c>
      <c r="B48" s="10" t="str">
        <f t="shared" ref="B48" si="12">LEFT(C48,FIND("-",C48)-1)</f>
        <v>MUCH</v>
      </c>
      <c r="C48" s="11" t="s">
        <v>73</v>
      </c>
      <c r="D48" s="12">
        <v>3</v>
      </c>
      <c r="E48" s="8">
        <v>2970</v>
      </c>
      <c r="G48" s="9">
        <v>2</v>
      </c>
      <c r="H48" s="10" t="str">
        <f t="shared" ref="H48" si="13">LEFT(I48,FIND("-",I48)-1)</f>
        <v>MUPD</v>
      </c>
      <c r="I48" s="11" t="s">
        <v>358</v>
      </c>
      <c r="J48" s="12">
        <v>10</v>
      </c>
      <c r="K48" s="8">
        <v>19250</v>
      </c>
      <c r="M48" s="9">
        <v>2</v>
      </c>
      <c r="N48" s="10" t="str">
        <f t="shared" ref="N48:N49" si="14">LEFT(O48,FIND("-",O48)-1)</f>
        <v>MUSC</v>
      </c>
      <c r="O48" s="11" t="s">
        <v>115</v>
      </c>
      <c r="P48" s="12">
        <v>2184</v>
      </c>
      <c r="Q48" s="8">
        <v>6486480</v>
      </c>
      <c r="S48" s="9">
        <v>2</v>
      </c>
      <c r="T48" s="10" t="str">
        <f t="shared" ref="T48:T49" si="15">LEFT(U48,FIND("-",U48)-1)</f>
        <v>MUCF</v>
      </c>
      <c r="U48" s="11" t="s">
        <v>441</v>
      </c>
      <c r="V48" s="12">
        <v>3080</v>
      </c>
      <c r="W48" s="8">
        <v>3049200</v>
      </c>
      <c r="Y48" s="9">
        <v>2</v>
      </c>
      <c r="Z48" s="10" t="s">
        <v>537</v>
      </c>
      <c r="AA48" s="11" t="s">
        <v>115</v>
      </c>
      <c r="AB48" s="12">
        <v>3360</v>
      </c>
      <c r="AC48" s="8">
        <v>9979200</v>
      </c>
    </row>
    <row r="49" spans="1:29" x14ac:dyDescent="0.35">
      <c r="A49" s="9">
        <v>3</v>
      </c>
      <c r="B49" s="10"/>
      <c r="C49" s="11"/>
      <c r="D49" s="12"/>
      <c r="E49" s="8"/>
      <c r="G49" s="9">
        <v>3</v>
      </c>
      <c r="H49" s="10"/>
      <c r="I49" s="11"/>
      <c r="J49" s="12"/>
      <c r="K49" s="8"/>
      <c r="M49" s="9">
        <v>3</v>
      </c>
      <c r="N49" s="10" t="str">
        <f t="shared" si="14"/>
        <v>MUPD</v>
      </c>
      <c r="O49" s="11" t="s">
        <v>358</v>
      </c>
      <c r="P49" s="12">
        <v>10</v>
      </c>
      <c r="Q49" s="8">
        <v>19250</v>
      </c>
      <c r="S49" s="9">
        <v>3</v>
      </c>
      <c r="T49" s="10" t="str">
        <f t="shared" si="15"/>
        <v>MUSC</v>
      </c>
      <c r="U49" s="11" t="s">
        <v>115</v>
      </c>
      <c r="V49" s="12">
        <v>2240</v>
      </c>
      <c r="W49" s="8">
        <v>6652800</v>
      </c>
      <c r="Y49" s="9">
        <v>3</v>
      </c>
      <c r="Z49" s="10"/>
      <c r="AA49" s="11"/>
      <c r="AB49" s="12"/>
      <c r="AC49" s="8"/>
    </row>
    <row r="50" spans="1:29" x14ac:dyDescent="0.35">
      <c r="A50" s="9">
        <v>4</v>
      </c>
      <c r="B50" s="10"/>
      <c r="C50" s="11"/>
      <c r="D50" s="12"/>
      <c r="E50" s="8"/>
      <c r="G50" s="9">
        <v>4</v>
      </c>
      <c r="H50" s="10"/>
      <c r="I50" s="11"/>
      <c r="J50" s="12"/>
      <c r="K50" s="8"/>
      <c r="M50" s="9">
        <v>4</v>
      </c>
      <c r="N50" s="10" t="str">
        <f>LEFT(O50,FIND("-",O50)-1)</f>
        <v>DLEB</v>
      </c>
      <c r="O50" s="11" t="s">
        <v>405</v>
      </c>
      <c r="P50" s="12">
        <v>5</v>
      </c>
      <c r="Q50" s="8">
        <v>2365</v>
      </c>
      <c r="S50" s="9">
        <v>4</v>
      </c>
      <c r="T50" s="10" t="str">
        <f>LEFT(U50,FIND("-",U50)-1)</f>
        <v>MUPD</v>
      </c>
      <c r="U50" s="11" t="s">
        <v>358</v>
      </c>
      <c r="V50" s="12">
        <v>5</v>
      </c>
      <c r="W50" s="8">
        <v>9625</v>
      </c>
      <c r="Y50" s="9">
        <v>4</v>
      </c>
      <c r="Z50" s="10"/>
      <c r="AA50" s="11"/>
      <c r="AB50" s="12"/>
      <c r="AC50" s="8"/>
    </row>
    <row r="51" spans="1:29" x14ac:dyDescent="0.35">
      <c r="A51" s="9">
        <v>5</v>
      </c>
      <c r="B51" s="10"/>
      <c r="C51" s="11"/>
      <c r="D51" s="12"/>
      <c r="E51" s="8"/>
      <c r="G51" s="9">
        <v>5</v>
      </c>
      <c r="H51" s="10"/>
      <c r="I51" s="11"/>
      <c r="J51" s="12"/>
      <c r="K51" s="8"/>
      <c r="M51" s="9">
        <v>5</v>
      </c>
      <c r="N51" s="10"/>
      <c r="O51" s="11"/>
      <c r="P51" s="12"/>
      <c r="Q51" s="8"/>
      <c r="S51" s="9">
        <v>5</v>
      </c>
      <c r="T51" s="10" t="str">
        <f>LEFT(U51,FIND("-",U51)-1)</f>
        <v>MUCH</v>
      </c>
      <c r="U51" s="11" t="s">
        <v>73</v>
      </c>
      <c r="V51" s="12">
        <v>2</v>
      </c>
      <c r="W51" s="8">
        <v>1980</v>
      </c>
      <c r="Y51" s="9">
        <v>5</v>
      </c>
      <c r="Z51" s="10"/>
      <c r="AA51" s="11"/>
      <c r="AB51" s="12"/>
      <c r="AC51" s="8"/>
    </row>
    <row r="52" spans="1:29" x14ac:dyDescent="0.35">
      <c r="A52" s="9">
        <v>6</v>
      </c>
      <c r="B52" s="10"/>
      <c r="C52" s="11"/>
      <c r="D52" s="12"/>
      <c r="E52" s="8"/>
      <c r="G52" s="9">
        <v>6</v>
      </c>
      <c r="H52" s="10"/>
      <c r="I52" s="11"/>
      <c r="J52" s="12"/>
      <c r="K52" s="8"/>
      <c r="M52" s="9">
        <v>6</v>
      </c>
      <c r="N52" s="10"/>
      <c r="O52" s="11"/>
      <c r="P52" s="12"/>
      <c r="Q52" s="8"/>
      <c r="S52" s="9">
        <v>6</v>
      </c>
      <c r="T52" s="10"/>
      <c r="U52" s="11"/>
      <c r="V52" s="12"/>
      <c r="W52" s="8"/>
      <c r="Y52" s="9">
        <v>6</v>
      </c>
      <c r="Z52" s="10"/>
      <c r="AA52" s="11"/>
      <c r="AB52" s="12"/>
      <c r="AC52" s="8"/>
    </row>
    <row r="53" spans="1:29" x14ac:dyDescent="0.35">
      <c r="A53" s="9">
        <v>7</v>
      </c>
      <c r="B53" s="10"/>
      <c r="C53" s="11"/>
      <c r="D53" s="12"/>
      <c r="E53" s="8"/>
      <c r="G53" s="9">
        <v>7</v>
      </c>
      <c r="H53" s="10"/>
      <c r="I53" s="11"/>
      <c r="J53" s="12"/>
      <c r="K53" s="8"/>
      <c r="M53" s="9">
        <v>7</v>
      </c>
      <c r="N53" s="10"/>
      <c r="O53" s="11"/>
      <c r="P53" s="12"/>
      <c r="Q53" s="8"/>
      <c r="S53" s="9">
        <v>7</v>
      </c>
      <c r="T53" s="10"/>
      <c r="U53" s="11"/>
      <c r="V53" s="12"/>
      <c r="W53" s="8"/>
      <c r="Y53" s="9">
        <v>7</v>
      </c>
      <c r="Z53" s="10"/>
      <c r="AA53" s="11"/>
      <c r="AB53" s="12"/>
      <c r="AC53" s="8"/>
    </row>
    <row r="54" spans="1:29" x14ac:dyDescent="0.35">
      <c r="A54" s="9">
        <v>8</v>
      </c>
      <c r="B54" s="10"/>
      <c r="C54" s="11"/>
      <c r="D54" s="12"/>
      <c r="E54" s="8"/>
      <c r="G54" s="9">
        <v>8</v>
      </c>
      <c r="H54" s="10"/>
      <c r="I54" s="11"/>
      <c r="J54" s="12"/>
      <c r="K54" s="8"/>
      <c r="M54" s="9">
        <v>8</v>
      </c>
      <c r="N54" s="10"/>
      <c r="O54" s="11"/>
      <c r="P54" s="12"/>
      <c r="Q54" s="8"/>
      <c r="S54" s="9">
        <v>8</v>
      </c>
      <c r="T54" s="10"/>
      <c r="U54" s="11"/>
      <c r="V54" s="12"/>
      <c r="W54" s="8"/>
      <c r="Y54" s="9">
        <v>8</v>
      </c>
      <c r="Z54" s="10"/>
      <c r="AA54" s="11"/>
      <c r="AB54" s="12"/>
      <c r="AC54" s="8"/>
    </row>
    <row r="55" spans="1:29" x14ac:dyDescent="0.35">
      <c r="A55" s="9">
        <v>9</v>
      </c>
      <c r="B55" s="10"/>
      <c r="C55" s="11"/>
      <c r="D55" s="12"/>
      <c r="E55" s="8"/>
      <c r="G55" s="9">
        <v>9</v>
      </c>
      <c r="H55" s="10"/>
      <c r="I55" s="11"/>
      <c r="J55" s="12"/>
      <c r="K55" s="8"/>
      <c r="M55" s="9">
        <v>9</v>
      </c>
      <c r="N55" s="10"/>
      <c r="O55" s="11"/>
      <c r="P55" s="12"/>
      <c r="Q55" s="8"/>
      <c r="S55" s="9">
        <v>9</v>
      </c>
      <c r="T55" s="10"/>
      <c r="U55" s="11"/>
      <c r="V55" s="12"/>
      <c r="W55" s="8"/>
      <c r="Y55" s="9">
        <v>9</v>
      </c>
      <c r="Z55" s="10"/>
      <c r="AA55" s="11"/>
      <c r="AB55" s="12"/>
      <c r="AC55" s="8"/>
    </row>
    <row r="56" spans="1:29" ht="15" thickBot="1" x14ac:dyDescent="0.4">
      <c r="A56" s="13">
        <v>10</v>
      </c>
      <c r="B56" s="14"/>
      <c r="C56" s="15"/>
      <c r="D56" s="16"/>
      <c r="E56" s="17"/>
      <c r="G56" s="13">
        <v>10</v>
      </c>
      <c r="H56" s="14"/>
      <c r="I56" s="15"/>
      <c r="J56" s="16"/>
      <c r="K56" s="17"/>
      <c r="M56" s="13">
        <v>10</v>
      </c>
      <c r="N56" s="14"/>
      <c r="O56" s="15"/>
      <c r="P56" s="16"/>
      <c r="Q56" s="17"/>
      <c r="S56" s="13">
        <v>10</v>
      </c>
      <c r="T56" s="14"/>
      <c r="U56" s="15"/>
      <c r="V56" s="16"/>
      <c r="W56" s="17"/>
      <c r="Y56" s="13">
        <v>10</v>
      </c>
      <c r="Z56" s="14"/>
      <c r="AA56" s="15"/>
      <c r="AB56" s="16"/>
      <c r="AC56" s="17"/>
    </row>
  </sheetData>
  <mergeCells count="80">
    <mergeCell ref="S31:S32"/>
    <mergeCell ref="T31:T32"/>
    <mergeCell ref="U31:U32"/>
    <mergeCell ref="V31:W31"/>
    <mergeCell ref="S45:S46"/>
    <mergeCell ref="T45:T46"/>
    <mergeCell ref="U45:U46"/>
    <mergeCell ref="V45:W45"/>
    <mergeCell ref="S3:S4"/>
    <mergeCell ref="T3:T4"/>
    <mergeCell ref="U3:U4"/>
    <mergeCell ref="V3:W3"/>
    <mergeCell ref="S17:S18"/>
    <mergeCell ref="T17:T18"/>
    <mergeCell ref="U17:U18"/>
    <mergeCell ref="V17:W17"/>
    <mergeCell ref="A3:A4"/>
    <mergeCell ref="B3:B4"/>
    <mergeCell ref="C3:C4"/>
    <mergeCell ref="D3:E3"/>
    <mergeCell ref="A17:A18"/>
    <mergeCell ref="B17:B18"/>
    <mergeCell ref="C17:C18"/>
    <mergeCell ref="D17:E17"/>
    <mergeCell ref="A31:A32"/>
    <mergeCell ref="B31:B32"/>
    <mergeCell ref="C31:C32"/>
    <mergeCell ref="D31:E31"/>
    <mergeCell ref="A45:A46"/>
    <mergeCell ref="B45:B46"/>
    <mergeCell ref="C45:C46"/>
    <mergeCell ref="D45:E45"/>
    <mergeCell ref="G3:G4"/>
    <mergeCell ref="H3:H4"/>
    <mergeCell ref="I3:I4"/>
    <mergeCell ref="J3:K3"/>
    <mergeCell ref="G17:G18"/>
    <mergeCell ref="H17:H18"/>
    <mergeCell ref="I17:I18"/>
    <mergeCell ref="J17:K17"/>
    <mergeCell ref="G31:G32"/>
    <mergeCell ref="H31:H32"/>
    <mergeCell ref="I31:I32"/>
    <mergeCell ref="J31:K31"/>
    <mergeCell ref="G45:G46"/>
    <mergeCell ref="H45:H46"/>
    <mergeCell ref="I45:I46"/>
    <mergeCell ref="J45:K45"/>
    <mergeCell ref="M3:M4"/>
    <mergeCell ref="N3:N4"/>
    <mergeCell ref="O3:O4"/>
    <mergeCell ref="P3:Q3"/>
    <mergeCell ref="M17:M18"/>
    <mergeCell ref="N17:N18"/>
    <mergeCell ref="O17:O18"/>
    <mergeCell ref="P17:Q17"/>
    <mergeCell ref="M31:M32"/>
    <mergeCell ref="N31:N32"/>
    <mergeCell ref="O31:O32"/>
    <mergeCell ref="P31:Q31"/>
    <mergeCell ref="M45:M46"/>
    <mergeCell ref="N45:N46"/>
    <mergeCell ref="O45:O46"/>
    <mergeCell ref="P45:Q45"/>
    <mergeCell ref="Y3:Y4"/>
    <mergeCell ref="Z3:Z4"/>
    <mergeCell ref="AA3:AA4"/>
    <mergeCell ref="AB3:AC3"/>
    <mergeCell ref="Y17:Y18"/>
    <mergeCell ref="Z17:Z18"/>
    <mergeCell ref="AA17:AA18"/>
    <mergeCell ref="AB17:AC17"/>
    <mergeCell ref="Y31:Y32"/>
    <mergeCell ref="Z31:Z32"/>
    <mergeCell ref="AA31:AA32"/>
    <mergeCell ref="AB31:AC31"/>
    <mergeCell ref="Y45:Y46"/>
    <mergeCell ref="Z45:Z46"/>
    <mergeCell ref="AA45:AA46"/>
    <mergeCell ref="AB45:AC4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月別詳細</vt:lpstr>
      <vt:lpstr>ブランド別</vt:lpstr>
      <vt:lpstr>ブランド別TOP10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李 暁晴</cp:lastModifiedBy>
  <dcterms:created xsi:type="dcterms:W3CDTF">2026-02-13T08:39:24Z</dcterms:created>
  <dcterms:modified xsi:type="dcterms:W3CDTF">2026-06-11T03:41:35Z</dcterms:modified>
</cp:coreProperties>
</file>